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hn\Dropbox\Johnny's Stuff\"/>
    </mc:Choice>
  </mc:AlternateContent>
  <bookViews>
    <workbookView xWindow="0" yWindow="0" windowWidth="28800" windowHeight="12210"/>
  </bookViews>
  <sheets>
    <sheet name="Boxscore" sheetId="2" r:id="rId1"/>
    <sheet name="Results" sheetId="4" r:id="rId2"/>
    <sheet name="Ratings" sheetId="1" r:id="rId3"/>
    <sheet name="Winnings" sheetId="5" r:id="rId4"/>
    <sheet name="Daily" sheetId="8" r:id="rId5"/>
    <sheet name="Replace" sheetId="7" r:id="rId6"/>
  </sheets>
  <functionGroups builtInGroupCount="18"/>
  <definedNames>
    <definedName name="def_diff_lookup">Table3[[Team]:[Def Diff]]</definedName>
    <definedName name="division_lookup">Table3[]</definedName>
    <definedName name="home">Ratings!$K$2</definedName>
    <definedName name="home_lookup">Table3[]</definedName>
    <definedName name="nba_ranking_1" localSheetId="2">Ratings!$P$1:$P$31</definedName>
    <definedName name="OFR_lookup">Table3[[Team]:[ORtg/A]]</definedName>
    <definedName name="pace_lookup">Table3[]</definedName>
    <definedName name="replace_names">Replace!$A$1:$B$30</definedName>
    <definedName name="rtg_vlookup">Table3[#All]</definedName>
    <definedName name="solver_adj" localSheetId="2" hidden="1">Ratings!$H$2:$H$31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Ratings!$H$32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Ratings!$O$2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home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71027"/>
  <pivotCaches>
    <pivotCache cacheId="3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6" i="2" l="1"/>
  <c r="P247" i="2"/>
  <c r="P248" i="2"/>
  <c r="P249" i="2"/>
  <c r="P250" i="2"/>
  <c r="P251" i="2"/>
  <c r="P252" i="2"/>
  <c r="P253" i="2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6" i="5"/>
  <c r="E20" i="5"/>
  <c r="H20" i="5"/>
  <c r="E19" i="5"/>
  <c r="AB246" i="2" l="1"/>
  <c r="AB247" i="2"/>
  <c r="AB248" i="2"/>
  <c r="AB249" i="2"/>
  <c r="AB250" i="2"/>
  <c r="AB251" i="2"/>
  <c r="AB252" i="2"/>
  <c r="AB253" i="2"/>
  <c r="AA246" i="2"/>
  <c r="AA247" i="2"/>
  <c r="AA248" i="2"/>
  <c r="AA249" i="2"/>
  <c r="AA250" i="2"/>
  <c r="AA251" i="2"/>
  <c r="AA252" i="2"/>
  <c r="AA253" i="2"/>
  <c r="X241" i="2"/>
  <c r="X242" i="2"/>
  <c r="X243" i="2"/>
  <c r="X244" i="2"/>
  <c r="X245" i="2"/>
  <c r="U241" i="2"/>
  <c r="U242" i="2"/>
  <c r="U243" i="2"/>
  <c r="U244" i="2"/>
  <c r="U245" i="2"/>
  <c r="S241" i="2"/>
  <c r="S242" i="2"/>
  <c r="S243" i="2"/>
  <c r="D243" i="2" s="1"/>
  <c r="S244" i="2"/>
  <c r="F244" i="2" s="1"/>
  <c r="S245" i="2"/>
  <c r="O241" i="2"/>
  <c r="O242" i="2"/>
  <c r="O243" i="2"/>
  <c r="O244" i="2"/>
  <c r="O245" i="2"/>
  <c r="I241" i="2"/>
  <c r="I242" i="2"/>
  <c r="I243" i="2"/>
  <c r="I244" i="2"/>
  <c r="I245" i="2"/>
  <c r="H241" i="2"/>
  <c r="H242" i="2"/>
  <c r="H243" i="2"/>
  <c r="H244" i="2"/>
  <c r="H245" i="2"/>
  <c r="F241" i="2"/>
  <c r="F242" i="2"/>
  <c r="F243" i="2"/>
  <c r="F245" i="2"/>
  <c r="D241" i="2"/>
  <c r="D242" i="2"/>
  <c r="D245" i="2"/>
  <c r="N16" i="4"/>
  <c r="N32" i="4"/>
  <c r="N5" i="4"/>
  <c r="N25" i="4"/>
  <c r="N10" i="4"/>
  <c r="N26" i="4"/>
  <c r="N15" i="4"/>
  <c r="K7" i="4"/>
  <c r="K23" i="4"/>
  <c r="K8" i="4"/>
  <c r="K24" i="4"/>
  <c r="K9" i="4"/>
  <c r="K25" i="4"/>
  <c r="K14" i="4"/>
  <c r="K30" i="4"/>
  <c r="O12" i="4"/>
  <c r="O28" i="4"/>
  <c r="O17" i="4"/>
  <c r="O6" i="4"/>
  <c r="O22" i="4"/>
  <c r="O11" i="4"/>
  <c r="O27" i="4"/>
  <c r="L7" i="4"/>
  <c r="L23" i="4"/>
  <c r="L12" i="4"/>
  <c r="L28" i="4"/>
  <c r="L13" i="4"/>
  <c r="L29" i="4"/>
  <c r="N4" i="4"/>
  <c r="N20" i="4"/>
  <c r="N21" i="4"/>
  <c r="N9" i="4"/>
  <c r="N19" i="4"/>
  <c r="N14" i="4"/>
  <c r="N30" i="4"/>
  <c r="N23" i="4"/>
  <c r="K11" i="4"/>
  <c r="K27" i="4"/>
  <c r="K12" i="4"/>
  <c r="K28" i="4"/>
  <c r="K13" i="4"/>
  <c r="K29" i="4"/>
  <c r="K18" i="4"/>
  <c r="O32" i="4"/>
  <c r="O16" i="4"/>
  <c r="O5" i="4"/>
  <c r="O21" i="4"/>
  <c r="O10" i="4"/>
  <c r="O26" i="4"/>
  <c r="O15" i="4"/>
  <c r="O31" i="4"/>
  <c r="L11" i="4"/>
  <c r="L27" i="4"/>
  <c r="L16" i="4"/>
  <c r="L32" i="4"/>
  <c r="L17" i="4"/>
  <c r="L6" i="4"/>
  <c r="L22" i="4"/>
  <c r="N8" i="4"/>
  <c r="N24" i="4"/>
  <c r="N29" i="4"/>
  <c r="N13" i="4"/>
  <c r="N31" i="4"/>
  <c r="N18" i="4"/>
  <c r="N7" i="4"/>
  <c r="N3" i="4"/>
  <c r="K15" i="4"/>
  <c r="K31" i="4"/>
  <c r="K16" i="4"/>
  <c r="K32" i="4"/>
  <c r="K17" i="4"/>
  <c r="K6" i="4"/>
  <c r="K22" i="4"/>
  <c r="O4" i="4"/>
  <c r="O20" i="4"/>
  <c r="O9" i="4"/>
  <c r="O25" i="4"/>
  <c r="O14" i="4"/>
  <c r="O30" i="4"/>
  <c r="O19" i="4"/>
  <c r="O3" i="4"/>
  <c r="L15" i="4"/>
  <c r="L4" i="4"/>
  <c r="L20" i="4"/>
  <c r="L5" i="4"/>
  <c r="L21" i="4"/>
  <c r="L10" i="4"/>
  <c r="L26" i="4"/>
  <c r="L18" i="4"/>
  <c r="N12" i="4"/>
  <c r="N28" i="4"/>
  <c r="N27" i="4"/>
  <c r="N17" i="4"/>
  <c r="N6" i="4"/>
  <c r="N22" i="4"/>
  <c r="N11" i="4"/>
  <c r="K3" i="4"/>
  <c r="K19" i="4"/>
  <c r="K4" i="4"/>
  <c r="K20" i="4"/>
  <c r="K5" i="4"/>
  <c r="K21" i="4"/>
  <c r="K10" i="4"/>
  <c r="K26" i="4"/>
  <c r="O8" i="4"/>
  <c r="O24" i="4"/>
  <c r="O13" i="4"/>
  <c r="O29" i="4"/>
  <c r="O18" i="4"/>
  <c r="O7" i="4"/>
  <c r="O23" i="4"/>
  <c r="L3" i="4"/>
  <c r="L19" i="4"/>
  <c r="L8" i="4"/>
  <c r="L24" i="4"/>
  <c r="L9" i="4"/>
  <c r="L25" i="4"/>
  <c r="L14" i="4"/>
  <c r="L30" i="4"/>
  <c r="L31" i="4"/>
  <c r="T15" i="4"/>
  <c r="T31" i="4"/>
  <c r="T6" i="4"/>
  <c r="T26" i="4"/>
  <c r="T16" i="4"/>
  <c r="T32" i="4"/>
  <c r="T25" i="4"/>
  <c r="Q7" i="4"/>
  <c r="Q23" i="4"/>
  <c r="Q13" i="4"/>
  <c r="Q18" i="4"/>
  <c r="Q12" i="4"/>
  <c r="Q28" i="4"/>
  <c r="Q25" i="4"/>
  <c r="Q26" i="4"/>
  <c r="R15" i="4"/>
  <c r="R4" i="4"/>
  <c r="R20" i="4"/>
  <c r="R5" i="4"/>
  <c r="R21" i="4"/>
  <c r="R10" i="4"/>
  <c r="R26" i="4"/>
  <c r="U7" i="4"/>
  <c r="U27" i="4"/>
  <c r="U16" i="4"/>
  <c r="U32" i="4"/>
  <c r="U13" i="4"/>
  <c r="U6" i="4"/>
  <c r="U22" i="4"/>
  <c r="U31" i="4"/>
  <c r="T7" i="4"/>
  <c r="T14" i="4"/>
  <c r="T24" i="4"/>
  <c r="T30" i="4"/>
  <c r="Q31" i="4"/>
  <c r="Q29" i="4"/>
  <c r="Q20" i="4"/>
  <c r="Q14" i="4"/>
  <c r="R23" i="4"/>
  <c r="R28" i="4"/>
  <c r="R29" i="4"/>
  <c r="R31" i="4"/>
  <c r="U8" i="4"/>
  <c r="U5" i="4"/>
  <c r="U14" i="4"/>
  <c r="T11" i="4"/>
  <c r="T29" i="4"/>
  <c r="T12" i="4"/>
  <c r="Q3" i="4"/>
  <c r="Q9" i="4"/>
  <c r="Q8" i="4"/>
  <c r="Q17" i="4"/>
  <c r="R11" i="4"/>
  <c r="R16" i="4"/>
  <c r="R17" i="4"/>
  <c r="R22" i="4"/>
  <c r="U19" i="4"/>
  <c r="U12" i="4"/>
  <c r="U9" i="4"/>
  <c r="U23" i="4"/>
  <c r="T3" i="4"/>
  <c r="T19" i="4"/>
  <c r="T9" i="4"/>
  <c r="T10" i="4"/>
  <c r="T4" i="4"/>
  <c r="T20" i="4"/>
  <c r="T5" i="4"/>
  <c r="T18" i="4"/>
  <c r="Q11" i="4"/>
  <c r="Q27" i="4"/>
  <c r="Q21" i="4"/>
  <c r="Q30" i="4"/>
  <c r="Q16" i="4"/>
  <c r="Q32" i="4"/>
  <c r="Q6" i="4"/>
  <c r="R3" i="4"/>
  <c r="R19" i="4"/>
  <c r="R8" i="4"/>
  <c r="R24" i="4"/>
  <c r="R9" i="4"/>
  <c r="R25" i="4"/>
  <c r="R14" i="4"/>
  <c r="R30" i="4"/>
  <c r="U11" i="4"/>
  <c r="U4" i="4"/>
  <c r="U20" i="4"/>
  <c r="U29" i="4"/>
  <c r="U17" i="4"/>
  <c r="U10" i="4"/>
  <c r="U26" i="4"/>
  <c r="T23" i="4"/>
  <c r="T21" i="4"/>
  <c r="T8" i="4"/>
  <c r="T13" i="4"/>
  <c r="Q15" i="4"/>
  <c r="Q4" i="4"/>
  <c r="Q5" i="4"/>
  <c r="R7" i="4"/>
  <c r="R12" i="4"/>
  <c r="R13" i="4"/>
  <c r="R18" i="4"/>
  <c r="U15" i="4"/>
  <c r="U24" i="4"/>
  <c r="U21" i="4"/>
  <c r="U30" i="4"/>
  <c r="T27" i="4"/>
  <c r="T22" i="4"/>
  <c r="T28" i="4"/>
  <c r="T17" i="4"/>
  <c r="Q19" i="4"/>
  <c r="Q10" i="4"/>
  <c r="Q24" i="4"/>
  <c r="Q22" i="4"/>
  <c r="R27" i="4"/>
  <c r="R32" i="4"/>
  <c r="R6" i="4"/>
  <c r="U3" i="4"/>
  <c r="U28" i="4"/>
  <c r="U25" i="4"/>
  <c r="U18" i="4"/>
  <c r="U33" i="4" l="1"/>
  <c r="V30" i="4"/>
  <c r="V18" i="4"/>
  <c r="V25" i="4"/>
  <c r="V17" i="4"/>
  <c r="V13" i="4"/>
  <c r="V5" i="4"/>
  <c r="V32" i="4"/>
  <c r="V28" i="4"/>
  <c r="V24" i="4"/>
  <c r="V20" i="4"/>
  <c r="V16" i="4"/>
  <c r="V12" i="4"/>
  <c r="V8" i="4"/>
  <c r="V4" i="4"/>
  <c r="V26" i="4"/>
  <c r="V22" i="4"/>
  <c r="V14" i="4"/>
  <c r="V10" i="4"/>
  <c r="V6" i="4"/>
  <c r="V29" i="4"/>
  <c r="V21" i="4"/>
  <c r="V9" i="4"/>
  <c r="V31" i="4"/>
  <c r="V27" i="4"/>
  <c r="V23" i="4"/>
  <c r="V19" i="4"/>
  <c r="V15" i="4"/>
  <c r="V11" i="4"/>
  <c r="V7" i="4"/>
  <c r="V3" i="4"/>
  <c r="O33" i="4"/>
  <c r="P3" i="4"/>
  <c r="P23" i="4"/>
  <c r="P15" i="4"/>
  <c r="P11" i="4"/>
  <c r="P7" i="4"/>
  <c r="P30" i="4"/>
  <c r="P26" i="4"/>
  <c r="P22" i="4"/>
  <c r="P18" i="4"/>
  <c r="P14" i="4"/>
  <c r="P10" i="4"/>
  <c r="P6" i="4"/>
  <c r="P31" i="4"/>
  <c r="P19" i="4"/>
  <c r="P25" i="4"/>
  <c r="P17" i="4"/>
  <c r="P13" i="4"/>
  <c r="P9" i="4"/>
  <c r="P5" i="4"/>
  <c r="P27" i="4"/>
  <c r="P29" i="4"/>
  <c r="P21" i="4"/>
  <c r="P32" i="4"/>
  <c r="P28" i="4"/>
  <c r="P24" i="4"/>
  <c r="P20" i="4"/>
  <c r="P16" i="4"/>
  <c r="P12" i="4"/>
  <c r="P8" i="4"/>
  <c r="P4" i="4"/>
  <c r="D244" i="2"/>
  <c r="T33" i="4"/>
  <c r="V33" i="4" s="1"/>
  <c r="N33" i="4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09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00" i="2"/>
  <c r="X1232" i="2"/>
  <c r="U1232" i="2"/>
  <c r="I1232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P241" i="2"/>
  <c r="P242" i="2"/>
  <c r="P243" i="2"/>
  <c r="P244" i="2"/>
  <c r="P245" i="2"/>
  <c r="S226" i="2"/>
  <c r="X226" i="2" s="1"/>
  <c r="S227" i="2"/>
  <c r="F227" i="2" s="1"/>
  <c r="S228" i="2"/>
  <c r="X228" i="2" s="1"/>
  <c r="S229" i="2"/>
  <c r="U229" i="2" s="1"/>
  <c r="S230" i="2"/>
  <c r="X230" i="2" s="1"/>
  <c r="S231" i="2"/>
  <c r="F231" i="2" s="1"/>
  <c r="S232" i="2"/>
  <c r="F232" i="2" s="1"/>
  <c r="S233" i="2"/>
  <c r="F233" i="2" s="1"/>
  <c r="S234" i="2"/>
  <c r="U234" i="2" s="1"/>
  <c r="S235" i="2"/>
  <c r="F235" i="2" s="1"/>
  <c r="S236" i="2"/>
  <c r="F236" i="2" s="1"/>
  <c r="S237" i="2"/>
  <c r="F237" i="2" s="1"/>
  <c r="S238" i="2"/>
  <c r="U238" i="2" s="1"/>
  <c r="S239" i="2"/>
  <c r="X239" i="2" s="1"/>
  <c r="S240" i="2"/>
  <c r="X240" i="2" s="1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F228" i="2"/>
  <c r="F234" i="2"/>
  <c r="D234" i="2"/>
  <c r="AH15" i="2"/>
  <c r="AG15" i="2"/>
  <c r="AF15" i="2"/>
  <c r="S15" i="2"/>
  <c r="D15" i="2" s="1"/>
  <c r="R15" i="2"/>
  <c r="Q15" i="2"/>
  <c r="H15" i="2"/>
  <c r="AE1232" i="2"/>
  <c r="AC1232" i="2"/>
  <c r="E18" i="5"/>
  <c r="P33" i="4" l="1"/>
  <c r="D232" i="2"/>
  <c r="D233" i="2"/>
  <c r="D229" i="2"/>
  <c r="D228" i="2"/>
  <c r="X234" i="2"/>
  <c r="U235" i="2"/>
  <c r="U227" i="2"/>
  <c r="U226" i="2"/>
  <c r="X231" i="2"/>
  <c r="D227" i="2"/>
  <c r="F226" i="2"/>
  <c r="U239" i="2"/>
  <c r="U233" i="2"/>
  <c r="X238" i="2"/>
  <c r="X227" i="2"/>
  <c r="D231" i="2"/>
  <c r="D226" i="2"/>
  <c r="U237" i="2"/>
  <c r="U231" i="2"/>
  <c r="X237" i="2"/>
  <c r="D239" i="2"/>
  <c r="F239" i="2"/>
  <c r="F238" i="2"/>
  <c r="D238" i="2"/>
  <c r="D237" i="2"/>
  <c r="X232" i="2"/>
  <c r="U232" i="2"/>
  <c r="U230" i="2"/>
  <c r="D230" i="2"/>
  <c r="F230" i="2"/>
  <c r="U228" i="2"/>
  <c r="D240" i="2"/>
  <c r="F240" i="2"/>
  <c r="U240" i="2"/>
  <c r="D236" i="2"/>
  <c r="U236" i="2"/>
  <c r="X236" i="2"/>
  <c r="X235" i="2"/>
  <c r="D235" i="2"/>
  <c r="X233" i="2"/>
  <c r="X229" i="2"/>
  <c r="F229" i="2"/>
  <c r="F15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O226" i="2" s="1"/>
  <c r="P227" i="2"/>
  <c r="O227" i="2" s="1"/>
  <c r="P228" i="2"/>
  <c r="O228" i="2" s="1"/>
  <c r="P229" i="2"/>
  <c r="O229" i="2" s="1"/>
  <c r="P230" i="2"/>
  <c r="O230" i="2" s="1"/>
  <c r="P231" i="2"/>
  <c r="O231" i="2" s="1"/>
  <c r="P232" i="2"/>
  <c r="O232" i="2" s="1"/>
  <c r="P233" i="2"/>
  <c r="O233" i="2" s="1"/>
  <c r="P234" i="2"/>
  <c r="O234" i="2" s="1"/>
  <c r="P235" i="2"/>
  <c r="O235" i="2" s="1"/>
  <c r="P236" i="2"/>
  <c r="O236" i="2" s="1"/>
  <c r="P237" i="2"/>
  <c r="O237" i="2" s="1"/>
  <c r="P238" i="2"/>
  <c r="O238" i="2" s="1"/>
  <c r="P239" i="2"/>
  <c r="O239" i="2" s="1"/>
  <c r="P240" i="2"/>
  <c r="O240" i="2" s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2" i="5"/>
  <c r="H6" i="5"/>
  <c r="H7" i="5"/>
  <c r="H10" i="5"/>
  <c r="H13" i="5"/>
  <c r="H17" i="5"/>
  <c r="G21" i="5"/>
  <c r="F21" i="5"/>
  <c r="AD1232" i="2"/>
  <c r="D21" i="5"/>
  <c r="C21" i="5"/>
  <c r="H21" i="5" l="1"/>
  <c r="E21" i="5"/>
  <c r="S213" i="2" l="1"/>
  <c r="S214" i="2"/>
  <c r="S215" i="2"/>
  <c r="S216" i="2"/>
  <c r="S217" i="2"/>
  <c r="S218" i="2"/>
  <c r="S219" i="2"/>
  <c r="S220" i="2"/>
  <c r="S221" i="2"/>
  <c r="S222" i="2"/>
  <c r="S223" i="2"/>
  <c r="S224" i="2"/>
  <c r="S225" i="2"/>
  <c r="H213" i="2"/>
  <c r="O213" i="2" s="1"/>
  <c r="H214" i="2"/>
  <c r="O214" i="2" s="1"/>
  <c r="H215" i="2"/>
  <c r="O215" i="2" s="1"/>
  <c r="H216" i="2"/>
  <c r="O216" i="2" s="1"/>
  <c r="H217" i="2"/>
  <c r="O217" i="2" s="1"/>
  <c r="H218" i="2"/>
  <c r="O218" i="2" s="1"/>
  <c r="H219" i="2"/>
  <c r="O219" i="2" s="1"/>
  <c r="H220" i="2"/>
  <c r="O220" i="2" s="1"/>
  <c r="H221" i="2"/>
  <c r="O221" i="2" s="1"/>
  <c r="H222" i="2"/>
  <c r="O222" i="2" s="1"/>
  <c r="H223" i="2"/>
  <c r="O223" i="2" s="1"/>
  <c r="H224" i="2"/>
  <c r="O224" i="2" s="1"/>
  <c r="H225" i="2"/>
  <c r="O225" i="2" s="1"/>
  <c r="F215" i="2" l="1"/>
  <c r="D215" i="2"/>
  <c r="D222" i="2"/>
  <c r="F222" i="2"/>
  <c r="D218" i="2"/>
  <c r="F218" i="2"/>
  <c r="D214" i="2"/>
  <c r="F214" i="2"/>
  <c r="D225" i="2"/>
  <c r="F225" i="2"/>
  <c r="D221" i="2"/>
  <c r="F221" i="2"/>
  <c r="D217" i="2"/>
  <c r="F217" i="2"/>
  <c r="D213" i="2"/>
  <c r="F213" i="2"/>
  <c r="F223" i="2"/>
  <c r="D223" i="2"/>
  <c r="F219" i="2"/>
  <c r="D219" i="2"/>
  <c r="F224" i="2"/>
  <c r="D224" i="2"/>
  <c r="F220" i="2"/>
  <c r="D220" i="2"/>
  <c r="F216" i="2"/>
  <c r="D216" i="2"/>
  <c r="S5" i="4"/>
  <c r="S32" i="4"/>
  <c r="X223" i="2"/>
  <c r="U223" i="2"/>
  <c r="U219" i="2"/>
  <c r="X219" i="2"/>
  <c r="U215" i="2"/>
  <c r="X215" i="2"/>
  <c r="U218" i="2"/>
  <c r="X218" i="2"/>
  <c r="X213" i="2"/>
  <c r="U213" i="2"/>
  <c r="U222" i="2"/>
  <c r="X222" i="2"/>
  <c r="U214" i="2"/>
  <c r="X214" i="2"/>
  <c r="X225" i="2"/>
  <c r="U225" i="2"/>
  <c r="U221" i="2"/>
  <c r="X221" i="2"/>
  <c r="X217" i="2"/>
  <c r="U217" i="2"/>
  <c r="U224" i="2"/>
  <c r="X224" i="2"/>
  <c r="U220" i="2"/>
  <c r="X220" i="2"/>
  <c r="X216" i="2"/>
  <c r="U216" i="2"/>
  <c r="G20" i="4"/>
  <c r="F20" i="4"/>
  <c r="D20" i="4"/>
  <c r="C20" i="4"/>
  <c r="Y1232" i="2" l="1"/>
  <c r="V1232" i="2"/>
  <c r="T1232" i="2"/>
  <c r="S212" i="2"/>
  <c r="S211" i="2"/>
  <c r="S210" i="2"/>
  <c r="S209" i="2"/>
  <c r="H211" i="2"/>
  <c r="H212" i="2"/>
  <c r="H210" i="2"/>
  <c r="H209" i="2"/>
  <c r="AH214" i="2"/>
  <c r="AH2" i="2"/>
  <c r="AH3" i="2"/>
  <c r="AH4" i="2"/>
  <c r="AH5" i="2"/>
  <c r="AH6" i="2"/>
  <c r="AH7" i="2"/>
  <c r="AH8" i="2"/>
  <c r="AH9" i="2"/>
  <c r="AH10" i="2"/>
  <c r="AH11" i="2"/>
  <c r="AH12" i="2"/>
  <c r="AH13" i="2"/>
  <c r="AH14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13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AH263" i="2"/>
  <c r="AH264" i="2"/>
  <c r="AH265" i="2"/>
  <c r="AH266" i="2"/>
  <c r="AH267" i="2"/>
  <c r="AH268" i="2"/>
  <c r="AH269" i="2"/>
  <c r="AH270" i="2"/>
  <c r="AH271" i="2"/>
  <c r="AH272" i="2"/>
  <c r="AH273" i="2"/>
  <c r="AH274" i="2"/>
  <c r="AH275" i="2"/>
  <c r="AH276" i="2"/>
  <c r="AH277" i="2"/>
  <c r="AH278" i="2"/>
  <c r="AH279" i="2"/>
  <c r="AH280" i="2"/>
  <c r="AH281" i="2"/>
  <c r="AH282" i="2"/>
  <c r="AH283" i="2"/>
  <c r="AH284" i="2"/>
  <c r="AH285" i="2"/>
  <c r="AH286" i="2"/>
  <c r="AH287" i="2"/>
  <c r="AH288" i="2"/>
  <c r="AH289" i="2"/>
  <c r="AH290" i="2"/>
  <c r="AH291" i="2"/>
  <c r="AH292" i="2"/>
  <c r="AH293" i="2"/>
  <c r="AH294" i="2"/>
  <c r="AH295" i="2"/>
  <c r="AH296" i="2"/>
  <c r="AH297" i="2"/>
  <c r="AH298" i="2"/>
  <c r="AH299" i="2"/>
  <c r="AH300" i="2"/>
  <c r="AH301" i="2"/>
  <c r="AH302" i="2"/>
  <c r="AH303" i="2"/>
  <c r="AH304" i="2"/>
  <c r="AH305" i="2"/>
  <c r="AH306" i="2"/>
  <c r="AH307" i="2"/>
  <c r="AH308" i="2"/>
  <c r="AH309" i="2"/>
  <c r="AH310" i="2"/>
  <c r="AH311" i="2"/>
  <c r="AH312" i="2"/>
  <c r="AH313" i="2"/>
  <c r="AH314" i="2"/>
  <c r="AH315" i="2"/>
  <c r="AH316" i="2"/>
  <c r="AH317" i="2"/>
  <c r="AH318" i="2"/>
  <c r="AH319" i="2"/>
  <c r="AH320" i="2"/>
  <c r="AH321" i="2"/>
  <c r="AH322" i="2"/>
  <c r="AH323" i="2"/>
  <c r="AH324" i="2"/>
  <c r="AH325" i="2"/>
  <c r="AH326" i="2"/>
  <c r="AH327" i="2"/>
  <c r="AH328" i="2"/>
  <c r="AH329" i="2"/>
  <c r="AH330" i="2"/>
  <c r="AH331" i="2"/>
  <c r="AH332" i="2"/>
  <c r="AH333" i="2"/>
  <c r="AH334" i="2"/>
  <c r="AH335" i="2"/>
  <c r="AH336" i="2"/>
  <c r="AH337" i="2"/>
  <c r="AH338" i="2"/>
  <c r="AH339" i="2"/>
  <c r="AH340" i="2"/>
  <c r="AH341" i="2"/>
  <c r="AH342" i="2"/>
  <c r="AH343" i="2"/>
  <c r="AH344" i="2"/>
  <c r="AH345" i="2"/>
  <c r="AH346" i="2"/>
  <c r="AH347" i="2"/>
  <c r="AH348" i="2"/>
  <c r="AH349" i="2"/>
  <c r="AH350" i="2"/>
  <c r="AH351" i="2"/>
  <c r="AH352" i="2"/>
  <c r="AH353" i="2"/>
  <c r="AH354" i="2"/>
  <c r="AH355" i="2"/>
  <c r="AH356" i="2"/>
  <c r="AH357" i="2"/>
  <c r="AH358" i="2"/>
  <c r="AH359" i="2"/>
  <c r="AH360" i="2"/>
  <c r="AH361" i="2"/>
  <c r="AH362" i="2"/>
  <c r="AH363" i="2"/>
  <c r="AH364" i="2"/>
  <c r="AH365" i="2"/>
  <c r="AH366" i="2"/>
  <c r="AH367" i="2"/>
  <c r="AH368" i="2"/>
  <c r="AH369" i="2"/>
  <c r="AH370" i="2"/>
  <c r="AH371" i="2"/>
  <c r="AH372" i="2"/>
  <c r="AH373" i="2"/>
  <c r="AH374" i="2"/>
  <c r="AH375" i="2"/>
  <c r="AH376" i="2"/>
  <c r="AH377" i="2"/>
  <c r="AH378" i="2"/>
  <c r="AH379" i="2"/>
  <c r="AH380" i="2"/>
  <c r="AH381" i="2"/>
  <c r="AH382" i="2"/>
  <c r="AH383" i="2"/>
  <c r="AH384" i="2"/>
  <c r="AH385" i="2"/>
  <c r="AH386" i="2"/>
  <c r="AH387" i="2"/>
  <c r="AH388" i="2"/>
  <c r="AH389" i="2"/>
  <c r="AH390" i="2"/>
  <c r="AH391" i="2"/>
  <c r="AH392" i="2"/>
  <c r="AH393" i="2"/>
  <c r="AH394" i="2"/>
  <c r="AH395" i="2"/>
  <c r="AH396" i="2"/>
  <c r="AH397" i="2"/>
  <c r="AH398" i="2"/>
  <c r="AH399" i="2"/>
  <c r="AH400" i="2"/>
  <c r="AH401" i="2"/>
  <c r="AH402" i="2"/>
  <c r="AH403" i="2"/>
  <c r="AH404" i="2"/>
  <c r="AH405" i="2"/>
  <c r="AH406" i="2"/>
  <c r="AH407" i="2"/>
  <c r="AH408" i="2"/>
  <c r="AH409" i="2"/>
  <c r="AH410" i="2"/>
  <c r="AH411" i="2"/>
  <c r="AH412" i="2"/>
  <c r="AH413" i="2"/>
  <c r="AH414" i="2"/>
  <c r="AH415" i="2"/>
  <c r="AH416" i="2"/>
  <c r="AH417" i="2"/>
  <c r="AH418" i="2"/>
  <c r="AH419" i="2"/>
  <c r="AH420" i="2"/>
  <c r="AH421" i="2"/>
  <c r="AH422" i="2"/>
  <c r="AH423" i="2"/>
  <c r="AH424" i="2"/>
  <c r="AH425" i="2"/>
  <c r="AH426" i="2"/>
  <c r="AH427" i="2"/>
  <c r="AH428" i="2"/>
  <c r="AH429" i="2"/>
  <c r="AH430" i="2"/>
  <c r="AH431" i="2"/>
  <c r="AH432" i="2"/>
  <c r="AH433" i="2"/>
  <c r="AH434" i="2"/>
  <c r="AH435" i="2"/>
  <c r="AH436" i="2"/>
  <c r="AH437" i="2"/>
  <c r="AH438" i="2"/>
  <c r="AH439" i="2"/>
  <c r="AH440" i="2"/>
  <c r="AH441" i="2"/>
  <c r="AH442" i="2"/>
  <c r="AH443" i="2"/>
  <c r="AH444" i="2"/>
  <c r="AH445" i="2"/>
  <c r="AH446" i="2"/>
  <c r="AH447" i="2"/>
  <c r="AH448" i="2"/>
  <c r="AH449" i="2"/>
  <c r="AH450" i="2"/>
  <c r="AH451" i="2"/>
  <c r="AH452" i="2"/>
  <c r="AH453" i="2"/>
  <c r="AH454" i="2"/>
  <c r="AH455" i="2"/>
  <c r="AH456" i="2"/>
  <c r="AH457" i="2"/>
  <c r="AH458" i="2"/>
  <c r="AH459" i="2"/>
  <c r="AH460" i="2"/>
  <c r="AH461" i="2"/>
  <c r="AH462" i="2"/>
  <c r="AH463" i="2"/>
  <c r="AH464" i="2"/>
  <c r="AH465" i="2"/>
  <c r="AH466" i="2"/>
  <c r="AH467" i="2"/>
  <c r="AH468" i="2"/>
  <c r="AH469" i="2"/>
  <c r="AH470" i="2"/>
  <c r="AH471" i="2"/>
  <c r="AH472" i="2"/>
  <c r="AH473" i="2"/>
  <c r="AH474" i="2"/>
  <c r="AH475" i="2"/>
  <c r="AH476" i="2"/>
  <c r="AH477" i="2"/>
  <c r="AH478" i="2"/>
  <c r="AH479" i="2"/>
  <c r="AH480" i="2"/>
  <c r="AH481" i="2"/>
  <c r="AH482" i="2"/>
  <c r="AH483" i="2"/>
  <c r="AH484" i="2"/>
  <c r="AH485" i="2"/>
  <c r="AH486" i="2"/>
  <c r="AH487" i="2"/>
  <c r="AH488" i="2"/>
  <c r="AH489" i="2"/>
  <c r="AH490" i="2"/>
  <c r="AH491" i="2"/>
  <c r="AH492" i="2"/>
  <c r="AH493" i="2"/>
  <c r="AH494" i="2"/>
  <c r="AH495" i="2"/>
  <c r="AH496" i="2"/>
  <c r="AH497" i="2"/>
  <c r="AH498" i="2"/>
  <c r="AH499" i="2"/>
  <c r="AH500" i="2"/>
  <c r="AH501" i="2"/>
  <c r="AH502" i="2"/>
  <c r="AH503" i="2"/>
  <c r="AH504" i="2"/>
  <c r="AH505" i="2"/>
  <c r="AH506" i="2"/>
  <c r="AH507" i="2"/>
  <c r="AH508" i="2"/>
  <c r="AH509" i="2"/>
  <c r="AH510" i="2"/>
  <c r="AH511" i="2"/>
  <c r="AH512" i="2"/>
  <c r="AH513" i="2"/>
  <c r="AH514" i="2"/>
  <c r="AH515" i="2"/>
  <c r="AH516" i="2"/>
  <c r="AH517" i="2"/>
  <c r="AH518" i="2"/>
  <c r="AH519" i="2"/>
  <c r="AH520" i="2"/>
  <c r="AH521" i="2"/>
  <c r="AH522" i="2"/>
  <c r="AH523" i="2"/>
  <c r="AH524" i="2"/>
  <c r="AH525" i="2"/>
  <c r="AH526" i="2"/>
  <c r="AH527" i="2"/>
  <c r="AH528" i="2"/>
  <c r="AH529" i="2"/>
  <c r="AH530" i="2"/>
  <c r="AH531" i="2"/>
  <c r="AH532" i="2"/>
  <c r="AH533" i="2"/>
  <c r="AH534" i="2"/>
  <c r="AH535" i="2"/>
  <c r="AH536" i="2"/>
  <c r="AH537" i="2"/>
  <c r="AH538" i="2"/>
  <c r="AH539" i="2"/>
  <c r="AH540" i="2"/>
  <c r="AH541" i="2"/>
  <c r="AH542" i="2"/>
  <c r="AH543" i="2"/>
  <c r="AH544" i="2"/>
  <c r="AH545" i="2"/>
  <c r="AH546" i="2"/>
  <c r="AH547" i="2"/>
  <c r="AH548" i="2"/>
  <c r="AH549" i="2"/>
  <c r="AH550" i="2"/>
  <c r="AH551" i="2"/>
  <c r="AH552" i="2"/>
  <c r="AH553" i="2"/>
  <c r="AH554" i="2"/>
  <c r="AH555" i="2"/>
  <c r="AH556" i="2"/>
  <c r="AH557" i="2"/>
  <c r="AH558" i="2"/>
  <c r="AH559" i="2"/>
  <c r="AH560" i="2"/>
  <c r="AH561" i="2"/>
  <c r="AH562" i="2"/>
  <c r="AH563" i="2"/>
  <c r="AH564" i="2"/>
  <c r="AH565" i="2"/>
  <c r="AH566" i="2"/>
  <c r="AH567" i="2"/>
  <c r="AH568" i="2"/>
  <c r="AH569" i="2"/>
  <c r="AH570" i="2"/>
  <c r="AH571" i="2"/>
  <c r="AH572" i="2"/>
  <c r="AH573" i="2"/>
  <c r="AH574" i="2"/>
  <c r="AH575" i="2"/>
  <c r="AH576" i="2"/>
  <c r="AH577" i="2"/>
  <c r="AH578" i="2"/>
  <c r="AH579" i="2"/>
  <c r="AH580" i="2"/>
  <c r="AH581" i="2"/>
  <c r="AH582" i="2"/>
  <c r="AH583" i="2"/>
  <c r="AH584" i="2"/>
  <c r="AH585" i="2"/>
  <c r="AH586" i="2"/>
  <c r="AH587" i="2"/>
  <c r="AH588" i="2"/>
  <c r="AH589" i="2"/>
  <c r="AH590" i="2"/>
  <c r="AH591" i="2"/>
  <c r="AH592" i="2"/>
  <c r="AH593" i="2"/>
  <c r="AH594" i="2"/>
  <c r="AH595" i="2"/>
  <c r="AH596" i="2"/>
  <c r="AH597" i="2"/>
  <c r="AH598" i="2"/>
  <c r="AH599" i="2"/>
  <c r="AH600" i="2"/>
  <c r="AH601" i="2"/>
  <c r="AH602" i="2"/>
  <c r="AH603" i="2"/>
  <c r="AH604" i="2"/>
  <c r="AH605" i="2"/>
  <c r="AH606" i="2"/>
  <c r="AH607" i="2"/>
  <c r="AH608" i="2"/>
  <c r="AH609" i="2"/>
  <c r="AH610" i="2"/>
  <c r="AH611" i="2"/>
  <c r="AH612" i="2"/>
  <c r="AH613" i="2"/>
  <c r="AH614" i="2"/>
  <c r="AH615" i="2"/>
  <c r="AH616" i="2"/>
  <c r="AH617" i="2"/>
  <c r="AH618" i="2"/>
  <c r="AH619" i="2"/>
  <c r="AH620" i="2"/>
  <c r="AH621" i="2"/>
  <c r="AH622" i="2"/>
  <c r="AH623" i="2"/>
  <c r="AH624" i="2"/>
  <c r="AH625" i="2"/>
  <c r="AH626" i="2"/>
  <c r="AH627" i="2"/>
  <c r="AH628" i="2"/>
  <c r="AH629" i="2"/>
  <c r="AH630" i="2"/>
  <c r="AH631" i="2"/>
  <c r="AH632" i="2"/>
  <c r="AH633" i="2"/>
  <c r="AH634" i="2"/>
  <c r="AH635" i="2"/>
  <c r="AH636" i="2"/>
  <c r="AH637" i="2"/>
  <c r="AH638" i="2"/>
  <c r="AH639" i="2"/>
  <c r="AH640" i="2"/>
  <c r="AH641" i="2"/>
  <c r="AH642" i="2"/>
  <c r="AH643" i="2"/>
  <c r="AH644" i="2"/>
  <c r="AH645" i="2"/>
  <c r="AH646" i="2"/>
  <c r="AH647" i="2"/>
  <c r="AH648" i="2"/>
  <c r="AH649" i="2"/>
  <c r="AH650" i="2"/>
  <c r="AH651" i="2"/>
  <c r="AH652" i="2"/>
  <c r="AH653" i="2"/>
  <c r="AH654" i="2"/>
  <c r="AH655" i="2"/>
  <c r="AH656" i="2"/>
  <c r="AH657" i="2"/>
  <c r="AH658" i="2"/>
  <c r="AH659" i="2"/>
  <c r="AH660" i="2"/>
  <c r="AH661" i="2"/>
  <c r="AH662" i="2"/>
  <c r="AH663" i="2"/>
  <c r="AH664" i="2"/>
  <c r="AH665" i="2"/>
  <c r="AH666" i="2"/>
  <c r="AH667" i="2"/>
  <c r="AH668" i="2"/>
  <c r="AH669" i="2"/>
  <c r="AH670" i="2"/>
  <c r="AH671" i="2"/>
  <c r="AH672" i="2"/>
  <c r="AH673" i="2"/>
  <c r="AH674" i="2"/>
  <c r="AH675" i="2"/>
  <c r="AH676" i="2"/>
  <c r="AH677" i="2"/>
  <c r="AH678" i="2"/>
  <c r="AH679" i="2"/>
  <c r="AH680" i="2"/>
  <c r="AH681" i="2"/>
  <c r="AH682" i="2"/>
  <c r="AH683" i="2"/>
  <c r="AH684" i="2"/>
  <c r="AH685" i="2"/>
  <c r="AH686" i="2"/>
  <c r="AH687" i="2"/>
  <c r="AH688" i="2"/>
  <c r="AH689" i="2"/>
  <c r="AH690" i="2"/>
  <c r="AH691" i="2"/>
  <c r="AH692" i="2"/>
  <c r="AH693" i="2"/>
  <c r="AH694" i="2"/>
  <c r="AH695" i="2"/>
  <c r="AH696" i="2"/>
  <c r="AH697" i="2"/>
  <c r="AH698" i="2"/>
  <c r="AH699" i="2"/>
  <c r="AH700" i="2"/>
  <c r="AH701" i="2"/>
  <c r="AH702" i="2"/>
  <c r="AH703" i="2"/>
  <c r="AH704" i="2"/>
  <c r="AH705" i="2"/>
  <c r="AH706" i="2"/>
  <c r="AH707" i="2"/>
  <c r="AH708" i="2"/>
  <c r="AH709" i="2"/>
  <c r="AH710" i="2"/>
  <c r="AH711" i="2"/>
  <c r="AH712" i="2"/>
  <c r="AH713" i="2"/>
  <c r="AH714" i="2"/>
  <c r="AH715" i="2"/>
  <c r="AH716" i="2"/>
  <c r="AH717" i="2"/>
  <c r="AH718" i="2"/>
  <c r="AH719" i="2"/>
  <c r="AH720" i="2"/>
  <c r="AH721" i="2"/>
  <c r="AH722" i="2"/>
  <c r="AH723" i="2"/>
  <c r="AH724" i="2"/>
  <c r="AH725" i="2"/>
  <c r="AH726" i="2"/>
  <c r="AH727" i="2"/>
  <c r="AH728" i="2"/>
  <c r="AH729" i="2"/>
  <c r="AH730" i="2"/>
  <c r="AH731" i="2"/>
  <c r="AH732" i="2"/>
  <c r="AH733" i="2"/>
  <c r="AH734" i="2"/>
  <c r="AH735" i="2"/>
  <c r="AH736" i="2"/>
  <c r="AH737" i="2"/>
  <c r="AH738" i="2"/>
  <c r="AH739" i="2"/>
  <c r="AH740" i="2"/>
  <c r="AH741" i="2"/>
  <c r="AH742" i="2"/>
  <c r="AH743" i="2"/>
  <c r="AH744" i="2"/>
  <c r="AH745" i="2"/>
  <c r="AH746" i="2"/>
  <c r="AH747" i="2"/>
  <c r="AH748" i="2"/>
  <c r="AH749" i="2"/>
  <c r="AH750" i="2"/>
  <c r="AH751" i="2"/>
  <c r="AH752" i="2"/>
  <c r="AH753" i="2"/>
  <c r="AH754" i="2"/>
  <c r="AH755" i="2"/>
  <c r="AH756" i="2"/>
  <c r="AH757" i="2"/>
  <c r="AH758" i="2"/>
  <c r="AH759" i="2"/>
  <c r="AH760" i="2"/>
  <c r="AH761" i="2"/>
  <c r="AH762" i="2"/>
  <c r="AH763" i="2"/>
  <c r="AH764" i="2"/>
  <c r="AH765" i="2"/>
  <c r="AH766" i="2"/>
  <c r="AH767" i="2"/>
  <c r="AH768" i="2"/>
  <c r="AH769" i="2"/>
  <c r="AH770" i="2"/>
  <c r="AH771" i="2"/>
  <c r="AH772" i="2"/>
  <c r="AH773" i="2"/>
  <c r="AH774" i="2"/>
  <c r="AH775" i="2"/>
  <c r="AH776" i="2"/>
  <c r="AH777" i="2"/>
  <c r="AH778" i="2"/>
  <c r="AH779" i="2"/>
  <c r="AH780" i="2"/>
  <c r="AH781" i="2"/>
  <c r="AH782" i="2"/>
  <c r="AH783" i="2"/>
  <c r="AH784" i="2"/>
  <c r="AH785" i="2"/>
  <c r="AH786" i="2"/>
  <c r="AH787" i="2"/>
  <c r="AH788" i="2"/>
  <c r="AH789" i="2"/>
  <c r="AH790" i="2"/>
  <c r="AH791" i="2"/>
  <c r="AH792" i="2"/>
  <c r="AH793" i="2"/>
  <c r="AH794" i="2"/>
  <c r="AH795" i="2"/>
  <c r="AH796" i="2"/>
  <c r="AH797" i="2"/>
  <c r="AH798" i="2"/>
  <c r="AH799" i="2"/>
  <c r="AH800" i="2"/>
  <c r="AH801" i="2"/>
  <c r="AH802" i="2"/>
  <c r="AH803" i="2"/>
  <c r="AH804" i="2"/>
  <c r="AH805" i="2"/>
  <c r="AH806" i="2"/>
  <c r="AH807" i="2"/>
  <c r="AH808" i="2"/>
  <c r="AH809" i="2"/>
  <c r="AH810" i="2"/>
  <c r="AH811" i="2"/>
  <c r="AH812" i="2"/>
  <c r="AH813" i="2"/>
  <c r="AH814" i="2"/>
  <c r="AH815" i="2"/>
  <c r="AH816" i="2"/>
  <c r="AH817" i="2"/>
  <c r="AH818" i="2"/>
  <c r="AH819" i="2"/>
  <c r="AH820" i="2"/>
  <c r="AH821" i="2"/>
  <c r="AH822" i="2"/>
  <c r="AH823" i="2"/>
  <c r="AH824" i="2"/>
  <c r="AH825" i="2"/>
  <c r="AH826" i="2"/>
  <c r="AH827" i="2"/>
  <c r="AH828" i="2"/>
  <c r="AH829" i="2"/>
  <c r="AH830" i="2"/>
  <c r="AH831" i="2"/>
  <c r="AH832" i="2"/>
  <c r="AH833" i="2"/>
  <c r="AH834" i="2"/>
  <c r="AH835" i="2"/>
  <c r="AH836" i="2"/>
  <c r="AH837" i="2"/>
  <c r="AH838" i="2"/>
  <c r="AH839" i="2"/>
  <c r="AH840" i="2"/>
  <c r="AH841" i="2"/>
  <c r="AH842" i="2"/>
  <c r="AH843" i="2"/>
  <c r="AH844" i="2"/>
  <c r="AH845" i="2"/>
  <c r="AH846" i="2"/>
  <c r="AH847" i="2"/>
  <c r="AH848" i="2"/>
  <c r="AH849" i="2"/>
  <c r="AH850" i="2"/>
  <c r="AH851" i="2"/>
  <c r="AH852" i="2"/>
  <c r="AH853" i="2"/>
  <c r="AH854" i="2"/>
  <c r="AH855" i="2"/>
  <c r="AH856" i="2"/>
  <c r="AH857" i="2"/>
  <c r="AH858" i="2"/>
  <c r="AH859" i="2"/>
  <c r="AH860" i="2"/>
  <c r="AH861" i="2"/>
  <c r="AH862" i="2"/>
  <c r="AH863" i="2"/>
  <c r="AH864" i="2"/>
  <c r="AH865" i="2"/>
  <c r="AH866" i="2"/>
  <c r="AH867" i="2"/>
  <c r="AH868" i="2"/>
  <c r="AH869" i="2"/>
  <c r="AH870" i="2"/>
  <c r="AH871" i="2"/>
  <c r="AH872" i="2"/>
  <c r="AH873" i="2"/>
  <c r="AH874" i="2"/>
  <c r="AH875" i="2"/>
  <c r="AH876" i="2"/>
  <c r="AH877" i="2"/>
  <c r="AH878" i="2"/>
  <c r="AH879" i="2"/>
  <c r="AH880" i="2"/>
  <c r="AH881" i="2"/>
  <c r="AH882" i="2"/>
  <c r="AH883" i="2"/>
  <c r="AH884" i="2"/>
  <c r="AH885" i="2"/>
  <c r="AH886" i="2"/>
  <c r="AH887" i="2"/>
  <c r="AH888" i="2"/>
  <c r="AH889" i="2"/>
  <c r="AH890" i="2"/>
  <c r="AH891" i="2"/>
  <c r="AH892" i="2"/>
  <c r="AH893" i="2"/>
  <c r="AH894" i="2"/>
  <c r="AH895" i="2"/>
  <c r="AH896" i="2"/>
  <c r="AH897" i="2"/>
  <c r="AH898" i="2"/>
  <c r="AH899" i="2"/>
  <c r="AH900" i="2"/>
  <c r="AH901" i="2"/>
  <c r="AH902" i="2"/>
  <c r="AH903" i="2"/>
  <c r="AH904" i="2"/>
  <c r="AH905" i="2"/>
  <c r="AH906" i="2"/>
  <c r="AH907" i="2"/>
  <c r="AH908" i="2"/>
  <c r="AH909" i="2"/>
  <c r="AH910" i="2"/>
  <c r="AH911" i="2"/>
  <c r="AH912" i="2"/>
  <c r="AH913" i="2"/>
  <c r="AH914" i="2"/>
  <c r="AH915" i="2"/>
  <c r="AH916" i="2"/>
  <c r="AH917" i="2"/>
  <c r="AH918" i="2"/>
  <c r="AH919" i="2"/>
  <c r="AH920" i="2"/>
  <c r="AH921" i="2"/>
  <c r="AH922" i="2"/>
  <c r="AH923" i="2"/>
  <c r="AH924" i="2"/>
  <c r="AH925" i="2"/>
  <c r="AH926" i="2"/>
  <c r="AH927" i="2"/>
  <c r="AH928" i="2"/>
  <c r="AH929" i="2"/>
  <c r="AH930" i="2"/>
  <c r="AH931" i="2"/>
  <c r="AH932" i="2"/>
  <c r="AH933" i="2"/>
  <c r="AH934" i="2"/>
  <c r="AH935" i="2"/>
  <c r="AH936" i="2"/>
  <c r="AH937" i="2"/>
  <c r="AH938" i="2"/>
  <c r="AH939" i="2"/>
  <c r="AH940" i="2"/>
  <c r="AH941" i="2"/>
  <c r="AH942" i="2"/>
  <c r="AH943" i="2"/>
  <c r="AH944" i="2"/>
  <c r="AH945" i="2"/>
  <c r="AH946" i="2"/>
  <c r="AH947" i="2"/>
  <c r="AH948" i="2"/>
  <c r="AH949" i="2"/>
  <c r="AH950" i="2"/>
  <c r="AH951" i="2"/>
  <c r="AH952" i="2"/>
  <c r="AH953" i="2"/>
  <c r="AH954" i="2"/>
  <c r="AH955" i="2"/>
  <c r="AH956" i="2"/>
  <c r="AH957" i="2"/>
  <c r="AH958" i="2"/>
  <c r="AH959" i="2"/>
  <c r="AH960" i="2"/>
  <c r="AH961" i="2"/>
  <c r="AH962" i="2"/>
  <c r="AH963" i="2"/>
  <c r="AH964" i="2"/>
  <c r="AH965" i="2"/>
  <c r="AH966" i="2"/>
  <c r="AH967" i="2"/>
  <c r="AH968" i="2"/>
  <c r="AH969" i="2"/>
  <c r="AH970" i="2"/>
  <c r="AH971" i="2"/>
  <c r="AH972" i="2"/>
  <c r="AH973" i="2"/>
  <c r="AH974" i="2"/>
  <c r="AH975" i="2"/>
  <c r="AH976" i="2"/>
  <c r="AH977" i="2"/>
  <c r="AH978" i="2"/>
  <c r="AH979" i="2"/>
  <c r="AH980" i="2"/>
  <c r="AH981" i="2"/>
  <c r="AH982" i="2"/>
  <c r="AH983" i="2"/>
  <c r="AH984" i="2"/>
  <c r="AH985" i="2"/>
  <c r="AH986" i="2"/>
  <c r="AH987" i="2"/>
  <c r="AH988" i="2"/>
  <c r="AH989" i="2"/>
  <c r="AH990" i="2"/>
  <c r="AH991" i="2"/>
  <c r="AH992" i="2"/>
  <c r="AH993" i="2"/>
  <c r="AH994" i="2"/>
  <c r="AH995" i="2"/>
  <c r="AH996" i="2"/>
  <c r="AH997" i="2"/>
  <c r="AH998" i="2"/>
  <c r="AH999" i="2"/>
  <c r="AH1000" i="2"/>
  <c r="AH1001" i="2"/>
  <c r="AH1002" i="2"/>
  <c r="AH1003" i="2"/>
  <c r="AH1004" i="2"/>
  <c r="AH1005" i="2"/>
  <c r="AH1006" i="2"/>
  <c r="AH1007" i="2"/>
  <c r="AH1008" i="2"/>
  <c r="AH1009" i="2"/>
  <c r="AH1010" i="2"/>
  <c r="AH1011" i="2"/>
  <c r="AH1012" i="2"/>
  <c r="AH1013" i="2"/>
  <c r="AH1014" i="2"/>
  <c r="AH1015" i="2"/>
  <c r="AH1016" i="2"/>
  <c r="AH1017" i="2"/>
  <c r="AH1018" i="2"/>
  <c r="AH1019" i="2"/>
  <c r="AH1020" i="2"/>
  <c r="AH1021" i="2"/>
  <c r="AH1022" i="2"/>
  <c r="AH1023" i="2"/>
  <c r="AH1024" i="2"/>
  <c r="AH1025" i="2"/>
  <c r="AH1026" i="2"/>
  <c r="AH1027" i="2"/>
  <c r="AH1028" i="2"/>
  <c r="AH1029" i="2"/>
  <c r="AH1030" i="2"/>
  <c r="AH1031" i="2"/>
  <c r="AH1032" i="2"/>
  <c r="AH1033" i="2"/>
  <c r="AH1034" i="2"/>
  <c r="AH1035" i="2"/>
  <c r="AH1036" i="2"/>
  <c r="AH1037" i="2"/>
  <c r="AH1038" i="2"/>
  <c r="AH1039" i="2"/>
  <c r="AH1040" i="2"/>
  <c r="AH1041" i="2"/>
  <c r="AH1042" i="2"/>
  <c r="AH1043" i="2"/>
  <c r="AH1044" i="2"/>
  <c r="AH1045" i="2"/>
  <c r="AH1046" i="2"/>
  <c r="AH1047" i="2"/>
  <c r="AH1048" i="2"/>
  <c r="AH1049" i="2"/>
  <c r="AH1050" i="2"/>
  <c r="AH1051" i="2"/>
  <c r="AH1052" i="2"/>
  <c r="AH1053" i="2"/>
  <c r="AH1054" i="2"/>
  <c r="AH1055" i="2"/>
  <c r="AH1056" i="2"/>
  <c r="AH1057" i="2"/>
  <c r="AH1058" i="2"/>
  <c r="AH1059" i="2"/>
  <c r="AH1060" i="2"/>
  <c r="AH1061" i="2"/>
  <c r="AH1062" i="2"/>
  <c r="AH1063" i="2"/>
  <c r="AH1064" i="2"/>
  <c r="AH1065" i="2"/>
  <c r="AH1066" i="2"/>
  <c r="AH1067" i="2"/>
  <c r="AH1068" i="2"/>
  <c r="AH1069" i="2"/>
  <c r="AH1070" i="2"/>
  <c r="AH1071" i="2"/>
  <c r="AH1072" i="2"/>
  <c r="AH1073" i="2"/>
  <c r="AH1074" i="2"/>
  <c r="AH1075" i="2"/>
  <c r="AH1076" i="2"/>
  <c r="AH1077" i="2"/>
  <c r="AH1078" i="2"/>
  <c r="AH1079" i="2"/>
  <c r="AH1080" i="2"/>
  <c r="AH1081" i="2"/>
  <c r="AH1082" i="2"/>
  <c r="AH1083" i="2"/>
  <c r="AH1084" i="2"/>
  <c r="AH1085" i="2"/>
  <c r="AH1086" i="2"/>
  <c r="AH1087" i="2"/>
  <c r="AH1088" i="2"/>
  <c r="AH1089" i="2"/>
  <c r="AH1090" i="2"/>
  <c r="AH1091" i="2"/>
  <c r="AH1092" i="2"/>
  <c r="AH1093" i="2"/>
  <c r="AH1094" i="2"/>
  <c r="AH1095" i="2"/>
  <c r="AH1096" i="2"/>
  <c r="AH1097" i="2"/>
  <c r="AH1098" i="2"/>
  <c r="AH1099" i="2"/>
  <c r="AH1100" i="2"/>
  <c r="AH1101" i="2"/>
  <c r="AH1102" i="2"/>
  <c r="AH1103" i="2"/>
  <c r="AH1104" i="2"/>
  <c r="AH1105" i="2"/>
  <c r="AH1106" i="2"/>
  <c r="AH1107" i="2"/>
  <c r="AH1108" i="2"/>
  <c r="AH1109" i="2"/>
  <c r="AH1110" i="2"/>
  <c r="AH1111" i="2"/>
  <c r="AH1112" i="2"/>
  <c r="AH1113" i="2"/>
  <c r="AH1114" i="2"/>
  <c r="AH1115" i="2"/>
  <c r="AH1116" i="2"/>
  <c r="AH1117" i="2"/>
  <c r="AH1118" i="2"/>
  <c r="AH1119" i="2"/>
  <c r="AH1120" i="2"/>
  <c r="AH1121" i="2"/>
  <c r="AH1122" i="2"/>
  <c r="AH1123" i="2"/>
  <c r="AH1124" i="2"/>
  <c r="AH1125" i="2"/>
  <c r="AH1126" i="2"/>
  <c r="AH1127" i="2"/>
  <c r="AH1128" i="2"/>
  <c r="AH1129" i="2"/>
  <c r="AH1130" i="2"/>
  <c r="AH1131" i="2"/>
  <c r="AH1132" i="2"/>
  <c r="AH1133" i="2"/>
  <c r="AH1134" i="2"/>
  <c r="AH1135" i="2"/>
  <c r="AH1136" i="2"/>
  <c r="AH1137" i="2"/>
  <c r="AH1138" i="2"/>
  <c r="AH1139" i="2"/>
  <c r="AH1140" i="2"/>
  <c r="AH1141" i="2"/>
  <c r="AH1142" i="2"/>
  <c r="AH1143" i="2"/>
  <c r="AH1144" i="2"/>
  <c r="AH1145" i="2"/>
  <c r="AH1146" i="2"/>
  <c r="AH1147" i="2"/>
  <c r="AH1148" i="2"/>
  <c r="AH1149" i="2"/>
  <c r="AH1150" i="2"/>
  <c r="AH1151" i="2"/>
  <c r="AH1152" i="2"/>
  <c r="AH1153" i="2"/>
  <c r="AH1154" i="2"/>
  <c r="AH1155" i="2"/>
  <c r="AH1156" i="2"/>
  <c r="AH1157" i="2"/>
  <c r="AH1158" i="2"/>
  <c r="AH1159" i="2"/>
  <c r="AH1160" i="2"/>
  <c r="AH1161" i="2"/>
  <c r="AH1162" i="2"/>
  <c r="AH1163" i="2"/>
  <c r="AH1164" i="2"/>
  <c r="AH1165" i="2"/>
  <c r="AH1166" i="2"/>
  <c r="AH1167" i="2"/>
  <c r="AH1168" i="2"/>
  <c r="AH1169" i="2"/>
  <c r="AH1170" i="2"/>
  <c r="AH1171" i="2"/>
  <c r="AH1172" i="2"/>
  <c r="AH1173" i="2"/>
  <c r="AH1174" i="2"/>
  <c r="AH1175" i="2"/>
  <c r="AH1176" i="2"/>
  <c r="AH1177" i="2"/>
  <c r="AH1178" i="2"/>
  <c r="AH1179" i="2"/>
  <c r="AH1180" i="2"/>
  <c r="AH1181" i="2"/>
  <c r="AH1182" i="2"/>
  <c r="AH1183" i="2"/>
  <c r="AH1184" i="2"/>
  <c r="AH1185" i="2"/>
  <c r="AH1186" i="2"/>
  <c r="AH1187" i="2"/>
  <c r="AH1188" i="2"/>
  <c r="AH1189" i="2"/>
  <c r="AH1190" i="2"/>
  <c r="AH1191" i="2"/>
  <c r="AH1192" i="2"/>
  <c r="AH1193" i="2"/>
  <c r="AH1194" i="2"/>
  <c r="AH1195" i="2"/>
  <c r="AH1196" i="2"/>
  <c r="AH1197" i="2"/>
  <c r="AH1198" i="2"/>
  <c r="AH1199" i="2"/>
  <c r="AH1200" i="2"/>
  <c r="AH1201" i="2"/>
  <c r="AH1202" i="2"/>
  <c r="AH1203" i="2"/>
  <c r="AH1204" i="2"/>
  <c r="AH1205" i="2"/>
  <c r="AH1206" i="2"/>
  <c r="AH1207" i="2"/>
  <c r="AH1208" i="2"/>
  <c r="AH1209" i="2"/>
  <c r="AH1210" i="2"/>
  <c r="AH1211" i="2"/>
  <c r="AH1212" i="2"/>
  <c r="AH1213" i="2"/>
  <c r="AH1214" i="2"/>
  <c r="AH1215" i="2"/>
  <c r="AH1216" i="2"/>
  <c r="AH1217" i="2"/>
  <c r="AH1218" i="2"/>
  <c r="AH1219" i="2"/>
  <c r="AH1220" i="2"/>
  <c r="AH1221" i="2"/>
  <c r="AH1222" i="2"/>
  <c r="AH1223" i="2"/>
  <c r="AH1224" i="2"/>
  <c r="AH1225" i="2"/>
  <c r="AH1226" i="2"/>
  <c r="AH1227" i="2"/>
  <c r="AH1228" i="2"/>
  <c r="AH1229" i="2"/>
  <c r="AH1230" i="2"/>
  <c r="AH1231" i="2"/>
  <c r="B21" i="5"/>
  <c r="AI213" i="2"/>
  <c r="AK213" i="2" s="1"/>
  <c r="AI214" i="2"/>
  <c r="AK214" i="2" s="1"/>
  <c r="AI215" i="2"/>
  <c r="AK215" i="2" s="1"/>
  <c r="AI216" i="2"/>
  <c r="AK216" i="2" s="1"/>
  <c r="AI217" i="2"/>
  <c r="AK217" i="2" s="1"/>
  <c r="AI218" i="2"/>
  <c r="AK218" i="2" s="1"/>
  <c r="AI219" i="2"/>
  <c r="AK219" i="2" s="1"/>
  <c r="AI220" i="2"/>
  <c r="AK220" i="2" s="1"/>
  <c r="AI221" i="2"/>
  <c r="AK221" i="2" s="1"/>
  <c r="AI222" i="2"/>
  <c r="AK222" i="2" s="1"/>
  <c r="AI223" i="2"/>
  <c r="AK223" i="2" s="1"/>
  <c r="AI224" i="2"/>
  <c r="AK224" i="2" s="1"/>
  <c r="AI225" i="2"/>
  <c r="AK225" i="2" s="1"/>
  <c r="AI226" i="2"/>
  <c r="AK226" i="2" s="1"/>
  <c r="AI227" i="2"/>
  <c r="AK227" i="2" s="1"/>
  <c r="AI228" i="2"/>
  <c r="AK228" i="2" s="1"/>
  <c r="AI229" i="2"/>
  <c r="AK229" i="2" s="1"/>
  <c r="AI230" i="2"/>
  <c r="AK230" i="2" s="1"/>
  <c r="AI231" i="2"/>
  <c r="AK231" i="2" s="1"/>
  <c r="AI232" i="2"/>
  <c r="AK232" i="2" s="1"/>
  <c r="AI233" i="2"/>
  <c r="AK233" i="2" s="1"/>
  <c r="AI234" i="2"/>
  <c r="AK234" i="2" s="1"/>
  <c r="AI235" i="2"/>
  <c r="AK235" i="2" s="1"/>
  <c r="AI236" i="2"/>
  <c r="AK236" i="2" s="1"/>
  <c r="AI237" i="2"/>
  <c r="AK237" i="2" s="1"/>
  <c r="AI238" i="2"/>
  <c r="AK238" i="2" s="1"/>
  <c r="AI239" i="2"/>
  <c r="AK239" i="2" s="1"/>
  <c r="AI240" i="2"/>
  <c r="AK240" i="2" s="1"/>
  <c r="AI241" i="2"/>
  <c r="AK241" i="2" s="1"/>
  <c r="AI242" i="2"/>
  <c r="AK242" i="2" s="1"/>
  <c r="AI243" i="2"/>
  <c r="AK243" i="2" s="1"/>
  <c r="AI244" i="2"/>
  <c r="AK244" i="2" s="1"/>
  <c r="AI245" i="2"/>
  <c r="AK245" i="2" s="1"/>
  <c r="AI246" i="2"/>
  <c r="AK246" i="2" s="1"/>
  <c r="AI247" i="2"/>
  <c r="AK247" i="2" s="1"/>
  <c r="AI248" i="2"/>
  <c r="AK248" i="2" s="1"/>
  <c r="AI249" i="2"/>
  <c r="AK249" i="2" s="1"/>
  <c r="AI250" i="2"/>
  <c r="AK250" i="2" s="1"/>
  <c r="AI251" i="2"/>
  <c r="AK251" i="2" s="1"/>
  <c r="AI252" i="2"/>
  <c r="AK252" i="2" s="1"/>
  <c r="AI253" i="2"/>
  <c r="AK253" i="2" s="1"/>
  <c r="AI254" i="2"/>
  <c r="AK254" i="2" s="1"/>
  <c r="AI255" i="2"/>
  <c r="AK255" i="2" s="1"/>
  <c r="AI256" i="2"/>
  <c r="AK256" i="2" s="1"/>
  <c r="AI257" i="2"/>
  <c r="AK257" i="2" s="1"/>
  <c r="AI258" i="2"/>
  <c r="AK258" i="2" s="1"/>
  <c r="AI259" i="2"/>
  <c r="AK259" i="2" s="1"/>
  <c r="AI260" i="2"/>
  <c r="AK260" i="2" s="1"/>
  <c r="AI261" i="2"/>
  <c r="AK261" i="2" s="1"/>
  <c r="AI262" i="2"/>
  <c r="AK262" i="2" s="1"/>
  <c r="AI263" i="2"/>
  <c r="AK263" i="2" s="1"/>
  <c r="AI264" i="2"/>
  <c r="AK264" i="2" s="1"/>
  <c r="AI265" i="2"/>
  <c r="AK265" i="2" s="1"/>
  <c r="AI266" i="2"/>
  <c r="AK266" i="2" s="1"/>
  <c r="AI267" i="2"/>
  <c r="AK267" i="2" s="1"/>
  <c r="AI268" i="2"/>
  <c r="AK268" i="2" s="1"/>
  <c r="AI269" i="2"/>
  <c r="AK269" i="2" s="1"/>
  <c r="AI270" i="2"/>
  <c r="AK270" i="2" s="1"/>
  <c r="AI271" i="2"/>
  <c r="AK271" i="2" s="1"/>
  <c r="AI272" i="2"/>
  <c r="AK272" i="2" s="1"/>
  <c r="AI273" i="2"/>
  <c r="AK273" i="2" s="1"/>
  <c r="AI274" i="2"/>
  <c r="AK274" i="2" s="1"/>
  <c r="AI275" i="2"/>
  <c r="AK275" i="2" s="1"/>
  <c r="AI276" i="2"/>
  <c r="AK276" i="2" s="1"/>
  <c r="AI277" i="2"/>
  <c r="AK277" i="2" s="1"/>
  <c r="AI278" i="2"/>
  <c r="AK278" i="2" s="1"/>
  <c r="AI279" i="2"/>
  <c r="AK279" i="2" s="1"/>
  <c r="AI280" i="2"/>
  <c r="AK280" i="2" s="1"/>
  <c r="AI281" i="2"/>
  <c r="AK281" i="2" s="1"/>
  <c r="AI282" i="2"/>
  <c r="AK282" i="2" s="1"/>
  <c r="AI283" i="2"/>
  <c r="AK283" i="2" s="1"/>
  <c r="AI284" i="2"/>
  <c r="AK284" i="2" s="1"/>
  <c r="AI285" i="2"/>
  <c r="AK285" i="2" s="1"/>
  <c r="AI286" i="2"/>
  <c r="AK286" i="2" s="1"/>
  <c r="AI287" i="2"/>
  <c r="AK287" i="2" s="1"/>
  <c r="AI288" i="2"/>
  <c r="AK288" i="2" s="1"/>
  <c r="AI289" i="2"/>
  <c r="AK289" i="2" s="1"/>
  <c r="AI290" i="2"/>
  <c r="AK290" i="2" s="1"/>
  <c r="AI291" i="2"/>
  <c r="AK291" i="2" s="1"/>
  <c r="AI292" i="2"/>
  <c r="AK292" i="2" s="1"/>
  <c r="AI293" i="2"/>
  <c r="AK293" i="2" s="1"/>
  <c r="AI294" i="2"/>
  <c r="AK294" i="2" s="1"/>
  <c r="AI295" i="2"/>
  <c r="AK295" i="2" s="1"/>
  <c r="AI296" i="2"/>
  <c r="AK296" i="2" s="1"/>
  <c r="AI297" i="2"/>
  <c r="AK297" i="2" s="1"/>
  <c r="AI298" i="2"/>
  <c r="AK298" i="2" s="1"/>
  <c r="AI299" i="2"/>
  <c r="AK299" i="2" s="1"/>
  <c r="AI300" i="2"/>
  <c r="AK300" i="2" s="1"/>
  <c r="AI301" i="2"/>
  <c r="AK301" i="2" s="1"/>
  <c r="AI302" i="2"/>
  <c r="AK302" i="2" s="1"/>
  <c r="AI303" i="2"/>
  <c r="AK303" i="2" s="1"/>
  <c r="AI304" i="2"/>
  <c r="AK304" i="2" s="1"/>
  <c r="AI305" i="2"/>
  <c r="AK305" i="2" s="1"/>
  <c r="AI306" i="2"/>
  <c r="AK306" i="2" s="1"/>
  <c r="AI307" i="2"/>
  <c r="AK307" i="2" s="1"/>
  <c r="AI308" i="2"/>
  <c r="AK308" i="2" s="1"/>
  <c r="AI309" i="2"/>
  <c r="AK309" i="2" s="1"/>
  <c r="AI310" i="2"/>
  <c r="AK310" i="2" s="1"/>
  <c r="AI311" i="2"/>
  <c r="AK311" i="2" s="1"/>
  <c r="AI312" i="2"/>
  <c r="AK312" i="2" s="1"/>
  <c r="AI313" i="2"/>
  <c r="AK313" i="2" s="1"/>
  <c r="AI314" i="2"/>
  <c r="AK314" i="2" s="1"/>
  <c r="AI315" i="2"/>
  <c r="AK315" i="2" s="1"/>
  <c r="AI316" i="2"/>
  <c r="AK316" i="2" s="1"/>
  <c r="AI317" i="2"/>
  <c r="AK317" i="2" s="1"/>
  <c r="AI318" i="2"/>
  <c r="AK318" i="2" s="1"/>
  <c r="AI319" i="2"/>
  <c r="AK319" i="2" s="1"/>
  <c r="AI320" i="2"/>
  <c r="AK320" i="2" s="1"/>
  <c r="AI321" i="2"/>
  <c r="AK321" i="2" s="1"/>
  <c r="AI322" i="2"/>
  <c r="AK322" i="2" s="1"/>
  <c r="AI323" i="2"/>
  <c r="AK323" i="2" s="1"/>
  <c r="AI324" i="2"/>
  <c r="AK324" i="2" s="1"/>
  <c r="AI325" i="2"/>
  <c r="AK325" i="2" s="1"/>
  <c r="AI326" i="2"/>
  <c r="AK326" i="2" s="1"/>
  <c r="AI327" i="2"/>
  <c r="AK327" i="2" s="1"/>
  <c r="AI328" i="2"/>
  <c r="AK328" i="2" s="1"/>
  <c r="AI329" i="2"/>
  <c r="AK329" i="2" s="1"/>
  <c r="AI330" i="2"/>
  <c r="AK330" i="2" s="1"/>
  <c r="AI331" i="2"/>
  <c r="AK331" i="2" s="1"/>
  <c r="AI332" i="2"/>
  <c r="AK332" i="2" s="1"/>
  <c r="AI333" i="2"/>
  <c r="AK333" i="2" s="1"/>
  <c r="AI334" i="2"/>
  <c r="AK334" i="2" s="1"/>
  <c r="AI335" i="2"/>
  <c r="AK335" i="2" s="1"/>
  <c r="AI336" i="2"/>
  <c r="AK336" i="2" s="1"/>
  <c r="AI337" i="2"/>
  <c r="AK337" i="2" s="1"/>
  <c r="AI338" i="2"/>
  <c r="AK338" i="2" s="1"/>
  <c r="AI339" i="2"/>
  <c r="AK339" i="2" s="1"/>
  <c r="AI340" i="2"/>
  <c r="AK340" i="2" s="1"/>
  <c r="AI341" i="2"/>
  <c r="AK341" i="2" s="1"/>
  <c r="AI342" i="2"/>
  <c r="AK342" i="2" s="1"/>
  <c r="AI343" i="2"/>
  <c r="AK343" i="2" s="1"/>
  <c r="AI344" i="2"/>
  <c r="AK344" i="2" s="1"/>
  <c r="AI345" i="2"/>
  <c r="AK345" i="2" s="1"/>
  <c r="AI346" i="2"/>
  <c r="AK346" i="2" s="1"/>
  <c r="AI347" i="2"/>
  <c r="AK347" i="2" s="1"/>
  <c r="AI348" i="2"/>
  <c r="AK348" i="2" s="1"/>
  <c r="AI349" i="2"/>
  <c r="AK349" i="2" s="1"/>
  <c r="AI350" i="2"/>
  <c r="AK350" i="2" s="1"/>
  <c r="AI351" i="2"/>
  <c r="AK351" i="2" s="1"/>
  <c r="AI352" i="2"/>
  <c r="AK352" i="2" s="1"/>
  <c r="AI353" i="2"/>
  <c r="AK353" i="2" s="1"/>
  <c r="AI354" i="2"/>
  <c r="AK354" i="2" s="1"/>
  <c r="AI355" i="2"/>
  <c r="AK355" i="2" s="1"/>
  <c r="AI356" i="2"/>
  <c r="AK356" i="2" s="1"/>
  <c r="AI357" i="2"/>
  <c r="AK357" i="2" s="1"/>
  <c r="AI358" i="2"/>
  <c r="AK358" i="2" s="1"/>
  <c r="AI359" i="2"/>
  <c r="AK359" i="2" s="1"/>
  <c r="AI360" i="2"/>
  <c r="AK360" i="2" s="1"/>
  <c r="AI361" i="2"/>
  <c r="AK361" i="2" s="1"/>
  <c r="AI362" i="2"/>
  <c r="AK362" i="2" s="1"/>
  <c r="AI363" i="2"/>
  <c r="AK363" i="2" s="1"/>
  <c r="AI364" i="2"/>
  <c r="AK364" i="2" s="1"/>
  <c r="AI365" i="2"/>
  <c r="AK365" i="2" s="1"/>
  <c r="AI366" i="2"/>
  <c r="AK366" i="2" s="1"/>
  <c r="AI367" i="2"/>
  <c r="AK367" i="2" s="1"/>
  <c r="AI368" i="2"/>
  <c r="AK368" i="2" s="1"/>
  <c r="AI369" i="2"/>
  <c r="AK369" i="2" s="1"/>
  <c r="AI370" i="2"/>
  <c r="AK370" i="2" s="1"/>
  <c r="AI371" i="2"/>
  <c r="AK371" i="2" s="1"/>
  <c r="AI372" i="2"/>
  <c r="AK372" i="2" s="1"/>
  <c r="AI373" i="2"/>
  <c r="AK373" i="2" s="1"/>
  <c r="AI374" i="2"/>
  <c r="AK374" i="2" s="1"/>
  <c r="AI375" i="2"/>
  <c r="AK375" i="2" s="1"/>
  <c r="AI376" i="2"/>
  <c r="AK376" i="2" s="1"/>
  <c r="AI377" i="2"/>
  <c r="AK377" i="2" s="1"/>
  <c r="AI378" i="2"/>
  <c r="AK378" i="2" s="1"/>
  <c r="AI379" i="2"/>
  <c r="AK379" i="2" s="1"/>
  <c r="AI380" i="2"/>
  <c r="AK380" i="2" s="1"/>
  <c r="AI381" i="2"/>
  <c r="AK381" i="2" s="1"/>
  <c r="AI382" i="2"/>
  <c r="AK382" i="2" s="1"/>
  <c r="AI383" i="2"/>
  <c r="AK383" i="2" s="1"/>
  <c r="AI384" i="2"/>
  <c r="AK384" i="2" s="1"/>
  <c r="AI385" i="2"/>
  <c r="AK385" i="2" s="1"/>
  <c r="AI386" i="2"/>
  <c r="AK386" i="2" s="1"/>
  <c r="AI387" i="2"/>
  <c r="AK387" i="2" s="1"/>
  <c r="AI388" i="2"/>
  <c r="AK388" i="2" s="1"/>
  <c r="AI389" i="2"/>
  <c r="AK389" i="2" s="1"/>
  <c r="AI390" i="2"/>
  <c r="AK390" i="2" s="1"/>
  <c r="AI391" i="2"/>
  <c r="AK391" i="2" s="1"/>
  <c r="AI392" i="2"/>
  <c r="AK392" i="2" s="1"/>
  <c r="AI393" i="2"/>
  <c r="AK393" i="2" s="1"/>
  <c r="AI394" i="2"/>
  <c r="AK394" i="2" s="1"/>
  <c r="AI395" i="2"/>
  <c r="AK395" i="2" s="1"/>
  <c r="AI396" i="2"/>
  <c r="AK396" i="2" s="1"/>
  <c r="AI397" i="2"/>
  <c r="AK397" i="2" s="1"/>
  <c r="AI398" i="2"/>
  <c r="AK398" i="2" s="1"/>
  <c r="AI399" i="2"/>
  <c r="AK399" i="2" s="1"/>
  <c r="AI400" i="2"/>
  <c r="AK400" i="2" s="1"/>
  <c r="AI401" i="2"/>
  <c r="AK401" i="2" s="1"/>
  <c r="AI402" i="2"/>
  <c r="AK402" i="2" s="1"/>
  <c r="AI403" i="2"/>
  <c r="AK403" i="2" s="1"/>
  <c r="AI404" i="2"/>
  <c r="AK404" i="2" s="1"/>
  <c r="AI405" i="2"/>
  <c r="AK405" i="2" s="1"/>
  <c r="AI406" i="2"/>
  <c r="AK406" i="2" s="1"/>
  <c r="AI407" i="2"/>
  <c r="AK407" i="2" s="1"/>
  <c r="AI408" i="2"/>
  <c r="AK408" i="2" s="1"/>
  <c r="AI409" i="2"/>
  <c r="AK409" i="2" s="1"/>
  <c r="AI410" i="2"/>
  <c r="AK410" i="2" s="1"/>
  <c r="AI411" i="2"/>
  <c r="AK411" i="2" s="1"/>
  <c r="AI412" i="2"/>
  <c r="AK412" i="2" s="1"/>
  <c r="AI413" i="2"/>
  <c r="AK413" i="2" s="1"/>
  <c r="AI414" i="2"/>
  <c r="AK414" i="2" s="1"/>
  <c r="AI415" i="2"/>
  <c r="AK415" i="2" s="1"/>
  <c r="AI416" i="2"/>
  <c r="AK416" i="2" s="1"/>
  <c r="AI417" i="2"/>
  <c r="AK417" i="2" s="1"/>
  <c r="AI418" i="2"/>
  <c r="AK418" i="2" s="1"/>
  <c r="AI419" i="2"/>
  <c r="AK419" i="2" s="1"/>
  <c r="AI420" i="2"/>
  <c r="AK420" i="2" s="1"/>
  <c r="AI421" i="2"/>
  <c r="AK421" i="2" s="1"/>
  <c r="AI422" i="2"/>
  <c r="AK422" i="2" s="1"/>
  <c r="AI423" i="2"/>
  <c r="AK423" i="2" s="1"/>
  <c r="AI424" i="2"/>
  <c r="AK424" i="2" s="1"/>
  <c r="AI425" i="2"/>
  <c r="AK425" i="2" s="1"/>
  <c r="AI426" i="2"/>
  <c r="AK426" i="2" s="1"/>
  <c r="AI427" i="2"/>
  <c r="AK427" i="2" s="1"/>
  <c r="AI428" i="2"/>
  <c r="AK428" i="2" s="1"/>
  <c r="AI429" i="2"/>
  <c r="AK429" i="2" s="1"/>
  <c r="AI430" i="2"/>
  <c r="AK430" i="2" s="1"/>
  <c r="AI431" i="2"/>
  <c r="AK431" i="2" s="1"/>
  <c r="AI432" i="2"/>
  <c r="AK432" i="2" s="1"/>
  <c r="AI433" i="2"/>
  <c r="AK433" i="2" s="1"/>
  <c r="AI434" i="2"/>
  <c r="AK434" i="2" s="1"/>
  <c r="AI435" i="2"/>
  <c r="AK435" i="2" s="1"/>
  <c r="AI436" i="2"/>
  <c r="AK436" i="2" s="1"/>
  <c r="AI437" i="2"/>
  <c r="AK437" i="2" s="1"/>
  <c r="AI438" i="2"/>
  <c r="AK438" i="2" s="1"/>
  <c r="AI439" i="2"/>
  <c r="AK439" i="2" s="1"/>
  <c r="AI440" i="2"/>
  <c r="AK440" i="2" s="1"/>
  <c r="AI441" i="2"/>
  <c r="AK441" i="2" s="1"/>
  <c r="AI442" i="2"/>
  <c r="AK442" i="2" s="1"/>
  <c r="AI443" i="2"/>
  <c r="AK443" i="2" s="1"/>
  <c r="AI444" i="2"/>
  <c r="AK444" i="2" s="1"/>
  <c r="AI445" i="2"/>
  <c r="AK445" i="2" s="1"/>
  <c r="AI446" i="2"/>
  <c r="AK446" i="2" s="1"/>
  <c r="AI447" i="2"/>
  <c r="AK447" i="2" s="1"/>
  <c r="AI448" i="2"/>
  <c r="AK448" i="2" s="1"/>
  <c r="AI449" i="2"/>
  <c r="AK449" i="2" s="1"/>
  <c r="AI450" i="2"/>
  <c r="AK450" i="2" s="1"/>
  <c r="AI451" i="2"/>
  <c r="AK451" i="2" s="1"/>
  <c r="AI452" i="2"/>
  <c r="AK452" i="2" s="1"/>
  <c r="AI453" i="2"/>
  <c r="AK453" i="2" s="1"/>
  <c r="AI454" i="2"/>
  <c r="AK454" i="2" s="1"/>
  <c r="AI455" i="2"/>
  <c r="AK455" i="2" s="1"/>
  <c r="AI456" i="2"/>
  <c r="AK456" i="2" s="1"/>
  <c r="AI457" i="2"/>
  <c r="AK457" i="2" s="1"/>
  <c r="AI458" i="2"/>
  <c r="AK458" i="2" s="1"/>
  <c r="AI459" i="2"/>
  <c r="AK459" i="2" s="1"/>
  <c r="AI460" i="2"/>
  <c r="AK460" i="2" s="1"/>
  <c r="AI461" i="2"/>
  <c r="AK461" i="2" s="1"/>
  <c r="AI462" i="2"/>
  <c r="AK462" i="2" s="1"/>
  <c r="AI463" i="2"/>
  <c r="AK463" i="2" s="1"/>
  <c r="AI464" i="2"/>
  <c r="AK464" i="2" s="1"/>
  <c r="AI465" i="2"/>
  <c r="AK465" i="2" s="1"/>
  <c r="AI466" i="2"/>
  <c r="AK466" i="2" s="1"/>
  <c r="AI467" i="2"/>
  <c r="AK467" i="2" s="1"/>
  <c r="AI468" i="2"/>
  <c r="AK468" i="2" s="1"/>
  <c r="AI469" i="2"/>
  <c r="AK469" i="2" s="1"/>
  <c r="AI470" i="2"/>
  <c r="AK470" i="2" s="1"/>
  <c r="AI471" i="2"/>
  <c r="AK471" i="2" s="1"/>
  <c r="AI472" i="2"/>
  <c r="AK472" i="2" s="1"/>
  <c r="AI473" i="2"/>
  <c r="AK473" i="2" s="1"/>
  <c r="AI474" i="2"/>
  <c r="AK474" i="2" s="1"/>
  <c r="AI475" i="2"/>
  <c r="AK475" i="2" s="1"/>
  <c r="AI476" i="2"/>
  <c r="AK476" i="2" s="1"/>
  <c r="AI477" i="2"/>
  <c r="AK477" i="2" s="1"/>
  <c r="AI478" i="2"/>
  <c r="AK478" i="2" s="1"/>
  <c r="AI479" i="2"/>
  <c r="AK479" i="2" s="1"/>
  <c r="AI480" i="2"/>
  <c r="AK480" i="2" s="1"/>
  <c r="AI481" i="2"/>
  <c r="AK481" i="2" s="1"/>
  <c r="AI482" i="2"/>
  <c r="AK482" i="2" s="1"/>
  <c r="AI483" i="2"/>
  <c r="AK483" i="2" s="1"/>
  <c r="AI484" i="2"/>
  <c r="AK484" i="2" s="1"/>
  <c r="AI485" i="2"/>
  <c r="AK485" i="2" s="1"/>
  <c r="AI486" i="2"/>
  <c r="AK486" i="2" s="1"/>
  <c r="AI487" i="2"/>
  <c r="AK487" i="2" s="1"/>
  <c r="AI488" i="2"/>
  <c r="AK488" i="2" s="1"/>
  <c r="AI489" i="2"/>
  <c r="AK489" i="2" s="1"/>
  <c r="AI490" i="2"/>
  <c r="AK490" i="2" s="1"/>
  <c r="AI491" i="2"/>
  <c r="AK491" i="2" s="1"/>
  <c r="AI492" i="2"/>
  <c r="AK492" i="2" s="1"/>
  <c r="AI493" i="2"/>
  <c r="AK493" i="2" s="1"/>
  <c r="AI494" i="2"/>
  <c r="AK494" i="2" s="1"/>
  <c r="AI495" i="2"/>
  <c r="AK495" i="2" s="1"/>
  <c r="AI496" i="2"/>
  <c r="AK496" i="2" s="1"/>
  <c r="AI497" i="2"/>
  <c r="AK497" i="2" s="1"/>
  <c r="AI498" i="2"/>
  <c r="AK498" i="2" s="1"/>
  <c r="AI499" i="2"/>
  <c r="AK499" i="2" s="1"/>
  <c r="AI500" i="2"/>
  <c r="AK500" i="2" s="1"/>
  <c r="AI501" i="2"/>
  <c r="AK501" i="2" s="1"/>
  <c r="AI502" i="2"/>
  <c r="AK502" i="2" s="1"/>
  <c r="AI503" i="2"/>
  <c r="AK503" i="2" s="1"/>
  <c r="AI504" i="2"/>
  <c r="AK504" i="2" s="1"/>
  <c r="AI505" i="2"/>
  <c r="AK505" i="2" s="1"/>
  <c r="AI506" i="2"/>
  <c r="AK506" i="2" s="1"/>
  <c r="AI507" i="2"/>
  <c r="AK507" i="2" s="1"/>
  <c r="AI508" i="2"/>
  <c r="AK508" i="2" s="1"/>
  <c r="AI509" i="2"/>
  <c r="AK509" i="2" s="1"/>
  <c r="AI510" i="2"/>
  <c r="AK510" i="2" s="1"/>
  <c r="AI511" i="2"/>
  <c r="AK511" i="2" s="1"/>
  <c r="AI512" i="2"/>
  <c r="AK512" i="2" s="1"/>
  <c r="AI513" i="2"/>
  <c r="AK513" i="2" s="1"/>
  <c r="AI514" i="2"/>
  <c r="AK514" i="2" s="1"/>
  <c r="AI515" i="2"/>
  <c r="AK515" i="2" s="1"/>
  <c r="AI516" i="2"/>
  <c r="AK516" i="2" s="1"/>
  <c r="AI517" i="2"/>
  <c r="AK517" i="2" s="1"/>
  <c r="AI518" i="2"/>
  <c r="AK518" i="2" s="1"/>
  <c r="AI519" i="2"/>
  <c r="AK519" i="2" s="1"/>
  <c r="AI520" i="2"/>
  <c r="AK520" i="2" s="1"/>
  <c r="AI521" i="2"/>
  <c r="AK521" i="2" s="1"/>
  <c r="AI522" i="2"/>
  <c r="AK522" i="2" s="1"/>
  <c r="AI523" i="2"/>
  <c r="AK523" i="2" s="1"/>
  <c r="AI524" i="2"/>
  <c r="AK524" i="2" s="1"/>
  <c r="AI525" i="2"/>
  <c r="AK525" i="2" s="1"/>
  <c r="AI526" i="2"/>
  <c r="AK526" i="2" s="1"/>
  <c r="AI527" i="2"/>
  <c r="AK527" i="2" s="1"/>
  <c r="AI528" i="2"/>
  <c r="AK528" i="2" s="1"/>
  <c r="AI529" i="2"/>
  <c r="AK529" i="2" s="1"/>
  <c r="AI530" i="2"/>
  <c r="AK530" i="2" s="1"/>
  <c r="AI531" i="2"/>
  <c r="AK531" i="2" s="1"/>
  <c r="AI532" i="2"/>
  <c r="AK532" i="2" s="1"/>
  <c r="AI533" i="2"/>
  <c r="AK533" i="2" s="1"/>
  <c r="AI534" i="2"/>
  <c r="AK534" i="2" s="1"/>
  <c r="AI535" i="2"/>
  <c r="AK535" i="2" s="1"/>
  <c r="AI536" i="2"/>
  <c r="AK536" i="2" s="1"/>
  <c r="AI537" i="2"/>
  <c r="AK537" i="2" s="1"/>
  <c r="AI538" i="2"/>
  <c r="AK538" i="2" s="1"/>
  <c r="AI539" i="2"/>
  <c r="AK539" i="2" s="1"/>
  <c r="AI540" i="2"/>
  <c r="AK540" i="2" s="1"/>
  <c r="AI541" i="2"/>
  <c r="AK541" i="2" s="1"/>
  <c r="AI542" i="2"/>
  <c r="AK542" i="2" s="1"/>
  <c r="AI543" i="2"/>
  <c r="AK543" i="2" s="1"/>
  <c r="AI544" i="2"/>
  <c r="AK544" i="2" s="1"/>
  <c r="AI545" i="2"/>
  <c r="AK545" i="2" s="1"/>
  <c r="AI546" i="2"/>
  <c r="AK546" i="2" s="1"/>
  <c r="AI547" i="2"/>
  <c r="AK547" i="2" s="1"/>
  <c r="AI548" i="2"/>
  <c r="AK548" i="2" s="1"/>
  <c r="AI549" i="2"/>
  <c r="AK549" i="2" s="1"/>
  <c r="AI550" i="2"/>
  <c r="AK550" i="2" s="1"/>
  <c r="AI551" i="2"/>
  <c r="AK551" i="2" s="1"/>
  <c r="AI552" i="2"/>
  <c r="AK552" i="2" s="1"/>
  <c r="AI553" i="2"/>
  <c r="AK553" i="2" s="1"/>
  <c r="AI554" i="2"/>
  <c r="AK554" i="2" s="1"/>
  <c r="AI555" i="2"/>
  <c r="AK555" i="2" s="1"/>
  <c r="AI556" i="2"/>
  <c r="AK556" i="2" s="1"/>
  <c r="AI557" i="2"/>
  <c r="AK557" i="2" s="1"/>
  <c r="AI558" i="2"/>
  <c r="AK558" i="2" s="1"/>
  <c r="AI559" i="2"/>
  <c r="AK559" i="2" s="1"/>
  <c r="AI560" i="2"/>
  <c r="AK560" i="2" s="1"/>
  <c r="AI561" i="2"/>
  <c r="AK561" i="2" s="1"/>
  <c r="AI562" i="2"/>
  <c r="AK562" i="2" s="1"/>
  <c r="AI563" i="2"/>
  <c r="AK563" i="2" s="1"/>
  <c r="AI564" i="2"/>
  <c r="AK564" i="2" s="1"/>
  <c r="AI565" i="2"/>
  <c r="AK565" i="2" s="1"/>
  <c r="AI566" i="2"/>
  <c r="AK566" i="2" s="1"/>
  <c r="AI567" i="2"/>
  <c r="AK567" i="2" s="1"/>
  <c r="AI568" i="2"/>
  <c r="AK568" i="2" s="1"/>
  <c r="AI569" i="2"/>
  <c r="AK569" i="2" s="1"/>
  <c r="AI570" i="2"/>
  <c r="AK570" i="2" s="1"/>
  <c r="AI571" i="2"/>
  <c r="AK571" i="2" s="1"/>
  <c r="AI572" i="2"/>
  <c r="AK572" i="2" s="1"/>
  <c r="AI573" i="2"/>
  <c r="AK573" i="2" s="1"/>
  <c r="AI574" i="2"/>
  <c r="AK574" i="2" s="1"/>
  <c r="AI575" i="2"/>
  <c r="AK575" i="2" s="1"/>
  <c r="AI576" i="2"/>
  <c r="AK576" i="2" s="1"/>
  <c r="AI577" i="2"/>
  <c r="AK577" i="2" s="1"/>
  <c r="AI578" i="2"/>
  <c r="AK578" i="2" s="1"/>
  <c r="AI579" i="2"/>
  <c r="AK579" i="2" s="1"/>
  <c r="AI580" i="2"/>
  <c r="AK580" i="2" s="1"/>
  <c r="AI581" i="2"/>
  <c r="AK581" i="2" s="1"/>
  <c r="AI582" i="2"/>
  <c r="AK582" i="2" s="1"/>
  <c r="AI583" i="2"/>
  <c r="AK583" i="2" s="1"/>
  <c r="AI584" i="2"/>
  <c r="AK584" i="2" s="1"/>
  <c r="AI585" i="2"/>
  <c r="AK585" i="2" s="1"/>
  <c r="AI586" i="2"/>
  <c r="AK586" i="2" s="1"/>
  <c r="AI587" i="2"/>
  <c r="AK587" i="2" s="1"/>
  <c r="AI588" i="2"/>
  <c r="AK588" i="2" s="1"/>
  <c r="AI589" i="2"/>
  <c r="AK589" i="2" s="1"/>
  <c r="AI590" i="2"/>
  <c r="AK590" i="2" s="1"/>
  <c r="AI591" i="2"/>
  <c r="AK591" i="2" s="1"/>
  <c r="AI592" i="2"/>
  <c r="AK592" i="2" s="1"/>
  <c r="AI593" i="2"/>
  <c r="AK593" i="2" s="1"/>
  <c r="AI594" i="2"/>
  <c r="AK594" i="2" s="1"/>
  <c r="AI595" i="2"/>
  <c r="AK595" i="2" s="1"/>
  <c r="AI596" i="2"/>
  <c r="AK596" i="2" s="1"/>
  <c r="AI597" i="2"/>
  <c r="AK597" i="2" s="1"/>
  <c r="AI598" i="2"/>
  <c r="AK598" i="2" s="1"/>
  <c r="AI599" i="2"/>
  <c r="AK599" i="2" s="1"/>
  <c r="AI600" i="2"/>
  <c r="AK600" i="2" s="1"/>
  <c r="AI601" i="2"/>
  <c r="AK601" i="2" s="1"/>
  <c r="AI602" i="2"/>
  <c r="AK602" i="2" s="1"/>
  <c r="AI603" i="2"/>
  <c r="AK603" i="2" s="1"/>
  <c r="AI604" i="2"/>
  <c r="AK604" i="2" s="1"/>
  <c r="AI605" i="2"/>
  <c r="AK605" i="2" s="1"/>
  <c r="AI606" i="2"/>
  <c r="AK606" i="2" s="1"/>
  <c r="AI607" i="2"/>
  <c r="AK607" i="2" s="1"/>
  <c r="AI608" i="2"/>
  <c r="AK608" i="2" s="1"/>
  <c r="AI609" i="2"/>
  <c r="AK609" i="2" s="1"/>
  <c r="AI610" i="2"/>
  <c r="AK610" i="2" s="1"/>
  <c r="AI611" i="2"/>
  <c r="AK611" i="2" s="1"/>
  <c r="AI612" i="2"/>
  <c r="AK612" i="2" s="1"/>
  <c r="AI613" i="2"/>
  <c r="AK613" i="2" s="1"/>
  <c r="AI614" i="2"/>
  <c r="AK614" i="2" s="1"/>
  <c r="AI615" i="2"/>
  <c r="AK615" i="2" s="1"/>
  <c r="AI616" i="2"/>
  <c r="AK616" i="2" s="1"/>
  <c r="AI617" i="2"/>
  <c r="AK617" i="2" s="1"/>
  <c r="AI618" i="2"/>
  <c r="AK618" i="2" s="1"/>
  <c r="AI619" i="2"/>
  <c r="AK619" i="2" s="1"/>
  <c r="AI620" i="2"/>
  <c r="AK620" i="2" s="1"/>
  <c r="AI621" i="2"/>
  <c r="AK621" i="2" s="1"/>
  <c r="AI622" i="2"/>
  <c r="AK622" i="2" s="1"/>
  <c r="AI623" i="2"/>
  <c r="AK623" i="2" s="1"/>
  <c r="AI624" i="2"/>
  <c r="AK624" i="2" s="1"/>
  <c r="AI625" i="2"/>
  <c r="AK625" i="2" s="1"/>
  <c r="AI626" i="2"/>
  <c r="AK626" i="2" s="1"/>
  <c r="AI627" i="2"/>
  <c r="AK627" i="2" s="1"/>
  <c r="AI628" i="2"/>
  <c r="AK628" i="2" s="1"/>
  <c r="AI629" i="2"/>
  <c r="AK629" i="2" s="1"/>
  <c r="AI630" i="2"/>
  <c r="AK630" i="2" s="1"/>
  <c r="AI631" i="2"/>
  <c r="AK631" i="2" s="1"/>
  <c r="AI632" i="2"/>
  <c r="AK632" i="2" s="1"/>
  <c r="AI633" i="2"/>
  <c r="AK633" i="2" s="1"/>
  <c r="AI634" i="2"/>
  <c r="AK634" i="2" s="1"/>
  <c r="AI635" i="2"/>
  <c r="AK635" i="2" s="1"/>
  <c r="AI636" i="2"/>
  <c r="AK636" i="2" s="1"/>
  <c r="AI637" i="2"/>
  <c r="AK637" i="2" s="1"/>
  <c r="AI638" i="2"/>
  <c r="AK638" i="2" s="1"/>
  <c r="AI639" i="2"/>
  <c r="AK639" i="2" s="1"/>
  <c r="AI640" i="2"/>
  <c r="AK640" i="2" s="1"/>
  <c r="AI641" i="2"/>
  <c r="AK641" i="2" s="1"/>
  <c r="AI642" i="2"/>
  <c r="AK642" i="2" s="1"/>
  <c r="AI643" i="2"/>
  <c r="AK643" i="2" s="1"/>
  <c r="AI644" i="2"/>
  <c r="AK644" i="2" s="1"/>
  <c r="AI645" i="2"/>
  <c r="AK645" i="2" s="1"/>
  <c r="AI646" i="2"/>
  <c r="AK646" i="2" s="1"/>
  <c r="AI647" i="2"/>
  <c r="AK647" i="2" s="1"/>
  <c r="AI648" i="2"/>
  <c r="AK648" i="2" s="1"/>
  <c r="AI649" i="2"/>
  <c r="AK649" i="2" s="1"/>
  <c r="AI650" i="2"/>
  <c r="AK650" i="2" s="1"/>
  <c r="AI651" i="2"/>
  <c r="AK651" i="2" s="1"/>
  <c r="AI652" i="2"/>
  <c r="AK652" i="2" s="1"/>
  <c r="AI653" i="2"/>
  <c r="AK653" i="2" s="1"/>
  <c r="AI654" i="2"/>
  <c r="AK654" i="2" s="1"/>
  <c r="AI655" i="2"/>
  <c r="AK655" i="2" s="1"/>
  <c r="AI656" i="2"/>
  <c r="AK656" i="2" s="1"/>
  <c r="AI657" i="2"/>
  <c r="AK657" i="2" s="1"/>
  <c r="AI658" i="2"/>
  <c r="AK658" i="2" s="1"/>
  <c r="AI659" i="2"/>
  <c r="AK659" i="2" s="1"/>
  <c r="AI660" i="2"/>
  <c r="AK660" i="2" s="1"/>
  <c r="AI661" i="2"/>
  <c r="AK661" i="2" s="1"/>
  <c r="AI662" i="2"/>
  <c r="AK662" i="2" s="1"/>
  <c r="AI663" i="2"/>
  <c r="AK663" i="2" s="1"/>
  <c r="AI664" i="2"/>
  <c r="AK664" i="2" s="1"/>
  <c r="AI665" i="2"/>
  <c r="AK665" i="2" s="1"/>
  <c r="AI666" i="2"/>
  <c r="AK666" i="2" s="1"/>
  <c r="AI667" i="2"/>
  <c r="AK667" i="2" s="1"/>
  <c r="AI668" i="2"/>
  <c r="AK668" i="2" s="1"/>
  <c r="AI669" i="2"/>
  <c r="AK669" i="2" s="1"/>
  <c r="AI670" i="2"/>
  <c r="AK670" i="2" s="1"/>
  <c r="AI671" i="2"/>
  <c r="AK671" i="2" s="1"/>
  <c r="AI672" i="2"/>
  <c r="AK672" i="2" s="1"/>
  <c r="AI673" i="2"/>
  <c r="AK673" i="2" s="1"/>
  <c r="AI674" i="2"/>
  <c r="AK674" i="2" s="1"/>
  <c r="AI675" i="2"/>
  <c r="AK675" i="2" s="1"/>
  <c r="AI676" i="2"/>
  <c r="AK676" i="2" s="1"/>
  <c r="AI677" i="2"/>
  <c r="AK677" i="2" s="1"/>
  <c r="AI678" i="2"/>
  <c r="AK678" i="2" s="1"/>
  <c r="AI679" i="2"/>
  <c r="AK679" i="2" s="1"/>
  <c r="AI680" i="2"/>
  <c r="AK680" i="2" s="1"/>
  <c r="AI681" i="2"/>
  <c r="AK681" i="2" s="1"/>
  <c r="AI682" i="2"/>
  <c r="AK682" i="2" s="1"/>
  <c r="AI683" i="2"/>
  <c r="AK683" i="2" s="1"/>
  <c r="AI684" i="2"/>
  <c r="AK684" i="2" s="1"/>
  <c r="AI685" i="2"/>
  <c r="AK685" i="2" s="1"/>
  <c r="AI686" i="2"/>
  <c r="AK686" i="2" s="1"/>
  <c r="AI687" i="2"/>
  <c r="AK687" i="2" s="1"/>
  <c r="AI688" i="2"/>
  <c r="AK688" i="2" s="1"/>
  <c r="AI689" i="2"/>
  <c r="AK689" i="2" s="1"/>
  <c r="AI690" i="2"/>
  <c r="AK690" i="2" s="1"/>
  <c r="AI691" i="2"/>
  <c r="AK691" i="2" s="1"/>
  <c r="AI692" i="2"/>
  <c r="AK692" i="2" s="1"/>
  <c r="AI693" i="2"/>
  <c r="AK693" i="2" s="1"/>
  <c r="AI694" i="2"/>
  <c r="AK694" i="2" s="1"/>
  <c r="AI695" i="2"/>
  <c r="AK695" i="2" s="1"/>
  <c r="AI696" i="2"/>
  <c r="AK696" i="2" s="1"/>
  <c r="AI697" i="2"/>
  <c r="AK697" i="2" s="1"/>
  <c r="AI698" i="2"/>
  <c r="AK698" i="2" s="1"/>
  <c r="AI699" i="2"/>
  <c r="AK699" i="2" s="1"/>
  <c r="AI700" i="2"/>
  <c r="AK700" i="2" s="1"/>
  <c r="AI701" i="2"/>
  <c r="AK701" i="2" s="1"/>
  <c r="AI702" i="2"/>
  <c r="AK702" i="2" s="1"/>
  <c r="AI703" i="2"/>
  <c r="AK703" i="2" s="1"/>
  <c r="AI704" i="2"/>
  <c r="AK704" i="2" s="1"/>
  <c r="AI705" i="2"/>
  <c r="AK705" i="2" s="1"/>
  <c r="AI706" i="2"/>
  <c r="AK706" i="2" s="1"/>
  <c r="AI707" i="2"/>
  <c r="AK707" i="2" s="1"/>
  <c r="AI708" i="2"/>
  <c r="AK708" i="2" s="1"/>
  <c r="AI709" i="2"/>
  <c r="AK709" i="2" s="1"/>
  <c r="AI710" i="2"/>
  <c r="AK710" i="2" s="1"/>
  <c r="AI711" i="2"/>
  <c r="AK711" i="2" s="1"/>
  <c r="AI712" i="2"/>
  <c r="AK712" i="2" s="1"/>
  <c r="AI713" i="2"/>
  <c r="AK713" i="2" s="1"/>
  <c r="AI714" i="2"/>
  <c r="AK714" i="2" s="1"/>
  <c r="AI715" i="2"/>
  <c r="AK715" i="2" s="1"/>
  <c r="AI716" i="2"/>
  <c r="AK716" i="2" s="1"/>
  <c r="AI717" i="2"/>
  <c r="AK717" i="2" s="1"/>
  <c r="AI718" i="2"/>
  <c r="AK718" i="2" s="1"/>
  <c r="AI719" i="2"/>
  <c r="AK719" i="2" s="1"/>
  <c r="AI720" i="2"/>
  <c r="AK720" i="2" s="1"/>
  <c r="AI721" i="2"/>
  <c r="AK721" i="2" s="1"/>
  <c r="AI722" i="2"/>
  <c r="AK722" i="2" s="1"/>
  <c r="AI723" i="2"/>
  <c r="AK723" i="2" s="1"/>
  <c r="AI724" i="2"/>
  <c r="AK724" i="2" s="1"/>
  <c r="AI725" i="2"/>
  <c r="AK725" i="2" s="1"/>
  <c r="AI726" i="2"/>
  <c r="AK726" i="2" s="1"/>
  <c r="AI727" i="2"/>
  <c r="AK727" i="2" s="1"/>
  <c r="AI728" i="2"/>
  <c r="AK728" i="2" s="1"/>
  <c r="AI729" i="2"/>
  <c r="AK729" i="2" s="1"/>
  <c r="AI730" i="2"/>
  <c r="AK730" i="2" s="1"/>
  <c r="AI731" i="2"/>
  <c r="AK731" i="2" s="1"/>
  <c r="AI732" i="2"/>
  <c r="AK732" i="2" s="1"/>
  <c r="AI733" i="2"/>
  <c r="AK733" i="2" s="1"/>
  <c r="AI734" i="2"/>
  <c r="AK734" i="2" s="1"/>
  <c r="AI735" i="2"/>
  <c r="AK735" i="2" s="1"/>
  <c r="AI736" i="2"/>
  <c r="AK736" i="2" s="1"/>
  <c r="AI737" i="2"/>
  <c r="AK737" i="2" s="1"/>
  <c r="AI738" i="2"/>
  <c r="AK738" i="2" s="1"/>
  <c r="AI739" i="2"/>
  <c r="AK739" i="2" s="1"/>
  <c r="AI740" i="2"/>
  <c r="AK740" i="2" s="1"/>
  <c r="AI741" i="2"/>
  <c r="AK741" i="2" s="1"/>
  <c r="AI742" i="2"/>
  <c r="AK742" i="2" s="1"/>
  <c r="AI743" i="2"/>
  <c r="AK743" i="2" s="1"/>
  <c r="AI744" i="2"/>
  <c r="AK744" i="2" s="1"/>
  <c r="AI745" i="2"/>
  <c r="AK745" i="2" s="1"/>
  <c r="AI746" i="2"/>
  <c r="AK746" i="2" s="1"/>
  <c r="AI747" i="2"/>
  <c r="AK747" i="2" s="1"/>
  <c r="AI748" i="2"/>
  <c r="AK748" i="2" s="1"/>
  <c r="AI749" i="2"/>
  <c r="AK749" i="2" s="1"/>
  <c r="AI750" i="2"/>
  <c r="AK750" i="2" s="1"/>
  <c r="AI751" i="2"/>
  <c r="AK751" i="2" s="1"/>
  <c r="AI752" i="2"/>
  <c r="AK752" i="2" s="1"/>
  <c r="AI753" i="2"/>
  <c r="AK753" i="2" s="1"/>
  <c r="AI754" i="2"/>
  <c r="AK754" i="2" s="1"/>
  <c r="AI755" i="2"/>
  <c r="AK755" i="2" s="1"/>
  <c r="AI756" i="2"/>
  <c r="AK756" i="2" s="1"/>
  <c r="AI757" i="2"/>
  <c r="AK757" i="2" s="1"/>
  <c r="AI758" i="2"/>
  <c r="AK758" i="2" s="1"/>
  <c r="AI759" i="2"/>
  <c r="AK759" i="2" s="1"/>
  <c r="AI760" i="2"/>
  <c r="AK760" i="2" s="1"/>
  <c r="AI761" i="2"/>
  <c r="AK761" i="2" s="1"/>
  <c r="AI762" i="2"/>
  <c r="AK762" i="2" s="1"/>
  <c r="AI763" i="2"/>
  <c r="AK763" i="2" s="1"/>
  <c r="AI764" i="2"/>
  <c r="AK764" i="2" s="1"/>
  <c r="AI765" i="2"/>
  <c r="AK765" i="2" s="1"/>
  <c r="AI766" i="2"/>
  <c r="AK766" i="2" s="1"/>
  <c r="AI767" i="2"/>
  <c r="AK767" i="2" s="1"/>
  <c r="AI768" i="2"/>
  <c r="AK768" i="2" s="1"/>
  <c r="AI769" i="2"/>
  <c r="AK769" i="2" s="1"/>
  <c r="AI770" i="2"/>
  <c r="AK770" i="2" s="1"/>
  <c r="AI771" i="2"/>
  <c r="AK771" i="2" s="1"/>
  <c r="AI772" i="2"/>
  <c r="AK772" i="2" s="1"/>
  <c r="AI773" i="2"/>
  <c r="AK773" i="2" s="1"/>
  <c r="AI774" i="2"/>
  <c r="AK774" i="2" s="1"/>
  <c r="AI775" i="2"/>
  <c r="AK775" i="2" s="1"/>
  <c r="AI776" i="2"/>
  <c r="AK776" i="2" s="1"/>
  <c r="AI777" i="2"/>
  <c r="AK777" i="2" s="1"/>
  <c r="AI778" i="2"/>
  <c r="AK778" i="2" s="1"/>
  <c r="AI779" i="2"/>
  <c r="AK779" i="2" s="1"/>
  <c r="AI780" i="2"/>
  <c r="AK780" i="2" s="1"/>
  <c r="AI781" i="2"/>
  <c r="AK781" i="2" s="1"/>
  <c r="AI782" i="2"/>
  <c r="AK782" i="2" s="1"/>
  <c r="AI783" i="2"/>
  <c r="AK783" i="2" s="1"/>
  <c r="AI784" i="2"/>
  <c r="AK784" i="2" s="1"/>
  <c r="AI785" i="2"/>
  <c r="AK785" i="2" s="1"/>
  <c r="AI786" i="2"/>
  <c r="AK786" i="2" s="1"/>
  <c r="AI787" i="2"/>
  <c r="AK787" i="2" s="1"/>
  <c r="AI788" i="2"/>
  <c r="AK788" i="2" s="1"/>
  <c r="AI789" i="2"/>
  <c r="AK789" i="2" s="1"/>
  <c r="AI790" i="2"/>
  <c r="AK790" i="2" s="1"/>
  <c r="AI791" i="2"/>
  <c r="AK791" i="2" s="1"/>
  <c r="AI792" i="2"/>
  <c r="AK792" i="2" s="1"/>
  <c r="AI793" i="2"/>
  <c r="AK793" i="2" s="1"/>
  <c r="AI794" i="2"/>
  <c r="AK794" i="2" s="1"/>
  <c r="AI795" i="2"/>
  <c r="AK795" i="2" s="1"/>
  <c r="AI796" i="2"/>
  <c r="AK796" i="2" s="1"/>
  <c r="AI797" i="2"/>
  <c r="AK797" i="2" s="1"/>
  <c r="AI798" i="2"/>
  <c r="AK798" i="2" s="1"/>
  <c r="AI799" i="2"/>
  <c r="AK799" i="2" s="1"/>
  <c r="AI800" i="2"/>
  <c r="AK800" i="2" s="1"/>
  <c r="AI801" i="2"/>
  <c r="AK801" i="2" s="1"/>
  <c r="AI802" i="2"/>
  <c r="AK802" i="2" s="1"/>
  <c r="AI803" i="2"/>
  <c r="AK803" i="2" s="1"/>
  <c r="AI804" i="2"/>
  <c r="AK804" i="2" s="1"/>
  <c r="AI805" i="2"/>
  <c r="AK805" i="2" s="1"/>
  <c r="AI806" i="2"/>
  <c r="AK806" i="2" s="1"/>
  <c r="AI807" i="2"/>
  <c r="AK807" i="2" s="1"/>
  <c r="AI808" i="2"/>
  <c r="AK808" i="2" s="1"/>
  <c r="AI809" i="2"/>
  <c r="AK809" i="2" s="1"/>
  <c r="AI810" i="2"/>
  <c r="AK810" i="2" s="1"/>
  <c r="AI811" i="2"/>
  <c r="AK811" i="2" s="1"/>
  <c r="AI812" i="2"/>
  <c r="AK812" i="2" s="1"/>
  <c r="AI813" i="2"/>
  <c r="AK813" i="2" s="1"/>
  <c r="AI814" i="2"/>
  <c r="AK814" i="2" s="1"/>
  <c r="AI815" i="2"/>
  <c r="AK815" i="2" s="1"/>
  <c r="AI816" i="2"/>
  <c r="AK816" i="2" s="1"/>
  <c r="AI817" i="2"/>
  <c r="AK817" i="2" s="1"/>
  <c r="AI818" i="2"/>
  <c r="AK818" i="2" s="1"/>
  <c r="AI819" i="2"/>
  <c r="AK819" i="2" s="1"/>
  <c r="AI820" i="2"/>
  <c r="AK820" i="2" s="1"/>
  <c r="AI821" i="2"/>
  <c r="AK821" i="2" s="1"/>
  <c r="AI822" i="2"/>
  <c r="AK822" i="2" s="1"/>
  <c r="AI823" i="2"/>
  <c r="AK823" i="2" s="1"/>
  <c r="AI824" i="2"/>
  <c r="AK824" i="2" s="1"/>
  <c r="AI825" i="2"/>
  <c r="AK825" i="2" s="1"/>
  <c r="AI826" i="2"/>
  <c r="AK826" i="2" s="1"/>
  <c r="AI827" i="2"/>
  <c r="AK827" i="2" s="1"/>
  <c r="AI828" i="2"/>
  <c r="AK828" i="2" s="1"/>
  <c r="AI829" i="2"/>
  <c r="AK829" i="2" s="1"/>
  <c r="AI830" i="2"/>
  <c r="AK830" i="2" s="1"/>
  <c r="AI831" i="2"/>
  <c r="AK831" i="2" s="1"/>
  <c r="AI832" i="2"/>
  <c r="AK832" i="2" s="1"/>
  <c r="AI833" i="2"/>
  <c r="AK833" i="2" s="1"/>
  <c r="AI834" i="2"/>
  <c r="AK834" i="2" s="1"/>
  <c r="AI835" i="2"/>
  <c r="AK835" i="2" s="1"/>
  <c r="AI836" i="2"/>
  <c r="AK836" i="2" s="1"/>
  <c r="AI837" i="2"/>
  <c r="AK837" i="2" s="1"/>
  <c r="AI838" i="2"/>
  <c r="AK838" i="2" s="1"/>
  <c r="AI839" i="2"/>
  <c r="AK839" i="2" s="1"/>
  <c r="AI840" i="2"/>
  <c r="AK840" i="2" s="1"/>
  <c r="AI841" i="2"/>
  <c r="AK841" i="2" s="1"/>
  <c r="AI842" i="2"/>
  <c r="AK842" i="2" s="1"/>
  <c r="AI843" i="2"/>
  <c r="AK843" i="2" s="1"/>
  <c r="AI844" i="2"/>
  <c r="AK844" i="2" s="1"/>
  <c r="AI845" i="2"/>
  <c r="AK845" i="2" s="1"/>
  <c r="AI846" i="2"/>
  <c r="AK846" i="2" s="1"/>
  <c r="AI847" i="2"/>
  <c r="AK847" i="2" s="1"/>
  <c r="AI848" i="2"/>
  <c r="AK848" i="2" s="1"/>
  <c r="AI849" i="2"/>
  <c r="AK849" i="2" s="1"/>
  <c r="AI850" i="2"/>
  <c r="AK850" i="2" s="1"/>
  <c r="AI851" i="2"/>
  <c r="AK851" i="2" s="1"/>
  <c r="AI852" i="2"/>
  <c r="AK852" i="2" s="1"/>
  <c r="AI853" i="2"/>
  <c r="AK853" i="2" s="1"/>
  <c r="AI854" i="2"/>
  <c r="AK854" i="2" s="1"/>
  <c r="AI855" i="2"/>
  <c r="AK855" i="2" s="1"/>
  <c r="AI856" i="2"/>
  <c r="AK856" i="2" s="1"/>
  <c r="AI857" i="2"/>
  <c r="AK857" i="2" s="1"/>
  <c r="AI858" i="2"/>
  <c r="AK858" i="2" s="1"/>
  <c r="AI859" i="2"/>
  <c r="AK859" i="2" s="1"/>
  <c r="AI860" i="2"/>
  <c r="AK860" i="2" s="1"/>
  <c r="AI861" i="2"/>
  <c r="AK861" i="2" s="1"/>
  <c r="AI862" i="2"/>
  <c r="AK862" i="2" s="1"/>
  <c r="AI863" i="2"/>
  <c r="AK863" i="2" s="1"/>
  <c r="AI864" i="2"/>
  <c r="AK864" i="2" s="1"/>
  <c r="AI865" i="2"/>
  <c r="AK865" i="2" s="1"/>
  <c r="AI866" i="2"/>
  <c r="AK866" i="2" s="1"/>
  <c r="AI867" i="2"/>
  <c r="AK867" i="2" s="1"/>
  <c r="AI868" i="2"/>
  <c r="AK868" i="2" s="1"/>
  <c r="AI869" i="2"/>
  <c r="AK869" i="2" s="1"/>
  <c r="AI870" i="2"/>
  <c r="AK870" i="2" s="1"/>
  <c r="AI871" i="2"/>
  <c r="AK871" i="2" s="1"/>
  <c r="AI872" i="2"/>
  <c r="AK872" i="2" s="1"/>
  <c r="AI873" i="2"/>
  <c r="AK873" i="2" s="1"/>
  <c r="AI874" i="2"/>
  <c r="AK874" i="2" s="1"/>
  <c r="AI875" i="2"/>
  <c r="AK875" i="2" s="1"/>
  <c r="AI876" i="2"/>
  <c r="AK876" i="2" s="1"/>
  <c r="AI877" i="2"/>
  <c r="AK877" i="2" s="1"/>
  <c r="AI878" i="2"/>
  <c r="AK878" i="2" s="1"/>
  <c r="AI879" i="2"/>
  <c r="AK879" i="2" s="1"/>
  <c r="AI880" i="2"/>
  <c r="AK880" i="2" s="1"/>
  <c r="AI881" i="2"/>
  <c r="AK881" i="2" s="1"/>
  <c r="AI882" i="2"/>
  <c r="AK882" i="2" s="1"/>
  <c r="AI883" i="2"/>
  <c r="AK883" i="2" s="1"/>
  <c r="AI884" i="2"/>
  <c r="AK884" i="2" s="1"/>
  <c r="AI885" i="2"/>
  <c r="AK885" i="2" s="1"/>
  <c r="AI886" i="2"/>
  <c r="AK886" i="2" s="1"/>
  <c r="AI887" i="2"/>
  <c r="AK887" i="2" s="1"/>
  <c r="AI888" i="2"/>
  <c r="AK888" i="2" s="1"/>
  <c r="AI889" i="2"/>
  <c r="AK889" i="2" s="1"/>
  <c r="AI890" i="2"/>
  <c r="AK890" i="2" s="1"/>
  <c r="AI891" i="2"/>
  <c r="AK891" i="2" s="1"/>
  <c r="AI892" i="2"/>
  <c r="AK892" i="2" s="1"/>
  <c r="AI893" i="2"/>
  <c r="AK893" i="2" s="1"/>
  <c r="AI894" i="2"/>
  <c r="AK894" i="2" s="1"/>
  <c r="AI895" i="2"/>
  <c r="AK895" i="2" s="1"/>
  <c r="AI896" i="2"/>
  <c r="AK896" i="2" s="1"/>
  <c r="AI897" i="2"/>
  <c r="AK897" i="2" s="1"/>
  <c r="AI898" i="2"/>
  <c r="AK898" i="2" s="1"/>
  <c r="AI899" i="2"/>
  <c r="AK899" i="2" s="1"/>
  <c r="AI900" i="2"/>
  <c r="AK900" i="2" s="1"/>
  <c r="AI901" i="2"/>
  <c r="AK901" i="2" s="1"/>
  <c r="AI902" i="2"/>
  <c r="AK902" i="2" s="1"/>
  <c r="AI903" i="2"/>
  <c r="AK903" i="2" s="1"/>
  <c r="AI904" i="2"/>
  <c r="AK904" i="2" s="1"/>
  <c r="AI905" i="2"/>
  <c r="AK905" i="2" s="1"/>
  <c r="AI906" i="2"/>
  <c r="AK906" i="2" s="1"/>
  <c r="AI907" i="2"/>
  <c r="AK907" i="2" s="1"/>
  <c r="AI908" i="2"/>
  <c r="AK908" i="2" s="1"/>
  <c r="AI909" i="2"/>
  <c r="AK909" i="2" s="1"/>
  <c r="AI910" i="2"/>
  <c r="AK910" i="2" s="1"/>
  <c r="AI911" i="2"/>
  <c r="AK911" i="2" s="1"/>
  <c r="AI912" i="2"/>
  <c r="AK912" i="2" s="1"/>
  <c r="AI913" i="2"/>
  <c r="AK913" i="2" s="1"/>
  <c r="AI914" i="2"/>
  <c r="AK914" i="2" s="1"/>
  <c r="AI915" i="2"/>
  <c r="AK915" i="2" s="1"/>
  <c r="AI916" i="2"/>
  <c r="AK916" i="2" s="1"/>
  <c r="AI917" i="2"/>
  <c r="AK917" i="2" s="1"/>
  <c r="AI918" i="2"/>
  <c r="AK918" i="2" s="1"/>
  <c r="AI919" i="2"/>
  <c r="AK919" i="2" s="1"/>
  <c r="AI920" i="2"/>
  <c r="AK920" i="2" s="1"/>
  <c r="AI921" i="2"/>
  <c r="AK921" i="2" s="1"/>
  <c r="AI922" i="2"/>
  <c r="AK922" i="2" s="1"/>
  <c r="AI923" i="2"/>
  <c r="AK923" i="2" s="1"/>
  <c r="AI924" i="2"/>
  <c r="AK924" i="2" s="1"/>
  <c r="AI925" i="2"/>
  <c r="AK925" i="2" s="1"/>
  <c r="AI926" i="2"/>
  <c r="AK926" i="2" s="1"/>
  <c r="AI927" i="2"/>
  <c r="AK927" i="2" s="1"/>
  <c r="AI928" i="2"/>
  <c r="AK928" i="2" s="1"/>
  <c r="AI929" i="2"/>
  <c r="AK929" i="2" s="1"/>
  <c r="AI930" i="2"/>
  <c r="AK930" i="2" s="1"/>
  <c r="AI931" i="2"/>
  <c r="AK931" i="2" s="1"/>
  <c r="AI932" i="2"/>
  <c r="AK932" i="2" s="1"/>
  <c r="AI933" i="2"/>
  <c r="AK933" i="2" s="1"/>
  <c r="AI934" i="2"/>
  <c r="AK934" i="2" s="1"/>
  <c r="AI935" i="2"/>
  <c r="AK935" i="2" s="1"/>
  <c r="AI936" i="2"/>
  <c r="AK936" i="2" s="1"/>
  <c r="AI937" i="2"/>
  <c r="AK937" i="2" s="1"/>
  <c r="AI938" i="2"/>
  <c r="AK938" i="2" s="1"/>
  <c r="AI939" i="2"/>
  <c r="AK939" i="2" s="1"/>
  <c r="AI940" i="2"/>
  <c r="AK940" i="2" s="1"/>
  <c r="AI941" i="2"/>
  <c r="AK941" i="2" s="1"/>
  <c r="AI942" i="2"/>
  <c r="AK942" i="2" s="1"/>
  <c r="AI943" i="2"/>
  <c r="AK943" i="2" s="1"/>
  <c r="AI944" i="2"/>
  <c r="AK944" i="2" s="1"/>
  <c r="AI945" i="2"/>
  <c r="AK945" i="2" s="1"/>
  <c r="AI946" i="2"/>
  <c r="AK946" i="2" s="1"/>
  <c r="AI947" i="2"/>
  <c r="AK947" i="2" s="1"/>
  <c r="AI948" i="2"/>
  <c r="AK948" i="2" s="1"/>
  <c r="AI949" i="2"/>
  <c r="AK949" i="2" s="1"/>
  <c r="AI950" i="2"/>
  <c r="AK950" i="2" s="1"/>
  <c r="AI951" i="2"/>
  <c r="AK951" i="2" s="1"/>
  <c r="AI952" i="2"/>
  <c r="AK952" i="2" s="1"/>
  <c r="AI953" i="2"/>
  <c r="AK953" i="2" s="1"/>
  <c r="AI954" i="2"/>
  <c r="AK954" i="2" s="1"/>
  <c r="AI955" i="2"/>
  <c r="AK955" i="2" s="1"/>
  <c r="AI956" i="2"/>
  <c r="AK956" i="2" s="1"/>
  <c r="AI957" i="2"/>
  <c r="AK957" i="2" s="1"/>
  <c r="AI958" i="2"/>
  <c r="AK958" i="2" s="1"/>
  <c r="AI959" i="2"/>
  <c r="AK959" i="2" s="1"/>
  <c r="AI960" i="2"/>
  <c r="AK960" i="2" s="1"/>
  <c r="AI961" i="2"/>
  <c r="AK961" i="2" s="1"/>
  <c r="AI962" i="2"/>
  <c r="AK962" i="2" s="1"/>
  <c r="AI963" i="2"/>
  <c r="AK963" i="2" s="1"/>
  <c r="AI964" i="2"/>
  <c r="AK964" i="2" s="1"/>
  <c r="AI965" i="2"/>
  <c r="AK965" i="2" s="1"/>
  <c r="AI966" i="2"/>
  <c r="AK966" i="2" s="1"/>
  <c r="AI967" i="2"/>
  <c r="AK967" i="2" s="1"/>
  <c r="AI968" i="2"/>
  <c r="AK968" i="2" s="1"/>
  <c r="AI969" i="2"/>
  <c r="AK969" i="2" s="1"/>
  <c r="AI970" i="2"/>
  <c r="AK970" i="2" s="1"/>
  <c r="AI971" i="2"/>
  <c r="AK971" i="2" s="1"/>
  <c r="AI972" i="2"/>
  <c r="AK972" i="2" s="1"/>
  <c r="AI973" i="2"/>
  <c r="AK973" i="2" s="1"/>
  <c r="AI974" i="2"/>
  <c r="AK974" i="2" s="1"/>
  <c r="AI975" i="2"/>
  <c r="AK975" i="2" s="1"/>
  <c r="AI976" i="2"/>
  <c r="AK976" i="2" s="1"/>
  <c r="AI977" i="2"/>
  <c r="AK977" i="2" s="1"/>
  <c r="AI978" i="2"/>
  <c r="AK978" i="2" s="1"/>
  <c r="AI979" i="2"/>
  <c r="AK979" i="2" s="1"/>
  <c r="AI980" i="2"/>
  <c r="AK980" i="2" s="1"/>
  <c r="AI981" i="2"/>
  <c r="AK981" i="2" s="1"/>
  <c r="AI982" i="2"/>
  <c r="AK982" i="2" s="1"/>
  <c r="AI983" i="2"/>
  <c r="AK983" i="2" s="1"/>
  <c r="AI984" i="2"/>
  <c r="AK984" i="2" s="1"/>
  <c r="AI985" i="2"/>
  <c r="AK985" i="2" s="1"/>
  <c r="AI986" i="2"/>
  <c r="AK986" i="2" s="1"/>
  <c r="AI987" i="2"/>
  <c r="AK987" i="2" s="1"/>
  <c r="AI988" i="2"/>
  <c r="AK988" i="2" s="1"/>
  <c r="AI989" i="2"/>
  <c r="AK989" i="2" s="1"/>
  <c r="AI990" i="2"/>
  <c r="AK990" i="2" s="1"/>
  <c r="AI991" i="2"/>
  <c r="AK991" i="2" s="1"/>
  <c r="AI992" i="2"/>
  <c r="AK992" i="2" s="1"/>
  <c r="AI993" i="2"/>
  <c r="AK993" i="2" s="1"/>
  <c r="AI994" i="2"/>
  <c r="AK994" i="2" s="1"/>
  <c r="AI995" i="2"/>
  <c r="AK995" i="2" s="1"/>
  <c r="AI996" i="2"/>
  <c r="AK996" i="2" s="1"/>
  <c r="AI997" i="2"/>
  <c r="AK997" i="2" s="1"/>
  <c r="AI998" i="2"/>
  <c r="AK998" i="2" s="1"/>
  <c r="AI999" i="2"/>
  <c r="AK999" i="2" s="1"/>
  <c r="AI1000" i="2"/>
  <c r="AK1000" i="2" s="1"/>
  <c r="AI1001" i="2"/>
  <c r="AK1001" i="2" s="1"/>
  <c r="AI1002" i="2"/>
  <c r="AK1002" i="2" s="1"/>
  <c r="AI1003" i="2"/>
  <c r="AK1003" i="2" s="1"/>
  <c r="AI1004" i="2"/>
  <c r="AK1004" i="2" s="1"/>
  <c r="AI1005" i="2"/>
  <c r="AK1005" i="2" s="1"/>
  <c r="AI1006" i="2"/>
  <c r="AK1006" i="2" s="1"/>
  <c r="AI1007" i="2"/>
  <c r="AK1007" i="2" s="1"/>
  <c r="AI1008" i="2"/>
  <c r="AK1008" i="2" s="1"/>
  <c r="AI1009" i="2"/>
  <c r="AK1009" i="2" s="1"/>
  <c r="AI1010" i="2"/>
  <c r="AK1010" i="2" s="1"/>
  <c r="AI1011" i="2"/>
  <c r="AK1011" i="2" s="1"/>
  <c r="AI1012" i="2"/>
  <c r="AK1012" i="2" s="1"/>
  <c r="AI1013" i="2"/>
  <c r="AK1013" i="2" s="1"/>
  <c r="AI1014" i="2"/>
  <c r="AK1014" i="2" s="1"/>
  <c r="AI1015" i="2"/>
  <c r="AK1015" i="2" s="1"/>
  <c r="AI1016" i="2"/>
  <c r="AK1016" i="2" s="1"/>
  <c r="AI1017" i="2"/>
  <c r="AK1017" i="2" s="1"/>
  <c r="AI1018" i="2"/>
  <c r="AK1018" i="2" s="1"/>
  <c r="AI1019" i="2"/>
  <c r="AK1019" i="2" s="1"/>
  <c r="AI1020" i="2"/>
  <c r="AK1020" i="2" s="1"/>
  <c r="AI1021" i="2"/>
  <c r="AK1021" i="2" s="1"/>
  <c r="AI1022" i="2"/>
  <c r="AK1022" i="2" s="1"/>
  <c r="AI1023" i="2"/>
  <c r="AK1023" i="2" s="1"/>
  <c r="AI1024" i="2"/>
  <c r="AK1024" i="2" s="1"/>
  <c r="AI1025" i="2"/>
  <c r="AK1025" i="2" s="1"/>
  <c r="AI1026" i="2"/>
  <c r="AK1026" i="2" s="1"/>
  <c r="AI1027" i="2"/>
  <c r="AK1027" i="2" s="1"/>
  <c r="AI1028" i="2"/>
  <c r="AK1028" i="2" s="1"/>
  <c r="AI1029" i="2"/>
  <c r="AK1029" i="2" s="1"/>
  <c r="AI1030" i="2"/>
  <c r="AK1030" i="2" s="1"/>
  <c r="AI1031" i="2"/>
  <c r="AK1031" i="2" s="1"/>
  <c r="AI1032" i="2"/>
  <c r="AK1032" i="2" s="1"/>
  <c r="AI1033" i="2"/>
  <c r="AK1033" i="2" s="1"/>
  <c r="AI1034" i="2"/>
  <c r="AK1034" i="2" s="1"/>
  <c r="AI1035" i="2"/>
  <c r="AK1035" i="2" s="1"/>
  <c r="AI1036" i="2"/>
  <c r="AK1036" i="2" s="1"/>
  <c r="AI1037" i="2"/>
  <c r="AK1037" i="2" s="1"/>
  <c r="AI1038" i="2"/>
  <c r="AK1038" i="2" s="1"/>
  <c r="AI1039" i="2"/>
  <c r="AK1039" i="2" s="1"/>
  <c r="AI1040" i="2"/>
  <c r="AK1040" i="2" s="1"/>
  <c r="AI1041" i="2"/>
  <c r="AK1041" i="2" s="1"/>
  <c r="AI1042" i="2"/>
  <c r="AK1042" i="2" s="1"/>
  <c r="AI1043" i="2"/>
  <c r="AK1043" i="2" s="1"/>
  <c r="AI1044" i="2"/>
  <c r="AK1044" i="2" s="1"/>
  <c r="AI1045" i="2"/>
  <c r="AK1045" i="2" s="1"/>
  <c r="AI1046" i="2"/>
  <c r="AK1046" i="2" s="1"/>
  <c r="AI1047" i="2"/>
  <c r="AK1047" i="2" s="1"/>
  <c r="AI1048" i="2"/>
  <c r="AK1048" i="2" s="1"/>
  <c r="AI1049" i="2"/>
  <c r="AK1049" i="2" s="1"/>
  <c r="AI1050" i="2"/>
  <c r="AK1050" i="2" s="1"/>
  <c r="AI1051" i="2"/>
  <c r="AK1051" i="2" s="1"/>
  <c r="AI1052" i="2"/>
  <c r="AK1052" i="2" s="1"/>
  <c r="AI1053" i="2"/>
  <c r="AK1053" i="2" s="1"/>
  <c r="AI1054" i="2"/>
  <c r="AK1054" i="2" s="1"/>
  <c r="AI1055" i="2"/>
  <c r="AK1055" i="2" s="1"/>
  <c r="AI1056" i="2"/>
  <c r="AK1056" i="2" s="1"/>
  <c r="AI1057" i="2"/>
  <c r="AK1057" i="2" s="1"/>
  <c r="AI1058" i="2"/>
  <c r="AK1058" i="2" s="1"/>
  <c r="AI1059" i="2"/>
  <c r="AK1059" i="2" s="1"/>
  <c r="AI1060" i="2"/>
  <c r="AK1060" i="2" s="1"/>
  <c r="AI1061" i="2"/>
  <c r="AK1061" i="2" s="1"/>
  <c r="AI1062" i="2"/>
  <c r="AK1062" i="2" s="1"/>
  <c r="AI1063" i="2"/>
  <c r="AK1063" i="2" s="1"/>
  <c r="AI1064" i="2"/>
  <c r="AK1064" i="2" s="1"/>
  <c r="AI1065" i="2"/>
  <c r="AK1065" i="2" s="1"/>
  <c r="AI1066" i="2"/>
  <c r="AK1066" i="2" s="1"/>
  <c r="AI1067" i="2"/>
  <c r="AK1067" i="2" s="1"/>
  <c r="AI1068" i="2"/>
  <c r="AK1068" i="2" s="1"/>
  <c r="AI1069" i="2"/>
  <c r="AK1069" i="2" s="1"/>
  <c r="AI1070" i="2"/>
  <c r="AK1070" i="2" s="1"/>
  <c r="AI1071" i="2"/>
  <c r="AK1071" i="2" s="1"/>
  <c r="AI1072" i="2"/>
  <c r="AK1072" i="2" s="1"/>
  <c r="AI1073" i="2"/>
  <c r="AK1073" i="2" s="1"/>
  <c r="AI1074" i="2"/>
  <c r="AK1074" i="2" s="1"/>
  <c r="AI1075" i="2"/>
  <c r="AK1075" i="2" s="1"/>
  <c r="AI1076" i="2"/>
  <c r="AK1076" i="2" s="1"/>
  <c r="AI1077" i="2"/>
  <c r="AK1077" i="2" s="1"/>
  <c r="AI1078" i="2"/>
  <c r="AK1078" i="2" s="1"/>
  <c r="AI1079" i="2"/>
  <c r="AK1079" i="2" s="1"/>
  <c r="AI1080" i="2"/>
  <c r="AK1080" i="2" s="1"/>
  <c r="AI1081" i="2"/>
  <c r="AK1081" i="2" s="1"/>
  <c r="AI1082" i="2"/>
  <c r="AK1082" i="2" s="1"/>
  <c r="AI1083" i="2"/>
  <c r="AK1083" i="2" s="1"/>
  <c r="AI1084" i="2"/>
  <c r="AK1084" i="2" s="1"/>
  <c r="AI1085" i="2"/>
  <c r="AK1085" i="2" s="1"/>
  <c r="AI1086" i="2"/>
  <c r="AK1086" i="2" s="1"/>
  <c r="AI1087" i="2"/>
  <c r="AK1087" i="2" s="1"/>
  <c r="AI1088" i="2"/>
  <c r="AK1088" i="2" s="1"/>
  <c r="AI1089" i="2"/>
  <c r="AK1089" i="2" s="1"/>
  <c r="AI1090" i="2"/>
  <c r="AK1090" i="2" s="1"/>
  <c r="AI1091" i="2"/>
  <c r="AK1091" i="2" s="1"/>
  <c r="AI1092" i="2"/>
  <c r="AK1092" i="2" s="1"/>
  <c r="AI1093" i="2"/>
  <c r="AK1093" i="2" s="1"/>
  <c r="AI1094" i="2"/>
  <c r="AK1094" i="2" s="1"/>
  <c r="AI1095" i="2"/>
  <c r="AK1095" i="2" s="1"/>
  <c r="AI1096" i="2"/>
  <c r="AK1096" i="2" s="1"/>
  <c r="AI1097" i="2"/>
  <c r="AK1097" i="2" s="1"/>
  <c r="AI1098" i="2"/>
  <c r="AK1098" i="2" s="1"/>
  <c r="AI1099" i="2"/>
  <c r="AK1099" i="2" s="1"/>
  <c r="AI1100" i="2"/>
  <c r="AK1100" i="2" s="1"/>
  <c r="AI1101" i="2"/>
  <c r="AK1101" i="2" s="1"/>
  <c r="AI1102" i="2"/>
  <c r="AK1102" i="2" s="1"/>
  <c r="AI1103" i="2"/>
  <c r="AK1103" i="2" s="1"/>
  <c r="AI1104" i="2"/>
  <c r="AK1104" i="2" s="1"/>
  <c r="AI1105" i="2"/>
  <c r="AK1105" i="2" s="1"/>
  <c r="AI1106" i="2"/>
  <c r="AK1106" i="2" s="1"/>
  <c r="AI1107" i="2"/>
  <c r="AK1107" i="2" s="1"/>
  <c r="AI1108" i="2"/>
  <c r="AK1108" i="2" s="1"/>
  <c r="AI1109" i="2"/>
  <c r="AK1109" i="2" s="1"/>
  <c r="AI1110" i="2"/>
  <c r="AK1110" i="2" s="1"/>
  <c r="AI1111" i="2"/>
  <c r="AK1111" i="2" s="1"/>
  <c r="AI1112" i="2"/>
  <c r="AK1112" i="2" s="1"/>
  <c r="AI1113" i="2"/>
  <c r="AK1113" i="2" s="1"/>
  <c r="AI1114" i="2"/>
  <c r="AK1114" i="2" s="1"/>
  <c r="AI1115" i="2"/>
  <c r="AK1115" i="2" s="1"/>
  <c r="AI1116" i="2"/>
  <c r="AK1116" i="2" s="1"/>
  <c r="AI1117" i="2"/>
  <c r="AK1117" i="2" s="1"/>
  <c r="AI1118" i="2"/>
  <c r="AK1118" i="2" s="1"/>
  <c r="AI1119" i="2"/>
  <c r="AK1119" i="2" s="1"/>
  <c r="AI1120" i="2"/>
  <c r="AK1120" i="2" s="1"/>
  <c r="AI1121" i="2"/>
  <c r="AK1121" i="2" s="1"/>
  <c r="AI1122" i="2"/>
  <c r="AK1122" i="2" s="1"/>
  <c r="AI1123" i="2"/>
  <c r="AK1123" i="2" s="1"/>
  <c r="AI1124" i="2"/>
  <c r="AK1124" i="2" s="1"/>
  <c r="AI1125" i="2"/>
  <c r="AK1125" i="2" s="1"/>
  <c r="AI1126" i="2"/>
  <c r="AK1126" i="2" s="1"/>
  <c r="AI1127" i="2"/>
  <c r="AK1127" i="2" s="1"/>
  <c r="AI1128" i="2"/>
  <c r="AK1128" i="2" s="1"/>
  <c r="AI1129" i="2"/>
  <c r="AK1129" i="2" s="1"/>
  <c r="AI1130" i="2"/>
  <c r="AK1130" i="2" s="1"/>
  <c r="AI1131" i="2"/>
  <c r="AK1131" i="2" s="1"/>
  <c r="AI1132" i="2"/>
  <c r="AK1132" i="2" s="1"/>
  <c r="AI1133" i="2"/>
  <c r="AK1133" i="2" s="1"/>
  <c r="AI1134" i="2"/>
  <c r="AK1134" i="2" s="1"/>
  <c r="AI1135" i="2"/>
  <c r="AK1135" i="2" s="1"/>
  <c r="AI1136" i="2"/>
  <c r="AK1136" i="2" s="1"/>
  <c r="AI1137" i="2"/>
  <c r="AK1137" i="2" s="1"/>
  <c r="AI1138" i="2"/>
  <c r="AK1138" i="2" s="1"/>
  <c r="AI1139" i="2"/>
  <c r="AK1139" i="2" s="1"/>
  <c r="AI1140" i="2"/>
  <c r="AK1140" i="2" s="1"/>
  <c r="AI1141" i="2"/>
  <c r="AK1141" i="2" s="1"/>
  <c r="AI1142" i="2"/>
  <c r="AK1142" i="2" s="1"/>
  <c r="AI1143" i="2"/>
  <c r="AK1143" i="2" s="1"/>
  <c r="AI1144" i="2"/>
  <c r="AK1144" i="2" s="1"/>
  <c r="AI1145" i="2"/>
  <c r="AK1145" i="2" s="1"/>
  <c r="AI1146" i="2"/>
  <c r="AK1146" i="2" s="1"/>
  <c r="AI1147" i="2"/>
  <c r="AK1147" i="2" s="1"/>
  <c r="AI1148" i="2"/>
  <c r="AK1148" i="2" s="1"/>
  <c r="AI1149" i="2"/>
  <c r="AK1149" i="2" s="1"/>
  <c r="AI1150" i="2"/>
  <c r="AK1150" i="2" s="1"/>
  <c r="AI1151" i="2"/>
  <c r="AK1151" i="2" s="1"/>
  <c r="AI1152" i="2"/>
  <c r="AK1152" i="2" s="1"/>
  <c r="AI1153" i="2"/>
  <c r="AK1153" i="2" s="1"/>
  <c r="AI1154" i="2"/>
  <c r="AK1154" i="2" s="1"/>
  <c r="AI1155" i="2"/>
  <c r="AK1155" i="2" s="1"/>
  <c r="AI1156" i="2"/>
  <c r="AK1156" i="2" s="1"/>
  <c r="AI1157" i="2"/>
  <c r="AK1157" i="2" s="1"/>
  <c r="AI1158" i="2"/>
  <c r="AK1158" i="2" s="1"/>
  <c r="AI1159" i="2"/>
  <c r="AK1159" i="2" s="1"/>
  <c r="AI1160" i="2"/>
  <c r="AK1160" i="2" s="1"/>
  <c r="AI1161" i="2"/>
  <c r="AK1161" i="2" s="1"/>
  <c r="AI1162" i="2"/>
  <c r="AK1162" i="2" s="1"/>
  <c r="AI1163" i="2"/>
  <c r="AK1163" i="2" s="1"/>
  <c r="AI1164" i="2"/>
  <c r="AK1164" i="2" s="1"/>
  <c r="AI1165" i="2"/>
  <c r="AK1165" i="2" s="1"/>
  <c r="AI1166" i="2"/>
  <c r="AK1166" i="2" s="1"/>
  <c r="AI1167" i="2"/>
  <c r="AK1167" i="2" s="1"/>
  <c r="AI1168" i="2"/>
  <c r="AK1168" i="2" s="1"/>
  <c r="AI1169" i="2"/>
  <c r="AK1169" i="2" s="1"/>
  <c r="AI1170" i="2"/>
  <c r="AK1170" i="2" s="1"/>
  <c r="AI1171" i="2"/>
  <c r="AK1171" i="2" s="1"/>
  <c r="AI1172" i="2"/>
  <c r="AK1172" i="2" s="1"/>
  <c r="AI1173" i="2"/>
  <c r="AK1173" i="2" s="1"/>
  <c r="AI1174" i="2"/>
  <c r="AK1174" i="2" s="1"/>
  <c r="AI1175" i="2"/>
  <c r="AK1175" i="2" s="1"/>
  <c r="AI1176" i="2"/>
  <c r="AK1176" i="2" s="1"/>
  <c r="AI1177" i="2"/>
  <c r="AK1177" i="2" s="1"/>
  <c r="AI1178" i="2"/>
  <c r="AK1178" i="2" s="1"/>
  <c r="AI1179" i="2"/>
  <c r="AK1179" i="2" s="1"/>
  <c r="AI1180" i="2"/>
  <c r="AK1180" i="2" s="1"/>
  <c r="AI1181" i="2"/>
  <c r="AK1181" i="2" s="1"/>
  <c r="AI1182" i="2"/>
  <c r="AK1182" i="2" s="1"/>
  <c r="AI1183" i="2"/>
  <c r="AK1183" i="2" s="1"/>
  <c r="AI1184" i="2"/>
  <c r="AK1184" i="2" s="1"/>
  <c r="AI1185" i="2"/>
  <c r="AK1185" i="2" s="1"/>
  <c r="AI1186" i="2"/>
  <c r="AK1186" i="2" s="1"/>
  <c r="AI1187" i="2"/>
  <c r="AK1187" i="2" s="1"/>
  <c r="AI1188" i="2"/>
  <c r="AK1188" i="2" s="1"/>
  <c r="AI1189" i="2"/>
  <c r="AK1189" i="2" s="1"/>
  <c r="AI1190" i="2"/>
  <c r="AK1190" i="2" s="1"/>
  <c r="AI1191" i="2"/>
  <c r="AK1191" i="2" s="1"/>
  <c r="AI1192" i="2"/>
  <c r="AK1192" i="2" s="1"/>
  <c r="AI1193" i="2"/>
  <c r="AK1193" i="2" s="1"/>
  <c r="AI1194" i="2"/>
  <c r="AK1194" i="2" s="1"/>
  <c r="AI1195" i="2"/>
  <c r="AK1195" i="2" s="1"/>
  <c r="AI1196" i="2"/>
  <c r="AK1196" i="2" s="1"/>
  <c r="AI1197" i="2"/>
  <c r="AK1197" i="2" s="1"/>
  <c r="AI1198" i="2"/>
  <c r="AK1198" i="2" s="1"/>
  <c r="AI1199" i="2"/>
  <c r="AK1199" i="2" s="1"/>
  <c r="AI1200" i="2"/>
  <c r="AK1200" i="2" s="1"/>
  <c r="AI1201" i="2"/>
  <c r="AK1201" i="2" s="1"/>
  <c r="AI1202" i="2"/>
  <c r="AK1202" i="2" s="1"/>
  <c r="AI1203" i="2"/>
  <c r="AK1203" i="2" s="1"/>
  <c r="AI1204" i="2"/>
  <c r="AK1204" i="2" s="1"/>
  <c r="AI1205" i="2"/>
  <c r="AK1205" i="2" s="1"/>
  <c r="AI1206" i="2"/>
  <c r="AK1206" i="2" s="1"/>
  <c r="AI1207" i="2"/>
  <c r="AK1207" i="2" s="1"/>
  <c r="AI1208" i="2"/>
  <c r="AK1208" i="2" s="1"/>
  <c r="AI1209" i="2"/>
  <c r="AK1209" i="2" s="1"/>
  <c r="AI1210" i="2"/>
  <c r="AK1210" i="2" s="1"/>
  <c r="AI1211" i="2"/>
  <c r="AK1211" i="2" s="1"/>
  <c r="AI1212" i="2"/>
  <c r="AK1212" i="2" s="1"/>
  <c r="AI1213" i="2"/>
  <c r="AK1213" i="2" s="1"/>
  <c r="AI1214" i="2"/>
  <c r="AK1214" i="2" s="1"/>
  <c r="AI1215" i="2"/>
  <c r="AK1215" i="2" s="1"/>
  <c r="AI1216" i="2"/>
  <c r="AK1216" i="2" s="1"/>
  <c r="AI1217" i="2"/>
  <c r="AK1217" i="2" s="1"/>
  <c r="AI1218" i="2"/>
  <c r="AK1218" i="2" s="1"/>
  <c r="AI1219" i="2"/>
  <c r="AK1219" i="2" s="1"/>
  <c r="AI1220" i="2"/>
  <c r="AK1220" i="2" s="1"/>
  <c r="AI1221" i="2"/>
  <c r="AK1221" i="2" s="1"/>
  <c r="AI1222" i="2"/>
  <c r="AK1222" i="2" s="1"/>
  <c r="AI1223" i="2"/>
  <c r="AK1223" i="2" s="1"/>
  <c r="AI1224" i="2"/>
  <c r="AK1224" i="2" s="1"/>
  <c r="AI1225" i="2"/>
  <c r="AK1225" i="2" s="1"/>
  <c r="AI1226" i="2"/>
  <c r="AK1226" i="2" s="1"/>
  <c r="AI1227" i="2"/>
  <c r="AK1227" i="2" s="1"/>
  <c r="AI1228" i="2"/>
  <c r="AK1228" i="2" s="1"/>
  <c r="AI1229" i="2"/>
  <c r="AK1229" i="2" s="1"/>
  <c r="AI1230" i="2"/>
  <c r="AK1230" i="2" s="1"/>
  <c r="AI1231" i="2"/>
  <c r="AK1231" i="2" s="1"/>
  <c r="M1232" i="2"/>
  <c r="K1232" i="2"/>
  <c r="J1232" i="2"/>
  <c r="P209" i="2"/>
  <c r="P210" i="2"/>
  <c r="P211" i="2"/>
  <c r="P212" i="2"/>
  <c r="AI201" i="2"/>
  <c r="AI202" i="2"/>
  <c r="AI203" i="2"/>
  <c r="AI204" i="2"/>
  <c r="AI205" i="2"/>
  <c r="AI206" i="2"/>
  <c r="AI207" i="2"/>
  <c r="AI208" i="2"/>
  <c r="AI209" i="2"/>
  <c r="AK209" i="2" s="1"/>
  <c r="AI210" i="2"/>
  <c r="AK210" i="2" s="1"/>
  <c r="AI211" i="2"/>
  <c r="AK211" i="2" s="1"/>
  <c r="AI212" i="2"/>
  <c r="AK212" i="2" s="1"/>
  <c r="G32" i="1"/>
  <c r="H32" i="1"/>
  <c r="AI200" i="2"/>
  <c r="H200" i="2"/>
  <c r="H201" i="2"/>
  <c r="H202" i="2"/>
  <c r="H203" i="2"/>
  <c r="H204" i="2"/>
  <c r="H205" i="2"/>
  <c r="H206" i="2"/>
  <c r="H207" i="2"/>
  <c r="H208" i="2"/>
  <c r="S200" i="2"/>
  <c r="S201" i="2"/>
  <c r="S202" i="2"/>
  <c r="S203" i="2"/>
  <c r="S204" i="2"/>
  <c r="S205" i="2"/>
  <c r="S206" i="2"/>
  <c r="S207" i="2"/>
  <c r="S208" i="2"/>
  <c r="D32" i="1"/>
  <c r="C32" i="1"/>
  <c r="F28" i="1" s="1"/>
  <c r="B32" i="1"/>
  <c r="E15" i="1" l="1"/>
  <c r="E20" i="1"/>
  <c r="E25" i="1"/>
  <c r="E28" i="1"/>
  <c r="E14" i="1"/>
  <c r="E17" i="1"/>
  <c r="E4" i="1"/>
  <c r="E30" i="1"/>
  <c r="U205" i="2"/>
  <c r="D205" i="2"/>
  <c r="F205" i="2"/>
  <c r="U201" i="2"/>
  <c r="D201" i="2"/>
  <c r="F201" i="2"/>
  <c r="U208" i="2"/>
  <c r="D208" i="2"/>
  <c r="F208" i="2"/>
  <c r="U204" i="2"/>
  <c r="F204" i="2"/>
  <c r="D204" i="2"/>
  <c r="U200" i="2"/>
  <c r="D200" i="2"/>
  <c r="F200" i="2"/>
  <c r="F212" i="2"/>
  <c r="D212" i="2"/>
  <c r="U207" i="2"/>
  <c r="F207" i="2"/>
  <c r="D207" i="2"/>
  <c r="D209" i="2"/>
  <c r="F209" i="2"/>
  <c r="U203" i="2"/>
  <c r="F203" i="2"/>
  <c r="D203" i="2"/>
  <c r="U206" i="2"/>
  <c r="D206" i="2"/>
  <c r="F206" i="2"/>
  <c r="U202" i="2"/>
  <c r="D202" i="2"/>
  <c r="F202" i="2"/>
  <c r="F210" i="2"/>
  <c r="D210" i="2"/>
  <c r="F211" i="2"/>
  <c r="D211" i="2"/>
  <c r="O211" i="2"/>
  <c r="M31" i="4"/>
  <c r="M26" i="4"/>
  <c r="S8" i="4"/>
  <c r="S20" i="4"/>
  <c r="S24" i="4"/>
  <c r="S12" i="4"/>
  <c r="S30" i="4"/>
  <c r="S14" i="4"/>
  <c r="M7" i="4"/>
  <c r="M25" i="4"/>
  <c r="M10" i="4"/>
  <c r="M3" i="4"/>
  <c r="S27" i="4"/>
  <c r="S13" i="4"/>
  <c r="S31" i="4"/>
  <c r="S28" i="4"/>
  <c r="S18" i="4"/>
  <c r="M32" i="4"/>
  <c r="M18" i="4"/>
  <c r="M19" i="4"/>
  <c r="M15" i="4"/>
  <c r="S7" i="4"/>
  <c r="S26" i="4"/>
  <c r="S25" i="4"/>
  <c r="S10" i="4"/>
  <c r="S3" i="4"/>
  <c r="M8" i="4"/>
  <c r="M20" i="4"/>
  <c r="M14" i="4"/>
  <c r="S19" i="4"/>
  <c r="S22" i="4"/>
  <c r="S15" i="4"/>
  <c r="AH210" i="2"/>
  <c r="O210" i="2"/>
  <c r="U210" i="2"/>
  <c r="X210" i="2"/>
  <c r="AB1232" i="2"/>
  <c r="AH209" i="2"/>
  <c r="O209" i="2"/>
  <c r="U211" i="2"/>
  <c r="X211" i="2"/>
  <c r="AH212" i="2"/>
  <c r="O212" i="2"/>
  <c r="AA1232" i="2"/>
  <c r="U212" i="2"/>
  <c r="X212" i="2"/>
  <c r="X209" i="2"/>
  <c r="U209" i="2"/>
  <c r="P1232" i="2"/>
  <c r="AH211" i="2"/>
  <c r="E16" i="1"/>
  <c r="E6" i="1"/>
  <c r="E22" i="1"/>
  <c r="E29" i="1"/>
  <c r="E9" i="1"/>
  <c r="E18" i="1"/>
  <c r="E31" i="1"/>
  <c r="E24" i="1"/>
  <c r="E7" i="1"/>
  <c r="E23" i="1"/>
  <c r="E2" i="1"/>
  <c r="E12" i="1"/>
  <c r="E13" i="1"/>
  <c r="E5" i="1"/>
  <c r="E19" i="1"/>
  <c r="E3" i="1"/>
  <c r="E26" i="1"/>
  <c r="E27" i="1"/>
  <c r="E8" i="1"/>
  <c r="E21" i="1"/>
  <c r="E11" i="1"/>
  <c r="E10" i="1"/>
  <c r="F31" i="1"/>
  <c r="F23" i="1"/>
  <c r="F9" i="1"/>
  <c r="L15" i="2" s="1"/>
  <c r="F22" i="1"/>
  <c r="F4" i="1"/>
  <c r="F20" i="1"/>
  <c r="F17" i="1"/>
  <c r="F16" i="1"/>
  <c r="F29" i="1"/>
  <c r="F11" i="1"/>
  <c r="F24" i="1"/>
  <c r="F7" i="1"/>
  <c r="F18" i="1"/>
  <c r="F14" i="1"/>
  <c r="F30" i="1"/>
  <c r="F12" i="1"/>
  <c r="F21" i="1"/>
  <c r="F6" i="1"/>
  <c r="F19" i="1"/>
  <c r="F3" i="1"/>
  <c r="F25" i="1"/>
  <c r="F27" i="1"/>
  <c r="N15" i="2" s="1"/>
  <c r="F15" i="1"/>
  <c r="F8" i="1"/>
  <c r="F13" i="1"/>
  <c r="F5" i="1"/>
  <c r="F2" i="1"/>
  <c r="F10" i="1"/>
  <c r="F26" i="1"/>
  <c r="D13" i="4"/>
  <c r="C13" i="4"/>
  <c r="C12" i="4"/>
  <c r="D12" i="4"/>
  <c r="G12" i="4"/>
  <c r="F12" i="4"/>
  <c r="F13" i="4"/>
  <c r="G13" i="4"/>
  <c r="Z15" i="2" l="1"/>
  <c r="AN15" i="2" s="1"/>
  <c r="M24" i="4"/>
  <c r="M28" i="4"/>
  <c r="M12" i="4"/>
  <c r="M27" i="4"/>
  <c r="M5" i="4"/>
  <c r="M22" i="4"/>
  <c r="M13" i="4"/>
  <c r="M30" i="4"/>
  <c r="H13" i="4"/>
  <c r="D14" i="4"/>
  <c r="C14" i="4"/>
  <c r="E12" i="4"/>
  <c r="G14" i="4"/>
  <c r="F14" i="4"/>
  <c r="H12" i="4"/>
  <c r="E13" i="4"/>
  <c r="M16" i="4"/>
  <c r="M4" i="4"/>
  <c r="S11" i="4"/>
  <c r="S23" i="4"/>
  <c r="M29" i="4"/>
  <c r="M17" i="4"/>
  <c r="M11" i="4"/>
  <c r="M23" i="4"/>
  <c r="S21" i="4"/>
  <c r="S6" i="4"/>
  <c r="S29" i="4"/>
  <c r="S17" i="4"/>
  <c r="S4" i="4"/>
  <c r="S16" i="4"/>
  <c r="M21" i="4"/>
  <c r="M6" i="4"/>
  <c r="O1232" i="2"/>
  <c r="E32" i="1"/>
  <c r="F32" i="1"/>
  <c r="H14" i="4" l="1"/>
  <c r="E14" i="4"/>
  <c r="H15" i="4"/>
  <c r="S34" i="4"/>
  <c r="V34" i="4" s="1"/>
  <c r="E15" i="4"/>
  <c r="M34" i="4"/>
  <c r="P34" i="4" s="1"/>
  <c r="G1232" i="2"/>
  <c r="E1232" i="2"/>
  <c r="S3" i="2"/>
  <c r="S4" i="2"/>
  <c r="S5" i="2"/>
  <c r="S6" i="2"/>
  <c r="S7" i="2"/>
  <c r="S8" i="2"/>
  <c r="S9" i="2"/>
  <c r="S10" i="2"/>
  <c r="S11" i="2"/>
  <c r="S12" i="2"/>
  <c r="S13" i="2"/>
  <c r="S14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" i="2"/>
  <c r="H3" i="2"/>
  <c r="H4" i="2"/>
  <c r="H5" i="2"/>
  <c r="H6" i="2"/>
  <c r="H7" i="2"/>
  <c r="H8" i="2"/>
  <c r="H9" i="2"/>
  <c r="H10" i="2"/>
  <c r="H11" i="2"/>
  <c r="H12" i="2"/>
  <c r="H13" i="2"/>
  <c r="H14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" i="2"/>
  <c r="F194" i="2" l="1"/>
  <c r="D194" i="2"/>
  <c r="F182" i="2"/>
  <c r="D182" i="2"/>
  <c r="F174" i="2"/>
  <c r="D174" i="2"/>
  <c r="F162" i="2"/>
  <c r="D162" i="2"/>
  <c r="F158" i="2"/>
  <c r="D158" i="2"/>
  <c r="F146" i="2"/>
  <c r="D146" i="2"/>
  <c r="F138" i="2"/>
  <c r="D138" i="2"/>
  <c r="F130" i="2"/>
  <c r="D130" i="2"/>
  <c r="F122" i="2"/>
  <c r="D122" i="2"/>
  <c r="F110" i="2"/>
  <c r="D110" i="2"/>
  <c r="F102" i="2"/>
  <c r="D102" i="2"/>
  <c r="F90" i="2"/>
  <c r="D90" i="2"/>
  <c r="F82" i="2"/>
  <c r="D82" i="2"/>
  <c r="F70" i="2"/>
  <c r="D70" i="2"/>
  <c r="F58" i="2"/>
  <c r="D58" i="2"/>
  <c r="F50" i="2"/>
  <c r="D50" i="2"/>
  <c r="F42" i="2"/>
  <c r="D42" i="2"/>
  <c r="F34" i="2"/>
  <c r="D34" i="2"/>
  <c r="F26" i="2"/>
  <c r="D26" i="2"/>
  <c r="F18" i="2"/>
  <c r="D18" i="2"/>
  <c r="D6" i="2"/>
  <c r="F6" i="2"/>
  <c r="D2" i="2"/>
  <c r="F2" i="2"/>
  <c r="F196" i="2"/>
  <c r="D196" i="2"/>
  <c r="F192" i="2"/>
  <c r="D192" i="2"/>
  <c r="F188" i="2"/>
  <c r="D188" i="2"/>
  <c r="F184" i="2"/>
  <c r="D184" i="2"/>
  <c r="F180" i="2"/>
  <c r="D180" i="2"/>
  <c r="F176" i="2"/>
  <c r="D176" i="2"/>
  <c r="F172" i="2"/>
  <c r="D172" i="2"/>
  <c r="D168" i="2"/>
  <c r="F168" i="2"/>
  <c r="D164" i="2"/>
  <c r="F164" i="2"/>
  <c r="D160" i="2"/>
  <c r="F160" i="2"/>
  <c r="D156" i="2"/>
  <c r="F156" i="2"/>
  <c r="D152" i="2"/>
  <c r="F152" i="2"/>
  <c r="D148" i="2"/>
  <c r="F148" i="2"/>
  <c r="D144" i="2"/>
  <c r="F144" i="2"/>
  <c r="D140" i="2"/>
  <c r="F140" i="2"/>
  <c r="D136" i="2"/>
  <c r="F136" i="2"/>
  <c r="D132" i="2"/>
  <c r="F132" i="2"/>
  <c r="D128" i="2"/>
  <c r="F128" i="2"/>
  <c r="D124" i="2"/>
  <c r="F124" i="2"/>
  <c r="D120" i="2"/>
  <c r="F120" i="2"/>
  <c r="D116" i="2"/>
  <c r="F116" i="2"/>
  <c r="D112" i="2"/>
  <c r="F112" i="2"/>
  <c r="D108" i="2"/>
  <c r="F108" i="2"/>
  <c r="D104" i="2"/>
  <c r="F104" i="2"/>
  <c r="D100" i="2"/>
  <c r="F100" i="2"/>
  <c r="D96" i="2"/>
  <c r="F96" i="2"/>
  <c r="D92" i="2"/>
  <c r="F92" i="2"/>
  <c r="D88" i="2"/>
  <c r="F88" i="2"/>
  <c r="D84" i="2"/>
  <c r="F84" i="2"/>
  <c r="D80" i="2"/>
  <c r="F80" i="2"/>
  <c r="D76" i="2"/>
  <c r="F76" i="2"/>
  <c r="D72" i="2"/>
  <c r="F72" i="2"/>
  <c r="D68" i="2"/>
  <c r="F68" i="2"/>
  <c r="D64" i="2"/>
  <c r="F64" i="2"/>
  <c r="D60" i="2"/>
  <c r="F60" i="2"/>
  <c r="F56" i="2"/>
  <c r="D56" i="2"/>
  <c r="F52" i="2"/>
  <c r="D52" i="2"/>
  <c r="F48" i="2"/>
  <c r="D48" i="2"/>
  <c r="F44" i="2"/>
  <c r="D44" i="2"/>
  <c r="F40" i="2"/>
  <c r="D40" i="2"/>
  <c r="F36" i="2"/>
  <c r="D36" i="2"/>
  <c r="F32" i="2"/>
  <c r="D32" i="2"/>
  <c r="F28" i="2"/>
  <c r="D28" i="2"/>
  <c r="F24" i="2"/>
  <c r="D24" i="2"/>
  <c r="F20" i="2"/>
  <c r="D20" i="2"/>
  <c r="F16" i="2"/>
  <c r="D16" i="2"/>
  <c r="D12" i="2"/>
  <c r="F12" i="2"/>
  <c r="D8" i="2"/>
  <c r="F8" i="2"/>
  <c r="F4" i="2"/>
  <c r="D4" i="2"/>
  <c r="F198" i="2"/>
  <c r="D198" i="2"/>
  <c r="F186" i="2"/>
  <c r="D186" i="2"/>
  <c r="F178" i="2"/>
  <c r="D178" i="2"/>
  <c r="F166" i="2"/>
  <c r="D166" i="2"/>
  <c r="F154" i="2"/>
  <c r="D154" i="2"/>
  <c r="F142" i="2"/>
  <c r="D142" i="2"/>
  <c r="F126" i="2"/>
  <c r="D126" i="2"/>
  <c r="F118" i="2"/>
  <c r="D118" i="2"/>
  <c r="F106" i="2"/>
  <c r="D106" i="2"/>
  <c r="F94" i="2"/>
  <c r="D94" i="2"/>
  <c r="F78" i="2"/>
  <c r="D78" i="2"/>
  <c r="F66" i="2"/>
  <c r="D66" i="2"/>
  <c r="F54" i="2"/>
  <c r="D54" i="2"/>
  <c r="F38" i="2"/>
  <c r="D38" i="2"/>
  <c r="F22" i="2"/>
  <c r="D22" i="2"/>
  <c r="D10" i="2"/>
  <c r="F10" i="2"/>
  <c r="F197" i="2"/>
  <c r="D197" i="2"/>
  <c r="F189" i="2"/>
  <c r="D189" i="2"/>
  <c r="F185" i="2"/>
  <c r="D185" i="2"/>
  <c r="F181" i="2"/>
  <c r="D181" i="2"/>
  <c r="F177" i="2"/>
  <c r="D177" i="2"/>
  <c r="F173" i="2"/>
  <c r="D173" i="2"/>
  <c r="F169" i="2"/>
  <c r="D169" i="2"/>
  <c r="F165" i="2"/>
  <c r="D165" i="2"/>
  <c r="F157" i="2"/>
  <c r="D157" i="2"/>
  <c r="F153" i="2"/>
  <c r="D153" i="2"/>
  <c r="F149" i="2"/>
  <c r="D149" i="2"/>
  <c r="F145" i="2"/>
  <c r="D145" i="2"/>
  <c r="F141" i="2"/>
  <c r="D141" i="2"/>
  <c r="F137" i="2"/>
  <c r="D137" i="2"/>
  <c r="F133" i="2"/>
  <c r="D133" i="2"/>
  <c r="F129" i="2"/>
  <c r="D129" i="2"/>
  <c r="F121" i="2"/>
  <c r="D121" i="2"/>
  <c r="F117" i="2"/>
  <c r="D117" i="2"/>
  <c r="F113" i="2"/>
  <c r="D113" i="2"/>
  <c r="F109" i="2"/>
  <c r="D109" i="2"/>
  <c r="F105" i="2"/>
  <c r="D105" i="2"/>
  <c r="F101" i="2"/>
  <c r="D101" i="2"/>
  <c r="F97" i="2"/>
  <c r="D97" i="2"/>
  <c r="F93" i="2"/>
  <c r="D93" i="2"/>
  <c r="F89" i="2"/>
  <c r="D89" i="2"/>
  <c r="F81" i="2"/>
  <c r="D81" i="2"/>
  <c r="F77" i="2"/>
  <c r="D77" i="2"/>
  <c r="F73" i="2"/>
  <c r="D73" i="2"/>
  <c r="F69" i="2"/>
  <c r="D69" i="2"/>
  <c r="F65" i="2"/>
  <c r="D65" i="2"/>
  <c r="F61" i="2"/>
  <c r="D61" i="2"/>
  <c r="F57" i="2"/>
  <c r="D57" i="2"/>
  <c r="F53" i="2"/>
  <c r="D53" i="2"/>
  <c r="F49" i="2"/>
  <c r="D49" i="2"/>
  <c r="F45" i="2"/>
  <c r="D45" i="2"/>
  <c r="F41" i="2"/>
  <c r="D41" i="2"/>
  <c r="F33" i="2"/>
  <c r="D33" i="2"/>
  <c r="F29" i="2"/>
  <c r="D29" i="2"/>
  <c r="F25" i="2"/>
  <c r="D25" i="2"/>
  <c r="F21" i="2"/>
  <c r="D21" i="2"/>
  <c r="F17" i="2"/>
  <c r="D17" i="2"/>
  <c r="D13" i="2"/>
  <c r="F13" i="2"/>
  <c r="D9" i="2"/>
  <c r="F9" i="2"/>
  <c r="F5" i="2"/>
  <c r="D5" i="2"/>
  <c r="F199" i="2"/>
  <c r="D199" i="2"/>
  <c r="F195" i="2"/>
  <c r="D195" i="2"/>
  <c r="F191" i="2"/>
  <c r="D191" i="2"/>
  <c r="F187" i="2"/>
  <c r="D187" i="2"/>
  <c r="F183" i="2"/>
  <c r="D183" i="2"/>
  <c r="F179" i="2"/>
  <c r="D179" i="2"/>
  <c r="F175" i="2"/>
  <c r="D175" i="2"/>
  <c r="F171" i="2"/>
  <c r="D171" i="2"/>
  <c r="F167" i="2"/>
  <c r="D167" i="2"/>
  <c r="D163" i="2"/>
  <c r="F163" i="2"/>
  <c r="F159" i="2"/>
  <c r="D159" i="2"/>
  <c r="F155" i="2"/>
  <c r="D155" i="2"/>
  <c r="F151" i="2"/>
  <c r="D151" i="2"/>
  <c r="D147" i="2"/>
  <c r="F147" i="2"/>
  <c r="F143" i="2"/>
  <c r="D143" i="2"/>
  <c r="F139" i="2"/>
  <c r="D139" i="2"/>
  <c r="F135" i="2"/>
  <c r="D135" i="2"/>
  <c r="D131" i="2"/>
  <c r="F131" i="2"/>
  <c r="F127" i="2"/>
  <c r="D127" i="2"/>
  <c r="F123" i="2"/>
  <c r="D123" i="2"/>
  <c r="F119" i="2"/>
  <c r="D119" i="2"/>
  <c r="D115" i="2"/>
  <c r="F115" i="2"/>
  <c r="F111" i="2"/>
  <c r="D111" i="2"/>
  <c r="D107" i="2"/>
  <c r="F107" i="2"/>
  <c r="F103" i="2"/>
  <c r="D103" i="2"/>
  <c r="D99" i="2"/>
  <c r="F99" i="2"/>
  <c r="F95" i="2"/>
  <c r="D95" i="2"/>
  <c r="D91" i="2"/>
  <c r="F91" i="2"/>
  <c r="F87" i="2"/>
  <c r="D87" i="2"/>
  <c r="D83" i="2"/>
  <c r="F83" i="2"/>
  <c r="F79" i="2"/>
  <c r="D79" i="2"/>
  <c r="D75" i="2"/>
  <c r="F75" i="2"/>
  <c r="F71" i="2"/>
  <c r="D71" i="2"/>
  <c r="D67" i="2"/>
  <c r="F67" i="2"/>
  <c r="F63" i="2"/>
  <c r="D63" i="2"/>
  <c r="D59" i="2"/>
  <c r="F59" i="2"/>
  <c r="F55" i="2"/>
  <c r="D55" i="2"/>
  <c r="F51" i="2"/>
  <c r="D51" i="2"/>
  <c r="D47" i="2"/>
  <c r="F47" i="2"/>
  <c r="D43" i="2"/>
  <c r="F43" i="2"/>
  <c r="F39" i="2"/>
  <c r="D39" i="2"/>
  <c r="F35" i="2"/>
  <c r="D35" i="2"/>
  <c r="D31" i="2"/>
  <c r="F31" i="2"/>
  <c r="D27" i="2"/>
  <c r="F27" i="2"/>
  <c r="F23" i="2"/>
  <c r="D23" i="2"/>
  <c r="F19" i="2"/>
  <c r="D19" i="2"/>
  <c r="F11" i="2"/>
  <c r="D11" i="2"/>
  <c r="D7" i="2"/>
  <c r="F7" i="2"/>
  <c r="F3" i="2"/>
  <c r="D3" i="2"/>
  <c r="F190" i="2"/>
  <c r="D190" i="2"/>
  <c r="F170" i="2"/>
  <c r="D170" i="2"/>
  <c r="F150" i="2"/>
  <c r="D150" i="2"/>
  <c r="F134" i="2"/>
  <c r="D134" i="2"/>
  <c r="F114" i="2"/>
  <c r="D114" i="2"/>
  <c r="F98" i="2"/>
  <c r="D98" i="2"/>
  <c r="F86" i="2"/>
  <c r="D86" i="2"/>
  <c r="F74" i="2"/>
  <c r="D74" i="2"/>
  <c r="F62" i="2"/>
  <c r="D62" i="2"/>
  <c r="F46" i="2"/>
  <c r="D46" i="2"/>
  <c r="F30" i="2"/>
  <c r="D30" i="2"/>
  <c r="D14" i="2"/>
  <c r="F14" i="2"/>
  <c r="F193" i="2"/>
  <c r="D193" i="2"/>
  <c r="F161" i="2"/>
  <c r="D161" i="2"/>
  <c r="F125" i="2"/>
  <c r="D125" i="2"/>
  <c r="F85" i="2"/>
  <c r="D85" i="2"/>
  <c r="F37" i="2"/>
  <c r="D37" i="2"/>
  <c r="H1232" i="2"/>
  <c r="S1232" i="2"/>
  <c r="K2" i="1"/>
  <c r="W15" i="2" s="1"/>
  <c r="AL15" i="2" s="1"/>
  <c r="AM15" i="2" s="1"/>
  <c r="D1232" i="2" l="1"/>
  <c r="F1232" i="2"/>
  <c r="R33" i="4"/>
  <c r="L33" i="4"/>
  <c r="M9" i="4" l="1"/>
  <c r="K33" i="4"/>
  <c r="M33" i="4" s="1"/>
  <c r="S9" i="4" l="1"/>
  <c r="Q33" i="4"/>
  <c r="S33" i="4" s="1"/>
  <c r="R809" i="2" l="1"/>
  <c r="N809" i="2" s="1"/>
  <c r="AG861" i="2"/>
  <c r="Q582" i="2"/>
  <c r="L582" i="2" s="1"/>
  <c r="Q1208" i="2"/>
  <c r="L1208" i="2" s="1"/>
  <c r="AG877" i="2"/>
  <c r="Q187" i="2"/>
  <c r="L187" i="2" s="1"/>
  <c r="R957" i="2"/>
  <c r="N957" i="2" s="1"/>
  <c r="R1017" i="2"/>
  <c r="N1017" i="2" s="1"/>
  <c r="R287" i="2"/>
  <c r="N287" i="2" s="1"/>
  <c r="R458" i="2"/>
  <c r="N458" i="2" s="1"/>
  <c r="AG351" i="2"/>
  <c r="R279" i="2"/>
  <c r="N279" i="2" s="1"/>
  <c r="Q877" i="2"/>
  <c r="L877" i="2" s="1"/>
  <c r="Q1113" i="2"/>
  <c r="L1113" i="2" s="1"/>
  <c r="AG1113" i="2"/>
  <c r="Q149" i="2"/>
  <c r="L149" i="2" s="1"/>
  <c r="R506" i="2"/>
  <c r="N506" i="2" s="1"/>
  <c r="Q1034" i="2"/>
  <c r="L1034" i="2" s="1"/>
  <c r="Q60" i="2"/>
  <c r="L60" i="2" s="1"/>
  <c r="Q97" i="2"/>
  <c r="L97" i="2" s="1"/>
  <c r="R17" i="2"/>
  <c r="N17" i="2" s="1"/>
  <c r="R137" i="2"/>
  <c r="N137" i="2" s="1"/>
  <c r="AG187" i="2"/>
  <c r="R741" i="2"/>
  <c r="N741" i="2" s="1"/>
  <c r="R75" i="2"/>
  <c r="N75" i="2" s="1"/>
  <c r="R920" i="2"/>
  <c r="N920" i="2" s="1"/>
  <c r="R677" i="2"/>
  <c r="N677" i="2" s="1"/>
  <c r="R497" i="2"/>
  <c r="N497" i="2" s="1"/>
  <c r="Q327" i="2"/>
  <c r="L327" i="2" s="1"/>
  <c r="AG440" i="2"/>
  <c r="R551" i="2"/>
  <c r="N551" i="2" s="1"/>
  <c r="Q1170" i="2"/>
  <c r="L1170" i="2" s="1"/>
  <c r="Q1010" i="2"/>
  <c r="L1010" i="2" s="1"/>
  <c r="AG149" i="2"/>
  <c r="AG1224" i="2"/>
  <c r="R766" i="2"/>
  <c r="N766" i="2" s="1"/>
  <c r="Q422" i="2"/>
  <c r="L422" i="2" s="1"/>
  <c r="Q365" i="2"/>
  <c r="L365" i="2" s="1"/>
  <c r="AG1208" i="2"/>
  <c r="Q533" i="2"/>
  <c r="L533" i="2" s="1"/>
  <c r="AG1095" i="2"/>
  <c r="Q638" i="2"/>
  <c r="L638" i="2" s="1"/>
  <c r="R413" i="2"/>
  <c r="N413" i="2" s="1"/>
  <c r="R853" i="2"/>
  <c r="N853" i="2" s="1"/>
  <c r="Q351" i="2"/>
  <c r="L351" i="2" s="1"/>
  <c r="R792" i="2"/>
  <c r="N792" i="2" s="1"/>
  <c r="AG1049" i="2"/>
  <c r="AG38" i="2"/>
  <c r="R1069" i="2"/>
  <c r="N1069" i="2" s="1"/>
  <c r="Q1085" i="2"/>
  <c r="L1085" i="2" s="1"/>
  <c r="R380" i="2"/>
  <c r="N380" i="2" s="1"/>
  <c r="AG1034" i="2"/>
  <c r="AG422" i="2"/>
  <c r="AG562" i="2"/>
  <c r="AG60" i="2"/>
  <c r="R778" i="2"/>
  <c r="N778" i="2" s="1"/>
  <c r="R999" i="2"/>
  <c r="N999" i="2" s="1"/>
  <c r="AG842" i="2"/>
  <c r="R1195" i="2"/>
  <c r="N1195" i="2" s="1"/>
  <c r="AG365" i="2"/>
  <c r="Q562" i="2"/>
  <c r="L562" i="2" s="1"/>
  <c r="AG448" i="2"/>
  <c r="R229" i="2"/>
  <c r="N229" i="2" s="1"/>
  <c r="AG898" i="2"/>
  <c r="Q1095" i="2"/>
  <c r="L1095" i="2" s="1"/>
  <c r="Q618" i="2"/>
  <c r="L618" i="2" s="1"/>
  <c r="AG744" i="2"/>
  <c r="AG111" i="2"/>
  <c r="R830" i="2"/>
  <c r="N830" i="2" s="1"/>
  <c r="Q45" i="2"/>
  <c r="L45" i="2" s="1"/>
  <c r="Q842" i="2"/>
  <c r="L842" i="2" s="1"/>
  <c r="AG1085" i="2"/>
  <c r="R184" i="2"/>
  <c r="N184" i="2" s="1"/>
  <c r="Q163" i="2"/>
  <c r="L163" i="2" s="1"/>
  <c r="Q203" i="2"/>
  <c r="L203" i="2" s="1"/>
  <c r="AG519" i="2"/>
  <c r="Q861" i="2"/>
  <c r="L861" i="2" s="1"/>
  <c r="R1125" i="2"/>
  <c r="N1125" i="2" s="1"/>
  <c r="AG533" i="2"/>
  <c r="AG582" i="2"/>
  <c r="AG603" i="2"/>
  <c r="Q466" i="2"/>
  <c r="L466" i="2" s="1"/>
  <c r="R261" i="2"/>
  <c r="N261" i="2" s="1"/>
  <c r="AG97" i="2"/>
  <c r="Q448" i="2"/>
  <c r="L448" i="2" s="1"/>
  <c r="Q898" i="2"/>
  <c r="L898" i="2" s="1"/>
  <c r="R913" i="2"/>
  <c r="N913" i="2" s="1"/>
  <c r="AG466" i="2"/>
  <c r="AG1170" i="2"/>
  <c r="Q1140" i="2"/>
  <c r="L1140" i="2" s="1"/>
  <c r="Q744" i="2"/>
  <c r="L744" i="2" s="1"/>
  <c r="Q302" i="2"/>
  <c r="L302" i="2" s="1"/>
  <c r="Q440" i="2"/>
  <c r="L440" i="2" s="1"/>
  <c r="AG302" i="2"/>
  <c r="R216" i="2"/>
  <c r="N216" i="2" s="1"/>
  <c r="AG327" i="2"/>
  <c r="AG618" i="2"/>
  <c r="AG163" i="2"/>
  <c r="R666" i="2"/>
  <c r="N666" i="2" s="1"/>
  <c r="AG1010" i="2"/>
  <c r="R706" i="2"/>
  <c r="N706" i="2" s="1"/>
  <c r="Q38" i="2"/>
  <c r="L38" i="2" s="1"/>
  <c r="AG638" i="2"/>
  <c r="Q519" i="2"/>
  <c r="L519" i="2" s="1"/>
  <c r="Q1049" i="2"/>
  <c r="L1049" i="2" s="1"/>
  <c r="AG977" i="2"/>
  <c r="Q603" i="2"/>
  <c r="L603" i="2" s="1"/>
  <c r="R656" i="2"/>
  <c r="N656" i="2" s="1"/>
  <c r="Q977" i="2"/>
  <c r="L977" i="2" s="1"/>
  <c r="Q1224" i="2"/>
  <c r="L1224" i="2" s="1"/>
  <c r="R1054" i="2"/>
  <c r="N1054" i="2" s="1"/>
  <c r="AG940" i="2"/>
  <c r="R482" i="2"/>
  <c r="N482" i="2" s="1"/>
  <c r="R87" i="2"/>
  <c r="N87" i="2" s="1"/>
  <c r="R394" i="2"/>
  <c r="N394" i="2" s="1"/>
  <c r="AG45" i="2"/>
  <c r="AG1140" i="2"/>
  <c r="R248" i="2"/>
  <c r="N248" i="2" s="1"/>
  <c r="AG203" i="2"/>
  <c r="Q940" i="2"/>
  <c r="L940" i="2" s="1"/>
  <c r="Q111" i="2"/>
  <c r="L111" i="2" s="1"/>
  <c r="R962" i="2"/>
  <c r="N962" i="2" s="1"/>
  <c r="R907" i="2"/>
  <c r="N907" i="2" s="1"/>
  <c r="AG1033" i="2"/>
  <c r="AG952" i="2"/>
  <c r="R352" i="2"/>
  <c r="N352" i="2" s="1"/>
  <c r="AG786" i="2"/>
  <c r="R824" i="2"/>
  <c r="N824" i="2" s="1"/>
  <c r="Q386" i="2"/>
  <c r="L386" i="2" s="1"/>
  <c r="Q67" i="2"/>
  <c r="L67" i="2" s="1"/>
  <c r="AG1130" i="2"/>
  <c r="R664" i="2"/>
  <c r="N664" i="2" s="1"/>
  <c r="AG1018" i="2"/>
  <c r="R985" i="2"/>
  <c r="N985" i="2" s="1"/>
  <c r="R931" i="2"/>
  <c r="N931" i="2" s="1"/>
  <c r="Q589" i="2"/>
  <c r="L589" i="2" s="1"/>
  <c r="Q517" i="2"/>
  <c r="L517" i="2" s="1"/>
  <c r="AG496" i="2"/>
  <c r="AG218" i="2"/>
  <c r="Q496" i="2"/>
  <c r="L496" i="2" s="1"/>
  <c r="AG1207" i="2"/>
  <c r="Q3" i="2"/>
  <c r="L3" i="2" s="1"/>
  <c r="Q1033" i="2"/>
  <c r="L1033" i="2" s="1"/>
  <c r="AF706" i="2"/>
  <c r="R744" i="2"/>
  <c r="N744" i="2" s="1"/>
  <c r="Q631" i="2"/>
  <c r="L631" i="2" s="1"/>
  <c r="AG67" i="2"/>
  <c r="Q1076" i="2"/>
  <c r="L1076" i="2" s="1"/>
  <c r="AG547" i="2"/>
  <c r="R231" i="2"/>
  <c r="N231" i="2" s="1"/>
  <c r="R23" i="2"/>
  <c r="N23" i="2" s="1"/>
  <c r="AG1092" i="2"/>
  <c r="AG573" i="2"/>
  <c r="AG420" i="2"/>
  <c r="Q1145" i="2"/>
  <c r="L1145" i="2" s="1"/>
  <c r="Q840" i="2"/>
  <c r="L840" i="2" s="1"/>
  <c r="R457" i="2"/>
  <c r="N457" i="2" s="1"/>
  <c r="AG706" i="2"/>
  <c r="W706" i="2"/>
  <c r="AL706" i="2" s="1"/>
  <c r="AM706" i="2" s="1"/>
  <c r="Q481" i="2"/>
  <c r="L481" i="2" s="1"/>
  <c r="AG386" i="2"/>
  <c r="Q96" i="2"/>
  <c r="L96" i="2" s="1"/>
  <c r="AG280" i="2"/>
  <c r="Q242" i="2"/>
  <c r="L242" i="2" s="1"/>
  <c r="Q1191" i="2"/>
  <c r="L1191" i="2" s="1"/>
  <c r="AG869" i="2"/>
  <c r="Q218" i="2"/>
  <c r="L218" i="2" s="1"/>
  <c r="AG532" i="2"/>
  <c r="R327" i="2"/>
  <c r="N327" i="2" s="1"/>
  <c r="Z327" i="2" s="1"/>
  <c r="AN327" i="2" s="1"/>
  <c r="AO327" i="2" s="1"/>
  <c r="R42" i="2"/>
  <c r="N42" i="2" s="1"/>
  <c r="R567" i="2"/>
  <c r="N567" i="2" s="1"/>
  <c r="AG1002" i="2"/>
  <c r="AG404" i="2"/>
  <c r="R814" i="2"/>
  <c r="N814" i="2" s="1"/>
  <c r="AG589" i="2"/>
  <c r="R935" i="2"/>
  <c r="N935" i="2" s="1"/>
  <c r="Q109" i="2"/>
  <c r="L109" i="2" s="1"/>
  <c r="R671" i="2"/>
  <c r="N671" i="2" s="1"/>
  <c r="AG3" i="2"/>
  <c r="W327" i="2"/>
  <c r="AL327" i="2" s="1"/>
  <c r="AM327" i="2" s="1"/>
  <c r="Q1002" i="2"/>
  <c r="L1002" i="2" s="1"/>
  <c r="AG517" i="2"/>
  <c r="Q547" i="2"/>
  <c r="L547" i="2" s="1"/>
  <c r="Q532" i="2"/>
  <c r="L532" i="2" s="1"/>
  <c r="AG481" i="2"/>
  <c r="R175" i="2"/>
  <c r="N175" i="2" s="1"/>
  <c r="R372" i="2"/>
  <c r="N372" i="2" s="1"/>
  <c r="AG1221" i="2"/>
  <c r="R202" i="2"/>
  <c r="N202" i="2" s="1"/>
  <c r="AG631" i="2"/>
  <c r="R118" i="2"/>
  <c r="N118" i="2" s="1"/>
  <c r="R762" i="2"/>
  <c r="N762" i="2" s="1"/>
  <c r="AG254" i="2"/>
  <c r="R54" i="2"/>
  <c r="N54" i="2" s="1"/>
  <c r="AG1156" i="2"/>
  <c r="AG142" i="2"/>
  <c r="R1053" i="2"/>
  <c r="N1053" i="2" s="1"/>
  <c r="R895" i="2"/>
  <c r="N895" i="2" s="1"/>
  <c r="R1172" i="2"/>
  <c r="N1172" i="2" s="1"/>
  <c r="R888" i="2"/>
  <c r="N888" i="2" s="1"/>
  <c r="AG853" i="2"/>
  <c r="R189" i="2"/>
  <c r="N189" i="2" s="1"/>
  <c r="Q1156" i="2"/>
  <c r="L1156" i="2" s="1"/>
  <c r="R74" i="2"/>
  <c r="N74" i="2" s="1"/>
  <c r="Q280" i="2"/>
  <c r="L280" i="2" s="1"/>
  <c r="Q952" i="2"/>
  <c r="L952" i="2" s="1"/>
  <c r="R972" i="2"/>
  <c r="N972" i="2" s="1"/>
  <c r="Q1207" i="2"/>
  <c r="L1207" i="2" s="1"/>
  <c r="Q573" i="2"/>
  <c r="L573" i="2" s="1"/>
  <c r="Q869" i="2"/>
  <c r="L869" i="2" s="1"/>
  <c r="W853" i="2"/>
  <c r="AL853" i="2" s="1"/>
  <c r="AM853" i="2" s="1"/>
  <c r="Q616" i="2"/>
  <c r="L616" i="2" s="1"/>
  <c r="R802" i="2"/>
  <c r="N802" i="2" s="1"/>
  <c r="R438" i="2"/>
  <c r="N438" i="2" s="1"/>
  <c r="Q1018" i="2"/>
  <c r="L1018" i="2" s="1"/>
  <c r="AG309" i="2"/>
  <c r="R359" i="2"/>
  <c r="N359" i="2" s="1"/>
  <c r="R717" i="2"/>
  <c r="N717" i="2" s="1"/>
  <c r="AG1191" i="2"/>
  <c r="R169" i="2"/>
  <c r="N169" i="2" s="1"/>
  <c r="AG294" i="2"/>
  <c r="Q294" i="2"/>
  <c r="L294" i="2" s="1"/>
  <c r="AG616" i="2"/>
  <c r="AF853" i="2"/>
  <c r="Q1130" i="2"/>
  <c r="L1130" i="2" s="1"/>
  <c r="AG109" i="2"/>
  <c r="Q142" i="2"/>
  <c r="L142" i="2" s="1"/>
  <c r="AG242" i="2"/>
  <c r="Q309" i="2"/>
  <c r="L309" i="2" s="1"/>
  <c r="R1120" i="2"/>
  <c r="N1120" i="2" s="1"/>
  <c r="Q706" i="2"/>
  <c r="L706" i="2" s="1"/>
  <c r="Q737" i="2"/>
  <c r="L737" i="2" s="1"/>
  <c r="R336" i="2"/>
  <c r="N336" i="2" s="1"/>
  <c r="Q786" i="2"/>
  <c r="L786" i="2" s="1"/>
  <c r="W744" i="2"/>
  <c r="AL744" i="2" s="1"/>
  <c r="AM744" i="2" s="1"/>
  <c r="AG1145" i="2"/>
  <c r="AG1076" i="2"/>
  <c r="R645" i="2"/>
  <c r="N645" i="2" s="1"/>
  <c r="AF744" i="2"/>
  <c r="R684" i="2"/>
  <c r="N684" i="2" s="1"/>
  <c r="Q404" i="2"/>
  <c r="L404" i="2" s="1"/>
  <c r="AG737" i="2"/>
  <c r="AG96" i="2"/>
  <c r="AG840" i="2"/>
  <c r="R1050" i="2"/>
  <c r="N1050" i="2" s="1"/>
  <c r="Q1092" i="2"/>
  <c r="L1092" i="2" s="1"/>
  <c r="Q254" i="2"/>
  <c r="L254" i="2" s="1"/>
  <c r="Q853" i="2"/>
  <c r="L853" i="2" s="1"/>
  <c r="R124" i="2"/>
  <c r="N124" i="2" s="1"/>
  <c r="AF327" i="2"/>
  <c r="R1108" i="2"/>
  <c r="N1108" i="2" s="1"/>
  <c r="Q420" i="2"/>
  <c r="L420" i="2" s="1"/>
  <c r="Q1221" i="2"/>
  <c r="L1221" i="2" s="1"/>
  <c r="R447" i="2"/>
  <c r="N447" i="2" s="1"/>
  <c r="Q592" i="2"/>
  <c r="L592" i="2" s="1"/>
  <c r="W1120" i="2"/>
  <c r="AL1120" i="2" s="1"/>
  <c r="AM1120" i="2" s="1"/>
  <c r="Q485" i="2"/>
  <c r="L485" i="2" s="1"/>
  <c r="Q87" i="2"/>
  <c r="L87" i="2" s="1"/>
  <c r="AG763" i="2"/>
  <c r="AG265" i="2"/>
  <c r="R700" i="2"/>
  <c r="N700" i="2" s="1"/>
  <c r="R845" i="2"/>
  <c r="N845" i="2" s="1"/>
  <c r="Q1163" i="2"/>
  <c r="L1163" i="2" s="1"/>
  <c r="AF985" i="2"/>
  <c r="R1181" i="2"/>
  <c r="N1181" i="2" s="1"/>
  <c r="W861" i="2"/>
  <c r="AL861" i="2" s="1"/>
  <c r="AM861" i="2" s="1"/>
  <c r="AG35" i="2"/>
  <c r="R421" i="2"/>
  <c r="N421" i="2" s="1"/>
  <c r="Q577" i="2"/>
  <c r="L577" i="2" s="1"/>
  <c r="W87" i="2"/>
  <c r="AL87" i="2" s="1"/>
  <c r="AM87" i="2" s="1"/>
  <c r="R963" i="2"/>
  <c r="N963" i="2" s="1"/>
  <c r="AG927" i="2"/>
  <c r="Q116" i="2"/>
  <c r="L116" i="2" s="1"/>
  <c r="R332" i="2"/>
  <c r="N332" i="2" s="1"/>
  <c r="R312" i="2"/>
  <c r="N312" i="2" s="1"/>
  <c r="Q412" i="2"/>
  <c r="L412" i="2" s="1"/>
  <c r="AG207" i="2"/>
  <c r="R914" i="2"/>
  <c r="N914" i="2" s="1"/>
  <c r="AG128" i="2"/>
  <c r="Q1013" i="2"/>
  <c r="L1013" i="2" s="1"/>
  <c r="R40" i="2"/>
  <c r="N40" i="2" s="1"/>
  <c r="R679" i="2"/>
  <c r="N679" i="2" s="1"/>
  <c r="Q1195" i="2"/>
  <c r="L1195" i="2" s="1"/>
  <c r="R878" i="2"/>
  <c r="N878" i="2" s="1"/>
  <c r="R538" i="2"/>
  <c r="N538" i="2" s="1"/>
  <c r="R825" i="2"/>
  <c r="N825" i="2" s="1"/>
  <c r="AG627" i="2"/>
  <c r="AF3" i="2"/>
  <c r="Q55" i="2"/>
  <c r="L55" i="2" s="1"/>
  <c r="W440" i="2"/>
  <c r="AL440" i="2" s="1"/>
  <c r="AM440" i="2" s="1"/>
  <c r="AG728" i="2"/>
  <c r="Q927" i="2"/>
  <c r="L927" i="2" s="1"/>
  <c r="R1035" i="2"/>
  <c r="N1035" i="2" s="1"/>
  <c r="AG87" i="2"/>
  <c r="AG1013" i="2"/>
  <c r="R440" i="2"/>
  <c r="N440" i="2" s="1"/>
  <c r="Q152" i="2"/>
  <c r="L152" i="2" s="1"/>
  <c r="Q945" i="2"/>
  <c r="L945" i="2" s="1"/>
  <c r="Q728" i="2"/>
  <c r="L728" i="2" s="1"/>
  <c r="Q35" i="2"/>
  <c r="L35" i="2" s="1"/>
  <c r="R214" i="2"/>
  <c r="N214" i="2" s="1"/>
  <c r="W985" i="2"/>
  <c r="AL985" i="2" s="1"/>
  <c r="AM985" i="2" s="1"/>
  <c r="Q207" i="2"/>
  <c r="L207" i="2" s="1"/>
  <c r="Q128" i="2"/>
  <c r="L128" i="2" s="1"/>
  <c r="AG997" i="2"/>
  <c r="AG1163" i="2"/>
  <c r="R319" i="2"/>
  <c r="N319" i="2" s="1"/>
  <c r="AG354" i="2"/>
  <c r="R3" i="2"/>
  <c r="N3" i="2" s="1"/>
  <c r="R818" i="2"/>
  <c r="N818" i="2" s="1"/>
  <c r="AG412" i="2"/>
  <c r="Q1087" i="2"/>
  <c r="L1087" i="2" s="1"/>
  <c r="Q1072" i="2"/>
  <c r="L1072" i="2" s="1"/>
  <c r="AG290" i="2"/>
  <c r="R667" i="2"/>
  <c r="N667" i="2" s="1"/>
  <c r="R133" i="2"/>
  <c r="N133" i="2" s="1"/>
  <c r="AG1101" i="2"/>
  <c r="AG55" i="2"/>
  <c r="R455" i="2"/>
  <c r="N455" i="2" s="1"/>
  <c r="AG1153" i="2"/>
  <c r="R655" i="2"/>
  <c r="N655" i="2" s="1"/>
  <c r="Q763" i="2"/>
  <c r="L763" i="2" s="1"/>
  <c r="AF1120" i="2"/>
  <c r="AG485" i="2"/>
  <c r="Q904" i="2"/>
  <c r="L904" i="2" s="1"/>
  <c r="AG1195" i="2"/>
  <c r="R793" i="2"/>
  <c r="N793" i="2" s="1"/>
  <c r="R801" i="2"/>
  <c r="N801" i="2" s="1"/>
  <c r="Q354" i="2"/>
  <c r="L354" i="2" s="1"/>
  <c r="Q985" i="2"/>
  <c r="L985" i="2" s="1"/>
  <c r="Q1101" i="2"/>
  <c r="L1101" i="2" s="1"/>
  <c r="R1135" i="2"/>
  <c r="N1135" i="2" s="1"/>
  <c r="AG152" i="2"/>
  <c r="R245" i="2"/>
  <c r="N245" i="2" s="1"/>
  <c r="Q1153" i="2"/>
  <c r="L1153" i="2" s="1"/>
  <c r="Q501" i="2"/>
  <c r="L501" i="2" s="1"/>
  <c r="AF1195" i="2"/>
  <c r="AG529" i="2"/>
  <c r="R1212" i="2"/>
  <c r="N1212" i="2" s="1"/>
  <c r="R226" i="2"/>
  <c r="N226" i="2" s="1"/>
  <c r="Q1120" i="2"/>
  <c r="L1120" i="2" s="1"/>
  <c r="R773" i="2"/>
  <c r="N773" i="2" s="1"/>
  <c r="Q997" i="2"/>
  <c r="L997" i="2" s="1"/>
  <c r="AG1173" i="2"/>
  <c r="AG1120" i="2"/>
  <c r="Q1043" i="2"/>
  <c r="L1043" i="2" s="1"/>
  <c r="Q745" i="2"/>
  <c r="L745" i="2" s="1"/>
  <c r="Q641" i="2"/>
  <c r="L641" i="2" s="1"/>
  <c r="AF87" i="2"/>
  <c r="Q1173" i="2"/>
  <c r="L1173" i="2" s="1"/>
  <c r="AG718" i="2"/>
  <c r="AG560" i="2"/>
  <c r="AG501" i="2"/>
  <c r="Q382" i="2"/>
  <c r="L382" i="2" s="1"/>
  <c r="AF861" i="2"/>
  <c r="R389" i="2"/>
  <c r="N389" i="2" s="1"/>
  <c r="W3" i="2"/>
  <c r="AL3" i="2" s="1"/>
  <c r="AM3" i="2" s="1"/>
  <c r="AG1043" i="2"/>
  <c r="AG945" i="2"/>
  <c r="R78" i="2"/>
  <c r="N78" i="2" s="1"/>
  <c r="AG1072" i="2"/>
  <c r="R604" i="2"/>
  <c r="N604" i="2" s="1"/>
  <c r="R1231" i="2"/>
  <c r="N1231" i="2" s="1"/>
  <c r="Q290" i="2"/>
  <c r="L290" i="2" s="1"/>
  <c r="W1195" i="2"/>
  <c r="AL1195" i="2" s="1"/>
  <c r="AM1195" i="2" s="1"/>
  <c r="AG461" i="2"/>
  <c r="AG904" i="2"/>
  <c r="Q560" i="2"/>
  <c r="L560" i="2" s="1"/>
  <c r="Q718" i="2"/>
  <c r="L718" i="2" s="1"/>
  <c r="AG1087" i="2"/>
  <c r="R18" i="2"/>
  <c r="N18" i="2" s="1"/>
  <c r="R1056" i="2"/>
  <c r="N1056" i="2" s="1"/>
  <c r="R181" i="2"/>
  <c r="N181" i="2" s="1"/>
  <c r="AG641" i="2"/>
  <c r="AG382" i="2"/>
  <c r="AG745" i="2"/>
  <c r="R509" i="2"/>
  <c r="N509" i="2" s="1"/>
  <c r="AG960" i="2"/>
  <c r="R861" i="2"/>
  <c r="N861" i="2" s="1"/>
  <c r="R168" i="2"/>
  <c r="N168" i="2" s="1"/>
  <c r="AG592" i="2"/>
  <c r="Q960" i="2"/>
  <c r="L960" i="2" s="1"/>
  <c r="R269" i="2"/>
  <c r="N269" i="2" s="1"/>
  <c r="Q627" i="2"/>
  <c r="L627" i="2" s="1"/>
  <c r="Q461" i="2"/>
  <c r="L461" i="2" s="1"/>
  <c r="Q265" i="2"/>
  <c r="L265" i="2" s="1"/>
  <c r="AG985" i="2"/>
  <c r="AF440" i="2"/>
  <c r="Q529" i="2"/>
  <c r="L529" i="2" s="1"/>
  <c r="AG116" i="2"/>
  <c r="AG577" i="2"/>
  <c r="R579" i="2"/>
  <c r="N579" i="2" s="1"/>
  <c r="Q531" i="2"/>
  <c r="L531" i="2" s="1"/>
  <c r="Q102" i="2"/>
  <c r="L102" i="2" s="1"/>
  <c r="AG714" i="2"/>
  <c r="AG1155" i="2"/>
  <c r="AG141" i="2"/>
  <c r="Q1129" i="2"/>
  <c r="L1129" i="2" s="1"/>
  <c r="Q1155" i="2"/>
  <c r="L1155" i="2" s="1"/>
  <c r="W616" i="2"/>
  <c r="AL616" i="2" s="1"/>
  <c r="AM616" i="2" s="1"/>
  <c r="Q227" i="2"/>
  <c r="L227" i="2" s="1"/>
  <c r="R616" i="2"/>
  <c r="N616" i="2" s="1"/>
  <c r="Q154" i="2"/>
  <c r="L154" i="2" s="1"/>
  <c r="Q371" i="2"/>
  <c r="L371" i="2" s="1"/>
  <c r="Q445" i="2"/>
  <c r="L445" i="2" s="1"/>
  <c r="AG884" i="2"/>
  <c r="AF1101" i="2"/>
  <c r="R988" i="2"/>
  <c r="N988" i="2" s="1"/>
  <c r="AG685" i="2"/>
  <c r="Q1144" i="2"/>
  <c r="L1144" i="2" s="1"/>
  <c r="Q516" i="2"/>
  <c r="L516" i="2" s="1"/>
  <c r="AG340" i="2"/>
  <c r="Q488" i="2"/>
  <c r="L488" i="2" s="1"/>
  <c r="R897" i="2"/>
  <c r="N897" i="2" s="1"/>
  <c r="Q432" i="2"/>
  <c r="L432" i="2" s="1"/>
  <c r="AG457" i="2"/>
  <c r="R1209" i="2"/>
  <c r="N1209" i="2" s="1"/>
  <c r="AG102" i="2"/>
  <c r="AG488" i="2"/>
  <c r="AF457" i="2"/>
  <c r="AG227" i="2"/>
  <c r="R546" i="2"/>
  <c r="N546" i="2" s="1"/>
  <c r="AG2" i="2"/>
  <c r="R779" i="2"/>
  <c r="N779" i="2" s="1"/>
  <c r="Q348" i="2"/>
  <c r="L348" i="2" s="1"/>
  <c r="Q1180" i="2"/>
  <c r="L1180" i="2" s="1"/>
  <c r="R464" i="2"/>
  <c r="N464" i="2" s="1"/>
  <c r="AG516" i="2"/>
  <c r="R1166" i="2"/>
  <c r="N1166" i="2" s="1"/>
  <c r="R425" i="2"/>
  <c r="N425" i="2" s="1"/>
  <c r="Q810" i="2"/>
  <c r="L810" i="2" s="1"/>
  <c r="Q637" i="2"/>
  <c r="L637" i="2" s="1"/>
  <c r="R1034" i="2"/>
  <c r="N1034" i="2" s="1"/>
  <c r="R599" i="2"/>
  <c r="N599" i="2" s="1"/>
  <c r="R162" i="2"/>
  <c r="N162" i="2" s="1"/>
  <c r="AG1144" i="2"/>
  <c r="AG698" i="2"/>
  <c r="AG851" i="2"/>
  <c r="W1034" i="2"/>
  <c r="AL1034" i="2" s="1"/>
  <c r="AM1034" i="2" s="1"/>
  <c r="AG810" i="2"/>
  <c r="Q457" i="2"/>
  <c r="L457" i="2" s="1"/>
  <c r="R263" i="2"/>
  <c r="N263" i="2" s="1"/>
  <c r="AG401" i="2"/>
  <c r="AG837" i="2"/>
  <c r="AG1083" i="2"/>
  <c r="R834" i="2"/>
  <c r="N834" i="2" s="1"/>
  <c r="Q685" i="2"/>
  <c r="L685" i="2" s="1"/>
  <c r="Q340" i="2"/>
  <c r="L340" i="2" s="1"/>
  <c r="R910" i="2"/>
  <c r="N910" i="2" s="1"/>
  <c r="R787" i="2"/>
  <c r="N787" i="2" s="1"/>
  <c r="R378" i="2"/>
  <c r="N378" i="2" s="1"/>
  <c r="R923" i="2"/>
  <c r="N923" i="2" s="1"/>
  <c r="R129" i="2"/>
  <c r="N129" i="2" s="1"/>
  <c r="AG177" i="2"/>
  <c r="AG432" i="2"/>
  <c r="R1101" i="2"/>
  <c r="N1101" i="2" s="1"/>
  <c r="Q655" i="2"/>
  <c r="L655" i="2" s="1"/>
  <c r="AG1016" i="2"/>
  <c r="R961" i="2"/>
  <c r="N961" i="2" s="1"/>
  <c r="AG371" i="2"/>
  <c r="R86" i="2"/>
  <c r="N86" i="2" s="1"/>
  <c r="Q714" i="2"/>
  <c r="L714" i="2" s="1"/>
  <c r="R797" i="2"/>
  <c r="N797" i="2" s="1"/>
  <c r="AG531" i="2"/>
  <c r="AG655" i="2"/>
  <c r="R760" i="2"/>
  <c r="N760" i="2" s="1"/>
  <c r="AG215" i="2"/>
  <c r="AG637" i="2"/>
  <c r="R982" i="2"/>
  <c r="N982" i="2" s="1"/>
  <c r="AG1129" i="2"/>
  <c r="AG29" i="2"/>
  <c r="AG937" i="2"/>
  <c r="Q937" i="2"/>
  <c r="L937" i="2" s="1"/>
  <c r="AG445" i="2"/>
  <c r="R285" i="2"/>
  <c r="N285" i="2" s="1"/>
  <c r="AG66" i="2"/>
  <c r="Q66" i="2"/>
  <c r="L66" i="2" s="1"/>
  <c r="AG1180" i="2"/>
  <c r="Q141" i="2"/>
  <c r="L141" i="2" s="1"/>
  <c r="Q1220" i="2"/>
  <c r="L1220" i="2" s="1"/>
  <c r="R329" i="2"/>
  <c r="N329" i="2" s="1"/>
  <c r="R673" i="2"/>
  <c r="N673" i="2" s="1"/>
  <c r="Q215" i="2"/>
  <c r="L215" i="2" s="1"/>
  <c r="W655" i="2"/>
  <c r="AL655" i="2" s="1"/>
  <c r="AM655" i="2" s="1"/>
  <c r="Q47" i="2"/>
  <c r="L47" i="2" s="1"/>
  <c r="Q1016" i="2"/>
  <c r="L1016" i="2" s="1"/>
  <c r="Q177" i="2"/>
  <c r="L177" i="2" s="1"/>
  <c r="Q1001" i="2"/>
  <c r="L1001" i="2" s="1"/>
  <c r="Q867" i="2"/>
  <c r="L867" i="2" s="1"/>
  <c r="AF655" i="2"/>
  <c r="Q2" i="2"/>
  <c r="L2" i="2" s="1"/>
  <c r="R1062" i="2"/>
  <c r="N1062" i="2" s="1"/>
  <c r="AG867" i="2"/>
  <c r="R1122" i="2"/>
  <c r="N1122" i="2" s="1"/>
  <c r="Q1083" i="2"/>
  <c r="L1083" i="2" s="1"/>
  <c r="R586" i="2"/>
  <c r="N586" i="2" s="1"/>
  <c r="Q698" i="2"/>
  <c r="L698" i="2" s="1"/>
  <c r="AG733" i="2"/>
  <c r="AG279" i="2"/>
  <c r="W457" i="2"/>
  <c r="AL457" i="2" s="1"/>
  <c r="AM457" i="2" s="1"/>
  <c r="R721" i="2"/>
  <c r="N721" i="2" s="1"/>
  <c r="Q837" i="2"/>
  <c r="L837" i="2" s="1"/>
  <c r="Q29" i="2"/>
  <c r="L29" i="2" s="1"/>
  <c r="Q733" i="2"/>
  <c r="L733" i="2" s="1"/>
  <c r="R1075" i="2"/>
  <c r="N1075" i="2" s="1"/>
  <c r="AG1220" i="2"/>
  <c r="R315" i="2"/>
  <c r="N315" i="2" s="1"/>
  <c r="R25" i="2"/>
  <c r="N25" i="2" s="1"/>
  <c r="Q401" i="2"/>
  <c r="L401" i="2" s="1"/>
  <c r="R566" i="2"/>
  <c r="N566" i="2" s="1"/>
  <c r="Q279" i="2"/>
  <c r="L279" i="2" s="1"/>
  <c r="W279" i="2"/>
  <c r="AL279" i="2" s="1"/>
  <c r="AM279" i="2" s="1"/>
  <c r="W1101" i="2"/>
  <c r="AL1101" i="2" s="1"/>
  <c r="AM1101" i="2" s="1"/>
  <c r="R1197" i="2"/>
  <c r="N1197" i="2" s="1"/>
  <c r="R251" i="2"/>
  <c r="N251" i="2" s="1"/>
  <c r="Q851" i="2"/>
  <c r="L851" i="2" s="1"/>
  <c r="AF1034" i="2"/>
  <c r="AG154" i="2"/>
  <c r="AG348" i="2"/>
  <c r="R1039" i="2"/>
  <c r="N1039" i="2" s="1"/>
  <c r="AF279" i="2"/>
  <c r="AF616" i="2"/>
  <c r="R504" i="2"/>
  <c r="N504" i="2" s="1"/>
  <c r="AG1001" i="2"/>
  <c r="Q884" i="2"/>
  <c r="L884" i="2" s="1"/>
  <c r="AG47" i="2"/>
  <c r="AG315" i="2"/>
  <c r="Q1059" i="2"/>
  <c r="L1059" i="2" s="1"/>
  <c r="AF154" i="2"/>
  <c r="AG600" i="2"/>
  <c r="Q578" i="2"/>
  <c r="L578" i="2" s="1"/>
  <c r="W778" i="2"/>
  <c r="AL778" i="2" s="1"/>
  <c r="AM778" i="2" s="1"/>
  <c r="W679" i="2"/>
  <c r="AL679" i="2" s="1"/>
  <c r="AM679" i="2" s="1"/>
  <c r="AG1102" i="2"/>
  <c r="AG140" i="2"/>
  <c r="R470" i="2"/>
  <c r="N470" i="2" s="1"/>
  <c r="AG998" i="2"/>
  <c r="W315" i="2"/>
  <c r="AL315" i="2" s="1"/>
  <c r="AM315" i="2" s="1"/>
  <c r="Q778" i="2"/>
  <c r="L778" i="2" s="1"/>
  <c r="AG1059" i="2"/>
  <c r="R233" i="2"/>
  <c r="N233" i="2" s="1"/>
  <c r="W203" i="2"/>
  <c r="AL203" i="2" s="1"/>
  <c r="AM203" i="2" s="1"/>
  <c r="AG905" i="2"/>
  <c r="W154" i="2"/>
  <c r="AL154" i="2" s="1"/>
  <c r="AM154" i="2" s="1"/>
  <c r="AG299" i="2"/>
  <c r="Q46" i="2"/>
  <c r="L46" i="2" s="1"/>
  <c r="AG77" i="2"/>
  <c r="Q998" i="2"/>
  <c r="L998" i="2" s="1"/>
  <c r="Q544" i="2"/>
  <c r="L544" i="2" s="1"/>
  <c r="W481" i="2"/>
  <c r="AL481" i="2" s="1"/>
  <c r="AM481" i="2" s="1"/>
  <c r="Q665" i="2"/>
  <c r="L665" i="2" s="1"/>
  <c r="W1220" i="2"/>
  <c r="AL1220" i="2" s="1"/>
  <c r="AM1220" i="2" s="1"/>
  <c r="R979" i="2"/>
  <c r="N979" i="2" s="1"/>
  <c r="AG397" i="2"/>
  <c r="AG1136" i="2"/>
  <c r="Q568" i="2"/>
  <c r="L568" i="2" s="1"/>
  <c r="AG881" i="2"/>
  <c r="AF315" i="2"/>
  <c r="AG259" i="2"/>
  <c r="R731" i="2"/>
  <c r="N731" i="2" s="1"/>
  <c r="AG578" i="2"/>
  <c r="AG613" i="2"/>
  <c r="R1220" i="2"/>
  <c r="N1220" i="2" s="1"/>
  <c r="Q1121" i="2"/>
  <c r="L1121" i="2" s="1"/>
  <c r="Q881" i="2"/>
  <c r="L881" i="2" s="1"/>
  <c r="Q1044" i="2"/>
  <c r="L1044" i="2" s="1"/>
  <c r="AF203" i="2"/>
  <c r="R113" i="2"/>
  <c r="N113" i="2" s="1"/>
  <c r="R1084" i="2"/>
  <c r="N1084" i="2" s="1"/>
  <c r="R203" i="2"/>
  <c r="N203" i="2" s="1"/>
  <c r="R154" i="2"/>
  <c r="N154" i="2" s="1"/>
  <c r="Z154" i="2" s="1"/>
  <c r="AN154" i="2" s="1"/>
  <c r="AO154" i="2" s="1"/>
  <c r="AG46" i="2"/>
  <c r="Q291" i="2"/>
  <c r="L291" i="2" s="1"/>
  <c r="R687" i="2"/>
  <c r="N687" i="2" s="1"/>
  <c r="W529" i="2"/>
  <c r="AL529" i="2" s="1"/>
  <c r="AM529" i="2" s="1"/>
  <c r="R491" i="2"/>
  <c r="N491" i="2" s="1"/>
  <c r="Q1102" i="2"/>
  <c r="L1102" i="2" s="1"/>
  <c r="R199" i="2"/>
  <c r="N199" i="2" s="1"/>
  <c r="Q276" i="2"/>
  <c r="L276" i="2" s="1"/>
  <c r="AG14" i="2"/>
  <c r="Q719" i="2"/>
  <c r="L719" i="2" s="1"/>
  <c r="R338" i="2"/>
  <c r="N338" i="2" s="1"/>
  <c r="AG93" i="2"/>
  <c r="Q77" i="2"/>
  <c r="L77" i="2" s="1"/>
  <c r="Q600" i="2"/>
  <c r="L600" i="2" s="1"/>
  <c r="R219" i="2"/>
  <c r="N219" i="2" s="1"/>
  <c r="R966" i="2"/>
  <c r="N966" i="2" s="1"/>
  <c r="AF1220" i="2"/>
  <c r="AG544" i="2"/>
  <c r="Q14" i="2"/>
  <c r="L14" i="2" s="1"/>
  <c r="AG568" i="2"/>
  <c r="R1201" i="2"/>
  <c r="N1201" i="2" s="1"/>
  <c r="AG1154" i="2"/>
  <c r="R832" i="2"/>
  <c r="N832" i="2" s="1"/>
  <c r="R511" i="2"/>
  <c r="N511" i="2" s="1"/>
  <c r="R410" i="2"/>
  <c r="N410" i="2" s="1"/>
  <c r="AG1020" i="2"/>
  <c r="AG291" i="2"/>
  <c r="Q140" i="2"/>
  <c r="L140" i="2" s="1"/>
  <c r="Q729" i="2"/>
  <c r="L729" i="2" s="1"/>
  <c r="Q847" i="2"/>
  <c r="L847" i="2" s="1"/>
  <c r="R767" i="2"/>
  <c r="N767" i="2" s="1"/>
  <c r="AG719" i="2"/>
  <c r="Q1020" i="2"/>
  <c r="L1020" i="2" s="1"/>
  <c r="AG704" i="2"/>
  <c r="R634" i="2"/>
  <c r="N634" i="2" s="1"/>
  <c r="AG368" i="2"/>
  <c r="Q93" i="2"/>
  <c r="L93" i="2" s="1"/>
  <c r="R456" i="2"/>
  <c r="N456" i="2" s="1"/>
  <c r="R65" i="2"/>
  <c r="N65" i="2" s="1"/>
  <c r="AG25" i="2"/>
  <c r="R753" i="2"/>
  <c r="N753" i="2" s="1"/>
  <c r="Q905" i="2"/>
  <c r="L905" i="2" s="1"/>
  <c r="AG866" i="2"/>
  <c r="R1157" i="2"/>
  <c r="N1157" i="2" s="1"/>
  <c r="AG429" i="2"/>
  <c r="Q866" i="2"/>
  <c r="L866" i="2" s="1"/>
  <c r="Q820" i="2"/>
  <c r="L820" i="2" s="1"/>
  <c r="AF529" i="2"/>
  <c r="R554" i="2"/>
  <c r="N554" i="2" s="1"/>
  <c r="Q704" i="2"/>
  <c r="L704" i="2" s="1"/>
  <c r="R887" i="2"/>
  <c r="N887" i="2" s="1"/>
  <c r="AG679" i="2"/>
  <c r="Q1187" i="2"/>
  <c r="L1187" i="2" s="1"/>
  <c r="AG169" i="2"/>
  <c r="AG1044" i="2"/>
  <c r="R381" i="2"/>
  <c r="N381" i="2" s="1"/>
  <c r="R179" i="2"/>
  <c r="N179" i="2" s="1"/>
  <c r="R643" i="2"/>
  <c r="N643" i="2" s="1"/>
  <c r="R1070" i="2"/>
  <c r="N1070" i="2" s="1"/>
  <c r="AG1121" i="2"/>
  <c r="AF169" i="2"/>
  <c r="Q315" i="2"/>
  <c r="L315" i="2" s="1"/>
  <c r="R924" i="2"/>
  <c r="N924" i="2" s="1"/>
  <c r="AF25" i="2"/>
  <c r="AG335" i="2"/>
  <c r="Q1154" i="2"/>
  <c r="L1154" i="2" s="1"/>
  <c r="AF679" i="2"/>
  <c r="Q335" i="2"/>
  <c r="L335" i="2" s="1"/>
  <c r="AF481" i="2"/>
  <c r="W169" i="2"/>
  <c r="AL169" i="2" s="1"/>
  <c r="AM169" i="2" s="1"/>
  <c r="R958" i="2"/>
  <c r="N958" i="2" s="1"/>
  <c r="AF778" i="2"/>
  <c r="Q169" i="2"/>
  <c r="L169" i="2" s="1"/>
  <c r="R790" i="2"/>
  <c r="N790" i="2" s="1"/>
  <c r="AG1187" i="2"/>
  <c r="W25" i="2"/>
  <c r="AL25" i="2" s="1"/>
  <c r="AM25" i="2" s="1"/>
  <c r="Q25" i="2"/>
  <c r="L25" i="2" s="1"/>
  <c r="R1022" i="2"/>
  <c r="N1022" i="2" s="1"/>
  <c r="Q429" i="2"/>
  <c r="L429" i="2" s="1"/>
  <c r="AG847" i="2"/>
  <c r="R1168" i="2"/>
  <c r="N1168" i="2" s="1"/>
  <c r="R623" i="2"/>
  <c r="N623" i="2" s="1"/>
  <c r="Q397" i="2"/>
  <c r="L397" i="2" s="1"/>
  <c r="Q613" i="2"/>
  <c r="L613" i="2" s="1"/>
  <c r="Q368" i="2"/>
  <c r="L368" i="2" s="1"/>
  <c r="AG276" i="2"/>
  <c r="AG820" i="2"/>
  <c r="Q679" i="2"/>
  <c r="L679" i="2" s="1"/>
  <c r="Q259" i="2"/>
  <c r="L259" i="2" s="1"/>
  <c r="AG729" i="2"/>
  <c r="Q1136" i="2"/>
  <c r="L1136" i="2" s="1"/>
  <c r="Q299" i="2"/>
  <c r="L299" i="2" s="1"/>
  <c r="AG665" i="2"/>
  <c r="R919" i="2"/>
  <c r="N919" i="2" s="1"/>
  <c r="R481" i="2"/>
  <c r="N481" i="2" s="1"/>
  <c r="R529" i="2"/>
  <c r="N529" i="2" s="1"/>
  <c r="R123" i="2"/>
  <c r="N123" i="2" s="1"/>
  <c r="AG778" i="2"/>
  <c r="Q858" i="2"/>
  <c r="L858" i="2" s="1"/>
  <c r="Q1205" i="2"/>
  <c r="L1205" i="2" s="1"/>
  <c r="R57" i="2"/>
  <c r="N57" i="2" s="1"/>
  <c r="Q347" i="2"/>
  <c r="L347" i="2" s="1"/>
  <c r="AG370" i="2"/>
  <c r="R107" i="2"/>
  <c r="N107" i="2" s="1"/>
  <c r="Q414" i="2"/>
  <c r="L414" i="2" s="1"/>
  <c r="R1149" i="2"/>
  <c r="N1149" i="2" s="1"/>
  <c r="AG463" i="2"/>
  <c r="Q131" i="2"/>
  <c r="L131" i="2" s="1"/>
  <c r="Q307" i="2"/>
  <c r="L307" i="2" s="1"/>
  <c r="AG347" i="2"/>
  <c r="W187" i="2"/>
  <c r="AL187" i="2" s="1"/>
  <c r="AM187" i="2" s="1"/>
  <c r="R240" i="2"/>
  <c r="N240" i="2" s="1"/>
  <c r="AG1219" i="2"/>
  <c r="R959" i="2"/>
  <c r="N959" i="2" s="1"/>
  <c r="W907" i="2"/>
  <c r="AL907" i="2" s="1"/>
  <c r="AM907" i="2" s="1"/>
  <c r="Q431" i="2"/>
  <c r="L431" i="2" s="1"/>
  <c r="W786" i="2"/>
  <c r="AL786" i="2" s="1"/>
  <c r="AM786" i="2" s="1"/>
  <c r="AF786" i="2"/>
  <c r="AG683" i="2"/>
  <c r="Q1030" i="2"/>
  <c r="L1030" i="2" s="1"/>
  <c r="AF285" i="2"/>
  <c r="Q16" i="2"/>
  <c r="L16" i="2" s="1"/>
  <c r="R611" i="2"/>
  <c r="N611" i="2" s="1"/>
  <c r="Q1006" i="2"/>
  <c r="L1006" i="2" s="1"/>
  <c r="R236" i="2"/>
  <c r="N236" i="2" s="1"/>
  <c r="AG332" i="2"/>
  <c r="AG554" i="2"/>
  <c r="Q697" i="2"/>
  <c r="L697" i="2" s="1"/>
  <c r="AG27" i="2"/>
  <c r="AG16" i="2"/>
  <c r="W332" i="2"/>
  <c r="AL332" i="2" s="1"/>
  <c r="AM332" i="2" s="1"/>
  <c r="R1097" i="2"/>
  <c r="N1097" i="2" s="1"/>
  <c r="AF832" i="2"/>
  <c r="R1189" i="2"/>
  <c r="N1189" i="2" s="1"/>
  <c r="Q72" i="2"/>
  <c r="L72" i="2" s="1"/>
  <c r="W531" i="2"/>
  <c r="AL531" i="2" s="1"/>
  <c r="AM531" i="2" s="1"/>
  <c r="Q391" i="2"/>
  <c r="L391" i="2" s="1"/>
  <c r="Q683" i="2"/>
  <c r="L683" i="2" s="1"/>
  <c r="R1028" i="2"/>
  <c r="N1028" i="2" s="1"/>
  <c r="R158" i="2"/>
  <c r="N158" i="2" s="1"/>
  <c r="AG1205" i="2"/>
  <c r="Q1139" i="2"/>
  <c r="L1139" i="2" s="1"/>
  <c r="R777" i="2"/>
  <c r="N777" i="2" s="1"/>
  <c r="AG907" i="2"/>
  <c r="AF1059" i="2"/>
  <c r="Q602" i="2"/>
  <c r="L602" i="2" s="1"/>
  <c r="Q332" i="2"/>
  <c r="L332" i="2" s="1"/>
  <c r="AG1030" i="2"/>
  <c r="Q849" i="2"/>
  <c r="L849" i="2" s="1"/>
  <c r="R173" i="2"/>
  <c r="N173" i="2" s="1"/>
  <c r="R316" i="2"/>
  <c r="N316" i="2" s="1"/>
  <c r="R817" i="2"/>
  <c r="N817" i="2" s="1"/>
  <c r="Q503" i="2"/>
  <c r="L503" i="2" s="1"/>
  <c r="R806" i="2"/>
  <c r="N806" i="2" s="1"/>
  <c r="W1059" i="2"/>
  <c r="AL1059" i="2" s="1"/>
  <c r="AM1059" i="2" s="1"/>
  <c r="Q463" i="2"/>
  <c r="L463" i="2" s="1"/>
  <c r="Q1219" i="2"/>
  <c r="L1219" i="2" s="1"/>
  <c r="AG431" i="2"/>
  <c r="R739" i="2"/>
  <c r="N739" i="2" s="1"/>
  <c r="AF332" i="2"/>
  <c r="R986" i="2"/>
  <c r="N986" i="2" s="1"/>
  <c r="AG72" i="2"/>
  <c r="AF187" i="2"/>
  <c r="AF907" i="2"/>
  <c r="R630" i="2"/>
  <c r="N630" i="2" s="1"/>
  <c r="R210" i="2"/>
  <c r="N210" i="2" s="1"/>
  <c r="AG1061" i="2"/>
  <c r="AG307" i="2"/>
  <c r="R387" i="2"/>
  <c r="N387" i="2" s="1"/>
  <c r="AF1122" i="2"/>
  <c r="AF461" i="2"/>
  <c r="Q27" i="2"/>
  <c r="L27" i="2" s="1"/>
  <c r="W554" i="2"/>
  <c r="AL554" i="2" s="1"/>
  <c r="AM554" i="2" s="1"/>
  <c r="AG697" i="2"/>
  <c r="Q713" i="2"/>
  <c r="L713" i="2" s="1"/>
  <c r="W461" i="2"/>
  <c r="AL461" i="2" s="1"/>
  <c r="AM461" i="2" s="1"/>
  <c r="R461" i="2"/>
  <c r="N461" i="2" s="1"/>
  <c r="AG1139" i="2"/>
  <c r="R531" i="2"/>
  <c r="N531" i="2" s="1"/>
  <c r="R867" i="2"/>
  <c r="N867" i="2" s="1"/>
  <c r="AG1074" i="2"/>
  <c r="AG1006" i="2"/>
  <c r="W285" i="2"/>
  <c r="AL285" i="2" s="1"/>
  <c r="AM285" i="2" s="1"/>
  <c r="Q907" i="2"/>
  <c r="L907" i="2" s="1"/>
  <c r="Q1061" i="2"/>
  <c r="L1061" i="2" s="1"/>
  <c r="R786" i="2"/>
  <c r="N786" i="2" s="1"/>
  <c r="Q569" i="2"/>
  <c r="L569" i="2" s="1"/>
  <c r="Q268" i="2"/>
  <c r="L268" i="2" s="1"/>
  <c r="AG920" i="2"/>
  <c r="Q890" i="2"/>
  <c r="L890" i="2" s="1"/>
  <c r="AG849" i="2"/>
  <c r="W832" i="2"/>
  <c r="AL832" i="2" s="1"/>
  <c r="AM832" i="2" s="1"/>
  <c r="AG890" i="2"/>
  <c r="Q967" i="2"/>
  <c r="L967" i="2" s="1"/>
  <c r="W867" i="2"/>
  <c r="AL867" i="2" s="1"/>
  <c r="AM867" i="2" s="1"/>
  <c r="Q920" i="2"/>
  <c r="L920" i="2" s="1"/>
  <c r="R939" i="2"/>
  <c r="N939" i="2" s="1"/>
  <c r="AG713" i="2"/>
  <c r="R642" i="2"/>
  <c r="N642" i="2" s="1"/>
  <c r="AG94" i="2"/>
  <c r="AG624" i="2"/>
  <c r="R44" i="2"/>
  <c r="N44" i="2" s="1"/>
  <c r="R1059" i="2"/>
  <c r="N1059" i="2" s="1"/>
  <c r="AF920" i="2"/>
  <c r="R1159" i="2"/>
  <c r="N1159" i="2" s="1"/>
  <c r="AG391" i="2"/>
  <c r="AF554" i="2"/>
  <c r="AG131" i="2"/>
  <c r="Q554" i="2"/>
  <c r="L554" i="2" s="1"/>
  <c r="AG832" i="2"/>
  <c r="W1122" i="2"/>
  <c r="AL1122" i="2" s="1"/>
  <c r="AM1122" i="2" s="1"/>
  <c r="AG858" i="2"/>
  <c r="AG268" i="2"/>
  <c r="AG602" i="2"/>
  <c r="AG515" i="2"/>
  <c r="AG285" i="2"/>
  <c r="R590" i="2"/>
  <c r="N590" i="2" s="1"/>
  <c r="Q370" i="2"/>
  <c r="L370" i="2" s="1"/>
  <c r="R992" i="2"/>
  <c r="N992" i="2" s="1"/>
  <c r="R82" i="2"/>
  <c r="N82" i="2" s="1"/>
  <c r="AG1122" i="2"/>
  <c r="R293" i="2"/>
  <c r="N293" i="2" s="1"/>
  <c r="AG653" i="2"/>
  <c r="AG478" i="2"/>
  <c r="Q1074" i="2"/>
  <c r="L1074" i="2" s="1"/>
  <c r="Q1122" i="2"/>
  <c r="L1122" i="2" s="1"/>
  <c r="R187" i="2"/>
  <c r="N187" i="2" s="1"/>
  <c r="Z187" i="2" s="1"/>
  <c r="AN187" i="2" s="1"/>
  <c r="AO187" i="2" s="1"/>
  <c r="AG414" i="2"/>
  <c r="R580" i="2"/>
  <c r="N580" i="2" s="1"/>
  <c r="R1178" i="2"/>
  <c r="N1178" i="2" s="1"/>
  <c r="AF531" i="2"/>
  <c r="AG503" i="2"/>
  <c r="R119" i="2"/>
  <c r="N119" i="2" s="1"/>
  <c r="Q515" i="2"/>
  <c r="L515" i="2" s="1"/>
  <c r="W920" i="2"/>
  <c r="AL920" i="2" s="1"/>
  <c r="AM920" i="2" s="1"/>
  <c r="R676" i="2"/>
  <c r="N676" i="2" s="1"/>
  <c r="R751" i="2"/>
  <c r="N751" i="2" s="1"/>
  <c r="AF867" i="2"/>
  <c r="R196" i="2"/>
  <c r="N196" i="2" s="1"/>
  <c r="Q832" i="2"/>
  <c r="L832" i="2" s="1"/>
  <c r="Q624" i="2"/>
  <c r="L624" i="2" s="1"/>
  <c r="Q478" i="2"/>
  <c r="L478" i="2" s="1"/>
  <c r="Q285" i="2"/>
  <c r="L285" i="2" s="1"/>
  <c r="R444" i="2"/>
  <c r="N444" i="2" s="1"/>
  <c r="AG967" i="2"/>
  <c r="AG569" i="2"/>
  <c r="Q653" i="2"/>
  <c r="L653" i="2" s="1"/>
  <c r="R498" i="2"/>
  <c r="N498" i="2" s="1"/>
  <c r="Q94" i="2"/>
  <c r="L94" i="2" s="1"/>
  <c r="R1080" i="2"/>
  <c r="N1080" i="2" s="1"/>
  <c r="Q966" i="2"/>
  <c r="L966" i="2" s="1"/>
  <c r="Q712" i="2"/>
  <c r="L712" i="2" s="1"/>
  <c r="AG910" i="2"/>
  <c r="Q666" i="2"/>
  <c r="L666" i="2" s="1"/>
  <c r="AG107" i="2"/>
  <c r="W666" i="2"/>
  <c r="AL666" i="2" s="1"/>
  <c r="AM666" i="2" s="1"/>
  <c r="AF642" i="2"/>
  <c r="Q642" i="2"/>
  <c r="L642" i="2" s="1"/>
  <c r="Q400" i="2"/>
  <c r="L400" i="2" s="1"/>
  <c r="AG509" i="2"/>
  <c r="R156" i="2"/>
  <c r="N156" i="2" s="1"/>
  <c r="R33" i="2"/>
  <c r="N33" i="2" s="1"/>
  <c r="R1143" i="2"/>
  <c r="N1143" i="2" s="1"/>
  <c r="Q1197" i="2"/>
  <c r="L1197" i="2" s="1"/>
  <c r="AG1174" i="2"/>
  <c r="Q209" i="2"/>
  <c r="L209" i="2" s="1"/>
  <c r="R978" i="2"/>
  <c r="N978" i="2" s="1"/>
  <c r="R738" i="2"/>
  <c r="N738" i="2" s="1"/>
  <c r="AG400" i="2"/>
  <c r="Q695" i="2"/>
  <c r="L695" i="2" s="1"/>
  <c r="AG43" i="2"/>
  <c r="AF966" i="2"/>
  <c r="R672" i="2"/>
  <c r="N672" i="2" s="1"/>
  <c r="Q509" i="2"/>
  <c r="L509" i="2" s="1"/>
  <c r="R1067" i="2"/>
  <c r="N1067" i="2" s="1"/>
  <c r="Q910" i="2"/>
  <c r="L910" i="2" s="1"/>
  <c r="AF842" i="2"/>
  <c r="Q607" i="2"/>
  <c r="L607" i="2" s="1"/>
  <c r="Q593" i="2"/>
  <c r="L593" i="2" s="1"/>
  <c r="AG305" i="2"/>
  <c r="AG666" i="2"/>
  <c r="W1197" i="2"/>
  <c r="AL1197" i="2" s="1"/>
  <c r="AM1197" i="2" s="1"/>
  <c r="AG159" i="2"/>
  <c r="AF299" i="2"/>
  <c r="R1223" i="2"/>
  <c r="N1223" i="2" s="1"/>
  <c r="R1046" i="2"/>
  <c r="N1046" i="2" s="1"/>
  <c r="AG695" i="2"/>
  <c r="Q1029" i="2"/>
  <c r="L1029" i="2" s="1"/>
  <c r="AG642" i="2"/>
  <c r="R829" i="2"/>
  <c r="N829" i="2" s="1"/>
  <c r="W299" i="2"/>
  <c r="AL299" i="2" s="1"/>
  <c r="AM299" i="2" s="1"/>
  <c r="AG783" i="2"/>
  <c r="R842" i="2"/>
  <c r="N842" i="2" s="1"/>
  <c r="R873" i="2"/>
  <c r="N873" i="2" s="1"/>
  <c r="W509" i="2"/>
  <c r="AL509" i="2" s="1"/>
  <c r="AM509" i="2" s="1"/>
  <c r="R343" i="2"/>
  <c r="N343" i="2" s="1"/>
  <c r="AF666" i="2"/>
  <c r="R555" i="2"/>
  <c r="N555" i="2" s="1"/>
  <c r="R743" i="2"/>
  <c r="N743" i="2" s="1"/>
  <c r="W966" i="2"/>
  <c r="AL966" i="2" s="1"/>
  <c r="AM966" i="2" s="1"/>
  <c r="AG896" i="2"/>
  <c r="Q928" i="2"/>
  <c r="L928" i="2" s="1"/>
  <c r="AF1180" i="2"/>
  <c r="Q43" i="2"/>
  <c r="L43" i="2" s="1"/>
  <c r="AG1197" i="2"/>
  <c r="R102" i="2"/>
  <c r="N102" i="2" s="1"/>
  <c r="W642" i="2"/>
  <c r="AL642" i="2" s="1"/>
  <c r="AM642" i="2" s="1"/>
  <c r="R249" i="2"/>
  <c r="N249" i="2" s="1"/>
  <c r="R418" i="2"/>
  <c r="N418" i="2" s="1"/>
  <c r="W1180" i="2"/>
  <c r="AL1180" i="2" s="1"/>
  <c r="AM1180" i="2" s="1"/>
  <c r="AG756" i="2"/>
  <c r="AF102" i="2"/>
  <c r="AF509" i="2"/>
  <c r="R1180" i="2"/>
  <c r="N1180" i="2" s="1"/>
  <c r="AF910" i="2"/>
  <c r="AG935" i="2"/>
  <c r="AF254" i="2"/>
  <c r="Q651" i="2"/>
  <c r="L651" i="2" s="1"/>
  <c r="AF935" i="2"/>
  <c r="AG1104" i="2"/>
  <c r="R997" i="2"/>
  <c r="N997" i="2" s="1"/>
  <c r="Q896" i="2"/>
  <c r="L896" i="2" s="1"/>
  <c r="AG950" i="2"/>
  <c r="W107" i="2"/>
  <c r="AL107" i="2" s="1"/>
  <c r="AM107" i="2" s="1"/>
  <c r="AG477" i="2"/>
  <c r="Q1104" i="2"/>
  <c r="L1104" i="2" s="1"/>
  <c r="AG966" i="2"/>
  <c r="Q935" i="2"/>
  <c r="L935" i="2" s="1"/>
  <c r="W102" i="2"/>
  <c r="AL102" i="2" s="1"/>
  <c r="AM102" i="2" s="1"/>
  <c r="R79" i="2"/>
  <c r="N79" i="2" s="1"/>
  <c r="AF1139" i="2"/>
  <c r="Q950" i="2"/>
  <c r="L950" i="2" s="1"/>
  <c r="Q130" i="2"/>
  <c r="L130" i="2" s="1"/>
  <c r="AG322" i="2"/>
  <c r="Q477" i="2"/>
  <c r="L477" i="2" s="1"/>
  <c r="Q493" i="2"/>
  <c r="L493" i="2" s="1"/>
  <c r="Q305" i="2"/>
  <c r="L305" i="2" s="1"/>
  <c r="R620" i="2"/>
  <c r="N620" i="2" s="1"/>
  <c r="AG1029" i="2"/>
  <c r="W935" i="2"/>
  <c r="AL935" i="2" s="1"/>
  <c r="AM935" i="2" s="1"/>
  <c r="W397" i="2"/>
  <c r="AL397" i="2" s="1"/>
  <c r="AM397" i="2" s="1"/>
  <c r="Q283" i="2"/>
  <c r="L283" i="2" s="1"/>
  <c r="R176" i="2"/>
  <c r="N176" i="2" s="1"/>
  <c r="W842" i="2"/>
  <c r="AL842" i="2" s="1"/>
  <c r="AM842" i="2" s="1"/>
  <c r="R446" i="2"/>
  <c r="N446" i="2" s="1"/>
  <c r="Q107" i="2"/>
  <c r="L107" i="2" s="1"/>
  <c r="Q430" i="2"/>
  <c r="L430" i="2" s="1"/>
  <c r="Q783" i="2"/>
  <c r="L783" i="2" s="1"/>
  <c r="R397" i="2"/>
  <c r="N397" i="2" s="1"/>
  <c r="AG1213" i="2"/>
  <c r="AF1197" i="2"/>
  <c r="Q159" i="2"/>
  <c r="L159" i="2" s="1"/>
  <c r="R299" i="2"/>
  <c r="N299" i="2" s="1"/>
  <c r="W683" i="2"/>
  <c r="AL683" i="2" s="1"/>
  <c r="AM683" i="2" s="1"/>
  <c r="W254" i="2"/>
  <c r="AL254" i="2" s="1"/>
  <c r="AM254" i="2" s="1"/>
  <c r="AG209" i="2"/>
  <c r="Q56" i="2"/>
  <c r="L56" i="2" s="1"/>
  <c r="Q1088" i="2"/>
  <c r="L1088" i="2" s="1"/>
  <c r="AF997" i="2"/>
  <c r="W1139" i="2"/>
  <c r="AL1139" i="2" s="1"/>
  <c r="AM1139" i="2" s="1"/>
  <c r="AG430" i="2"/>
  <c r="R220" i="2"/>
  <c r="N220" i="2" s="1"/>
  <c r="Q1015" i="2"/>
  <c r="L1015" i="2" s="1"/>
  <c r="Q769" i="2"/>
  <c r="L769" i="2" s="1"/>
  <c r="AG651" i="2"/>
  <c r="AG80" i="2"/>
  <c r="AG130" i="2"/>
  <c r="R807" i="2"/>
  <c r="N807" i="2" s="1"/>
  <c r="AF107" i="2"/>
  <c r="Q756" i="2"/>
  <c r="L756" i="2" s="1"/>
  <c r="Q322" i="2"/>
  <c r="L322" i="2" s="1"/>
  <c r="R467" i="2"/>
  <c r="N467" i="2" s="1"/>
  <c r="R1139" i="2"/>
  <c r="N1139" i="2" s="1"/>
  <c r="R254" i="2"/>
  <c r="N254" i="2" s="1"/>
  <c r="Q1174" i="2"/>
  <c r="L1174" i="2" s="1"/>
  <c r="R967" i="2"/>
  <c r="N967" i="2" s="1"/>
  <c r="Q857" i="2"/>
  <c r="L857" i="2" s="1"/>
  <c r="AG369" i="2"/>
  <c r="R572" i="2"/>
  <c r="N572" i="2" s="1"/>
  <c r="R274" i="2"/>
  <c r="N274" i="2" s="1"/>
  <c r="AG56" i="2"/>
  <c r="AG1015" i="2"/>
  <c r="AG712" i="2"/>
  <c r="AG769" i="2"/>
  <c r="AG493" i="2"/>
  <c r="AG593" i="2"/>
  <c r="AG283" i="2"/>
  <c r="AF397" i="2"/>
  <c r="W910" i="2"/>
  <c r="AL910" i="2" s="1"/>
  <c r="AM910" i="2" s="1"/>
  <c r="Q369" i="2"/>
  <c r="L369" i="2" s="1"/>
  <c r="R197" i="2"/>
  <c r="N197" i="2" s="1"/>
  <c r="AG928" i="2"/>
  <c r="R535" i="2"/>
  <c r="N535" i="2" s="1"/>
  <c r="AG1088" i="2"/>
  <c r="R1118" i="2"/>
  <c r="N1118" i="2" s="1"/>
  <c r="AG607" i="2"/>
  <c r="W997" i="2"/>
  <c r="AL997" i="2" s="1"/>
  <c r="AM997" i="2" s="1"/>
  <c r="R883" i="2"/>
  <c r="N883" i="2" s="1"/>
  <c r="AF683" i="2"/>
  <c r="Q1213" i="2"/>
  <c r="L1213" i="2" s="1"/>
  <c r="AG857" i="2"/>
  <c r="R683" i="2"/>
  <c r="N683" i="2" s="1"/>
  <c r="Z683" i="2" s="1"/>
  <c r="AN683" i="2" s="1"/>
  <c r="AO683" i="2" s="1"/>
  <c r="R542" i="2"/>
  <c r="N542" i="2" s="1"/>
  <c r="Q80" i="2"/>
  <c r="L80" i="2" s="1"/>
  <c r="AF280" i="2"/>
  <c r="Q743" i="2"/>
  <c r="L743" i="2" s="1"/>
  <c r="W743" i="2"/>
  <c r="AL743" i="2" s="1"/>
  <c r="AM743" i="2" s="1"/>
  <c r="R62" i="2"/>
  <c r="N62" i="2" s="1"/>
  <c r="R608" i="2"/>
  <c r="N608" i="2" s="1"/>
  <c r="R550" i="2"/>
  <c r="N550" i="2" s="1"/>
  <c r="W280" i="2"/>
  <c r="AL280" i="2" s="1"/>
  <c r="AM280" i="2" s="1"/>
  <c r="AF898" i="2"/>
  <c r="Q574" i="2"/>
  <c r="L574" i="2" s="1"/>
  <c r="AF116" i="2"/>
  <c r="R435" i="2"/>
  <c r="N435" i="2" s="1"/>
  <c r="R474" i="2"/>
  <c r="N474" i="2" s="1"/>
  <c r="R345" i="2"/>
  <c r="N345" i="2" s="1"/>
  <c r="AG170" i="2"/>
  <c r="R80" i="2"/>
  <c r="N80" i="2" s="1"/>
  <c r="R702" i="2"/>
  <c r="N702" i="2" s="1"/>
  <c r="R568" i="2"/>
  <c r="N568" i="2" s="1"/>
  <c r="R854" i="2"/>
  <c r="N854" i="2" s="1"/>
  <c r="AG953" i="2"/>
  <c r="AG782" i="2"/>
  <c r="AG988" i="2"/>
  <c r="AF645" i="2"/>
  <c r="Q841" i="2"/>
  <c r="L841" i="2" s="1"/>
  <c r="Q310" i="2"/>
  <c r="L310" i="2" s="1"/>
  <c r="AG326" i="2"/>
  <c r="AG186" i="2"/>
  <c r="AG1077" i="2"/>
  <c r="R1025" i="2"/>
  <c r="N1025" i="2" s="1"/>
  <c r="AF988" i="2"/>
  <c r="W1108" i="2"/>
  <c r="AL1108" i="2" s="1"/>
  <c r="AM1108" i="2" s="1"/>
  <c r="AG1047" i="2"/>
  <c r="AF80" i="2"/>
  <c r="R658" i="2"/>
  <c r="N658" i="2" s="1"/>
  <c r="AF421" i="2"/>
  <c r="Q326" i="2"/>
  <c r="L326" i="2" s="1"/>
  <c r="AG147" i="2"/>
  <c r="AF1208" i="2"/>
  <c r="Q349" i="2"/>
  <c r="L349" i="2" s="1"/>
  <c r="Q497" i="2"/>
  <c r="L497" i="2" s="1"/>
  <c r="AG574" i="2"/>
  <c r="Q886" i="2"/>
  <c r="L886" i="2" s="1"/>
  <c r="Q751" i="2"/>
  <c r="L751" i="2" s="1"/>
  <c r="AG310" i="2"/>
  <c r="AF47" i="2"/>
  <c r="AG751" i="2"/>
  <c r="AG392" i="2"/>
  <c r="AG1222" i="2"/>
  <c r="W219" i="2"/>
  <c r="AL219" i="2" s="1"/>
  <c r="AM219" i="2" s="1"/>
  <c r="R405" i="2"/>
  <c r="N405" i="2" s="1"/>
  <c r="Q1093" i="2"/>
  <c r="L1093" i="2" s="1"/>
  <c r="Q1008" i="2"/>
  <c r="L1008" i="2" s="1"/>
  <c r="R20" i="2"/>
  <c r="N20" i="2" s="1"/>
  <c r="Q363" i="2"/>
  <c r="L363" i="2" s="1"/>
  <c r="R266" i="2"/>
  <c r="N266" i="2" s="1"/>
  <c r="AG1093" i="2"/>
  <c r="AF967" i="2"/>
  <c r="Q465" i="2"/>
  <c r="L465" i="2" s="1"/>
  <c r="AG645" i="2"/>
  <c r="R1032" i="2"/>
  <c r="N1032" i="2" s="1"/>
  <c r="AF945" i="2"/>
  <c r="AF219" i="2"/>
  <c r="Q632" i="2"/>
  <c r="L632" i="2" s="1"/>
  <c r="AG219" i="2"/>
  <c r="AG1008" i="2"/>
  <c r="W421" i="2"/>
  <c r="AL421" i="2" s="1"/>
  <c r="AM421" i="2" s="1"/>
  <c r="Q1183" i="2"/>
  <c r="L1183" i="2" s="1"/>
  <c r="W1130" i="2"/>
  <c r="AL1130" i="2" s="1"/>
  <c r="AM1130" i="2" s="1"/>
  <c r="Q377" i="2"/>
  <c r="L377" i="2" s="1"/>
  <c r="AF497" i="2"/>
  <c r="W116" i="2"/>
  <c r="AL116" i="2" s="1"/>
  <c r="AM116" i="2" s="1"/>
  <c r="AG1183" i="2"/>
  <c r="Q782" i="2"/>
  <c r="L782" i="2" s="1"/>
  <c r="W497" i="2"/>
  <c r="AL497" i="2" s="1"/>
  <c r="AM497" i="2" s="1"/>
  <c r="R1152" i="2"/>
  <c r="N1152" i="2" s="1"/>
  <c r="AG421" i="2"/>
  <c r="Q1222" i="2"/>
  <c r="L1222" i="2" s="1"/>
  <c r="R100" i="2"/>
  <c r="N100" i="2" s="1"/>
  <c r="Q421" i="2"/>
  <c r="L421" i="2" s="1"/>
  <c r="W988" i="2"/>
  <c r="AL988" i="2" s="1"/>
  <c r="AM988" i="2" s="1"/>
  <c r="Q812" i="2"/>
  <c r="L812" i="2" s="1"/>
  <c r="R165" i="2"/>
  <c r="N165" i="2" s="1"/>
  <c r="R945" i="2"/>
  <c r="N945" i="2" s="1"/>
  <c r="R7" i="2"/>
  <c r="N7" i="2" s="1"/>
  <c r="AG363" i="2"/>
  <c r="R1208" i="2"/>
  <c r="N1208" i="2" s="1"/>
  <c r="AG841" i="2"/>
  <c r="R253" i="2"/>
  <c r="N253" i="2" s="1"/>
  <c r="AF1130" i="2"/>
  <c r="Q147" i="2"/>
  <c r="L147" i="2" s="1"/>
  <c r="Q186" i="2"/>
  <c r="L186" i="2" s="1"/>
  <c r="AG37" i="2"/>
  <c r="W945" i="2"/>
  <c r="AL945" i="2" s="1"/>
  <c r="AM945" i="2" s="1"/>
  <c r="W1208" i="2"/>
  <c r="AL1208" i="2" s="1"/>
  <c r="AM1208" i="2" s="1"/>
  <c r="AF743" i="2"/>
  <c r="Q645" i="2"/>
  <c r="L645" i="2" s="1"/>
  <c r="R715" i="2"/>
  <c r="N715" i="2" s="1"/>
  <c r="R47" i="2"/>
  <c r="N47" i="2" s="1"/>
  <c r="AG870" i="2"/>
  <c r="R626" i="2"/>
  <c r="N626" i="2" s="1"/>
  <c r="AF1108" i="2"/>
  <c r="AG922" i="2"/>
  <c r="AG540" i="2"/>
  <c r="AG632" i="2"/>
  <c r="R201" i="2"/>
  <c r="N201" i="2" s="1"/>
  <c r="Q922" i="2"/>
  <c r="L922" i="2" s="1"/>
  <c r="Q133" i="2"/>
  <c r="L133" i="2" s="1"/>
  <c r="AG725" i="2"/>
  <c r="Q540" i="2"/>
  <c r="L540" i="2" s="1"/>
  <c r="Q37" i="2"/>
  <c r="L37" i="2" s="1"/>
  <c r="AG1169" i="2"/>
  <c r="AG594" i="2"/>
  <c r="W80" i="2"/>
  <c r="AL80" i="2" s="1"/>
  <c r="AM80" i="2" s="1"/>
  <c r="R286" i="2"/>
  <c r="N286" i="2" s="1"/>
  <c r="AG886" i="2"/>
  <c r="AG377" i="2"/>
  <c r="W751" i="2"/>
  <c r="AL751" i="2" s="1"/>
  <c r="AM751" i="2" s="1"/>
  <c r="Q219" i="2"/>
  <c r="L219" i="2" s="1"/>
  <c r="Q392" i="2"/>
  <c r="L392" i="2" s="1"/>
  <c r="Q725" i="2"/>
  <c r="L725" i="2" s="1"/>
  <c r="W967" i="2"/>
  <c r="AL967" i="2" s="1"/>
  <c r="AM967" i="2" s="1"/>
  <c r="AG497" i="2"/>
  <c r="AF568" i="2"/>
  <c r="AG518" i="2"/>
  <c r="W568" i="2"/>
  <c r="AL568" i="2" s="1"/>
  <c r="AM568" i="2" s="1"/>
  <c r="R1130" i="2"/>
  <c r="N1130" i="2" s="1"/>
  <c r="R1203" i="2"/>
  <c r="N1203" i="2" s="1"/>
  <c r="AG1108" i="2"/>
  <c r="R280" i="2"/>
  <c r="N280" i="2" s="1"/>
  <c r="AF133" i="2"/>
  <c r="R1126" i="2"/>
  <c r="N1126" i="2" s="1"/>
  <c r="Q1077" i="2"/>
  <c r="L1077" i="2" s="1"/>
  <c r="AG812" i="2"/>
  <c r="W645" i="2"/>
  <c r="AL645" i="2" s="1"/>
  <c r="AM645" i="2" s="1"/>
  <c r="AG465" i="2"/>
  <c r="AG743" i="2"/>
  <c r="AF751" i="2"/>
  <c r="R681" i="2"/>
  <c r="N681" i="2" s="1"/>
  <c r="R795" i="2"/>
  <c r="N795" i="2" s="1"/>
  <c r="Q870" i="2"/>
  <c r="L870" i="2" s="1"/>
  <c r="Q170" i="2"/>
  <c r="L170" i="2" s="1"/>
  <c r="R583" i="2"/>
  <c r="N583" i="2" s="1"/>
  <c r="AG505" i="2"/>
  <c r="W47" i="2"/>
  <c r="AL47" i="2" s="1"/>
  <c r="AM47" i="2" s="1"/>
  <c r="Q518" i="2"/>
  <c r="L518" i="2" s="1"/>
  <c r="R239" i="2"/>
  <c r="N239" i="2" s="1"/>
  <c r="W898" i="2"/>
  <c r="AL898" i="2" s="1"/>
  <c r="AM898" i="2" s="1"/>
  <c r="AG133" i="2"/>
  <c r="R898" i="2"/>
  <c r="N898" i="2" s="1"/>
  <c r="AG349" i="2"/>
  <c r="Q1047" i="2"/>
  <c r="L1047" i="2" s="1"/>
  <c r="Q1169" i="2"/>
  <c r="L1169" i="2" s="1"/>
  <c r="Q594" i="2"/>
  <c r="L594" i="2" s="1"/>
  <c r="Q953" i="2"/>
  <c r="L953" i="2" s="1"/>
  <c r="Q1108" i="2"/>
  <c r="L1108" i="2" s="1"/>
  <c r="Q988" i="2"/>
  <c r="L988" i="2" s="1"/>
  <c r="W133" i="2"/>
  <c r="AL133" i="2" s="1"/>
  <c r="AM133" i="2" s="1"/>
  <c r="Q505" i="2"/>
  <c r="L505" i="2" s="1"/>
  <c r="R116" i="2"/>
  <c r="N116" i="2" s="1"/>
  <c r="Z116" i="2" s="1"/>
  <c r="AN116" i="2" s="1"/>
  <c r="AO116" i="2" s="1"/>
  <c r="R449" i="2"/>
  <c r="N449" i="2" s="1"/>
  <c r="R38" i="2"/>
  <c r="N38" i="2" s="1"/>
  <c r="R55" i="2"/>
  <c r="N55" i="2" s="1"/>
  <c r="AF544" i="2"/>
  <c r="R862" i="2"/>
  <c r="N862" i="2" s="1"/>
  <c r="Q456" i="2"/>
  <c r="L456" i="2" s="1"/>
  <c r="Q1188" i="2"/>
  <c r="L1188" i="2" s="1"/>
  <c r="Q153" i="2"/>
  <c r="L153" i="2" s="1"/>
  <c r="AG492" i="2"/>
  <c r="Q64" i="2"/>
  <c r="L64" i="2" s="1"/>
  <c r="Q508" i="2"/>
  <c r="L508" i="2" s="1"/>
  <c r="AG1137" i="2"/>
  <c r="R564" i="2"/>
  <c r="N564" i="2" s="1"/>
  <c r="R408" i="2"/>
  <c r="N408" i="2" s="1"/>
  <c r="R311" i="2"/>
  <c r="N311" i="2" s="1"/>
  <c r="AG999" i="2"/>
  <c r="W55" i="2"/>
  <c r="AL55" i="2" s="1"/>
  <c r="AM55" i="2" s="1"/>
  <c r="AG456" i="2"/>
  <c r="W78" i="2"/>
  <c r="AL78" i="2" s="1"/>
  <c r="AM78" i="2" s="1"/>
  <c r="Q946" i="2"/>
  <c r="L946" i="2" s="1"/>
  <c r="Q764" i="2"/>
  <c r="L764" i="2" s="1"/>
  <c r="R135" i="2"/>
  <c r="N135" i="2" s="1"/>
  <c r="R1048" i="2"/>
  <c r="N1048" i="2" s="1"/>
  <c r="AF1231" i="2"/>
  <c r="R796" i="2"/>
  <c r="N796" i="2" s="1"/>
  <c r="W336" i="2"/>
  <c r="AL336" i="2" s="1"/>
  <c r="AM336" i="2" s="1"/>
  <c r="R953" i="2"/>
  <c r="N953" i="2" s="1"/>
  <c r="Q601" i="2"/>
  <c r="L601" i="2" s="1"/>
  <c r="W953" i="2"/>
  <c r="AL953" i="2" s="1"/>
  <c r="AM953" i="2" s="1"/>
  <c r="W579" i="2"/>
  <c r="AL579" i="2" s="1"/>
  <c r="AM579" i="2" s="1"/>
  <c r="AG266" i="2"/>
  <c r="R621" i="2"/>
  <c r="N621" i="2" s="1"/>
  <c r="R420" i="2"/>
  <c r="N420" i="2" s="1"/>
  <c r="AG300" i="2"/>
  <c r="Q1137" i="2"/>
  <c r="L1137" i="2" s="1"/>
  <c r="W999" i="2"/>
  <c r="AL999" i="2" s="1"/>
  <c r="AM999" i="2" s="1"/>
  <c r="AG355" i="2"/>
  <c r="AG694" i="2"/>
  <c r="Q355" i="2"/>
  <c r="L355" i="2" s="1"/>
  <c r="R675" i="2"/>
  <c r="N675" i="2" s="1"/>
  <c r="AF55" i="2"/>
  <c r="AG437" i="2"/>
  <c r="Q282" i="2"/>
  <c r="L282" i="2" s="1"/>
  <c r="Q1066" i="2"/>
  <c r="L1066" i="2" s="1"/>
  <c r="W173" i="2"/>
  <c r="AL173" i="2" s="1"/>
  <c r="AM173" i="2" s="1"/>
  <c r="Q398" i="2"/>
  <c r="L398" i="2" s="1"/>
  <c r="AG173" i="2"/>
  <c r="AG661" i="2"/>
  <c r="W544" i="2"/>
  <c r="AL544" i="2" s="1"/>
  <c r="AM544" i="2" s="1"/>
  <c r="R186" i="2"/>
  <c r="N186" i="2" s="1"/>
  <c r="AG906" i="2"/>
  <c r="R4" i="2"/>
  <c r="N4" i="2" s="1"/>
  <c r="AG78" i="2"/>
  <c r="W1231" i="2"/>
  <c r="AL1231" i="2" s="1"/>
  <c r="AM1231" i="2" s="1"/>
  <c r="AG336" i="2"/>
  <c r="Q266" i="2"/>
  <c r="L266" i="2" s="1"/>
  <c r="AG946" i="2"/>
  <c r="AF999" i="2"/>
  <c r="R981" i="2"/>
  <c r="N981" i="2" s="1"/>
  <c r="Q173" i="2"/>
  <c r="L173" i="2" s="1"/>
  <c r="Q816" i="2"/>
  <c r="L816" i="2" s="1"/>
  <c r="Q999" i="2"/>
  <c r="L999" i="2" s="1"/>
  <c r="W456" i="2"/>
  <c r="AL456" i="2" s="1"/>
  <c r="AM456" i="2" s="1"/>
  <c r="AF1207" i="2"/>
  <c r="W1030" i="2"/>
  <c r="AL1030" i="2" s="1"/>
  <c r="AM1030" i="2" s="1"/>
  <c r="AG579" i="2"/>
  <c r="Q694" i="2"/>
  <c r="L694" i="2" s="1"/>
  <c r="W38" i="2"/>
  <c r="AL38" i="2" s="1"/>
  <c r="AM38" i="2" s="1"/>
  <c r="AG225" i="2"/>
  <c r="Q1103" i="2"/>
  <c r="L1103" i="2" s="1"/>
  <c r="AF1085" i="2"/>
  <c r="AG398" i="2"/>
  <c r="R933" i="2"/>
  <c r="N933" i="2" s="1"/>
  <c r="W266" i="2"/>
  <c r="AL266" i="2" s="1"/>
  <c r="AM266" i="2" s="1"/>
  <c r="R1194" i="2"/>
  <c r="N1194" i="2" s="1"/>
  <c r="AG674" i="2"/>
  <c r="AG320" i="2"/>
  <c r="Q492" i="2"/>
  <c r="W420" i="2"/>
  <c r="AL420" i="2" s="1"/>
  <c r="AM420" i="2" s="1"/>
  <c r="Q918" i="2"/>
  <c r="L918" i="2" s="1"/>
  <c r="AG742" i="2"/>
  <c r="AG64" i="2"/>
  <c r="AG240" i="2"/>
  <c r="AG1231" i="2"/>
  <c r="W240" i="2"/>
  <c r="AL240" i="2" s="1"/>
  <c r="AM240" i="2" s="1"/>
  <c r="AG711" i="2"/>
  <c r="AF1016" i="2"/>
  <c r="AF579" i="2"/>
  <c r="W1153" i="2"/>
  <c r="AL1153" i="2" s="1"/>
  <c r="AM1153" i="2" s="1"/>
  <c r="Q605" i="2"/>
  <c r="L605" i="2" s="1"/>
  <c r="R882" i="2"/>
  <c r="N882" i="2" s="1"/>
  <c r="R1007" i="2"/>
  <c r="N1007" i="2" s="1"/>
  <c r="AF456" i="2"/>
  <c r="R99" i="2"/>
  <c r="N99" i="2" s="1"/>
  <c r="AG605" i="2"/>
  <c r="Q300" i="2"/>
  <c r="L300" i="2" s="1"/>
  <c r="Q78" i="2"/>
  <c r="L78" i="2" s="1"/>
  <c r="AG26" i="2"/>
  <c r="Q437" i="2"/>
  <c r="L437" i="2" s="1"/>
  <c r="Q742" i="2"/>
  <c r="L742" i="2" s="1"/>
  <c r="Q26" i="2"/>
  <c r="L26" i="2" s="1"/>
  <c r="W1016" i="2"/>
  <c r="AL1016" i="2" s="1"/>
  <c r="AM1016" i="2" s="1"/>
  <c r="Q320" i="2"/>
  <c r="L320" i="2" s="1"/>
  <c r="AG848" i="2"/>
  <c r="AG830" i="2"/>
  <c r="R769" i="2"/>
  <c r="N769" i="2" s="1"/>
  <c r="R1119" i="2"/>
  <c r="N1119" i="2" s="1"/>
  <c r="R195" i="2"/>
  <c r="N195" i="2" s="1"/>
  <c r="Q830" i="2"/>
  <c r="L830" i="2" s="1"/>
  <c r="R1153" i="2"/>
  <c r="N1153" i="2" s="1"/>
  <c r="R1030" i="2"/>
  <c r="N1030" i="2" s="1"/>
  <c r="R557" i="2"/>
  <c r="N557" i="2" s="1"/>
  <c r="Q1231" i="2"/>
  <c r="L1231" i="2" s="1"/>
  <c r="AG153" i="2"/>
  <c r="R125" i="2"/>
  <c r="N125" i="2" s="1"/>
  <c r="AG601" i="2"/>
  <c r="R257" i="2"/>
  <c r="N257" i="2" s="1"/>
  <c r="AF186" i="2"/>
  <c r="R791" i="2"/>
  <c r="N791" i="2" s="1"/>
  <c r="AF78" i="2"/>
  <c r="Q336" i="2"/>
  <c r="L336" i="2" s="1"/>
  <c r="W1085" i="2"/>
  <c r="AL1085" i="2" s="1"/>
  <c r="AM1085" i="2" s="1"/>
  <c r="AG282" i="2"/>
  <c r="Q1164" i="2"/>
  <c r="L1164" i="2" s="1"/>
  <c r="AG816" i="2"/>
  <c r="AF336" i="2"/>
  <c r="Q383" i="2"/>
  <c r="L383" i="2" s="1"/>
  <c r="W1207" i="2"/>
  <c r="AL1207" i="2" s="1"/>
  <c r="AM1207" i="2" s="1"/>
  <c r="AG1188" i="2"/>
  <c r="Q579" i="2"/>
  <c r="L579" i="2" s="1"/>
  <c r="AF953" i="2"/>
  <c r="Q240" i="2"/>
  <c r="L240" i="2" s="1"/>
  <c r="W186" i="2"/>
  <c r="AL186" i="2" s="1"/>
  <c r="AM186" i="2" s="1"/>
  <c r="AG918" i="2"/>
  <c r="AF266" i="2"/>
  <c r="AF1153" i="2"/>
  <c r="AF769" i="2"/>
  <c r="W769" i="2"/>
  <c r="AL769" i="2" s="1"/>
  <c r="AM769" i="2" s="1"/>
  <c r="AF1030" i="2"/>
  <c r="R894" i="2"/>
  <c r="N894" i="2" s="1"/>
  <c r="AG383" i="2"/>
  <c r="Q661" i="2"/>
  <c r="L661" i="2" s="1"/>
  <c r="R514" i="2"/>
  <c r="N514" i="2" s="1"/>
  <c r="Q225" i="2"/>
  <c r="L225" i="2" s="1"/>
  <c r="AG1164" i="2"/>
  <c r="Q906" i="2"/>
  <c r="L906" i="2" s="1"/>
  <c r="R92" i="2"/>
  <c r="N92" i="2" s="1"/>
  <c r="R644" i="2"/>
  <c r="N644" i="2" s="1"/>
  <c r="R108" i="2"/>
  <c r="N108" i="2" s="1"/>
  <c r="R544" i="2"/>
  <c r="N544" i="2" s="1"/>
  <c r="AG764" i="2"/>
  <c r="R522" i="2"/>
  <c r="N522" i="2" s="1"/>
  <c r="Q674" i="2"/>
  <c r="L674" i="2" s="1"/>
  <c r="Q711" i="2"/>
  <c r="L711" i="2" s="1"/>
  <c r="R1016" i="2"/>
  <c r="N1016" i="2" s="1"/>
  <c r="AG508" i="2"/>
  <c r="AF173" i="2"/>
  <c r="AF240" i="2"/>
  <c r="R1085" i="2"/>
  <c r="N1085" i="2" s="1"/>
  <c r="Z1085" i="2" s="1"/>
  <c r="AN1085" i="2" s="1"/>
  <c r="AO1085" i="2" s="1"/>
  <c r="AG1066" i="2"/>
  <c r="R475" i="2"/>
  <c r="N475" i="2" s="1"/>
  <c r="AF38" i="2"/>
  <c r="AF830" i="2"/>
  <c r="Q848" i="2"/>
  <c r="L848" i="2" s="1"/>
  <c r="R1207" i="2"/>
  <c r="N1207" i="2" s="1"/>
  <c r="AF420" i="2"/>
  <c r="AG1103" i="2"/>
  <c r="W830" i="2"/>
  <c r="AL830" i="2" s="1"/>
  <c r="AM830" i="2" s="1"/>
  <c r="W1121" i="2"/>
  <c r="AL1121" i="2" s="1"/>
  <c r="AM1121" i="2" s="1"/>
  <c r="AG419" i="2"/>
  <c r="AG1167" i="2"/>
  <c r="R22" i="2"/>
  <c r="N22" i="2" s="1"/>
  <c r="W737" i="2"/>
  <c r="AL737" i="2" s="1"/>
  <c r="AM737" i="2" s="1"/>
  <c r="AG1046" i="2"/>
  <c r="W1213" i="2"/>
  <c r="AL1213" i="2" s="1"/>
  <c r="AM1213" i="2" s="1"/>
  <c r="Q419" i="2"/>
  <c r="L419" i="2" s="1"/>
  <c r="AF809" i="2"/>
  <c r="Q200" i="2"/>
  <c r="L200" i="2" s="1"/>
  <c r="Q123" i="2"/>
  <c r="L123" i="2" s="1"/>
  <c r="Q1075" i="2"/>
  <c r="L1075" i="2" s="1"/>
  <c r="Q705" i="2"/>
  <c r="L705" i="2" s="1"/>
  <c r="AG28" i="2"/>
  <c r="W684" i="2"/>
  <c r="AL684" i="2" s="1"/>
  <c r="AM684" i="2" s="1"/>
  <c r="W1075" i="2"/>
  <c r="AL1075" i="2" s="1"/>
  <c r="AM1075" i="2" s="1"/>
  <c r="R892" i="2"/>
  <c r="N892" i="2" s="1"/>
  <c r="AF847" i="2"/>
  <c r="R921" i="2"/>
  <c r="N921" i="2" s="1"/>
  <c r="AF108" i="2"/>
  <c r="R400" i="2"/>
  <c r="N400" i="2" s="1"/>
  <c r="Z400" i="2" s="1"/>
  <c r="AN400" i="2" s="1"/>
  <c r="AO400" i="2" s="1"/>
  <c r="AG684" i="2"/>
  <c r="W560" i="2"/>
  <c r="AL560" i="2" s="1"/>
  <c r="AM560" i="2" s="1"/>
  <c r="AG241" i="2"/>
  <c r="AG1106" i="2"/>
  <c r="AF1046" i="2"/>
  <c r="AG780" i="2"/>
  <c r="R190" i="2"/>
  <c r="N190" i="2" s="1"/>
  <c r="AG200" i="2"/>
  <c r="W504" i="2"/>
  <c r="AL504" i="2" s="1"/>
  <c r="AM504" i="2" s="1"/>
  <c r="Q684" i="2"/>
  <c r="L684" i="2" s="1"/>
  <c r="AG59" i="2"/>
  <c r="R515" i="2"/>
  <c r="N515" i="2" s="1"/>
  <c r="R348" i="2"/>
  <c r="N348" i="2" s="1"/>
  <c r="W1046" i="2"/>
  <c r="AL1046" i="2" s="1"/>
  <c r="AM1046" i="2" s="1"/>
  <c r="R71" i="2"/>
  <c r="N71" i="2" s="1"/>
  <c r="AG809" i="2"/>
  <c r="AG1075" i="2"/>
  <c r="AG444" i="2"/>
  <c r="R874" i="2"/>
  <c r="N874" i="2" s="1"/>
  <c r="AF504" i="2"/>
  <c r="R574" i="2"/>
  <c r="N574" i="2" s="1"/>
  <c r="AF141" i="2"/>
  <c r="W992" i="2"/>
  <c r="AL992" i="2" s="1"/>
  <c r="AM992" i="2" s="1"/>
  <c r="AG654" i="2"/>
  <c r="Q992" i="2"/>
  <c r="L992" i="2" s="1"/>
  <c r="R157" i="2"/>
  <c r="N157" i="2" s="1"/>
  <c r="Q292" i="2"/>
  <c r="L292" i="2" s="1"/>
  <c r="AG936" i="2"/>
  <c r="Q1031" i="2"/>
  <c r="L1031" i="2" s="1"/>
  <c r="AG504" i="2"/>
  <c r="Q95" i="2"/>
  <c r="L95" i="2" s="1"/>
  <c r="AG292" i="2"/>
  <c r="AF992" i="2"/>
  <c r="Q936" i="2"/>
  <c r="L936" i="2" s="1"/>
  <c r="Q28" i="2"/>
  <c r="L28" i="2" s="1"/>
  <c r="W877" i="2"/>
  <c r="AL877" i="2" s="1"/>
  <c r="AM877" i="2" s="1"/>
  <c r="Q530" i="2"/>
  <c r="L530" i="2" s="1"/>
  <c r="Q668" i="2"/>
  <c r="L668" i="2" s="1"/>
  <c r="Q504" i="2"/>
  <c r="L504" i="2" s="1"/>
  <c r="Q822" i="2"/>
  <c r="L822" i="2" s="1"/>
  <c r="AF176" i="2"/>
  <c r="Q1167" i="2"/>
  <c r="L1167" i="2" s="1"/>
  <c r="W214" i="2"/>
  <c r="AL214" i="2" s="1"/>
  <c r="AM214" i="2" s="1"/>
  <c r="R308" i="2"/>
  <c r="N308" i="2" s="1"/>
  <c r="R764" i="2"/>
  <c r="N764" i="2" s="1"/>
  <c r="R614" i="2"/>
  <c r="N614" i="2" s="1"/>
  <c r="R701" i="2"/>
  <c r="N701" i="2" s="1"/>
  <c r="Q1090" i="2"/>
  <c r="L1090" i="2" s="1"/>
  <c r="AG1190" i="2"/>
  <c r="AF877" i="2"/>
  <c r="AG1090" i="2"/>
  <c r="R1009" i="2"/>
  <c r="N1009" i="2" s="1"/>
  <c r="R255" i="2"/>
  <c r="N255" i="2" s="1"/>
  <c r="R727" i="2"/>
  <c r="N727" i="2" s="1"/>
  <c r="Q974" i="2"/>
  <c r="L974" i="2" s="1"/>
  <c r="R141" i="2"/>
  <c r="N141" i="2" s="1"/>
  <c r="R1064" i="2"/>
  <c r="N1064" i="2" s="1"/>
  <c r="AF737" i="2"/>
  <c r="AF400" i="2"/>
  <c r="AG176" i="2"/>
  <c r="Q1190" i="2"/>
  <c r="L1190" i="2" s="1"/>
  <c r="Q444" i="2"/>
  <c r="L444" i="2" s="1"/>
  <c r="R364" i="2"/>
  <c r="N364" i="2" s="1"/>
  <c r="Q968" i="2"/>
  <c r="L968" i="2" s="1"/>
  <c r="AF560" i="2"/>
  <c r="W764" i="2"/>
  <c r="AL764" i="2" s="1"/>
  <c r="AM764" i="2" s="1"/>
  <c r="R384" i="2"/>
  <c r="N384" i="2" s="1"/>
  <c r="Q1046" i="2"/>
  <c r="L1046" i="2" s="1"/>
  <c r="R539" i="2"/>
  <c r="N539" i="2" s="1"/>
  <c r="AG530" i="2"/>
  <c r="W795" i="2"/>
  <c r="AL795" i="2" s="1"/>
  <c r="AM795" i="2" s="1"/>
  <c r="Q241" i="2"/>
  <c r="L241" i="2" s="1"/>
  <c r="AG968" i="2"/>
  <c r="Q176" i="2"/>
  <c r="L176" i="2" s="1"/>
  <c r="W400" i="2"/>
  <c r="AL400" i="2" s="1"/>
  <c r="AM400" i="2" s="1"/>
  <c r="AG324" i="2"/>
  <c r="AG262" i="2"/>
  <c r="W176" i="2"/>
  <c r="AL176" i="2" s="1"/>
  <c r="AM176" i="2" s="1"/>
  <c r="R462" i="2"/>
  <c r="N462" i="2" s="1"/>
  <c r="AG705" i="2"/>
  <c r="AG992" i="2"/>
  <c r="R9" i="2"/>
  <c r="N9" i="2" s="1"/>
  <c r="AF643" i="2"/>
  <c r="W643" i="2"/>
  <c r="AL643" i="2" s="1"/>
  <c r="AM643" i="2" s="1"/>
  <c r="Q214" i="2"/>
  <c r="L214" i="2" s="1"/>
  <c r="Q1106" i="2"/>
  <c r="L1106" i="2" s="1"/>
  <c r="Q629" i="2"/>
  <c r="L629" i="2" s="1"/>
  <c r="Q487" i="2"/>
  <c r="L487" i="2" s="1"/>
  <c r="R1210" i="2"/>
  <c r="N1210" i="2" s="1"/>
  <c r="W123" i="2"/>
  <c r="AL123" i="2" s="1"/>
  <c r="AM123" i="2" s="1"/>
  <c r="AG487" i="2"/>
  <c r="W515" i="2"/>
  <c r="AL515" i="2" s="1"/>
  <c r="AM515" i="2" s="1"/>
  <c r="AF795" i="2"/>
  <c r="AF1075" i="2"/>
  <c r="AG795" i="2"/>
  <c r="AG108" i="2"/>
  <c r="AF1213" i="2"/>
  <c r="AG822" i="2"/>
  <c r="W141" i="2"/>
  <c r="AL141" i="2" s="1"/>
  <c r="AM141" i="2" s="1"/>
  <c r="Q654" i="2"/>
  <c r="L654" i="2" s="1"/>
  <c r="Q1128" i="2"/>
  <c r="L1128" i="2" s="1"/>
  <c r="Q643" i="2"/>
  <c r="L643" i="2" s="1"/>
  <c r="R390" i="2"/>
  <c r="N390" i="2" s="1"/>
  <c r="AG123" i="2"/>
  <c r="W348" i="2"/>
  <c r="AL348" i="2" s="1"/>
  <c r="AM348" i="2" s="1"/>
  <c r="Q324" i="2"/>
  <c r="L324" i="2" s="1"/>
  <c r="R852" i="2"/>
  <c r="N852" i="2" s="1"/>
  <c r="R234" i="2"/>
  <c r="N234" i="2" s="1"/>
  <c r="AG1128" i="2"/>
  <c r="AF214" i="2"/>
  <c r="AG1031" i="2"/>
  <c r="AG339" i="2"/>
  <c r="R1151" i="2"/>
  <c r="N1151" i="2" s="1"/>
  <c r="R877" i="2"/>
  <c r="N877" i="2" s="1"/>
  <c r="Z877" i="2" s="1"/>
  <c r="AN877" i="2" s="1"/>
  <c r="AO877" i="2" s="1"/>
  <c r="AG278" i="2"/>
  <c r="AG643" i="2"/>
  <c r="R955" i="2"/>
  <c r="N955" i="2" s="1"/>
  <c r="Q809" i="2"/>
  <c r="L809" i="2" s="1"/>
  <c r="R1165" i="2"/>
  <c r="N1165" i="2" s="1"/>
  <c r="AG974" i="2"/>
  <c r="Q278" i="2"/>
  <c r="L278" i="2" s="1"/>
  <c r="AF348" i="2"/>
  <c r="R737" i="2"/>
  <c r="N737" i="2" s="1"/>
  <c r="AG95" i="2"/>
  <c r="R597" i="2"/>
  <c r="N597" i="2" s="1"/>
  <c r="R908" i="2"/>
  <c r="N908" i="2" s="1"/>
  <c r="W847" i="2"/>
  <c r="AL847" i="2" s="1"/>
  <c r="AM847" i="2" s="1"/>
  <c r="AF1121" i="2"/>
  <c r="W108" i="2"/>
  <c r="AL108" i="2" s="1"/>
  <c r="AM108" i="2" s="1"/>
  <c r="Q262" i="2"/>
  <c r="L262" i="2" s="1"/>
  <c r="R560" i="2"/>
  <c r="N560" i="2" s="1"/>
  <c r="AF515" i="2"/>
  <c r="W444" i="2"/>
  <c r="AL444" i="2" s="1"/>
  <c r="AM444" i="2" s="1"/>
  <c r="W574" i="2"/>
  <c r="AL574" i="2" s="1"/>
  <c r="AM574" i="2" s="1"/>
  <c r="AF574" i="2"/>
  <c r="R847" i="2"/>
  <c r="N847" i="2" s="1"/>
  <c r="AG668" i="2"/>
  <c r="AF444" i="2"/>
  <c r="Q780" i="2"/>
  <c r="L780" i="2" s="1"/>
  <c r="Q795" i="2"/>
  <c r="L795" i="2" s="1"/>
  <c r="R1121" i="2"/>
  <c r="N1121" i="2" s="1"/>
  <c r="W809" i="2"/>
  <c r="AL809" i="2" s="1"/>
  <c r="AM809" i="2" s="1"/>
  <c r="AG629" i="2"/>
  <c r="Q339" i="2"/>
  <c r="L339" i="2" s="1"/>
  <c r="R483" i="2"/>
  <c r="N483" i="2" s="1"/>
  <c r="Q59" i="2"/>
  <c r="L59" i="2" s="1"/>
  <c r="Q108" i="2"/>
  <c r="L108" i="2" s="1"/>
  <c r="AF764" i="2"/>
  <c r="AG214" i="2"/>
  <c r="AF123" i="2"/>
  <c r="R1213" i="2"/>
  <c r="N1213" i="2" s="1"/>
  <c r="AF684" i="2"/>
  <c r="R1006" i="2"/>
  <c r="N1006" i="2" s="1"/>
  <c r="Q687" i="2"/>
  <c r="L687" i="2" s="1"/>
  <c r="AF1072" i="2"/>
  <c r="Q378" i="2"/>
  <c r="L378" i="2" s="1"/>
  <c r="AG611" i="2"/>
  <c r="Q91" i="2"/>
  <c r="L91" i="2" s="1"/>
  <c r="AG393" i="2"/>
  <c r="AG1131" i="2"/>
  <c r="W922" i="2"/>
  <c r="AL922" i="2" s="1"/>
  <c r="AM922" i="2" s="1"/>
  <c r="R547" i="2"/>
  <c r="N547" i="2" s="1"/>
  <c r="AF1035" i="2"/>
  <c r="Q8" i="2"/>
  <c r="L8" i="2" s="1"/>
  <c r="Q564" i="2"/>
  <c r="L564" i="2" s="1"/>
  <c r="Q1171" i="2"/>
  <c r="L1171" i="2" s="1"/>
  <c r="W802" i="2"/>
  <c r="AL802" i="2" s="1"/>
  <c r="AM802" i="2" s="1"/>
  <c r="AG658" i="2"/>
  <c r="AF1092" i="2"/>
  <c r="W255" i="2"/>
  <c r="AL255" i="2" s="1"/>
  <c r="AM255" i="2" s="1"/>
  <c r="R223" i="2"/>
  <c r="N223" i="2" s="1"/>
  <c r="Q1200" i="2"/>
  <c r="L1200" i="2" s="1"/>
  <c r="AF711" i="2"/>
  <c r="Q893" i="2"/>
  <c r="L893" i="2" s="1"/>
  <c r="R473" i="2"/>
  <c r="N473" i="2" s="1"/>
  <c r="AG962" i="2"/>
  <c r="AG8" i="2"/>
  <c r="W153" i="2"/>
  <c r="AL153" i="2" s="1"/>
  <c r="AM153" i="2" s="1"/>
  <c r="Q393" i="2"/>
  <c r="L393" i="2" s="1"/>
  <c r="AG647" i="2"/>
  <c r="W1092" i="2"/>
  <c r="AL1092" i="2" s="1"/>
  <c r="AM1092" i="2" s="1"/>
  <c r="Q255" i="2"/>
  <c r="L255" i="2" s="1"/>
  <c r="R178" i="2"/>
  <c r="N178" i="2" s="1"/>
  <c r="W611" i="2"/>
  <c r="AL611" i="2" s="1"/>
  <c r="AM611" i="2" s="1"/>
  <c r="R163" i="2"/>
  <c r="N163" i="2" s="1"/>
  <c r="AF687" i="2"/>
  <c r="Q188" i="2"/>
  <c r="L188" i="2" s="1"/>
  <c r="Q490" i="2"/>
  <c r="L490" i="2" s="1"/>
  <c r="AG423" i="2"/>
  <c r="AF408" i="2"/>
  <c r="AF1006" i="2"/>
  <c r="AG232" i="2"/>
  <c r="W658" i="2"/>
  <c r="AL658" i="2" s="1"/>
  <c r="AM658" i="2" s="1"/>
  <c r="AF153" i="2"/>
  <c r="Q1131" i="2"/>
  <c r="L1131" i="2" s="1"/>
  <c r="W978" i="2"/>
  <c r="AL978" i="2" s="1"/>
  <c r="AM978" i="2" s="1"/>
  <c r="R911" i="2"/>
  <c r="N911" i="2" s="1"/>
  <c r="R821" i="2"/>
  <c r="N821" i="2" s="1"/>
  <c r="R711" i="2"/>
  <c r="N711" i="2" s="1"/>
  <c r="W378" i="2"/>
  <c r="AL378" i="2" s="1"/>
  <c r="AM378" i="2" s="1"/>
  <c r="AG281" i="2"/>
  <c r="Q647" i="2"/>
  <c r="L647" i="2" s="1"/>
  <c r="AF773" i="2"/>
  <c r="AF547" i="2"/>
  <c r="R371" i="2"/>
  <c r="N371" i="2" s="1"/>
  <c r="W75" i="2"/>
  <c r="AL75" i="2" s="1"/>
  <c r="AM75" i="2" s="1"/>
  <c r="R153" i="2"/>
  <c r="N153" i="2" s="1"/>
  <c r="R922" i="2"/>
  <c r="N922" i="2" s="1"/>
  <c r="AG1185" i="2"/>
  <c r="Q773" i="2"/>
  <c r="L773" i="2" s="1"/>
  <c r="R724" i="2"/>
  <c r="N724" i="2" s="1"/>
  <c r="AG843" i="2"/>
  <c r="W352" i="2"/>
  <c r="AL352" i="2" s="1"/>
  <c r="AM352" i="2" s="1"/>
  <c r="AG687" i="2"/>
  <c r="R860" i="2"/>
  <c r="N860" i="2" s="1"/>
  <c r="R759" i="2"/>
  <c r="N759" i="2" s="1"/>
  <c r="AG255" i="2"/>
  <c r="Q802" i="2"/>
  <c r="L802" i="2" s="1"/>
  <c r="AG75" i="2"/>
  <c r="Q658" i="2"/>
  <c r="L658" i="2" s="1"/>
  <c r="W1015" i="2"/>
  <c r="AL1015" i="2" s="1"/>
  <c r="AM1015" i="2" s="1"/>
  <c r="R1015" i="2"/>
  <c r="N1015" i="2" s="1"/>
  <c r="R1072" i="2"/>
  <c r="N1072" i="2" s="1"/>
  <c r="Z1072" i="2" s="1"/>
  <c r="AN1072" i="2" s="1"/>
  <c r="AO1072" i="2" s="1"/>
  <c r="AG408" i="2"/>
  <c r="R526" i="2"/>
  <c r="N526" i="2" s="1"/>
  <c r="R1146" i="2"/>
  <c r="N1146" i="2" s="1"/>
  <c r="AF1015" i="2"/>
  <c r="AF352" i="2"/>
  <c r="AG1225" i="2"/>
  <c r="Q449" i="2"/>
  <c r="L449" i="2" s="1"/>
  <c r="R433" i="2"/>
  <c r="N433" i="2" s="1"/>
  <c r="W371" i="2"/>
  <c r="AL371" i="2" s="1"/>
  <c r="AM371" i="2" s="1"/>
  <c r="Q941" i="2"/>
  <c r="L941" i="2" s="1"/>
  <c r="R1092" i="2"/>
  <c r="N1092" i="2" s="1"/>
  <c r="Z1092" i="2" s="1"/>
  <c r="AN1092" i="2" s="1"/>
  <c r="AO1092" i="2" s="1"/>
  <c r="W547" i="2"/>
  <c r="AL547" i="2" s="1"/>
  <c r="AM547" i="2" s="1"/>
  <c r="W1006" i="2"/>
  <c r="AL1006" i="2" s="1"/>
  <c r="AM1006" i="2" s="1"/>
  <c r="AF962" i="2"/>
  <c r="AF200" i="2"/>
  <c r="AG978" i="2"/>
  <c r="AF978" i="2"/>
  <c r="AG352" i="2"/>
  <c r="AG39" i="2"/>
  <c r="W163" i="2"/>
  <c r="AL163" i="2" s="1"/>
  <c r="AM163" i="2" s="1"/>
  <c r="AF922" i="2"/>
  <c r="Q104" i="2"/>
  <c r="L104" i="2" s="1"/>
  <c r="AG490" i="2"/>
  <c r="AG994" i="2"/>
  <c r="AF75" i="2"/>
  <c r="Q423" i="2"/>
  <c r="L423" i="2" s="1"/>
  <c r="R584" i="2"/>
  <c r="N584" i="2" s="1"/>
  <c r="AG1171" i="2"/>
  <c r="Q1035" i="2"/>
  <c r="L1035" i="2" s="1"/>
  <c r="R507" i="2"/>
  <c r="N507" i="2" s="1"/>
  <c r="Q843" i="2"/>
  <c r="L843" i="2" s="1"/>
  <c r="Q61" i="2"/>
  <c r="L61" i="2" s="1"/>
  <c r="Q994" i="2"/>
  <c r="L994" i="2" s="1"/>
  <c r="R703" i="2"/>
  <c r="N703" i="2" s="1"/>
  <c r="AG788" i="2"/>
  <c r="Q75" i="2"/>
  <c r="L75" i="2" s="1"/>
  <c r="Q232" i="2"/>
  <c r="L232" i="2" s="1"/>
  <c r="AG1035" i="2"/>
  <c r="R276" i="2"/>
  <c r="N276" i="2" s="1"/>
  <c r="AF276" i="2"/>
  <c r="AG893" i="2"/>
  <c r="R243" i="2"/>
  <c r="N243" i="2" s="1"/>
  <c r="AF1163" i="2"/>
  <c r="AG564" i="2"/>
  <c r="AG1200" i="2"/>
  <c r="W711" i="2"/>
  <c r="AL711" i="2" s="1"/>
  <c r="AM711" i="2" s="1"/>
  <c r="AF802" i="2"/>
  <c r="Q408" i="2"/>
  <c r="L408" i="2" s="1"/>
  <c r="Q1114" i="2"/>
  <c r="L1114" i="2" s="1"/>
  <c r="AF564" i="2"/>
  <c r="R136" i="2"/>
  <c r="N136" i="2" s="1"/>
  <c r="R313" i="2"/>
  <c r="N313" i="2" s="1"/>
  <c r="AG188" i="2"/>
  <c r="Q978" i="2"/>
  <c r="L978" i="2" s="1"/>
  <c r="W594" i="2"/>
  <c r="AL594" i="2" s="1"/>
  <c r="AM594" i="2" s="1"/>
  <c r="AF163" i="2"/>
  <c r="Q1185" i="2"/>
  <c r="L1185" i="2" s="1"/>
  <c r="AG61" i="2"/>
  <c r="W1163" i="2"/>
  <c r="AL1163" i="2" s="1"/>
  <c r="AM1163" i="2" s="1"/>
  <c r="W200" i="2"/>
  <c r="AL200" i="2" s="1"/>
  <c r="AM200" i="2" s="1"/>
  <c r="W1072" i="2"/>
  <c r="AL1072" i="2" s="1"/>
  <c r="AM1072" i="2" s="1"/>
  <c r="R735" i="2"/>
  <c r="N735" i="2" s="1"/>
  <c r="AF371" i="2"/>
  <c r="AG773" i="2"/>
  <c r="W773" i="2"/>
  <c r="AL773" i="2" s="1"/>
  <c r="AM773" i="2" s="1"/>
  <c r="AF611" i="2"/>
  <c r="AF449" i="2"/>
  <c r="W1035" i="2"/>
  <c r="AL1035" i="2" s="1"/>
  <c r="AM1035" i="2" s="1"/>
  <c r="Q352" i="2"/>
  <c r="L352" i="2" s="1"/>
  <c r="R636" i="2"/>
  <c r="N636" i="2" s="1"/>
  <c r="AG941" i="2"/>
  <c r="W962" i="2"/>
  <c r="AL962" i="2" s="1"/>
  <c r="AM962" i="2" s="1"/>
  <c r="Q295" i="2"/>
  <c r="L295" i="2" s="1"/>
  <c r="AG91" i="2"/>
  <c r="W408" i="2"/>
  <c r="AL408" i="2" s="1"/>
  <c r="AM408" i="2" s="1"/>
  <c r="AG333" i="2"/>
  <c r="Q962" i="2"/>
  <c r="L962" i="2" s="1"/>
  <c r="W276" i="2"/>
  <c r="AL276" i="2" s="1"/>
  <c r="AM276" i="2" s="1"/>
  <c r="W564" i="2"/>
  <c r="AL564" i="2" s="1"/>
  <c r="AM564" i="2" s="1"/>
  <c r="R1057" i="2"/>
  <c r="N1057" i="2" s="1"/>
  <c r="AF378" i="2"/>
  <c r="AG104" i="2"/>
  <c r="R533" i="2"/>
  <c r="N533" i="2" s="1"/>
  <c r="AG802" i="2"/>
  <c r="R469" i="2"/>
  <c r="N469" i="2" s="1"/>
  <c r="Q611" i="2"/>
  <c r="L611" i="2" s="1"/>
  <c r="Q39" i="2"/>
  <c r="L39" i="2" s="1"/>
  <c r="Q281" i="2"/>
  <c r="L281" i="2" s="1"/>
  <c r="Q1225" i="2"/>
  <c r="L1225" i="2" s="1"/>
  <c r="AG317" i="2"/>
  <c r="R32" i="2"/>
  <c r="N32" i="2" s="1"/>
  <c r="AF533" i="2"/>
  <c r="Q788" i="2"/>
  <c r="L788" i="2" s="1"/>
  <c r="R752" i="2"/>
  <c r="N752" i="2" s="1"/>
  <c r="W687" i="2"/>
  <c r="AL687" i="2" s="1"/>
  <c r="AM687" i="2" s="1"/>
  <c r="AF658" i="2"/>
  <c r="AF255" i="2"/>
  <c r="R1163" i="2"/>
  <c r="N1163" i="2" s="1"/>
  <c r="Q317" i="2"/>
  <c r="L317" i="2" s="1"/>
  <c r="AG449" i="2"/>
  <c r="AF594" i="2"/>
  <c r="R51" i="2"/>
  <c r="N51" i="2" s="1"/>
  <c r="R1100" i="2"/>
  <c r="N1100" i="2" s="1"/>
  <c r="R875" i="2"/>
  <c r="N875" i="2" s="1"/>
  <c r="R200" i="2"/>
  <c r="N200" i="2" s="1"/>
  <c r="Q333" i="2"/>
  <c r="L333" i="2" s="1"/>
  <c r="AG295" i="2"/>
  <c r="AG1114" i="2"/>
  <c r="R594" i="2"/>
  <c r="N594" i="2" s="1"/>
  <c r="W449" i="2"/>
  <c r="AL449" i="2" s="1"/>
  <c r="AM449" i="2" s="1"/>
  <c r="W533" i="2"/>
  <c r="AL533" i="2" s="1"/>
  <c r="AM533" i="2" s="1"/>
  <c r="AG378" i="2"/>
  <c r="AG229" i="2"/>
  <c r="Q201" i="2"/>
  <c r="L201" i="2" s="1"/>
  <c r="AG785" i="2"/>
  <c r="Q539" i="2"/>
  <c r="L539" i="2" s="1"/>
  <c r="Q464" i="2"/>
  <c r="L464" i="2" s="1"/>
  <c r="R707" i="2"/>
  <c r="N707" i="2" s="1"/>
  <c r="Q1206" i="2"/>
  <c r="L1206" i="2" s="1"/>
  <c r="AG48" i="2"/>
  <c r="AG21" i="2"/>
  <c r="Q876" i="2"/>
  <c r="L876" i="2" s="1"/>
  <c r="R589" i="2"/>
  <c r="N589" i="2" s="1"/>
  <c r="AG630" i="2"/>
  <c r="Q301" i="2"/>
  <c r="L301" i="2" s="1"/>
  <c r="Q1038" i="2"/>
  <c r="L1038" i="2" s="1"/>
  <c r="AF1007" i="2"/>
  <c r="AG316" i="2"/>
  <c r="Q961" i="2"/>
  <c r="L961" i="2" s="1"/>
  <c r="R97" i="2"/>
  <c r="N97" i="2" s="1"/>
  <c r="Q146" i="2"/>
  <c r="L146" i="2" s="1"/>
  <c r="AF447" i="2"/>
  <c r="AG891" i="2"/>
  <c r="W493" i="2"/>
  <c r="AL493" i="2" s="1"/>
  <c r="AM493" i="2" s="1"/>
  <c r="W97" i="2"/>
  <c r="AL97" i="2" s="1"/>
  <c r="AM97" i="2" s="1"/>
  <c r="Q771" i="2"/>
  <c r="L771" i="2" s="1"/>
  <c r="Q525" i="2"/>
  <c r="L525" i="2" s="1"/>
  <c r="R1183" i="2"/>
  <c r="N1183" i="2" s="1"/>
  <c r="AF433" i="2"/>
  <c r="W201" i="2"/>
  <c r="AL201" i="2" s="1"/>
  <c r="AM201" i="2" s="1"/>
  <c r="W1200" i="2"/>
  <c r="AL1200" i="2" s="1"/>
  <c r="AM1200" i="2" s="1"/>
  <c r="R720" i="2"/>
  <c r="N720" i="2" s="1"/>
  <c r="W539" i="2"/>
  <c r="AL539" i="2" s="1"/>
  <c r="AM539" i="2" s="1"/>
  <c r="W177" i="2"/>
  <c r="AL177" i="2" s="1"/>
  <c r="AM177" i="2" s="1"/>
  <c r="W229" i="2"/>
  <c r="AL229" i="2" s="1"/>
  <c r="AM229" i="2" s="1"/>
  <c r="R376" i="2"/>
  <c r="N376" i="2" s="1"/>
  <c r="W14" i="2"/>
  <c r="AL14" i="2" s="1"/>
  <c r="AM14" i="2" s="1"/>
  <c r="AG464" i="2"/>
  <c r="Q630" i="2"/>
  <c r="L630" i="2" s="1"/>
  <c r="W801" i="2"/>
  <c r="AL801" i="2" s="1"/>
  <c r="AM801" i="2" s="1"/>
  <c r="Q229" i="2"/>
  <c r="L229" i="2" s="1"/>
  <c r="R1200" i="2"/>
  <c r="N1200" i="2" s="1"/>
  <c r="Q785" i="2"/>
  <c r="L785" i="2" s="1"/>
  <c r="AG736" i="2"/>
  <c r="Q750" i="2"/>
  <c r="L750" i="2" s="1"/>
  <c r="W820" i="2"/>
  <c r="AL820" i="2" s="1"/>
  <c r="AM820" i="2" s="1"/>
  <c r="AF316" i="2"/>
  <c r="W283" i="2"/>
  <c r="AL283" i="2" s="1"/>
  <c r="AM283" i="2" s="1"/>
  <c r="AG357" i="2"/>
  <c r="Q1123" i="2"/>
  <c r="L1123" i="2" s="1"/>
  <c r="AG976" i="2"/>
  <c r="Q939" i="2"/>
  <c r="L939" i="2" s="1"/>
  <c r="AF1168" i="2"/>
  <c r="AG876" i="2"/>
  <c r="AG939" i="2"/>
  <c r="AF283" i="2"/>
  <c r="AG669" i="2"/>
  <c r="Q669" i="2"/>
  <c r="L669" i="2" s="1"/>
  <c r="R559" i="2"/>
  <c r="N559" i="2" s="1"/>
  <c r="AG403" i="2"/>
  <c r="Q357" i="2"/>
  <c r="L357" i="2" s="1"/>
  <c r="Q891" i="2"/>
  <c r="L891" i="2" s="1"/>
  <c r="R1099" i="2"/>
  <c r="N1099" i="2" s="1"/>
  <c r="W1168" i="2"/>
  <c r="AL1168" i="2" s="1"/>
  <c r="AM1168" i="2" s="1"/>
  <c r="AF128" i="2"/>
  <c r="AG839" i="2"/>
  <c r="R901" i="2"/>
  <c r="N901" i="2" s="1"/>
  <c r="AG1038" i="2"/>
  <c r="W262" i="2"/>
  <c r="AL262" i="2" s="1"/>
  <c r="AM262" i="2" s="1"/>
  <c r="R414" i="2"/>
  <c r="N414" i="2" s="1"/>
  <c r="AF852" i="2"/>
  <c r="AF1200" i="2"/>
  <c r="AG447" i="2"/>
  <c r="R128" i="2"/>
  <c r="N128" i="2" s="1"/>
  <c r="Q1168" i="2"/>
  <c r="L1168" i="2" s="1"/>
  <c r="AF1022" i="2"/>
  <c r="W589" i="2"/>
  <c r="AL589" i="2" s="1"/>
  <c r="AM589" i="2" s="1"/>
  <c r="Q852" i="2"/>
  <c r="L852" i="2" s="1"/>
  <c r="W324" i="2"/>
  <c r="AL324" i="2" s="1"/>
  <c r="AM324" i="2" s="1"/>
  <c r="W630" i="2"/>
  <c r="AL630" i="2" s="1"/>
  <c r="AM630" i="2" s="1"/>
  <c r="Q657" i="2"/>
  <c r="L657" i="2" s="1"/>
  <c r="AG1168" i="2"/>
  <c r="AF493" i="2"/>
  <c r="AG36" i="2"/>
  <c r="AF630" i="2"/>
  <c r="W447" i="2"/>
  <c r="AL447" i="2" s="1"/>
  <c r="AM447" i="2" s="1"/>
  <c r="Q480" i="2"/>
  <c r="L480" i="2" s="1"/>
  <c r="Q403" i="2"/>
  <c r="L403" i="2" s="1"/>
  <c r="W316" i="2"/>
  <c r="AL316" i="2" s="1"/>
  <c r="AM316" i="2" s="1"/>
  <c r="Q801" i="2"/>
  <c r="L801" i="2" s="1"/>
  <c r="R344" i="2"/>
  <c r="N344" i="2" s="1"/>
  <c r="R244" i="2"/>
  <c r="N244" i="2" s="1"/>
  <c r="AG1206" i="2"/>
  <c r="Q976" i="2"/>
  <c r="L976" i="2" s="1"/>
  <c r="AF961" i="2"/>
  <c r="AF1001" i="2"/>
  <c r="AG657" i="2"/>
  <c r="R1001" i="2"/>
  <c r="N1001" i="2" s="1"/>
  <c r="W939" i="2"/>
  <c r="AL939" i="2" s="1"/>
  <c r="AM939" i="2" s="1"/>
  <c r="W464" i="2"/>
  <c r="AL464" i="2" s="1"/>
  <c r="AM464" i="2" s="1"/>
  <c r="R14" i="2"/>
  <c r="N14" i="2" s="1"/>
  <c r="W1022" i="2"/>
  <c r="AL1022" i="2" s="1"/>
  <c r="AM1022" i="2" s="1"/>
  <c r="AF262" i="2"/>
  <c r="W1001" i="2"/>
  <c r="AL1001" i="2" s="1"/>
  <c r="AM1001" i="2" s="1"/>
  <c r="AF820" i="2"/>
  <c r="W433" i="2"/>
  <c r="AL433" i="2" s="1"/>
  <c r="AM433" i="2" s="1"/>
  <c r="AG1007" i="2"/>
  <c r="AF601" i="2"/>
  <c r="W1183" i="2"/>
  <c r="AL1183" i="2" s="1"/>
  <c r="AM1183" i="2" s="1"/>
  <c r="AG961" i="2"/>
  <c r="R757" i="2"/>
  <c r="N757" i="2" s="1"/>
  <c r="Q447" i="2"/>
  <c r="L447" i="2" s="1"/>
  <c r="Q316" i="2"/>
  <c r="L316" i="2" s="1"/>
  <c r="AG433" i="2"/>
  <c r="W128" i="2"/>
  <c r="AL128" i="2" s="1"/>
  <c r="AM128" i="2" s="1"/>
  <c r="R601" i="2"/>
  <c r="N601" i="2" s="1"/>
  <c r="R177" i="2"/>
  <c r="N177" i="2" s="1"/>
  <c r="AF97" i="2"/>
  <c r="R820" i="2"/>
  <c r="N820" i="2" s="1"/>
  <c r="Z820" i="2" s="1"/>
  <c r="AN820" i="2" s="1"/>
  <c r="AO820" i="2" s="1"/>
  <c r="AF324" i="2"/>
  <c r="AG1123" i="2"/>
  <c r="AF201" i="2"/>
  <c r="AG771" i="2"/>
  <c r="AF589" i="2"/>
  <c r="W414" i="2"/>
  <c r="AL414" i="2" s="1"/>
  <c r="AM414" i="2" s="1"/>
  <c r="W852" i="2"/>
  <c r="AL852" i="2" s="1"/>
  <c r="AM852" i="2" s="1"/>
  <c r="Q1022" i="2"/>
  <c r="L1022" i="2" s="1"/>
  <c r="AF939" i="2"/>
  <c r="R827" i="2"/>
  <c r="N827" i="2" s="1"/>
  <c r="R925" i="2"/>
  <c r="N925" i="2" s="1"/>
  <c r="R610" i="2"/>
  <c r="N610" i="2" s="1"/>
  <c r="AG81" i="2"/>
  <c r="AF1183" i="2"/>
  <c r="AG525" i="2"/>
  <c r="R1081" i="2"/>
  <c r="N1081" i="2" s="1"/>
  <c r="AG301" i="2"/>
  <c r="R262" i="2"/>
  <c r="N262" i="2" s="1"/>
  <c r="Z262" i="2" s="1"/>
  <c r="AN262" i="2" s="1"/>
  <c r="AO262" i="2" s="1"/>
  <c r="AF464" i="2"/>
  <c r="AG201" i="2"/>
  <c r="R493" i="2"/>
  <c r="N493" i="2" s="1"/>
  <c r="R132" i="2"/>
  <c r="N132" i="2" s="1"/>
  <c r="Q81" i="2"/>
  <c r="L81" i="2" s="1"/>
  <c r="R1061" i="2"/>
  <c r="N1061" i="2" s="1"/>
  <c r="AF801" i="2"/>
  <c r="AG539" i="2"/>
  <c r="AF414" i="2"/>
  <c r="AG852" i="2"/>
  <c r="W601" i="2"/>
  <c r="AL601" i="2" s="1"/>
  <c r="AM601" i="2" s="1"/>
  <c r="Q1107" i="2"/>
  <c r="L1107" i="2" s="1"/>
  <c r="R324" i="2"/>
  <c r="N324" i="2" s="1"/>
  <c r="AF1061" i="2"/>
  <c r="R954" i="2"/>
  <c r="N954" i="2" s="1"/>
  <c r="R512" i="2"/>
  <c r="N512" i="2" s="1"/>
  <c r="W1007" i="2"/>
  <c r="AL1007" i="2" s="1"/>
  <c r="AM1007" i="2" s="1"/>
  <c r="R1133" i="2"/>
  <c r="N1133" i="2" s="1"/>
  <c r="Q839" i="2"/>
  <c r="L839" i="2" s="1"/>
  <c r="AG801" i="2"/>
  <c r="AG480" i="2"/>
  <c r="AF14" i="2"/>
  <c r="AF229" i="2"/>
  <c r="Q36" i="2"/>
  <c r="L36" i="2" s="1"/>
  <c r="Q736" i="2"/>
  <c r="L736" i="2" s="1"/>
  <c r="AG185" i="2"/>
  <c r="AG750" i="2"/>
  <c r="R58" i="2"/>
  <c r="N58" i="2" s="1"/>
  <c r="AF177" i="2"/>
  <c r="Q217" i="2"/>
  <c r="L217" i="2" s="1"/>
  <c r="W961" i="2"/>
  <c r="AL961" i="2" s="1"/>
  <c r="AM961" i="2" s="1"/>
  <c r="R1229" i="2"/>
  <c r="N1229" i="2" s="1"/>
  <c r="AG1022" i="2"/>
  <c r="R283" i="2"/>
  <c r="N283" i="2" s="1"/>
  <c r="Q48" i="2"/>
  <c r="L48" i="2" s="1"/>
  <c r="Q185" i="2"/>
  <c r="L185" i="2" s="1"/>
  <c r="Q433" i="2"/>
  <c r="L433" i="2" s="1"/>
  <c r="Q21" i="2"/>
  <c r="L21" i="2" s="1"/>
  <c r="AG217" i="2"/>
  <c r="AG1107" i="2"/>
  <c r="AF539" i="2"/>
  <c r="R164" i="2"/>
  <c r="N164" i="2" s="1"/>
  <c r="Q1007" i="2"/>
  <c r="L1007" i="2" s="1"/>
  <c r="R399" i="2"/>
  <c r="N399" i="2" s="1"/>
  <c r="R267" i="2"/>
  <c r="N267" i="2" s="1"/>
  <c r="R115" i="2"/>
  <c r="N115" i="2" s="1"/>
  <c r="R576" i="2"/>
  <c r="N576" i="2" s="1"/>
  <c r="W1061" i="2"/>
  <c r="AL1061" i="2" s="1"/>
  <c r="AM1061" i="2" s="1"/>
  <c r="AG146" i="2"/>
  <c r="R1052" i="2"/>
  <c r="N1052" i="2" s="1"/>
  <c r="AF849" i="2"/>
  <c r="AG897" i="2"/>
  <c r="Q747" i="2"/>
  <c r="L747" i="2" s="1"/>
  <c r="AF473" i="2"/>
  <c r="W897" i="2"/>
  <c r="AL897" i="2" s="1"/>
  <c r="AM897" i="2" s="1"/>
  <c r="AF986" i="2"/>
  <c r="Q226" i="2"/>
  <c r="L226" i="2" s="1"/>
  <c r="AG5" i="2"/>
  <c r="AG338" i="2"/>
  <c r="Q1060" i="2"/>
  <c r="L1060" i="2" s="1"/>
  <c r="AG1204" i="2"/>
  <c r="W338" i="2"/>
  <c r="AL338" i="2" s="1"/>
  <c r="AM338" i="2" s="1"/>
  <c r="Q897" i="2"/>
  <c r="L897" i="2" s="1"/>
  <c r="AF897" i="2"/>
  <c r="AG1045" i="2"/>
  <c r="AG1127" i="2"/>
  <c r="R150" i="2"/>
  <c r="N150" i="2" s="1"/>
  <c r="Q175" i="2"/>
  <c r="L175" i="2" s="1"/>
  <c r="R16" i="2"/>
  <c r="N16" i="2" s="1"/>
  <c r="AG731" i="2"/>
  <c r="R134" i="2"/>
  <c r="N134" i="2" s="1"/>
  <c r="AG122" i="2"/>
  <c r="Q1089" i="2"/>
  <c r="L1089" i="2" s="1"/>
  <c r="AG1089" i="2"/>
  <c r="AG883" i="2"/>
  <c r="AG160" i="2"/>
  <c r="W1166" i="2"/>
  <c r="AL1166" i="2" s="1"/>
  <c r="AM1166" i="2" s="1"/>
  <c r="AG553" i="2"/>
  <c r="W185" i="2"/>
  <c r="AL185" i="2" s="1"/>
  <c r="AM185" i="2" s="1"/>
  <c r="AF57" i="2"/>
  <c r="AG652" i="2"/>
  <c r="AG57" i="2"/>
  <c r="W390" i="2"/>
  <c r="AL390" i="2" s="1"/>
  <c r="AM390" i="2" s="1"/>
  <c r="Q835" i="2"/>
  <c r="L835" i="2" s="1"/>
  <c r="R912" i="2"/>
  <c r="N912" i="2" s="1"/>
  <c r="AG1060" i="2"/>
  <c r="Q494" i="2"/>
  <c r="L494" i="2" s="1"/>
  <c r="AF16" i="2"/>
  <c r="AF816" i="2"/>
  <c r="AF382" i="2"/>
  <c r="AF28" i="2"/>
  <c r="AF226" i="2"/>
  <c r="AG581" i="2"/>
  <c r="R932" i="2"/>
  <c r="N932" i="2" s="1"/>
  <c r="R952" i="2"/>
  <c r="N952" i="2" s="1"/>
  <c r="W866" i="2"/>
  <c r="AL866" i="2" s="1"/>
  <c r="AM866" i="2" s="1"/>
  <c r="AG267" i="2"/>
  <c r="R816" i="2"/>
  <c r="N816" i="2" s="1"/>
  <c r="R866" i="2"/>
  <c r="N866" i="2" s="1"/>
  <c r="AF681" i="2"/>
  <c r="AG681" i="2"/>
  <c r="Q681" i="2"/>
  <c r="L681" i="2" s="1"/>
  <c r="AF175" i="2"/>
  <c r="R1190" i="2"/>
  <c r="N1190" i="2" s="1"/>
  <c r="AF1190" i="2"/>
  <c r="W593" i="2"/>
  <c r="AL593" i="2" s="1"/>
  <c r="AM593" i="2" s="1"/>
  <c r="R459" i="2"/>
  <c r="N459" i="2" s="1"/>
  <c r="AF310" i="2"/>
  <c r="W1190" i="2"/>
  <c r="AL1190" i="2" s="1"/>
  <c r="AM1190" i="2" s="1"/>
  <c r="R310" i="2"/>
  <c r="N310" i="2" s="1"/>
  <c r="AF522" i="2"/>
  <c r="AF952" i="2"/>
  <c r="AF883" i="2"/>
  <c r="W952" i="2"/>
  <c r="AL952" i="2" s="1"/>
  <c r="AM952" i="2" s="1"/>
  <c r="AF578" i="2"/>
  <c r="W175" i="2"/>
  <c r="AL175" i="2" s="1"/>
  <c r="AM175" i="2" s="1"/>
  <c r="W681" i="2"/>
  <c r="AL681" i="2" s="1"/>
  <c r="AM681" i="2" s="1"/>
  <c r="Q696" i="2"/>
  <c r="L696" i="2" s="1"/>
  <c r="R117" i="2"/>
  <c r="N117" i="2" s="1"/>
  <c r="AG1073" i="2"/>
  <c r="AF423" i="2"/>
  <c r="W28" i="2"/>
  <c r="AL28" i="2" s="1"/>
  <c r="AM28" i="2" s="1"/>
  <c r="Q614" i="2"/>
  <c r="L614" i="2" s="1"/>
  <c r="AG545" i="2"/>
  <c r="R680" i="2"/>
  <c r="N680" i="2" s="1"/>
  <c r="Q766" i="2"/>
  <c r="L766" i="2" s="1"/>
  <c r="AG175" i="2"/>
  <c r="R66" i="2"/>
  <c r="N66" i="2" s="1"/>
  <c r="R205" i="2"/>
  <c r="N205" i="2" s="1"/>
  <c r="AG473" i="2"/>
  <c r="AG696" i="2"/>
  <c r="R28" i="2"/>
  <c r="N28" i="2" s="1"/>
  <c r="W731" i="2"/>
  <c r="AL731" i="2" s="1"/>
  <c r="AM731" i="2" s="1"/>
  <c r="AG1005" i="2"/>
  <c r="AF66" i="2"/>
  <c r="AG766" i="2"/>
  <c r="Q553" i="2"/>
  <c r="L553" i="2" s="1"/>
  <c r="R823" i="2"/>
  <c r="N823" i="2" s="1"/>
  <c r="R1174" i="2"/>
  <c r="N1174" i="2" s="1"/>
  <c r="R593" i="2"/>
  <c r="N593" i="2" s="1"/>
  <c r="R578" i="2"/>
  <c r="N578" i="2" s="1"/>
  <c r="Q1127" i="2"/>
  <c r="L1127" i="2" s="1"/>
  <c r="Q986" i="2"/>
  <c r="L986" i="2" s="1"/>
  <c r="W883" i="2"/>
  <c r="AL883" i="2" s="1"/>
  <c r="AM883" i="2" s="1"/>
  <c r="R940" i="2"/>
  <c r="N940" i="2" s="1"/>
  <c r="R330" i="2"/>
  <c r="N330" i="2" s="1"/>
  <c r="AG443" i="2"/>
  <c r="AG226" i="2"/>
  <c r="W720" i="2"/>
  <c r="AL720" i="2" s="1"/>
  <c r="AM720" i="2" s="1"/>
  <c r="R488" i="2"/>
  <c r="N488" i="2" s="1"/>
  <c r="W423" i="2"/>
  <c r="AL423" i="2" s="1"/>
  <c r="AM423" i="2" s="1"/>
  <c r="AF1174" i="2"/>
  <c r="W382" i="2"/>
  <c r="AL382" i="2" s="1"/>
  <c r="AM382" i="2" s="1"/>
  <c r="R297" i="2"/>
  <c r="N297" i="2" s="1"/>
  <c r="W473" i="2"/>
  <c r="AL473" i="2" s="1"/>
  <c r="AM473" i="2" s="1"/>
  <c r="AG284" i="2"/>
  <c r="Q267" i="2"/>
  <c r="L267" i="2" s="1"/>
  <c r="Q1218" i="2"/>
  <c r="L1218" i="2" s="1"/>
  <c r="AF940" i="2"/>
  <c r="Q1073" i="2"/>
  <c r="L1073" i="2" s="1"/>
  <c r="W578" i="2"/>
  <c r="AL578" i="2" s="1"/>
  <c r="AM578" i="2" s="1"/>
  <c r="R409" i="2"/>
  <c r="N409" i="2" s="1"/>
  <c r="W614" i="2"/>
  <c r="AL614" i="2" s="1"/>
  <c r="AM614" i="2" s="1"/>
  <c r="AG1112" i="2"/>
  <c r="W940" i="2"/>
  <c r="AL940" i="2" s="1"/>
  <c r="AM940" i="2" s="1"/>
  <c r="AF267" i="2"/>
  <c r="R1150" i="2"/>
  <c r="N1150" i="2" s="1"/>
  <c r="W267" i="2"/>
  <c r="AL267" i="2" s="1"/>
  <c r="AM267" i="2" s="1"/>
  <c r="AG720" i="2"/>
  <c r="Q338" i="2"/>
  <c r="L338" i="2" s="1"/>
  <c r="Q57" i="2"/>
  <c r="L57" i="2" s="1"/>
  <c r="Q652" i="2"/>
  <c r="L652" i="2" s="1"/>
  <c r="AF338" i="2"/>
  <c r="W488" i="2"/>
  <c r="AL488" i="2" s="1"/>
  <c r="AM488" i="2" s="1"/>
  <c r="AF185" i="2"/>
  <c r="Q473" i="2"/>
  <c r="L473" i="2" s="1"/>
  <c r="AG88" i="2"/>
  <c r="AF488" i="2"/>
  <c r="Q522" i="2"/>
  <c r="L522" i="2" s="1"/>
  <c r="AG747" i="2"/>
  <c r="AG835" i="2"/>
  <c r="AG628" i="2"/>
  <c r="W849" i="2"/>
  <c r="AL849" i="2" s="1"/>
  <c r="AM849" i="2" s="1"/>
  <c r="AG522" i="2"/>
  <c r="W876" i="2"/>
  <c r="AL876" i="2" s="1"/>
  <c r="AM876" i="2" s="1"/>
  <c r="Q5" i="2"/>
  <c r="L5" i="2" s="1"/>
  <c r="W57" i="2"/>
  <c r="AL57" i="2" s="1"/>
  <c r="AM57" i="2" s="1"/>
  <c r="R423" i="2"/>
  <c r="N423" i="2" s="1"/>
  <c r="AG494" i="2"/>
  <c r="R185" i="2"/>
  <c r="N185" i="2" s="1"/>
  <c r="Q1166" i="2"/>
  <c r="L1166" i="2" s="1"/>
  <c r="R1042" i="2"/>
  <c r="N1042" i="2" s="1"/>
  <c r="Q1112" i="2"/>
  <c r="L1112" i="2" s="1"/>
  <c r="W522" i="2"/>
  <c r="AL522" i="2" s="1"/>
  <c r="AM522" i="2" s="1"/>
  <c r="Q390" i="2"/>
  <c r="L390" i="2" s="1"/>
  <c r="Q720" i="2"/>
  <c r="L720" i="2" s="1"/>
  <c r="W16" i="2"/>
  <c r="AL16" i="2" s="1"/>
  <c r="AM16" i="2" s="1"/>
  <c r="W226" i="2"/>
  <c r="AL226" i="2" s="1"/>
  <c r="AM226" i="2" s="1"/>
  <c r="AF614" i="2"/>
  <c r="R382" i="2"/>
  <c r="N382" i="2" s="1"/>
  <c r="R708" i="2"/>
  <c r="N708" i="2" s="1"/>
  <c r="AF866" i="2"/>
  <c r="R1021" i="2"/>
  <c r="N1021" i="2" s="1"/>
  <c r="Q883" i="2"/>
  <c r="L883" i="2" s="1"/>
  <c r="AG390" i="2"/>
  <c r="Q284" i="2"/>
  <c r="L284" i="2" s="1"/>
  <c r="AF766" i="2"/>
  <c r="R439" i="2"/>
  <c r="N439" i="2" s="1"/>
  <c r="AF593" i="2"/>
  <c r="W66" i="2"/>
  <c r="AL66" i="2" s="1"/>
  <c r="AM66" i="2" s="1"/>
  <c r="AG1218" i="2"/>
  <c r="R799" i="2"/>
  <c r="N799" i="2" s="1"/>
  <c r="AG1166" i="2"/>
  <c r="R970" i="2"/>
  <c r="N970" i="2" s="1"/>
  <c r="W1174" i="2"/>
  <c r="AL1174" i="2" s="1"/>
  <c r="AM1174" i="2" s="1"/>
  <c r="AF1166" i="2"/>
  <c r="R360" i="2"/>
  <c r="N360" i="2" s="1"/>
  <c r="R256" i="2"/>
  <c r="N256" i="2" s="1"/>
  <c r="Q545" i="2"/>
  <c r="L545" i="2" s="1"/>
  <c r="AF720" i="2"/>
  <c r="R876" i="2"/>
  <c r="N876" i="2" s="1"/>
  <c r="Q581" i="2"/>
  <c r="L581" i="2" s="1"/>
  <c r="Q443" i="2"/>
  <c r="L443" i="2" s="1"/>
  <c r="Q1005" i="2"/>
  <c r="L1005" i="2" s="1"/>
  <c r="AF731" i="2"/>
  <c r="W816" i="2"/>
  <c r="AL816" i="2" s="1"/>
  <c r="AM816" i="2" s="1"/>
  <c r="Q731" i="2"/>
  <c r="L731" i="2" s="1"/>
  <c r="AG986" i="2"/>
  <c r="W310" i="2"/>
  <c r="AL310" i="2" s="1"/>
  <c r="AM310" i="2" s="1"/>
  <c r="Q122" i="2"/>
  <c r="L122" i="2" s="1"/>
  <c r="R213" i="2"/>
  <c r="N213" i="2" s="1"/>
  <c r="Q160" i="2"/>
  <c r="L160" i="2" s="1"/>
  <c r="AG614" i="2"/>
  <c r="Q628" i="2"/>
  <c r="L628" i="2" s="1"/>
  <c r="R849" i="2"/>
  <c r="N849" i="2" s="1"/>
  <c r="W766" i="2"/>
  <c r="AL766" i="2" s="1"/>
  <c r="AM766" i="2" s="1"/>
  <c r="W986" i="2"/>
  <c r="AL986" i="2" s="1"/>
  <c r="AM986" i="2" s="1"/>
  <c r="AF876" i="2"/>
  <c r="R794" i="2"/>
  <c r="N794" i="2" s="1"/>
  <c r="Q1045" i="2"/>
  <c r="L1045" i="2" s="1"/>
  <c r="Q1204" i="2"/>
  <c r="L1204" i="2" s="1"/>
  <c r="Q88" i="2"/>
  <c r="L88" i="2" s="1"/>
  <c r="AF390" i="2"/>
  <c r="AG165" i="2"/>
  <c r="AG894" i="2"/>
  <c r="AG345" i="2"/>
  <c r="AF443" i="2"/>
  <c r="AF752" i="2"/>
  <c r="Q345" i="2"/>
  <c r="L345" i="2" s="1"/>
  <c r="W797" i="2"/>
  <c r="AL797" i="2" s="1"/>
  <c r="AM797" i="2" s="1"/>
  <c r="AF244" i="2"/>
  <c r="AF618" i="2"/>
  <c r="W345" i="2"/>
  <c r="AL345" i="2" s="1"/>
  <c r="AM345" i="2" s="1"/>
  <c r="AG124" i="2"/>
  <c r="Q948" i="2"/>
  <c r="L948" i="2" s="1"/>
  <c r="R772" i="2"/>
  <c r="N772" i="2" s="1"/>
  <c r="AF530" i="2"/>
  <c r="W540" i="2"/>
  <c r="AL540" i="2" s="1"/>
  <c r="AM540" i="2" s="1"/>
  <c r="AF67" i="2"/>
  <c r="W752" i="2"/>
  <c r="AL752" i="2" s="1"/>
  <c r="AM752" i="2" s="1"/>
  <c r="AF714" i="2"/>
  <c r="Q506" i="2"/>
  <c r="L506" i="2" s="1"/>
  <c r="W981" i="2"/>
  <c r="AL981" i="2" s="1"/>
  <c r="AM981" i="2" s="1"/>
  <c r="W113" i="2"/>
  <c r="AL113" i="2" s="1"/>
  <c r="AM113" i="2" s="1"/>
  <c r="R1216" i="2"/>
  <c r="N1216" i="2" s="1"/>
  <c r="AF124" i="2"/>
  <c r="R434" i="2"/>
  <c r="N434" i="2" s="1"/>
  <c r="AF1151" i="2"/>
  <c r="AG198" i="2"/>
  <c r="AG24" i="2"/>
  <c r="AF360" i="2"/>
  <c r="W383" i="2"/>
  <c r="AL383" i="2" s="1"/>
  <c r="AM383" i="2" s="1"/>
  <c r="Q797" i="2"/>
  <c r="L797" i="2" s="1"/>
  <c r="AF981" i="2"/>
  <c r="Q864" i="2"/>
  <c r="L864" i="2" s="1"/>
  <c r="W146" i="2"/>
  <c r="AL146" i="2" s="1"/>
  <c r="AM146" i="2" s="1"/>
  <c r="R490" i="2"/>
  <c r="N490" i="2" s="1"/>
  <c r="Q272" i="2"/>
  <c r="L272" i="2" s="1"/>
  <c r="R1198" i="2"/>
  <c r="N1198" i="2" s="1"/>
  <c r="AG1151" i="2"/>
  <c r="W305" i="2"/>
  <c r="AL305" i="2" s="1"/>
  <c r="AM305" i="2" s="1"/>
  <c r="R1093" i="2"/>
  <c r="N1093" i="2" s="1"/>
  <c r="W1171" i="2"/>
  <c r="AL1171" i="2" s="1"/>
  <c r="AM1171" i="2" s="1"/>
  <c r="AG768" i="2"/>
  <c r="W963" i="2"/>
  <c r="AL963" i="2" s="1"/>
  <c r="AM963" i="2" s="1"/>
  <c r="R618" i="2"/>
  <c r="N618" i="2" s="1"/>
  <c r="Z618" i="2" s="1"/>
  <c r="AN618" i="2" s="1"/>
  <c r="AO618" i="2" s="1"/>
  <c r="AF60" i="2"/>
  <c r="Q406" i="2"/>
  <c r="L406" i="2" s="1"/>
  <c r="Q752" i="2"/>
  <c r="L752" i="2" s="1"/>
  <c r="AG584" i="2"/>
  <c r="R146" i="2"/>
  <c r="N146" i="2" s="1"/>
  <c r="R383" i="2"/>
  <c r="N383" i="2" s="1"/>
  <c r="Z383" i="2" s="1"/>
  <c r="AN383" i="2" s="1"/>
  <c r="AO383" i="2" s="1"/>
  <c r="R224" i="2"/>
  <c r="N224" i="2" s="1"/>
  <c r="R1098" i="2"/>
  <c r="N1098" i="2" s="1"/>
  <c r="R540" i="2"/>
  <c r="N540" i="2" s="1"/>
  <c r="Z540" i="2" s="1"/>
  <c r="AN540" i="2" s="1"/>
  <c r="AO540" i="2" s="1"/>
  <c r="Q981" i="2"/>
  <c r="L981" i="2" s="1"/>
  <c r="R689" i="2"/>
  <c r="N689" i="2" s="1"/>
  <c r="R917" i="2"/>
  <c r="N917" i="2" s="1"/>
  <c r="Q1151" i="2"/>
  <c r="L1151" i="2" s="1"/>
  <c r="R12" i="2"/>
  <c r="N12" i="2" s="1"/>
  <c r="R612" i="2"/>
  <c r="N612" i="2" s="1"/>
  <c r="R258" i="2"/>
  <c r="N258" i="2" s="1"/>
  <c r="Q880" i="2"/>
  <c r="L880" i="2" s="1"/>
  <c r="R1186" i="2"/>
  <c r="N1186" i="2" s="1"/>
  <c r="W1151" i="2"/>
  <c r="AL1151" i="2" s="1"/>
  <c r="AM1151" i="2" s="1"/>
  <c r="Q1135" i="2"/>
  <c r="L1135" i="2" s="1"/>
  <c r="W894" i="2"/>
  <c r="AL894" i="2" s="1"/>
  <c r="AM894" i="2" s="1"/>
  <c r="AG981" i="2"/>
  <c r="AF963" i="2"/>
  <c r="AG1228" i="2"/>
  <c r="R631" i="2"/>
  <c r="N631" i="2" s="1"/>
  <c r="AG864" i="2"/>
  <c r="Q460" i="2"/>
  <c r="L460" i="2" s="1"/>
  <c r="AF146" i="2"/>
  <c r="AG1050" i="2"/>
  <c r="W618" i="2"/>
  <c r="AL618" i="2" s="1"/>
  <c r="AM618" i="2" s="1"/>
  <c r="AF728" i="2"/>
  <c r="W418" i="2"/>
  <c r="AL418" i="2" s="1"/>
  <c r="AM418" i="2" s="1"/>
  <c r="R1117" i="2"/>
  <c r="N1117" i="2" s="1"/>
  <c r="W506" i="2"/>
  <c r="AL506" i="2" s="1"/>
  <c r="AM506" i="2" s="1"/>
  <c r="AG797" i="2"/>
  <c r="W814" i="2"/>
  <c r="AL814" i="2" s="1"/>
  <c r="AM814" i="2" s="1"/>
  <c r="Q418" i="2"/>
  <c r="L418" i="2" s="1"/>
  <c r="Q244" i="2"/>
  <c r="L244" i="2" s="1"/>
  <c r="AG460" i="2"/>
  <c r="AG693" i="2"/>
  <c r="W1020" i="2"/>
  <c r="AL1020" i="2" s="1"/>
  <c r="AM1020" i="2" s="1"/>
  <c r="R714" i="2"/>
  <c r="N714" i="2" s="1"/>
  <c r="AG948" i="2"/>
  <c r="AF1171" i="2"/>
  <c r="W360" i="2"/>
  <c r="AL360" i="2" s="1"/>
  <c r="AM360" i="2" s="1"/>
  <c r="R228" i="2"/>
  <c r="N228" i="2" s="1"/>
  <c r="W739" i="2"/>
  <c r="AL739" i="2" s="1"/>
  <c r="AM739" i="2" s="1"/>
  <c r="AG880" i="2"/>
  <c r="Q98" i="2"/>
  <c r="L98" i="2" s="1"/>
  <c r="AG418" i="2"/>
  <c r="AG739" i="2"/>
  <c r="AF383" i="2"/>
  <c r="AG406" i="2"/>
  <c r="AG360" i="2"/>
  <c r="R67" i="2"/>
  <c r="N67" i="2" s="1"/>
  <c r="AG41" i="2"/>
  <c r="AF1020" i="2"/>
  <c r="R443" i="2"/>
  <c r="N443" i="2" s="1"/>
  <c r="AG1135" i="2"/>
  <c r="AF418" i="2"/>
  <c r="Q360" i="2"/>
  <c r="L360" i="2" s="1"/>
  <c r="AG183" i="2"/>
  <c r="W124" i="2"/>
  <c r="AL124" i="2" s="1"/>
  <c r="AM124" i="2" s="1"/>
  <c r="W1135" i="2"/>
  <c r="AL1135" i="2" s="1"/>
  <c r="AM1135" i="2" s="1"/>
  <c r="AG1036" i="2"/>
  <c r="R674" i="2"/>
  <c r="N674" i="2" s="1"/>
  <c r="R476" i="2"/>
  <c r="N476" i="2" s="1"/>
  <c r="Q183" i="2"/>
  <c r="L183" i="2" s="1"/>
  <c r="Q768" i="2"/>
  <c r="L768" i="2" s="1"/>
  <c r="R211" i="2"/>
  <c r="N211" i="2" s="1"/>
  <c r="AF540" i="2"/>
  <c r="R60" i="2"/>
  <c r="N60" i="2" s="1"/>
  <c r="AF165" i="2"/>
  <c r="AF674" i="2"/>
  <c r="AG98" i="2"/>
  <c r="AF490" i="2"/>
  <c r="Q739" i="2"/>
  <c r="L739" i="2" s="1"/>
  <c r="AG506" i="2"/>
  <c r="Q24" i="2"/>
  <c r="L24" i="2" s="1"/>
  <c r="AG304" i="2"/>
  <c r="W60" i="2"/>
  <c r="AL60" i="2" s="1"/>
  <c r="AM60" i="2" s="1"/>
  <c r="Q1050" i="2"/>
  <c r="L1050" i="2" s="1"/>
  <c r="AF345" i="2"/>
  <c r="Q1160" i="2"/>
  <c r="L1160" i="2" s="1"/>
  <c r="R530" i="2"/>
  <c r="N530" i="2" s="1"/>
  <c r="Z530" i="2" s="1"/>
  <c r="AN530" i="2" s="1"/>
  <c r="AO530" i="2" s="1"/>
  <c r="R569" i="2"/>
  <c r="N569" i="2" s="1"/>
  <c r="Q693" i="2"/>
  <c r="L693" i="2" s="1"/>
  <c r="AF631" i="2"/>
  <c r="Q1063" i="2"/>
  <c r="L1063" i="2" s="1"/>
  <c r="AG244" i="2"/>
  <c r="W490" i="2"/>
  <c r="AL490" i="2" s="1"/>
  <c r="AM490" i="2" s="1"/>
  <c r="Q304" i="2"/>
  <c r="L304" i="2" s="1"/>
  <c r="AG272" i="2"/>
  <c r="AG144" i="2"/>
  <c r="R374" i="2"/>
  <c r="N374" i="2" s="1"/>
  <c r="W443" i="2"/>
  <c r="AL443" i="2" s="1"/>
  <c r="AM443" i="2" s="1"/>
  <c r="AG1063" i="2"/>
  <c r="AF1135" i="2"/>
  <c r="W674" i="2"/>
  <c r="AL674" i="2" s="1"/>
  <c r="AM674" i="2" s="1"/>
  <c r="Q1228" i="2"/>
  <c r="L1228" i="2" s="1"/>
  <c r="AF305" i="2"/>
  <c r="Q1036" i="2"/>
  <c r="L1036" i="2" s="1"/>
  <c r="W631" i="2"/>
  <c r="AL631" i="2" s="1"/>
  <c r="AM631" i="2" s="1"/>
  <c r="W67" i="2"/>
  <c r="AL67" i="2" s="1"/>
  <c r="AM67" i="2" s="1"/>
  <c r="AF569" i="2"/>
  <c r="R1000" i="2"/>
  <c r="N1000" i="2" s="1"/>
  <c r="Q963" i="2"/>
  <c r="L963" i="2" s="1"/>
  <c r="W584" i="2"/>
  <c r="AL584" i="2" s="1"/>
  <c r="AM584" i="2" s="1"/>
  <c r="Q144" i="2"/>
  <c r="L144" i="2" s="1"/>
  <c r="AG113" i="2"/>
  <c r="Q113" i="2"/>
  <c r="L113" i="2" s="1"/>
  <c r="W1050" i="2"/>
  <c r="AL1050" i="2" s="1"/>
  <c r="AM1050" i="2" s="1"/>
  <c r="AG1160" i="2"/>
  <c r="Q84" i="2"/>
  <c r="L84" i="2" s="1"/>
  <c r="AF1050" i="2"/>
  <c r="AG558" i="2"/>
  <c r="AG752" i="2"/>
  <c r="R728" i="2"/>
  <c r="N728" i="2" s="1"/>
  <c r="AF506" i="2"/>
  <c r="R596" i="2"/>
  <c r="N596" i="2" s="1"/>
  <c r="Q165" i="2"/>
  <c r="L165" i="2" s="1"/>
  <c r="R520" i="2"/>
  <c r="N520" i="2" s="1"/>
  <c r="Q41" i="2"/>
  <c r="L41" i="2" s="1"/>
  <c r="R929" i="2"/>
  <c r="N929" i="2" s="1"/>
  <c r="AF739" i="2"/>
  <c r="AG84" i="2"/>
  <c r="AG844" i="2"/>
  <c r="W728" i="2"/>
  <c r="AL728" i="2" s="1"/>
  <c r="AM728" i="2" s="1"/>
  <c r="R1020" i="2"/>
  <c r="N1020" i="2" s="1"/>
  <c r="R909" i="2"/>
  <c r="N909" i="2" s="1"/>
  <c r="Q558" i="2"/>
  <c r="L558" i="2" s="1"/>
  <c r="R305" i="2"/>
  <c r="N305" i="2" s="1"/>
  <c r="W569" i="2"/>
  <c r="AL569" i="2" s="1"/>
  <c r="AM569" i="2" s="1"/>
  <c r="Q894" i="2"/>
  <c r="L894" i="2" s="1"/>
  <c r="AF894" i="2"/>
  <c r="Q814" i="2"/>
  <c r="L814" i="2" s="1"/>
  <c r="AF814" i="2"/>
  <c r="Q124" i="2"/>
  <c r="L124" i="2" s="1"/>
  <c r="Q844" i="2"/>
  <c r="L844" i="2" s="1"/>
  <c r="AF797" i="2"/>
  <c r="AG814" i="2"/>
  <c r="W165" i="2"/>
  <c r="AL165" i="2" s="1"/>
  <c r="AM165" i="2" s="1"/>
  <c r="R1171" i="2"/>
  <c r="N1171" i="2" s="1"/>
  <c r="W244" i="2"/>
  <c r="AL244" i="2" s="1"/>
  <c r="AM244" i="2" s="1"/>
  <c r="AG963" i="2"/>
  <c r="W1093" i="2"/>
  <c r="AL1093" i="2" s="1"/>
  <c r="AM1093" i="2" s="1"/>
  <c r="AF113" i="2"/>
  <c r="AF584" i="2"/>
  <c r="AF1093" i="2"/>
  <c r="Q584" i="2"/>
  <c r="L584" i="2" s="1"/>
  <c r="W714" i="2"/>
  <c r="AL714" i="2" s="1"/>
  <c r="AM714" i="2" s="1"/>
  <c r="Q198" i="2"/>
  <c r="L198" i="2" s="1"/>
  <c r="R831" i="2"/>
  <c r="N831" i="2" s="1"/>
  <c r="W530" i="2"/>
  <c r="AL530" i="2" s="1"/>
  <c r="AM530" i="2" s="1"/>
  <c r="R323" i="2"/>
  <c r="N323" i="2" s="1"/>
  <c r="AF810" i="2"/>
  <c r="R625" i="2"/>
  <c r="N625" i="2" s="1"/>
  <c r="W1032" i="2"/>
  <c r="AL1032" i="2" s="1"/>
  <c r="AM1032" i="2" s="1"/>
  <c r="W558" i="2"/>
  <c r="AL558" i="2" s="1"/>
  <c r="AM558" i="2" s="1"/>
  <c r="R252" i="2"/>
  <c r="N252" i="2" s="1"/>
  <c r="AF300" i="2"/>
  <c r="W422" i="2"/>
  <c r="AL422" i="2" s="1"/>
  <c r="AM422" i="2" s="1"/>
  <c r="W195" i="2"/>
  <c r="AL195" i="2" s="1"/>
  <c r="AM195" i="2" s="1"/>
  <c r="W810" i="2"/>
  <c r="AL810" i="2" s="1"/>
  <c r="AM810" i="2" s="1"/>
  <c r="R10" i="2"/>
  <c r="N10" i="2" s="1"/>
  <c r="AG270" i="2"/>
  <c r="AG770" i="2"/>
  <c r="Q495" i="2"/>
  <c r="L495" i="2" s="1"/>
  <c r="Q132" i="2"/>
  <c r="L132" i="2" s="1"/>
  <c r="R763" i="2"/>
  <c r="N763" i="2" s="1"/>
  <c r="W538" i="2"/>
  <c r="AL538" i="2" s="1"/>
  <c r="AM538" i="2" s="1"/>
  <c r="Q735" i="2"/>
  <c r="L735" i="2" s="1"/>
  <c r="AG938" i="2"/>
  <c r="Q538" i="2"/>
  <c r="L538" i="2" s="1"/>
  <c r="AF890" i="2"/>
  <c r="AG179" i="2"/>
  <c r="W824" i="2"/>
  <c r="AL824" i="2" s="1"/>
  <c r="AM824" i="2" s="1"/>
  <c r="Q415" i="2"/>
  <c r="L415" i="2" s="1"/>
  <c r="W104" i="2"/>
  <c r="AL104" i="2" s="1"/>
  <c r="AM104" i="2" s="1"/>
  <c r="AG402" i="2"/>
  <c r="R300" i="2"/>
  <c r="N300" i="2" s="1"/>
  <c r="AF1047" i="2"/>
  <c r="W970" i="2"/>
  <c r="AL970" i="2" s="1"/>
  <c r="AM970" i="2" s="1"/>
  <c r="W46" i="2"/>
  <c r="AL46" i="2" s="1"/>
  <c r="AM46" i="2" s="1"/>
  <c r="AG875" i="2"/>
  <c r="Q479" i="2"/>
  <c r="L479" i="2" s="1"/>
  <c r="R1228" i="2"/>
  <c r="N1228" i="2" s="1"/>
  <c r="Q161" i="2"/>
  <c r="L161" i="2" s="1"/>
  <c r="R46" i="2"/>
  <c r="N46" i="2" s="1"/>
  <c r="AF81" i="2"/>
  <c r="Q524" i="2"/>
  <c r="L524" i="2" s="1"/>
  <c r="W228" i="2"/>
  <c r="AL228" i="2" s="1"/>
  <c r="AM228" i="2" s="1"/>
  <c r="Q118" i="2"/>
  <c r="L118" i="2" s="1"/>
  <c r="AG286" i="2"/>
  <c r="AG735" i="2"/>
  <c r="AF104" i="2"/>
  <c r="R1214" i="2"/>
  <c r="N1214" i="2" s="1"/>
  <c r="R856" i="2"/>
  <c r="N856" i="2" s="1"/>
  <c r="Q921" i="2"/>
  <c r="L921" i="2" s="1"/>
  <c r="R362" i="2"/>
  <c r="N362" i="2" s="1"/>
  <c r="W1047" i="2"/>
  <c r="AL1047" i="2" s="1"/>
  <c r="AM1047" i="2" s="1"/>
  <c r="AG838" i="2"/>
  <c r="R466" i="2"/>
  <c r="N466" i="2" s="1"/>
  <c r="AG1017" i="2"/>
  <c r="AF1128" i="2"/>
  <c r="AF466" i="2"/>
  <c r="W210" i="2"/>
  <c r="AL210" i="2" s="1"/>
  <c r="AM210" i="2" s="1"/>
  <c r="R1078" i="2"/>
  <c r="N1078" i="2" s="1"/>
  <c r="AG495" i="2"/>
  <c r="W517" i="2"/>
  <c r="AL517" i="2" s="1"/>
  <c r="AM517" i="2" s="1"/>
  <c r="AF88" i="2"/>
  <c r="R890" i="2"/>
  <c r="N890" i="2" s="1"/>
  <c r="Q385" i="2"/>
  <c r="L385" i="2" s="1"/>
  <c r="R81" i="2"/>
  <c r="N81" i="2" s="1"/>
  <c r="AF286" i="2"/>
  <c r="AF228" i="2"/>
  <c r="R314" i="2"/>
  <c r="N314" i="2" s="1"/>
  <c r="Q770" i="2"/>
  <c r="L770" i="2" s="1"/>
  <c r="W466" i="2"/>
  <c r="AL466" i="2" s="1"/>
  <c r="AM466" i="2" s="1"/>
  <c r="W81" i="2"/>
  <c r="AL81" i="2" s="1"/>
  <c r="AM81" i="2" s="1"/>
  <c r="W656" i="2"/>
  <c r="AL656" i="2" s="1"/>
  <c r="AM656" i="2" s="1"/>
  <c r="AG691" i="2"/>
  <c r="R69" i="2"/>
  <c r="N69" i="2" s="1"/>
  <c r="AF735" i="2"/>
  <c r="R726" i="2"/>
  <c r="N726" i="2" s="1"/>
  <c r="AG970" i="2"/>
  <c r="W132" i="2"/>
  <c r="AL132" i="2" s="1"/>
  <c r="AM132" i="2" s="1"/>
  <c r="Q1032" i="2"/>
  <c r="L1032" i="2" s="1"/>
  <c r="AG675" i="2"/>
  <c r="Q675" i="2"/>
  <c r="L675" i="2" s="1"/>
  <c r="AF210" i="2"/>
  <c r="AF1228" i="2"/>
  <c r="AF538" i="2"/>
  <c r="AG210" i="2"/>
  <c r="Q838" i="2"/>
  <c r="L838" i="2" s="1"/>
  <c r="R558" i="2"/>
  <c r="N558" i="2" s="1"/>
  <c r="R422" i="2"/>
  <c r="N422" i="2" s="1"/>
  <c r="Z422" i="2" s="1"/>
  <c r="AN422" i="2" s="1"/>
  <c r="AO422" i="2" s="1"/>
  <c r="AG195" i="2"/>
  <c r="AF1017" i="2"/>
  <c r="Q691" i="2"/>
  <c r="L691" i="2" s="1"/>
  <c r="W1169" i="2"/>
  <c r="AL1169" i="2" s="1"/>
  <c r="AM1169" i="2" s="1"/>
  <c r="R783" i="2"/>
  <c r="N783" i="2" s="1"/>
  <c r="AG161" i="2"/>
  <c r="AG749" i="2"/>
  <c r="AF824" i="2"/>
  <c r="AF517" i="2"/>
  <c r="Q179" i="2"/>
  <c r="L179" i="2" s="1"/>
  <c r="AG1091" i="2"/>
  <c r="W675" i="2"/>
  <c r="AL675" i="2" s="1"/>
  <c r="AM675" i="2" s="1"/>
  <c r="R1128" i="2"/>
  <c r="N1128" i="2" s="1"/>
  <c r="AF783" i="2"/>
  <c r="W1228" i="2"/>
  <c r="AL1228" i="2" s="1"/>
  <c r="AM1228" i="2" s="1"/>
  <c r="AF195" i="2"/>
  <c r="AF446" i="2"/>
  <c r="AF675" i="2"/>
  <c r="R1047" i="2"/>
  <c r="N1047" i="2" s="1"/>
  <c r="AG1198" i="2"/>
  <c r="R88" i="2"/>
  <c r="N88" i="2" s="1"/>
  <c r="AG615" i="2"/>
  <c r="R984" i="2"/>
  <c r="N984" i="2" s="1"/>
  <c r="R1158" i="2"/>
  <c r="N1158" i="2" s="1"/>
  <c r="Q1182" i="2"/>
  <c r="L1182" i="2" s="1"/>
  <c r="Q402" i="2"/>
  <c r="L402" i="2" s="1"/>
  <c r="AG1032" i="2"/>
  <c r="AF656" i="2"/>
  <c r="Q1062" i="2"/>
  <c r="L1062" i="2" s="1"/>
  <c r="Q615" i="2"/>
  <c r="L615" i="2" s="1"/>
  <c r="W875" i="2"/>
  <c r="AL875" i="2" s="1"/>
  <c r="AM875" i="2" s="1"/>
  <c r="AF46" i="2"/>
  <c r="R900" i="2"/>
  <c r="N900" i="2" s="1"/>
  <c r="AG859" i="2"/>
  <c r="AG824" i="2"/>
  <c r="W179" i="2"/>
  <c r="AL179" i="2" s="1"/>
  <c r="AM179" i="2" s="1"/>
  <c r="AG656" i="2"/>
  <c r="AG1062" i="2"/>
  <c r="AG524" i="2"/>
  <c r="AG993" i="2"/>
  <c r="AF763" i="2"/>
  <c r="Q588" i="2"/>
  <c r="L588" i="2" s="1"/>
  <c r="R805" i="2"/>
  <c r="N805" i="2" s="1"/>
  <c r="W921" i="2"/>
  <c r="AL921" i="2" s="1"/>
  <c r="AM921" i="2" s="1"/>
  <c r="W1128" i="2"/>
  <c r="AL1128" i="2" s="1"/>
  <c r="AM1128" i="2" s="1"/>
  <c r="W763" i="2"/>
  <c r="AL763" i="2" s="1"/>
  <c r="AM763" i="2" s="1"/>
  <c r="R641" i="2"/>
  <c r="N641" i="2" s="1"/>
  <c r="AF132" i="2"/>
  <c r="Q859" i="2"/>
  <c r="L859" i="2" s="1"/>
  <c r="W300" i="2"/>
  <c r="AL300" i="2" s="1"/>
  <c r="AM300" i="2" s="1"/>
  <c r="AF558" i="2"/>
  <c r="Q210" i="2"/>
  <c r="L210" i="2" s="1"/>
  <c r="W446" i="2"/>
  <c r="AL446" i="2" s="1"/>
  <c r="AM446" i="2" s="1"/>
  <c r="Q951" i="2"/>
  <c r="L951" i="2" s="1"/>
  <c r="R1111" i="2"/>
  <c r="N1111" i="2" s="1"/>
  <c r="Q875" i="2"/>
  <c r="L875" i="2" s="1"/>
  <c r="AG538" i="2"/>
  <c r="AF422" i="2"/>
  <c r="AG446" i="2"/>
  <c r="AG385" i="2"/>
  <c r="Q270" i="2"/>
  <c r="L270" i="2" s="1"/>
  <c r="Q824" i="2"/>
  <c r="L824" i="2" s="1"/>
  <c r="AF179" i="2"/>
  <c r="R1147" i="2"/>
  <c r="N1147" i="2" s="1"/>
  <c r="AG951" i="2"/>
  <c r="R225" i="2"/>
  <c r="N225" i="2" s="1"/>
  <c r="Z225" i="2" s="1"/>
  <c r="AN225" i="2" s="1"/>
  <c r="AO225" i="2" s="1"/>
  <c r="AG118" i="2"/>
  <c r="W1062" i="2"/>
  <c r="AL1062" i="2" s="1"/>
  <c r="AM1062" i="2" s="1"/>
  <c r="Q1198" i="2"/>
  <c r="L1198" i="2" s="1"/>
  <c r="Q656" i="2"/>
  <c r="L656" i="2" s="1"/>
  <c r="AG228" i="2"/>
  <c r="AF225" i="2"/>
  <c r="AF1169" i="2"/>
  <c r="W783" i="2"/>
  <c r="AL783" i="2" s="1"/>
  <c r="AM783" i="2" s="1"/>
  <c r="AG30" i="2"/>
  <c r="W641" i="2"/>
  <c r="AL641" i="2" s="1"/>
  <c r="AM641" i="2" s="1"/>
  <c r="W735" i="2"/>
  <c r="AL735" i="2" s="1"/>
  <c r="AM735" i="2" s="1"/>
  <c r="Q938" i="2"/>
  <c r="L938" i="2" s="1"/>
  <c r="Q993" i="2"/>
  <c r="L993" i="2" s="1"/>
  <c r="Q970" i="2"/>
  <c r="L970" i="2" s="1"/>
  <c r="AF1032" i="2"/>
  <c r="W286" i="2"/>
  <c r="AL286" i="2" s="1"/>
  <c r="AM286" i="2" s="1"/>
  <c r="AF970" i="2"/>
  <c r="W225" i="2"/>
  <c r="AL225" i="2" s="1"/>
  <c r="AM225" i="2" s="1"/>
  <c r="Q749" i="2"/>
  <c r="L749" i="2" s="1"/>
  <c r="W1017" i="2"/>
  <c r="AL1017" i="2" s="1"/>
  <c r="AM1017" i="2" s="1"/>
  <c r="R145" i="2"/>
  <c r="N145" i="2" s="1"/>
  <c r="AG1182" i="2"/>
  <c r="W1198" i="2"/>
  <c r="AL1198" i="2" s="1"/>
  <c r="AM1198" i="2" s="1"/>
  <c r="AF921" i="2"/>
  <c r="AG921" i="2"/>
  <c r="AG415" i="2"/>
  <c r="AG479" i="2"/>
  <c r="R663" i="2"/>
  <c r="N663" i="2" s="1"/>
  <c r="AG588" i="2"/>
  <c r="Q30" i="2"/>
  <c r="L30" i="2" s="1"/>
  <c r="W890" i="2"/>
  <c r="AL890" i="2" s="1"/>
  <c r="AM890" i="2" s="1"/>
  <c r="R337" i="2"/>
  <c r="N337" i="2" s="1"/>
  <c r="R1169" i="2"/>
  <c r="N1169" i="2" s="1"/>
  <c r="Z1169" i="2" s="1"/>
  <c r="AN1169" i="2" s="1"/>
  <c r="AO1169" i="2" s="1"/>
  <c r="Q228" i="2"/>
  <c r="L228" i="2" s="1"/>
  <c r="AF1198" i="2"/>
  <c r="R710" i="2"/>
  <c r="N710" i="2" s="1"/>
  <c r="R353" i="2"/>
  <c r="N353" i="2" s="1"/>
  <c r="AF1062" i="2"/>
  <c r="AG132" i="2"/>
  <c r="R810" i="2"/>
  <c r="N810" i="2" s="1"/>
  <c r="AF641" i="2"/>
  <c r="AF875" i="2"/>
  <c r="Q286" i="2"/>
  <c r="L286" i="2" s="1"/>
  <c r="Q446" i="2"/>
  <c r="L446" i="2" s="1"/>
  <c r="R517" i="2"/>
  <c r="N517" i="2" s="1"/>
  <c r="Q1091" i="2"/>
  <c r="L1091" i="2" s="1"/>
  <c r="W88" i="2"/>
  <c r="AL88" i="2" s="1"/>
  <c r="AM88" i="2" s="1"/>
  <c r="W118" i="2"/>
  <c r="AL118" i="2" s="1"/>
  <c r="AM118" i="2" s="1"/>
  <c r="R104" i="2"/>
  <c r="N104" i="2" s="1"/>
  <c r="Q195" i="2"/>
  <c r="L195" i="2" s="1"/>
  <c r="Q1017" i="2"/>
  <c r="L1017" i="2" s="1"/>
  <c r="AF118" i="2"/>
  <c r="AG467" i="2"/>
  <c r="W927" i="2"/>
  <c r="AL927" i="2" s="1"/>
  <c r="AM927" i="2" s="1"/>
  <c r="AF370" i="2"/>
  <c r="AG942" i="2"/>
  <c r="Q1124" i="2"/>
  <c r="L1124" i="2" s="1"/>
  <c r="W1216" i="2"/>
  <c r="AL1216" i="2" s="1"/>
  <c r="AM1216" i="2" s="1"/>
  <c r="W750" i="2"/>
  <c r="AL750" i="2" s="1"/>
  <c r="AM750" i="2" s="1"/>
  <c r="AF242" i="2"/>
  <c r="R479" i="2"/>
  <c r="N479" i="2" s="1"/>
  <c r="W972" i="2"/>
  <c r="AL972" i="2" s="1"/>
  <c r="AM972" i="2" s="1"/>
  <c r="W557" i="2"/>
  <c r="AL557" i="2" s="1"/>
  <c r="AM557" i="2" s="1"/>
  <c r="AF750" i="2"/>
  <c r="AG995" i="2"/>
  <c r="Q759" i="2"/>
  <c r="L759" i="2" s="1"/>
  <c r="R460" i="2"/>
  <c r="N460" i="2" s="1"/>
  <c r="AG344" i="2"/>
  <c r="W1188" i="2"/>
  <c r="AL1188" i="2" s="1"/>
  <c r="AM1188" i="2" s="1"/>
  <c r="AF733" i="2"/>
  <c r="AF759" i="2"/>
  <c r="AF834" i="2"/>
  <c r="Q723" i="2"/>
  <c r="L723" i="2" s="1"/>
  <c r="W137" i="2"/>
  <c r="AL137" i="2" s="1"/>
  <c r="AM137" i="2" s="1"/>
  <c r="AF1156" i="2"/>
  <c r="AG172" i="2"/>
  <c r="W257" i="2"/>
  <c r="AL257" i="2" s="1"/>
  <c r="AM257" i="2" s="1"/>
  <c r="W430" i="2"/>
  <c r="AL430" i="2" s="1"/>
  <c r="AM430" i="2" s="1"/>
  <c r="AF69" i="2"/>
  <c r="AF583" i="2"/>
  <c r="R34" i="2"/>
  <c r="N34" i="2" s="1"/>
  <c r="AG499" i="2"/>
  <c r="Q1141" i="2"/>
  <c r="L1141" i="2" s="1"/>
  <c r="AG957" i="2"/>
  <c r="Q271" i="2"/>
  <c r="L271" i="2" s="1"/>
  <c r="W596" i="2"/>
  <c r="AL596" i="2" s="1"/>
  <c r="AM596" i="2" s="1"/>
  <c r="AF817" i="2"/>
  <c r="R1079" i="2"/>
  <c r="N1079" i="2" s="1"/>
  <c r="W638" i="2"/>
  <c r="AL638" i="2" s="1"/>
  <c r="AM638" i="2" s="1"/>
  <c r="AF51" i="2"/>
  <c r="W157" i="2"/>
  <c r="AL157" i="2" s="1"/>
  <c r="AM157" i="2" s="1"/>
  <c r="W460" i="2"/>
  <c r="AL460" i="2" s="1"/>
  <c r="AM460" i="2" s="1"/>
  <c r="W627" i="2"/>
  <c r="AL627" i="2" s="1"/>
  <c r="AM627" i="2" s="1"/>
  <c r="AG157" i="2"/>
  <c r="AF557" i="2"/>
  <c r="AG834" i="2"/>
  <c r="AF359" i="2"/>
  <c r="W957" i="2"/>
  <c r="AL957" i="2" s="1"/>
  <c r="AM957" i="2" s="1"/>
  <c r="AF335" i="2"/>
  <c r="AG257" i="2"/>
  <c r="AF627" i="2"/>
  <c r="AF479" i="2"/>
  <c r="W467" i="2"/>
  <c r="AL467" i="2" s="1"/>
  <c r="AM467" i="2" s="1"/>
  <c r="AF344" i="2"/>
  <c r="AF790" i="2"/>
  <c r="W663" i="2"/>
  <c r="AL663" i="2" s="1"/>
  <c r="AM663" i="2" s="1"/>
  <c r="Q205" i="2"/>
  <c r="L205" i="2" s="1"/>
  <c r="W906" i="2"/>
  <c r="AL906" i="2" s="1"/>
  <c r="AM906" i="2" s="1"/>
  <c r="R1222" i="2"/>
  <c r="N1222" i="2" s="1"/>
  <c r="R1041" i="2"/>
  <c r="N1041" i="2" s="1"/>
  <c r="AG451" i="2"/>
  <c r="AG863" i="2"/>
  <c r="AG817" i="2"/>
  <c r="AG405" i="2"/>
  <c r="R906" i="2"/>
  <c r="N906" i="2" s="1"/>
  <c r="R335" i="2"/>
  <c r="N335" i="2" s="1"/>
  <c r="R1005" i="2"/>
  <c r="N1005" i="2" s="1"/>
  <c r="R870" i="2"/>
  <c r="N870" i="2" s="1"/>
  <c r="AF1056" i="2"/>
  <c r="R1179" i="2"/>
  <c r="N1179" i="2" s="1"/>
  <c r="R101" i="2"/>
  <c r="N101" i="2" s="1"/>
  <c r="AG137" i="2"/>
  <c r="Q344" i="2"/>
  <c r="L344" i="2" s="1"/>
  <c r="AG972" i="2"/>
  <c r="Q995" i="2"/>
  <c r="L995" i="2" s="1"/>
  <c r="AF838" i="2"/>
  <c r="Q834" i="2"/>
  <c r="L834" i="2" s="1"/>
  <c r="Q1056" i="2"/>
  <c r="L1056" i="2" s="1"/>
  <c r="Q817" i="2"/>
  <c r="L817" i="2" s="1"/>
  <c r="R527" i="2"/>
  <c r="N527" i="2" s="1"/>
  <c r="Q69" i="2"/>
  <c r="L69" i="2" s="1"/>
  <c r="Q359" i="2"/>
  <c r="L359" i="2" s="1"/>
  <c r="W1156" i="2"/>
  <c r="AL1156" i="2" s="1"/>
  <c r="AM1156" i="2" s="1"/>
  <c r="AG143" i="2"/>
  <c r="Q513" i="2"/>
  <c r="L513" i="2" s="1"/>
  <c r="AG709" i="2"/>
  <c r="AG583" i="2"/>
  <c r="AF972" i="2"/>
  <c r="Q319" i="2"/>
  <c r="L319" i="2" s="1"/>
  <c r="W51" i="2"/>
  <c r="AL51" i="2" s="1"/>
  <c r="AM51" i="2" s="1"/>
  <c r="AF957" i="2"/>
  <c r="AG69" i="2"/>
  <c r="W834" i="2"/>
  <c r="AL834" i="2" s="1"/>
  <c r="AM834" i="2" s="1"/>
  <c r="W359" i="2"/>
  <c r="AL359" i="2" s="1"/>
  <c r="AM359" i="2" s="1"/>
  <c r="R750" i="2"/>
  <c r="N750" i="2" s="1"/>
  <c r="AG759" i="2"/>
  <c r="R838" i="2"/>
  <c r="N838" i="2" s="1"/>
  <c r="AG51" i="2"/>
  <c r="Q863" i="2"/>
  <c r="L863" i="2" s="1"/>
  <c r="W319" i="2"/>
  <c r="AL319" i="2" s="1"/>
  <c r="AM319" i="2" s="1"/>
  <c r="Q157" i="2"/>
  <c r="L157" i="2" s="1"/>
  <c r="Q137" i="2"/>
  <c r="L137" i="2" s="1"/>
  <c r="Q774" i="2"/>
  <c r="L774" i="2" s="1"/>
  <c r="W1222" i="2"/>
  <c r="AL1222" i="2" s="1"/>
  <c r="AM1222" i="2" s="1"/>
  <c r="Q51" i="2"/>
  <c r="L51" i="2" s="1"/>
  <c r="AF405" i="2"/>
  <c r="AG271" i="2"/>
  <c r="R609" i="2"/>
  <c r="N609" i="2" s="1"/>
  <c r="R1086" i="2"/>
  <c r="N1086" i="2" s="1"/>
  <c r="AF638" i="2"/>
  <c r="R1199" i="2"/>
  <c r="N1199" i="2" s="1"/>
  <c r="AG1141" i="2"/>
  <c r="R1109" i="2"/>
  <c r="N1109" i="2" s="1"/>
  <c r="R430" i="2"/>
  <c r="N430" i="2" s="1"/>
  <c r="Q583" i="2"/>
  <c r="L583" i="2" s="1"/>
  <c r="R1188" i="2"/>
  <c r="N1188" i="2" s="1"/>
  <c r="W759" i="2"/>
  <c r="AL759" i="2" s="1"/>
  <c r="AM759" i="2" s="1"/>
  <c r="R8" i="2"/>
  <c r="N8" i="2" s="1"/>
  <c r="R370" i="2"/>
  <c r="N370" i="2" s="1"/>
  <c r="R292" i="2"/>
  <c r="N292" i="2" s="1"/>
  <c r="W69" i="2"/>
  <c r="AL69" i="2" s="1"/>
  <c r="AM69" i="2" s="1"/>
  <c r="Q790" i="2"/>
  <c r="L790" i="2" s="1"/>
  <c r="AG1216" i="2"/>
  <c r="R242" i="2"/>
  <c r="N242" i="2" s="1"/>
  <c r="R627" i="2"/>
  <c r="N627" i="2" s="1"/>
  <c r="W1005" i="2"/>
  <c r="AL1005" i="2" s="1"/>
  <c r="AM1005" i="2" s="1"/>
  <c r="Q972" i="2"/>
  <c r="L972" i="2" s="1"/>
  <c r="Q804" i="2"/>
  <c r="L804" i="2" s="1"/>
  <c r="W344" i="2"/>
  <c r="AL344" i="2" s="1"/>
  <c r="AM344" i="2" s="1"/>
  <c r="W188" i="2"/>
  <c r="AL188" i="2" s="1"/>
  <c r="AM188" i="2" s="1"/>
  <c r="Q143" i="2"/>
  <c r="L143" i="2" s="1"/>
  <c r="Q663" i="2"/>
  <c r="L663" i="2" s="1"/>
  <c r="R237" i="2"/>
  <c r="N237" i="2" s="1"/>
  <c r="W205" i="2"/>
  <c r="AL205" i="2" s="1"/>
  <c r="AM205" i="2" s="1"/>
  <c r="W405" i="2"/>
  <c r="AL405" i="2" s="1"/>
  <c r="AM405" i="2" s="1"/>
  <c r="AF1222" i="2"/>
  <c r="AF257" i="2"/>
  <c r="AF205" i="2"/>
  <c r="AG790" i="2"/>
  <c r="W242" i="2"/>
  <c r="AL242" i="2" s="1"/>
  <c r="AM242" i="2" s="1"/>
  <c r="Q570" i="2"/>
  <c r="L570" i="2" s="1"/>
  <c r="AF596" i="2"/>
  <c r="AG663" i="2"/>
  <c r="AF870" i="2"/>
  <c r="R927" i="2"/>
  <c r="N927" i="2" s="1"/>
  <c r="Z927" i="2" s="1"/>
  <c r="AN927" i="2" s="1"/>
  <c r="AO927" i="2" s="1"/>
  <c r="AG557" i="2"/>
  <c r="R221" i="2"/>
  <c r="N221" i="2" s="1"/>
  <c r="AF663" i="2"/>
  <c r="AG359" i="2"/>
  <c r="AF188" i="2"/>
  <c r="R733" i="2"/>
  <c r="N733" i="2" s="1"/>
  <c r="R980" i="2"/>
  <c r="N980" i="2" s="1"/>
  <c r="Q257" i="2"/>
  <c r="L257" i="2" s="1"/>
  <c r="Q172" i="2"/>
  <c r="L172" i="2" s="1"/>
  <c r="W838" i="2"/>
  <c r="AL838" i="2" s="1"/>
  <c r="AM838" i="2" s="1"/>
  <c r="AG319" i="2"/>
  <c r="Q957" i="2"/>
  <c r="L957" i="2" s="1"/>
  <c r="AG723" i="2"/>
  <c r="W8" i="2"/>
  <c r="AL8" i="2" s="1"/>
  <c r="AM8" i="2" s="1"/>
  <c r="R1156" i="2"/>
  <c r="N1156" i="2" s="1"/>
  <c r="Z1156" i="2" s="1"/>
  <c r="AN1156" i="2" s="1"/>
  <c r="AO1156" i="2" s="1"/>
  <c r="Q1216" i="2"/>
  <c r="L1216" i="2" s="1"/>
  <c r="AF460" i="2"/>
  <c r="Q709" i="2"/>
  <c r="L709" i="2" s="1"/>
  <c r="W583" i="2"/>
  <c r="AL583" i="2" s="1"/>
  <c r="AM583" i="2" s="1"/>
  <c r="R188" i="2"/>
  <c r="N188" i="2" s="1"/>
  <c r="AF927" i="2"/>
  <c r="Q405" i="2"/>
  <c r="L405" i="2" s="1"/>
  <c r="R889" i="2"/>
  <c r="N889" i="2" s="1"/>
  <c r="W479" i="2"/>
  <c r="AL479" i="2" s="1"/>
  <c r="AM479" i="2" s="1"/>
  <c r="AG417" i="2"/>
  <c r="AF906" i="2"/>
  <c r="AF157" i="2"/>
  <c r="AF1005" i="2"/>
  <c r="AF467" i="2"/>
  <c r="R678" i="2"/>
  <c r="N678" i="2" s="1"/>
  <c r="Q692" i="2"/>
  <c r="L692" i="2" s="1"/>
  <c r="AG804" i="2"/>
  <c r="W370" i="2"/>
  <c r="AL370" i="2" s="1"/>
  <c r="AM370" i="2" s="1"/>
  <c r="W1056" i="2"/>
  <c r="AL1056" i="2" s="1"/>
  <c r="AM1056" i="2" s="1"/>
  <c r="AF137" i="2"/>
  <c r="AG513" i="2"/>
  <c r="R552" i="2"/>
  <c r="N552" i="2" s="1"/>
  <c r="Q942" i="2"/>
  <c r="L942" i="2" s="1"/>
  <c r="AF292" i="2"/>
  <c r="W335" i="2"/>
  <c r="AL335" i="2" s="1"/>
  <c r="AM335" i="2" s="1"/>
  <c r="Q467" i="2"/>
  <c r="L467" i="2" s="1"/>
  <c r="AG1124" i="2"/>
  <c r="Q596" i="2"/>
  <c r="L596" i="2" s="1"/>
  <c r="AG774" i="2"/>
  <c r="AF8" i="2"/>
  <c r="W84" i="2"/>
  <c r="AL84" i="2" s="1"/>
  <c r="AM84" i="2" s="1"/>
  <c r="W817" i="2"/>
  <c r="AL817" i="2" s="1"/>
  <c r="AM817" i="2" s="1"/>
  <c r="AF84" i="2"/>
  <c r="R84" i="2"/>
  <c r="N84" i="2" s="1"/>
  <c r="R288" i="2"/>
  <c r="N288" i="2" s="1"/>
  <c r="AF430" i="2"/>
  <c r="W790" i="2"/>
  <c r="AL790" i="2" s="1"/>
  <c r="AM790" i="2" s="1"/>
  <c r="W733" i="2"/>
  <c r="AL733" i="2" s="1"/>
  <c r="AM733" i="2" s="1"/>
  <c r="AF319" i="2"/>
  <c r="AG205" i="2"/>
  <c r="AG570" i="2"/>
  <c r="Q557" i="2"/>
  <c r="L557" i="2" s="1"/>
  <c r="AG1056" i="2"/>
  <c r="AF1188" i="2"/>
  <c r="Q417" i="2"/>
  <c r="L417" i="2" s="1"/>
  <c r="AF1216" i="2"/>
  <c r="Q451" i="2"/>
  <c r="L451" i="2" s="1"/>
  <c r="Q499" i="2"/>
  <c r="L499" i="2" s="1"/>
  <c r="W292" i="2"/>
  <c r="AL292" i="2" s="1"/>
  <c r="AM292" i="2" s="1"/>
  <c r="W870" i="2"/>
  <c r="AL870" i="2" s="1"/>
  <c r="AM870" i="2" s="1"/>
  <c r="R638" i="2"/>
  <c r="N638" i="2" s="1"/>
  <c r="Z638" i="2" s="1"/>
  <c r="AN638" i="2" s="1"/>
  <c r="AO638" i="2" s="1"/>
  <c r="R1024" i="2"/>
  <c r="N1024" i="2" s="1"/>
  <c r="R114" i="2"/>
  <c r="N114" i="2" s="1"/>
  <c r="AG596" i="2"/>
  <c r="AG692" i="2"/>
  <c r="R246" i="2"/>
  <c r="N246" i="2" s="1"/>
  <c r="AG471" i="2"/>
  <c r="AG507" i="2"/>
  <c r="AF18" i="2"/>
  <c r="W1095" i="2"/>
  <c r="AL1095" i="2" s="1"/>
  <c r="AM1095" i="2" s="1"/>
  <c r="AG984" i="2"/>
  <c r="AG1100" i="2"/>
  <c r="AF451" i="2"/>
  <c r="R303" i="2"/>
  <c r="N303" i="2" s="1"/>
  <c r="AG551" i="2"/>
  <c r="AF1036" i="2"/>
  <c r="AG1119" i="2"/>
  <c r="R1224" i="2"/>
  <c r="N1224" i="2" s="1"/>
  <c r="AG224" i="2"/>
  <c r="AG996" i="2"/>
  <c r="AF393" i="2"/>
  <c r="Q1162" i="2"/>
  <c r="L1162" i="2" s="1"/>
  <c r="Q551" i="2"/>
  <c r="L551" i="2" s="1"/>
  <c r="AF1203" i="2"/>
  <c r="W393" i="2"/>
  <c r="AL393" i="2" s="1"/>
  <c r="AM393" i="2" s="1"/>
  <c r="Q1119" i="2"/>
  <c r="L1119" i="2" s="1"/>
  <c r="AG794" i="2"/>
  <c r="Q762" i="2"/>
  <c r="L762" i="2" s="1"/>
  <c r="AF1100" i="2"/>
  <c r="Q973" i="2"/>
  <c r="L973" i="2" s="1"/>
  <c r="R705" i="2"/>
  <c r="N705" i="2" s="1"/>
  <c r="R1095" i="2"/>
  <c r="N1095" i="2" s="1"/>
  <c r="AF184" i="2"/>
  <c r="R260" i="2"/>
  <c r="N260" i="2" s="1"/>
  <c r="W874" i="2"/>
  <c r="AL874" i="2" s="1"/>
  <c r="AM874" i="2" s="1"/>
  <c r="R13" i="2"/>
  <c r="N13" i="2" s="1"/>
  <c r="AF840" i="2"/>
  <c r="W984" i="2"/>
  <c r="AL984" i="2" s="1"/>
  <c r="AM984" i="2" s="1"/>
  <c r="R451" i="2"/>
  <c r="N451" i="2" s="1"/>
  <c r="Q1100" i="2"/>
  <c r="L1100" i="2" s="1"/>
  <c r="Q996" i="2"/>
  <c r="L996" i="2" s="1"/>
  <c r="R407" i="2"/>
  <c r="N407" i="2" s="1"/>
  <c r="AF685" i="2"/>
  <c r="R725" i="2"/>
  <c r="N725" i="2" s="1"/>
  <c r="W807" i="2"/>
  <c r="AL807" i="2" s="1"/>
  <c r="AM807" i="2" s="1"/>
  <c r="W653" i="2"/>
  <c r="AL653" i="2" s="1"/>
  <c r="AM653" i="2" s="1"/>
  <c r="AF933" i="2"/>
  <c r="AF807" i="2"/>
  <c r="AG762" i="2"/>
  <c r="Q612" i="2"/>
  <c r="L612" i="2" s="1"/>
  <c r="R1036" i="2"/>
  <c r="N1036" i="2" s="1"/>
  <c r="Z1036" i="2" s="1"/>
  <c r="AN1036" i="2" s="1"/>
  <c r="AO1036" i="2" s="1"/>
  <c r="W239" i="2"/>
  <c r="AL239" i="2" s="1"/>
  <c r="AM239" i="2" s="1"/>
  <c r="AG184" i="2"/>
  <c r="AG1217" i="2"/>
  <c r="AG599" i="2"/>
  <c r="Q755" i="2"/>
  <c r="L755" i="2" s="1"/>
  <c r="W451" i="2"/>
  <c r="AL451" i="2" s="1"/>
  <c r="AM451" i="2" s="1"/>
  <c r="W199" i="2"/>
  <c r="AL199" i="2" s="1"/>
  <c r="AM199" i="2" s="1"/>
  <c r="W93" i="2"/>
  <c r="AL93" i="2" s="1"/>
  <c r="AM93" i="2" s="1"/>
  <c r="AF355" i="2"/>
  <c r="W685" i="2"/>
  <c r="AL685" i="2" s="1"/>
  <c r="AM685" i="2" s="1"/>
  <c r="R70" i="2"/>
  <c r="N70" i="2" s="1"/>
  <c r="R669" i="2"/>
  <c r="N669" i="2" s="1"/>
  <c r="AF1141" i="2"/>
  <c r="AF1043" i="2"/>
  <c r="Q1217" i="2"/>
  <c r="L1217" i="2" s="1"/>
  <c r="R1043" i="2"/>
  <c r="N1043" i="2" s="1"/>
  <c r="AG121" i="2"/>
  <c r="R960" i="2"/>
  <c r="N960" i="2" s="1"/>
  <c r="Z960" i="2" s="1"/>
  <c r="AN960" i="2" s="1"/>
  <c r="AO960" i="2" s="1"/>
  <c r="W1076" i="2"/>
  <c r="AL1076" i="2" s="1"/>
  <c r="AM1076" i="2" s="1"/>
  <c r="AG874" i="2"/>
  <c r="AF599" i="2"/>
  <c r="Q239" i="2"/>
  <c r="L239" i="2" s="1"/>
  <c r="AF377" i="2"/>
  <c r="W669" i="2"/>
  <c r="AL669" i="2" s="1"/>
  <c r="AM669" i="2" s="1"/>
  <c r="Q635" i="2"/>
  <c r="L635" i="2" s="1"/>
  <c r="R127" i="2"/>
  <c r="N127" i="2" s="1"/>
  <c r="AF725" i="2"/>
  <c r="W567" i="2"/>
  <c r="AL567" i="2" s="1"/>
  <c r="AM567" i="2" s="1"/>
  <c r="R699" i="2"/>
  <c r="N699" i="2" s="1"/>
  <c r="Q224" i="2"/>
  <c r="L224" i="2" s="1"/>
  <c r="R377" i="2"/>
  <c r="N377" i="2" s="1"/>
  <c r="Z377" i="2" s="1"/>
  <c r="AN377" i="2" s="1"/>
  <c r="AO377" i="2" s="1"/>
  <c r="R355" i="2"/>
  <c r="N355" i="2" s="1"/>
  <c r="Z355" i="2" s="1"/>
  <c r="AN355" i="2" s="1"/>
  <c r="AO355" i="2" s="1"/>
  <c r="AF856" i="2"/>
  <c r="R1012" i="2"/>
  <c r="N1012" i="2" s="1"/>
  <c r="Q856" i="2"/>
  <c r="L856" i="2" s="1"/>
  <c r="Q807" i="2"/>
  <c r="L807" i="2" s="1"/>
  <c r="AF239" i="2"/>
  <c r="W889" i="2"/>
  <c r="AL889" i="2" s="1"/>
  <c r="AM889" i="2" s="1"/>
  <c r="Q576" i="2"/>
  <c r="L576" i="2" s="1"/>
  <c r="R833" i="2"/>
  <c r="N833" i="2" s="1"/>
  <c r="R325" i="2"/>
  <c r="N325" i="2" s="1"/>
  <c r="Q121" i="2"/>
  <c r="L121" i="2" s="1"/>
  <c r="AG777" i="2"/>
  <c r="AF653" i="2"/>
  <c r="Q874" i="2"/>
  <c r="L874" i="2" s="1"/>
  <c r="Q18" i="2"/>
  <c r="L18" i="2" s="1"/>
  <c r="AF794" i="2"/>
  <c r="AF93" i="2"/>
  <c r="W43" i="2"/>
  <c r="AL43" i="2" s="1"/>
  <c r="AM43" i="2" s="1"/>
  <c r="Q471" i="2"/>
  <c r="L471" i="2" s="1"/>
  <c r="AG933" i="2"/>
  <c r="AF437" i="2"/>
  <c r="W551" i="2"/>
  <c r="AL551" i="2" s="1"/>
  <c r="AM551" i="2" s="1"/>
  <c r="W1036" i="2"/>
  <c r="AL1036" i="2" s="1"/>
  <c r="AM1036" i="2" s="1"/>
  <c r="W612" i="2"/>
  <c r="AL612" i="2" s="1"/>
  <c r="AM612" i="2" s="1"/>
  <c r="AF612" i="2"/>
  <c r="R1134" i="2"/>
  <c r="N1134" i="2" s="1"/>
  <c r="W933" i="2"/>
  <c r="AL933" i="2" s="1"/>
  <c r="AM933" i="2" s="1"/>
  <c r="W507" i="2"/>
  <c r="AL507" i="2" s="1"/>
  <c r="AM507" i="2" s="1"/>
  <c r="Q106" i="2"/>
  <c r="L106" i="2" s="1"/>
  <c r="Q933" i="2"/>
  <c r="L933" i="2" s="1"/>
  <c r="R273" i="2"/>
  <c r="N273" i="2" s="1"/>
  <c r="AF960" i="2"/>
  <c r="AF43" i="2"/>
  <c r="R653" i="2"/>
  <c r="N653" i="2" s="1"/>
  <c r="R43" i="2"/>
  <c r="N43" i="2" s="1"/>
  <c r="AF551" i="2"/>
  <c r="W960" i="2"/>
  <c r="AL960" i="2" s="1"/>
  <c r="AM960" i="2" s="1"/>
  <c r="AG168" i="2"/>
  <c r="AG973" i="2"/>
  <c r="R50" i="2"/>
  <c r="N50" i="2" s="1"/>
  <c r="AG612" i="2"/>
  <c r="R284" i="2"/>
  <c r="N284" i="2" s="1"/>
  <c r="AG856" i="2"/>
  <c r="W1224" i="2"/>
  <c r="AL1224" i="2" s="1"/>
  <c r="AM1224" i="2" s="1"/>
  <c r="W794" i="2"/>
  <c r="AL794" i="2" s="1"/>
  <c r="AM794" i="2" s="1"/>
  <c r="R437" i="2"/>
  <c r="N437" i="2" s="1"/>
  <c r="Q536" i="2"/>
  <c r="L536" i="2" s="1"/>
  <c r="AF984" i="2"/>
  <c r="W224" i="2"/>
  <c r="AL224" i="2" s="1"/>
  <c r="AM224" i="2" s="1"/>
  <c r="R685" i="2"/>
  <c r="N685" i="2" s="1"/>
  <c r="Q1203" i="2"/>
  <c r="L1203" i="2" s="1"/>
  <c r="R83" i="2"/>
  <c r="N83" i="2" s="1"/>
  <c r="W34" i="2"/>
  <c r="AL34" i="2" s="1"/>
  <c r="AM34" i="2" s="1"/>
  <c r="AG1203" i="2"/>
  <c r="Q184" i="2"/>
  <c r="L184" i="2" s="1"/>
  <c r="W856" i="2"/>
  <c r="AL856" i="2" s="1"/>
  <c r="AM856" i="2" s="1"/>
  <c r="W647" i="2"/>
  <c r="AL647" i="2" s="1"/>
  <c r="AM647" i="2" s="1"/>
  <c r="W762" i="2"/>
  <c r="AL762" i="2" s="1"/>
  <c r="AM762" i="2" s="1"/>
  <c r="R524" i="2"/>
  <c r="N524" i="2" s="1"/>
  <c r="Q367" i="2"/>
  <c r="L367" i="2" s="1"/>
  <c r="AG1065" i="2"/>
  <c r="Q903" i="2"/>
  <c r="L903" i="2" s="1"/>
  <c r="R484" i="2"/>
  <c r="N484" i="2" s="1"/>
  <c r="Q34" i="2"/>
  <c r="L34" i="2" s="1"/>
  <c r="Q346" i="2"/>
  <c r="L346" i="2" s="1"/>
  <c r="W576" i="2"/>
  <c r="AL576" i="2" s="1"/>
  <c r="AM576" i="2" s="1"/>
  <c r="W1141" i="2"/>
  <c r="AL1141" i="2" s="1"/>
  <c r="AM1141" i="2" s="1"/>
  <c r="AG346" i="2"/>
  <c r="AF762" i="2"/>
  <c r="AG889" i="2"/>
  <c r="AG576" i="2"/>
  <c r="W938" i="2"/>
  <c r="AL938" i="2" s="1"/>
  <c r="AM938" i="2" s="1"/>
  <c r="Q1065" i="2"/>
  <c r="L1065" i="2" s="1"/>
  <c r="AG199" i="2"/>
  <c r="AG428" i="2"/>
  <c r="Q567" i="2"/>
  <c r="L567" i="2" s="1"/>
  <c r="R840" i="2"/>
  <c r="N840" i="2" s="1"/>
  <c r="Z840" i="2" s="1"/>
  <c r="AN840" i="2" s="1"/>
  <c r="AO840" i="2" s="1"/>
  <c r="AF874" i="2"/>
  <c r="AF647" i="2"/>
  <c r="Q794" i="2"/>
  <c r="L794" i="2" s="1"/>
  <c r="AF1076" i="2"/>
  <c r="AF199" i="2"/>
  <c r="Q428" i="2"/>
  <c r="L428" i="2" s="1"/>
  <c r="W1043" i="2"/>
  <c r="AL1043" i="2" s="1"/>
  <c r="AM1043" i="2" s="1"/>
  <c r="Q889" i="2"/>
  <c r="L889" i="2" s="1"/>
  <c r="R1076" i="2"/>
  <c r="N1076" i="2" s="1"/>
  <c r="AF576" i="2"/>
  <c r="AG807" i="2"/>
  <c r="AG819" i="2"/>
  <c r="Q168" i="2"/>
  <c r="L168" i="2" s="1"/>
  <c r="AF507" i="2"/>
  <c r="W1119" i="2"/>
  <c r="AL1119" i="2" s="1"/>
  <c r="AM1119" i="2" s="1"/>
  <c r="Q984" i="2"/>
  <c r="L984" i="2" s="1"/>
  <c r="AG755" i="2"/>
  <c r="AF1095" i="2"/>
  <c r="W1203" i="2"/>
  <c r="AL1203" i="2" s="1"/>
  <c r="AM1203" i="2" s="1"/>
  <c r="AF889" i="2"/>
  <c r="W840" i="2"/>
  <c r="AL840" i="2" s="1"/>
  <c r="AM840" i="2" s="1"/>
  <c r="W777" i="2"/>
  <c r="AL777" i="2" s="1"/>
  <c r="AM777" i="2" s="1"/>
  <c r="AG567" i="2"/>
  <c r="AG1162" i="2"/>
  <c r="R1141" i="2"/>
  <c r="N1141" i="2" s="1"/>
  <c r="AF777" i="2"/>
  <c r="Q819" i="2"/>
  <c r="L819" i="2" s="1"/>
  <c r="W284" i="2"/>
  <c r="AL284" i="2" s="1"/>
  <c r="AM284" i="2" s="1"/>
  <c r="AF705" i="2"/>
  <c r="AG903" i="2"/>
  <c r="AG34" i="2"/>
  <c r="AF284" i="2"/>
  <c r="AG367" i="2"/>
  <c r="AF34" i="2"/>
  <c r="Q507" i="2"/>
  <c r="L507" i="2" s="1"/>
  <c r="Q599" i="2"/>
  <c r="L599" i="2" s="1"/>
  <c r="AF567" i="2"/>
  <c r="R93" i="2"/>
  <c r="N93" i="2" s="1"/>
  <c r="Q199" i="2"/>
  <c r="L199" i="2" s="1"/>
  <c r="W524" i="2"/>
  <c r="AL524" i="2" s="1"/>
  <c r="AM524" i="2" s="1"/>
  <c r="AF1224" i="2"/>
  <c r="W184" i="2"/>
  <c r="AL184" i="2" s="1"/>
  <c r="AM184" i="2" s="1"/>
  <c r="AF524" i="2"/>
  <c r="AF938" i="2"/>
  <c r="W705" i="2"/>
  <c r="AL705" i="2" s="1"/>
  <c r="AM705" i="2" s="1"/>
  <c r="AF669" i="2"/>
  <c r="AG635" i="2"/>
  <c r="W437" i="2"/>
  <c r="AL437" i="2" s="1"/>
  <c r="AM437" i="2" s="1"/>
  <c r="AF224" i="2"/>
  <c r="W725" i="2"/>
  <c r="AL725" i="2" s="1"/>
  <c r="AM725" i="2" s="1"/>
  <c r="AG239" i="2"/>
  <c r="AF168" i="2"/>
  <c r="W168" i="2"/>
  <c r="AL168" i="2" s="1"/>
  <c r="AM168" i="2" s="1"/>
  <c r="W355" i="2"/>
  <c r="AL355" i="2" s="1"/>
  <c r="AM355" i="2" s="1"/>
  <c r="AG18" i="2"/>
  <c r="AG536" i="2"/>
  <c r="R647" i="2"/>
  <c r="N647" i="2" s="1"/>
  <c r="Q777" i="2"/>
  <c r="L777" i="2" s="1"/>
  <c r="W18" i="2"/>
  <c r="AL18" i="2" s="1"/>
  <c r="AM18" i="2" s="1"/>
  <c r="W1100" i="2"/>
  <c r="AL1100" i="2" s="1"/>
  <c r="AM1100" i="2" s="1"/>
  <c r="R393" i="2"/>
  <c r="N393" i="2" s="1"/>
  <c r="Z393" i="2" s="1"/>
  <c r="AN393" i="2" s="1"/>
  <c r="AO393" i="2" s="1"/>
  <c r="AF1119" i="2"/>
  <c r="R1184" i="2"/>
  <c r="N1184" i="2" s="1"/>
  <c r="W599" i="2"/>
  <c r="AL599" i="2" s="1"/>
  <c r="AM599" i="2" s="1"/>
  <c r="AG106" i="2"/>
  <c r="W377" i="2"/>
  <c r="AL377" i="2" s="1"/>
  <c r="AM377" i="2" s="1"/>
  <c r="R938" i="2"/>
  <c r="N938" i="2" s="1"/>
  <c r="Q1041" i="2"/>
  <c r="L1041" i="2" s="1"/>
  <c r="W412" i="2"/>
  <c r="AL412" i="2" s="1"/>
  <c r="AM412" i="2" s="1"/>
  <c r="AG372" i="2"/>
  <c r="Q468" i="2"/>
  <c r="L468" i="2" s="1"/>
  <c r="AG221" i="2"/>
  <c r="W1057" i="2"/>
  <c r="AL1057" i="2" s="1"/>
  <c r="AM1057" i="2" s="1"/>
  <c r="W221" i="2"/>
  <c r="AL221" i="2" s="1"/>
  <c r="AM221" i="2" s="1"/>
  <c r="AG468" i="2"/>
  <c r="R819" i="2"/>
  <c r="N819" i="2" s="1"/>
  <c r="AF1158" i="2"/>
  <c r="Q1134" i="2"/>
  <c r="L1134" i="2" s="1"/>
  <c r="W1134" i="2"/>
  <c r="AL1134" i="2" s="1"/>
  <c r="AM1134" i="2" s="1"/>
  <c r="R1011" i="2"/>
  <c r="N1011" i="2" s="1"/>
  <c r="AF843" i="2"/>
  <c r="Q372" i="2"/>
  <c r="L372" i="2" s="1"/>
  <c r="AG1134" i="2"/>
  <c r="W1158" i="2"/>
  <c r="AL1158" i="2" s="1"/>
  <c r="AM1158" i="2" s="1"/>
  <c r="W392" i="2"/>
  <c r="AL392" i="2" s="1"/>
  <c r="AM392" i="2" s="1"/>
  <c r="R571" i="2"/>
  <c r="N571" i="2" s="1"/>
  <c r="W1182" i="2"/>
  <c r="AL1182" i="2" s="1"/>
  <c r="AM1182" i="2" s="1"/>
  <c r="R96" i="2"/>
  <c r="N96" i="2" s="1"/>
  <c r="Z96" i="2" s="1"/>
  <c r="AN96" i="2" s="1"/>
  <c r="AO96" i="2" s="1"/>
  <c r="AF553" i="2"/>
  <c r="R209" i="2"/>
  <c r="N209" i="2" s="1"/>
  <c r="W209" i="2"/>
  <c r="AL209" i="2" s="1"/>
  <c r="AM209" i="2" s="1"/>
  <c r="R765" i="2"/>
  <c r="N765" i="2" s="1"/>
  <c r="R1230" i="2"/>
  <c r="N1230" i="2" s="1"/>
  <c r="AF304" i="2"/>
  <c r="W914" i="2"/>
  <c r="AL914" i="2" s="1"/>
  <c r="AM914" i="2" s="1"/>
  <c r="Q716" i="2"/>
  <c r="L716" i="2" s="1"/>
  <c r="AF434" i="2"/>
  <c r="W974" i="2"/>
  <c r="AL974" i="2" s="1"/>
  <c r="AM974" i="2" s="1"/>
  <c r="AG633" i="2"/>
  <c r="AF880" i="2"/>
  <c r="AF946" i="2"/>
  <c r="R304" i="2"/>
  <c r="N304" i="2" s="1"/>
  <c r="Z304" i="2" s="1"/>
  <c r="AN304" i="2" s="1"/>
  <c r="AO304" i="2" s="1"/>
  <c r="R553" i="2"/>
  <c r="N553" i="2" s="1"/>
  <c r="AG1057" i="2"/>
  <c r="AF1182" i="2"/>
  <c r="R516" i="2"/>
  <c r="N516" i="2" s="1"/>
  <c r="AF1077" i="2"/>
  <c r="R351" i="2"/>
  <c r="N351" i="2" s="1"/>
  <c r="Z351" i="2" s="1"/>
  <c r="AN351" i="2" s="1"/>
  <c r="AO351" i="2" s="1"/>
  <c r="AF1091" i="2"/>
  <c r="Q500" i="2"/>
  <c r="L500" i="2" s="1"/>
  <c r="AF209" i="2"/>
  <c r="R1103" i="2"/>
  <c r="N1103" i="2" s="1"/>
  <c r="R361" i="2"/>
  <c r="N361" i="2" s="1"/>
  <c r="R247" i="2"/>
  <c r="N247" i="2" s="1"/>
  <c r="AG23" i="2"/>
  <c r="R412" i="2"/>
  <c r="N412" i="2" s="1"/>
  <c r="Z412" i="2" s="1"/>
  <c r="AN412" i="2" s="1"/>
  <c r="AO412" i="2" s="1"/>
  <c r="W819" i="2"/>
  <c r="AL819" i="2" s="1"/>
  <c r="AM819" i="2" s="1"/>
  <c r="AG673" i="2"/>
  <c r="AF1103" i="2"/>
  <c r="W689" i="2"/>
  <c r="AL689" i="2" s="1"/>
  <c r="AM689" i="2" s="1"/>
  <c r="AF689" i="2"/>
  <c r="W736" i="2"/>
  <c r="AL736" i="2" s="1"/>
  <c r="AM736" i="2" s="1"/>
  <c r="AF221" i="2"/>
  <c r="W150" i="2"/>
  <c r="AL150" i="2" s="1"/>
  <c r="AM150" i="2" s="1"/>
  <c r="R392" i="2"/>
  <c r="N392" i="2" s="1"/>
  <c r="Z392" i="2" s="1"/>
  <c r="AN392" i="2" s="1"/>
  <c r="AO392" i="2" s="1"/>
  <c r="AG313" i="2"/>
  <c r="Q452" i="2"/>
  <c r="L452" i="2" s="1"/>
  <c r="AF150" i="2"/>
  <c r="R602" i="2"/>
  <c r="N602" i="2" s="1"/>
  <c r="Z602" i="2" s="1"/>
  <c r="AN602" i="2" s="1"/>
  <c r="AO602" i="2" s="1"/>
  <c r="AG482" i="2"/>
  <c r="AG264" i="2"/>
  <c r="W729" i="2"/>
  <c r="AL729" i="2" s="1"/>
  <c r="AM729" i="2" s="1"/>
  <c r="W351" i="2"/>
  <c r="AL351" i="2" s="1"/>
  <c r="AM351" i="2" s="1"/>
  <c r="AF700" i="2"/>
  <c r="AG542" i="2"/>
  <c r="Q76" i="2"/>
  <c r="L76" i="2" s="1"/>
  <c r="R736" i="2"/>
  <c r="N736" i="2" s="1"/>
  <c r="Z736" i="2" s="1"/>
  <c r="AN736" i="2" s="1"/>
  <c r="AO736" i="2" s="1"/>
  <c r="AF412" i="2"/>
  <c r="W791" i="2"/>
  <c r="AL791" i="2" s="1"/>
  <c r="AM791" i="2" s="1"/>
  <c r="AF23" i="2"/>
  <c r="AG500" i="2"/>
  <c r="AF804" i="2"/>
  <c r="W946" i="2"/>
  <c r="AL946" i="2" s="1"/>
  <c r="AM946" i="2" s="1"/>
  <c r="W901" i="2"/>
  <c r="AL901" i="2" s="1"/>
  <c r="AM901" i="2" s="1"/>
  <c r="Q287" i="2"/>
  <c r="L287" i="2" s="1"/>
  <c r="R974" i="2"/>
  <c r="N974" i="2" s="1"/>
  <c r="R1091" i="2"/>
  <c r="N1091" i="2" s="1"/>
  <c r="Z1091" i="2" s="1"/>
  <c r="AN1091" i="2" s="1"/>
  <c r="AO1091" i="2" s="1"/>
  <c r="Q150" i="2"/>
  <c r="L150" i="2" s="1"/>
  <c r="W313" i="2"/>
  <c r="AL313" i="2" s="1"/>
  <c r="AM313" i="2" s="1"/>
  <c r="AF974" i="2"/>
  <c r="Q1158" i="2"/>
  <c r="L1158" i="2" s="1"/>
  <c r="R166" i="2"/>
  <c r="N166" i="2" s="1"/>
  <c r="AF1057" i="2"/>
  <c r="R1215" i="2"/>
  <c r="N1215" i="2" s="1"/>
  <c r="Q700" i="2"/>
  <c r="L700" i="2" s="1"/>
  <c r="AF1191" i="2"/>
  <c r="AF287" i="2"/>
  <c r="AF35" i="2"/>
  <c r="Q633" i="2"/>
  <c r="L633" i="2" s="1"/>
  <c r="R880" i="2"/>
  <c r="N880" i="2" s="1"/>
  <c r="AG10" i="2"/>
  <c r="Q901" i="2"/>
  <c r="L901" i="2" s="1"/>
  <c r="AF673" i="2"/>
  <c r="AG791" i="2"/>
  <c r="W287" i="2"/>
  <c r="AL287" i="2" s="1"/>
  <c r="AM287" i="2" s="1"/>
  <c r="W61" i="2"/>
  <c r="AL61" i="2" s="1"/>
  <c r="AM61" i="2" s="1"/>
  <c r="AF10" i="2"/>
  <c r="R930" i="2"/>
  <c r="N930" i="2" s="1"/>
  <c r="AG1041" i="2"/>
  <c r="W1149" i="2"/>
  <c r="AL1149" i="2" s="1"/>
  <c r="AM1149" i="2" s="1"/>
  <c r="Q1115" i="2"/>
  <c r="L1115" i="2" s="1"/>
  <c r="AG716" i="2"/>
  <c r="R617" i="2"/>
  <c r="N617" i="2" s="1"/>
  <c r="AF61" i="2"/>
  <c r="AG914" i="2"/>
  <c r="AF854" i="2"/>
  <c r="W542" i="2"/>
  <c r="AL542" i="2" s="1"/>
  <c r="AM542" i="2" s="1"/>
  <c r="AG854" i="2"/>
  <c r="AF392" i="2"/>
  <c r="Q221" i="2"/>
  <c r="L221" i="2" s="1"/>
  <c r="Q791" i="2"/>
  <c r="L791" i="2" s="1"/>
  <c r="Q52" i="2"/>
  <c r="L52" i="2" s="1"/>
  <c r="AG287" i="2"/>
  <c r="R238" i="2"/>
  <c r="N238" i="2" s="1"/>
  <c r="AF516" i="2"/>
  <c r="R120" i="2"/>
  <c r="N120" i="2" s="1"/>
  <c r="R729" i="2"/>
  <c r="N729" i="2" s="1"/>
  <c r="AF1149" i="2"/>
  <c r="AG76" i="2"/>
  <c r="AF819" i="2"/>
  <c r="Q1025" i="2"/>
  <c r="L1025" i="2" s="1"/>
  <c r="W304" i="2"/>
  <c r="AL304" i="2" s="1"/>
  <c r="AM304" i="2" s="1"/>
  <c r="AF542" i="2"/>
  <c r="AG775" i="2"/>
  <c r="W673" i="2"/>
  <c r="AL673" i="2" s="1"/>
  <c r="AM673" i="2" s="1"/>
  <c r="W434" i="2"/>
  <c r="AL434" i="2" s="1"/>
  <c r="AM434" i="2" s="1"/>
  <c r="W1091" i="2"/>
  <c r="AL1091" i="2" s="1"/>
  <c r="AM1091" i="2" s="1"/>
  <c r="R1077" i="2"/>
  <c r="N1077" i="2" s="1"/>
  <c r="Z1077" i="2" s="1"/>
  <c r="AN1077" i="2" s="1"/>
  <c r="AO1077" i="2" s="1"/>
  <c r="AG190" i="2"/>
  <c r="AF482" i="2"/>
  <c r="AG138" i="2"/>
  <c r="Q334" i="2"/>
  <c r="L334" i="2" s="1"/>
  <c r="AF351" i="2"/>
  <c r="R828" i="2"/>
  <c r="N828" i="2" s="1"/>
  <c r="Q689" i="2"/>
  <c r="L689" i="2" s="1"/>
  <c r="AG150" i="2"/>
  <c r="R843" i="2"/>
  <c r="N843" i="2" s="1"/>
  <c r="W1077" i="2"/>
  <c r="AL1077" i="2" s="1"/>
  <c r="AM1077" i="2" s="1"/>
  <c r="Q23" i="2"/>
  <c r="L23" i="2" s="1"/>
  <c r="AF958" i="2"/>
  <c r="Q190" i="2"/>
  <c r="L190" i="2" s="1"/>
  <c r="W854" i="2"/>
  <c r="AL854" i="2" s="1"/>
  <c r="AM854" i="2" s="1"/>
  <c r="W482" i="2"/>
  <c r="AL482" i="2" s="1"/>
  <c r="AM482" i="2" s="1"/>
  <c r="W106" i="2"/>
  <c r="AL106" i="2" s="1"/>
  <c r="AM106" i="2" s="1"/>
  <c r="W190" i="2"/>
  <c r="AL190" i="2" s="1"/>
  <c r="AM190" i="2" s="1"/>
  <c r="AG1003" i="2"/>
  <c r="Q434" i="2"/>
  <c r="L434" i="2" s="1"/>
  <c r="R587" i="2"/>
  <c r="N587" i="2" s="1"/>
  <c r="Q1149" i="2"/>
  <c r="L1149" i="2" s="1"/>
  <c r="W1025" i="2"/>
  <c r="AL1025" i="2" s="1"/>
  <c r="AM1025" i="2" s="1"/>
  <c r="AG1025" i="2"/>
  <c r="Q1003" i="2"/>
  <c r="L1003" i="2" s="1"/>
  <c r="W1191" i="2"/>
  <c r="AL1191" i="2" s="1"/>
  <c r="AM1191" i="2" s="1"/>
  <c r="AG700" i="2"/>
  <c r="W23" i="2"/>
  <c r="AL23" i="2" s="1"/>
  <c r="AM23" i="2" s="1"/>
  <c r="AG648" i="2"/>
  <c r="R427" i="2"/>
  <c r="N427" i="2" s="1"/>
  <c r="AF914" i="2"/>
  <c r="AG1149" i="2"/>
  <c r="Q313" i="2"/>
  <c r="L313" i="2" s="1"/>
  <c r="Q388" i="2"/>
  <c r="L388" i="2" s="1"/>
  <c r="Q264" i="2"/>
  <c r="L264" i="2" s="1"/>
  <c r="Q182" i="2"/>
  <c r="L182" i="2" s="1"/>
  <c r="R804" i="2"/>
  <c r="N804" i="2" s="1"/>
  <c r="Q854" i="2"/>
  <c r="L854" i="2" s="1"/>
  <c r="Q1057" i="2"/>
  <c r="L1057" i="2" s="1"/>
  <c r="AF190" i="2"/>
  <c r="R35" i="2"/>
  <c r="N35" i="2" s="1"/>
  <c r="R1191" i="2"/>
  <c r="N1191" i="2" s="1"/>
  <c r="AF736" i="2"/>
  <c r="W516" i="2"/>
  <c r="AL516" i="2" s="1"/>
  <c r="AM516" i="2" s="1"/>
  <c r="AG901" i="2"/>
  <c r="AF602" i="2"/>
  <c r="AG1115" i="2"/>
  <c r="Q482" i="2"/>
  <c r="L482" i="2" s="1"/>
  <c r="W804" i="2"/>
  <c r="AL804" i="2" s="1"/>
  <c r="AM804" i="2" s="1"/>
  <c r="AF729" i="2"/>
  <c r="W1103" i="2"/>
  <c r="AL1103" i="2" s="1"/>
  <c r="AM1103" i="2" s="1"/>
  <c r="W602" i="2"/>
  <c r="AL602" i="2" s="1"/>
  <c r="AM602" i="2" s="1"/>
  <c r="AG958" i="2"/>
  <c r="AG1158" i="2"/>
  <c r="AF901" i="2"/>
  <c r="W10" i="2"/>
  <c r="AL10" i="2" s="1"/>
  <c r="AM10" i="2" s="1"/>
  <c r="AF106" i="2"/>
  <c r="Q673" i="2"/>
  <c r="L673" i="2" s="1"/>
  <c r="AG452" i="2"/>
  <c r="Q138" i="2"/>
  <c r="L138" i="2" s="1"/>
  <c r="W700" i="2"/>
  <c r="AL700" i="2" s="1"/>
  <c r="AM700" i="2" s="1"/>
  <c r="R106" i="2"/>
  <c r="N106" i="2" s="1"/>
  <c r="W35" i="2"/>
  <c r="AL35" i="2" s="1"/>
  <c r="AM35" i="2" s="1"/>
  <c r="AF1134" i="2"/>
  <c r="Q775" i="2"/>
  <c r="L775" i="2" s="1"/>
  <c r="W843" i="2"/>
  <c r="AL843" i="2" s="1"/>
  <c r="AM843" i="2" s="1"/>
  <c r="R61" i="2"/>
  <c r="N61" i="2" s="1"/>
  <c r="AF1041" i="2"/>
  <c r="AG334" i="2"/>
  <c r="Q10" i="2"/>
  <c r="L10" i="2" s="1"/>
  <c r="R946" i="2"/>
  <c r="N946" i="2" s="1"/>
  <c r="AF791" i="2"/>
  <c r="R868" i="2"/>
  <c r="N868" i="2" s="1"/>
  <c r="Q914" i="2"/>
  <c r="L914" i="2" s="1"/>
  <c r="AG52" i="2"/>
  <c r="Q648" i="2"/>
  <c r="L648" i="2" s="1"/>
  <c r="AG388" i="2"/>
  <c r="Q542" i="2"/>
  <c r="L542" i="2" s="1"/>
  <c r="W553" i="2"/>
  <c r="AL553" i="2" s="1"/>
  <c r="AM553" i="2" s="1"/>
  <c r="W1041" i="2"/>
  <c r="AL1041" i="2" s="1"/>
  <c r="AM1041" i="2" s="1"/>
  <c r="AG689" i="2"/>
  <c r="AF1025" i="2"/>
  <c r="W958" i="2"/>
  <c r="AL958" i="2" s="1"/>
  <c r="AM958" i="2" s="1"/>
  <c r="AG182" i="2"/>
  <c r="AF96" i="2"/>
  <c r="AF372" i="2"/>
  <c r="AG434" i="2"/>
  <c r="AF313" i="2"/>
  <c r="W880" i="2"/>
  <c r="AL880" i="2" s="1"/>
  <c r="AM880" i="2" s="1"/>
  <c r="Q958" i="2"/>
  <c r="L958" i="2" s="1"/>
  <c r="W96" i="2"/>
  <c r="AL96" i="2" s="1"/>
  <c r="AM96" i="2" s="1"/>
  <c r="R1182" i="2"/>
  <c r="N1182" i="2" s="1"/>
  <c r="W372" i="2"/>
  <c r="AL372" i="2" s="1"/>
  <c r="AM372" i="2" s="1"/>
  <c r="Q511" i="2"/>
  <c r="L511" i="2" s="1"/>
  <c r="Q625" i="2"/>
  <c r="L625" i="2" s="1"/>
  <c r="R121" i="2"/>
  <c r="N121" i="2" s="1"/>
  <c r="AG489" i="2"/>
  <c r="AF211" i="2"/>
  <c r="W1079" i="2"/>
  <c r="AL1079" i="2" s="1"/>
  <c r="AM1079" i="2" s="1"/>
  <c r="Q1110" i="2"/>
  <c r="L1110" i="2" s="1"/>
  <c r="AF326" i="2"/>
  <c r="AF912" i="2"/>
  <c r="Q990" i="2"/>
  <c r="L990" i="2" s="1"/>
  <c r="AG1054" i="2"/>
  <c r="W785" i="2"/>
  <c r="AL785" i="2" s="1"/>
  <c r="AM785" i="2" s="1"/>
  <c r="W291" i="2"/>
  <c r="AL291" i="2" s="1"/>
  <c r="AM291" i="2" s="1"/>
  <c r="R326" i="2"/>
  <c r="N326" i="2" s="1"/>
  <c r="AG646" i="2"/>
  <c r="W181" i="2"/>
  <c r="AL181" i="2" s="1"/>
  <c r="AM181" i="2" s="1"/>
  <c r="AG155" i="2"/>
  <c r="W993" i="2"/>
  <c r="AL993" i="2" s="1"/>
  <c r="AM993" i="2" s="1"/>
  <c r="AG1096" i="2"/>
  <c r="Q610" i="2"/>
  <c r="L610" i="2" s="1"/>
  <c r="R268" i="2"/>
  <c r="N268" i="2" s="1"/>
  <c r="Z268" i="2" s="1"/>
  <c r="AN268" i="2" s="1"/>
  <c r="AO268" i="2" s="1"/>
  <c r="R947" i="2"/>
  <c r="N947" i="2" s="1"/>
  <c r="R264" i="2"/>
  <c r="N264" i="2" s="1"/>
  <c r="W26" i="2"/>
  <c r="AL26" i="2" s="1"/>
  <c r="AM26" i="2" s="1"/>
  <c r="Q1054" i="2"/>
  <c r="L1054" i="2" s="1"/>
  <c r="AF610" i="2"/>
  <c r="W264" i="2"/>
  <c r="AL264" i="2" s="1"/>
  <c r="AM264" i="2" s="1"/>
  <c r="Q458" i="2"/>
  <c r="L458" i="2" s="1"/>
  <c r="AF218" i="2"/>
  <c r="W138" i="2"/>
  <c r="AL138" i="2" s="1"/>
  <c r="AM138" i="2" s="1"/>
  <c r="AG511" i="2"/>
  <c r="Q1039" i="2"/>
  <c r="L1039" i="2" s="1"/>
  <c r="AF785" i="2"/>
  <c r="AF1215" i="2"/>
  <c r="W7" i="2"/>
  <c r="AL7" i="2" s="1"/>
  <c r="AM7" i="2" s="1"/>
  <c r="Q155" i="2"/>
  <c r="L155" i="2" s="1"/>
  <c r="AF264" i="2"/>
  <c r="AG1079" i="2"/>
  <c r="W121" i="2"/>
  <c r="AL121" i="2" s="1"/>
  <c r="AM121" i="2" s="1"/>
  <c r="Q1096" i="2"/>
  <c r="L1096" i="2" s="1"/>
  <c r="W401" i="2"/>
  <c r="AL401" i="2" s="1"/>
  <c r="AM401" i="2" s="1"/>
  <c r="AF1124" i="2"/>
  <c r="AF41" i="2"/>
  <c r="R592" i="2"/>
  <c r="N592" i="2" s="1"/>
  <c r="AF1140" i="2"/>
  <c r="AG342" i="2"/>
  <c r="W747" i="2"/>
  <c r="AL747" i="2" s="1"/>
  <c r="AM747" i="2" s="1"/>
  <c r="R1221" i="2"/>
  <c r="N1221" i="2" s="1"/>
  <c r="AG990" i="2"/>
  <c r="Q1023" i="2"/>
  <c r="L1023" i="2" s="1"/>
  <c r="AF419" i="2"/>
  <c r="R1008" i="2"/>
  <c r="N1008" i="2" s="1"/>
  <c r="Z1008" i="2" s="1"/>
  <c r="AN1008" i="2" s="1"/>
  <c r="AO1008" i="2" s="1"/>
  <c r="AG196" i="2"/>
  <c r="W878" i="2"/>
  <c r="AL878" i="2" s="1"/>
  <c r="AM878" i="2" s="1"/>
  <c r="Q1079" i="2"/>
  <c r="L1079" i="2" s="1"/>
  <c r="W1199" i="2"/>
  <c r="AL1199" i="2" s="1"/>
  <c r="AM1199" i="2" s="1"/>
  <c r="R138" i="2"/>
  <c r="N138" i="2" s="1"/>
  <c r="Q930" i="2"/>
  <c r="L930" i="2" s="1"/>
  <c r="R694" i="2"/>
  <c r="N694" i="2" s="1"/>
  <c r="W218" i="2"/>
  <c r="AL218" i="2" s="1"/>
  <c r="AM218" i="2" s="1"/>
  <c r="R964" i="2"/>
  <c r="N964" i="2" s="1"/>
  <c r="W1140" i="2"/>
  <c r="AL1140" i="2" s="1"/>
  <c r="AM1140" i="2" s="1"/>
  <c r="AF291" i="2"/>
  <c r="R603" i="2"/>
  <c r="N603" i="2" s="1"/>
  <c r="W268" i="2"/>
  <c r="AL268" i="2" s="1"/>
  <c r="AM268" i="2" s="1"/>
  <c r="AF367" i="2"/>
  <c r="R441" i="2"/>
  <c r="N441" i="2" s="1"/>
  <c r="AF625" i="2"/>
  <c r="Q7" i="2"/>
  <c r="L7" i="2" s="1"/>
  <c r="W458" i="2"/>
  <c r="AL458" i="2" s="1"/>
  <c r="AM458" i="2" s="1"/>
  <c r="W892" i="2"/>
  <c r="AL892" i="2" s="1"/>
  <c r="AM892" i="2" s="1"/>
  <c r="AG1184" i="2"/>
  <c r="W1146" i="2"/>
  <c r="AL1146" i="2" s="1"/>
  <c r="AM1146" i="2" s="1"/>
  <c r="AF1199" i="2"/>
  <c r="W912" i="2"/>
  <c r="AL912" i="2" s="1"/>
  <c r="AM912" i="2" s="1"/>
  <c r="W833" i="2"/>
  <c r="AL833" i="2" s="1"/>
  <c r="AM833" i="2" s="1"/>
  <c r="AF892" i="2"/>
  <c r="Q103" i="2"/>
  <c r="L103" i="2" s="1"/>
  <c r="AG1110" i="2"/>
  <c r="AF1008" i="2"/>
  <c r="AG74" i="2"/>
  <c r="AG181" i="2"/>
  <c r="AG231" i="2"/>
  <c r="Q181" i="2"/>
  <c r="L181" i="2" s="1"/>
  <c r="Q74" i="2"/>
  <c r="L74" i="2" s="1"/>
  <c r="R543" i="2"/>
  <c r="N543" i="2" s="1"/>
  <c r="AG892" i="2"/>
  <c r="Q1199" i="2"/>
  <c r="L1199" i="2" s="1"/>
  <c r="AF694" i="2"/>
  <c r="Q475" i="2"/>
  <c r="L475" i="2" s="1"/>
  <c r="AF993" i="2"/>
  <c r="AF196" i="2"/>
  <c r="AF1173" i="2"/>
  <c r="W1039" i="2"/>
  <c r="AL1039" i="2" s="1"/>
  <c r="AM1039" i="2" s="1"/>
  <c r="R1173" i="2"/>
  <c r="N1173" i="2" s="1"/>
  <c r="Q726" i="2"/>
  <c r="L726" i="2" s="1"/>
  <c r="Q548" i="2"/>
  <c r="L548" i="2" s="1"/>
  <c r="W211" i="2"/>
  <c r="AL211" i="2" s="1"/>
  <c r="AM211" i="2" s="1"/>
  <c r="W864" i="2"/>
  <c r="AL864" i="2" s="1"/>
  <c r="AM864" i="2" s="1"/>
  <c r="W526" i="2"/>
  <c r="AL526" i="2" s="1"/>
  <c r="AM526" i="2" s="1"/>
  <c r="AG1199" i="2"/>
  <c r="Q489" i="2"/>
  <c r="L489" i="2" s="1"/>
  <c r="AF930" i="2"/>
  <c r="R295" i="2"/>
  <c r="N295" i="2" s="1"/>
  <c r="Z295" i="2" s="1"/>
  <c r="AN295" i="2" s="1"/>
  <c r="AO295" i="2" s="1"/>
  <c r="W1215" i="2"/>
  <c r="AL1215" i="2" s="1"/>
  <c r="AM1215" i="2" s="1"/>
  <c r="AG475" i="2"/>
  <c r="AF181" i="2"/>
  <c r="Q833" i="2"/>
  <c r="L833" i="2" s="1"/>
  <c r="AF143" i="2"/>
  <c r="R143" i="2"/>
  <c r="N143" i="2" s="1"/>
  <c r="AF1054" i="2"/>
  <c r="W694" i="2"/>
  <c r="AL694" i="2" s="1"/>
  <c r="AM694" i="2" s="1"/>
  <c r="W419" i="2"/>
  <c r="AL419" i="2" s="1"/>
  <c r="AM419" i="2" s="1"/>
  <c r="R218" i="2"/>
  <c r="N218" i="2" s="1"/>
  <c r="W196" i="2"/>
  <c r="AL196" i="2" s="1"/>
  <c r="AM196" i="2" s="1"/>
  <c r="R419" i="2"/>
  <c r="N419" i="2" s="1"/>
  <c r="AF511" i="2"/>
  <c r="W1124" i="2"/>
  <c r="AL1124" i="2" s="1"/>
  <c r="AM1124" i="2" s="1"/>
  <c r="AG610" i="2"/>
  <c r="R1140" i="2"/>
  <c r="N1140" i="2" s="1"/>
  <c r="Z1140" i="2" s="1"/>
  <c r="AN1140" i="2" s="1"/>
  <c r="AO1140" i="2" s="1"/>
  <c r="AG930" i="2"/>
  <c r="AF26" i="2"/>
  <c r="W511" i="2"/>
  <c r="AL511" i="2" s="1"/>
  <c r="AM511" i="2" s="1"/>
  <c r="AF475" i="2"/>
  <c r="W603" i="2"/>
  <c r="AL603" i="2" s="1"/>
  <c r="AM603" i="2" s="1"/>
  <c r="AG548" i="2"/>
  <c r="W610" i="2"/>
  <c r="AL610" i="2" s="1"/>
  <c r="AM610" i="2" s="1"/>
  <c r="AF526" i="2"/>
  <c r="Q342" i="2"/>
  <c r="L342" i="2" s="1"/>
  <c r="R662" i="2"/>
  <c r="N662" i="2" s="1"/>
  <c r="Q1215" i="2"/>
  <c r="L1215" i="2" s="1"/>
  <c r="W311" i="2"/>
  <c r="AL311" i="2" s="1"/>
  <c r="AM311" i="2" s="1"/>
  <c r="AF458" i="2"/>
  <c r="R375" i="2"/>
  <c r="N375" i="2" s="1"/>
  <c r="AG1023" i="2"/>
  <c r="Q912" i="2"/>
  <c r="L912" i="2" s="1"/>
  <c r="AG90" i="2"/>
  <c r="AG211" i="2"/>
  <c r="R785" i="2"/>
  <c r="N785" i="2" s="1"/>
  <c r="AG625" i="2"/>
  <c r="W326" i="2"/>
  <c r="AL326" i="2" s="1"/>
  <c r="AM326" i="2" s="1"/>
  <c r="R56" i="2"/>
  <c r="N56" i="2" s="1"/>
  <c r="Z56" i="2" s="1"/>
  <c r="AN56" i="2" s="1"/>
  <c r="AO56" i="2" s="1"/>
  <c r="AG103" i="2"/>
  <c r="AF1039" i="2"/>
  <c r="Q231" i="2"/>
  <c r="L231" i="2" s="1"/>
  <c r="AG311" i="2"/>
  <c r="AG563" i="2"/>
  <c r="Q526" i="2"/>
  <c r="L526" i="2" s="1"/>
  <c r="AF7" i="2"/>
  <c r="R993" i="2"/>
  <c r="N993" i="2" s="1"/>
  <c r="R453" i="2"/>
  <c r="N453" i="2" s="1"/>
  <c r="W930" i="2"/>
  <c r="AL930" i="2" s="1"/>
  <c r="AM930" i="2" s="1"/>
  <c r="AG526" i="2"/>
  <c r="W475" i="2"/>
  <c r="AL475" i="2" s="1"/>
  <c r="AM475" i="2" s="1"/>
  <c r="W1008" i="2"/>
  <c r="AL1008" i="2" s="1"/>
  <c r="AM1008" i="2" s="1"/>
  <c r="R26" i="2"/>
  <c r="N26" i="2" s="1"/>
  <c r="Z26" i="2" s="1"/>
  <c r="AN26" i="2" s="1"/>
  <c r="AO26" i="2" s="1"/>
  <c r="Q563" i="2"/>
  <c r="L563" i="2" s="1"/>
  <c r="AF603" i="2"/>
  <c r="AG878" i="2"/>
  <c r="AF311" i="2"/>
  <c r="AF138" i="2"/>
  <c r="Q878" i="2"/>
  <c r="L878" i="2" s="1"/>
  <c r="Q311" i="2"/>
  <c r="L311" i="2" s="1"/>
  <c r="W231" i="2"/>
  <c r="AL231" i="2" s="1"/>
  <c r="AM231" i="2" s="1"/>
  <c r="R49" i="2"/>
  <c r="N49" i="2" s="1"/>
  <c r="AG833" i="2"/>
  <c r="Q646" i="2"/>
  <c r="L646" i="2" s="1"/>
  <c r="R803" i="2"/>
  <c r="N803" i="2" s="1"/>
  <c r="Q90" i="2"/>
  <c r="L90" i="2" s="1"/>
  <c r="AG1215" i="2"/>
  <c r="Q211" i="2"/>
  <c r="L211" i="2" s="1"/>
  <c r="AF833" i="2"/>
  <c r="AG726" i="2"/>
  <c r="Q358" i="2"/>
  <c r="L358" i="2" s="1"/>
  <c r="AF74" i="2"/>
  <c r="R747" i="2"/>
  <c r="N747" i="2" s="1"/>
  <c r="AG1146" i="2"/>
  <c r="Q892" i="2"/>
  <c r="L892" i="2" s="1"/>
  <c r="Q196" i="2"/>
  <c r="L196" i="2" s="1"/>
  <c r="AG7" i="2"/>
  <c r="R746" i="2"/>
  <c r="N746" i="2" s="1"/>
  <c r="W249" i="2"/>
  <c r="AL249" i="2" s="1"/>
  <c r="AM249" i="2" s="1"/>
  <c r="R776" i="2"/>
  <c r="N776" i="2" s="1"/>
  <c r="AF231" i="2"/>
  <c r="R41" i="2"/>
  <c r="N41" i="2" s="1"/>
  <c r="W295" i="2"/>
  <c r="AL295" i="2" s="1"/>
  <c r="AM295" i="2" s="1"/>
  <c r="W56" i="2"/>
  <c r="AL56" i="2" s="1"/>
  <c r="AM56" i="2" s="1"/>
  <c r="R1124" i="2"/>
  <c r="N1124" i="2" s="1"/>
  <c r="Z1124" i="2" s="1"/>
  <c r="AN1124" i="2" s="1"/>
  <c r="AO1124" i="2" s="1"/>
  <c r="AF864" i="2"/>
  <c r="AG458" i="2"/>
  <c r="W1184" i="2"/>
  <c r="AL1184" i="2" s="1"/>
  <c r="AM1184" i="2" s="1"/>
  <c r="AG912" i="2"/>
  <c r="AF295" i="2"/>
  <c r="R864" i="2"/>
  <c r="N864" i="2" s="1"/>
  <c r="AF592" i="2"/>
  <c r="W1054" i="2"/>
  <c r="AL1054" i="2" s="1"/>
  <c r="AM1054" i="2" s="1"/>
  <c r="AF401" i="2"/>
  <c r="W592" i="2"/>
  <c r="AL592" i="2" s="1"/>
  <c r="AM592" i="2" s="1"/>
  <c r="Q249" i="2"/>
  <c r="L249" i="2" s="1"/>
  <c r="R291" i="2"/>
  <c r="N291" i="2" s="1"/>
  <c r="W41" i="2"/>
  <c r="AL41" i="2" s="1"/>
  <c r="AM41" i="2" s="1"/>
  <c r="AF56" i="2"/>
  <c r="W143" i="2"/>
  <c r="AL143" i="2" s="1"/>
  <c r="AM143" i="2" s="1"/>
  <c r="AG358" i="2"/>
  <c r="AF121" i="2"/>
  <c r="R846" i="2"/>
  <c r="N846" i="2" s="1"/>
  <c r="W625" i="2"/>
  <c r="AL625" i="2" s="1"/>
  <c r="AM625" i="2" s="1"/>
  <c r="R367" i="2"/>
  <c r="N367" i="2" s="1"/>
  <c r="R396" i="2"/>
  <c r="N396" i="2" s="1"/>
  <c r="R690" i="2"/>
  <c r="N690" i="2" s="1"/>
  <c r="AF1146" i="2"/>
  <c r="W74" i="2"/>
  <c r="AL74" i="2" s="1"/>
  <c r="AM74" i="2" s="1"/>
  <c r="Q1184" i="2"/>
  <c r="L1184" i="2" s="1"/>
  <c r="W1221" i="2"/>
  <c r="AL1221" i="2" s="1"/>
  <c r="AM1221" i="2" s="1"/>
  <c r="AG1039" i="2"/>
  <c r="W726" i="2"/>
  <c r="AL726" i="2" s="1"/>
  <c r="AM726" i="2" s="1"/>
  <c r="AF726" i="2"/>
  <c r="AG249" i="2"/>
  <c r="AG575" i="2"/>
  <c r="W1173" i="2"/>
  <c r="AL1173" i="2" s="1"/>
  <c r="AM1173" i="2" s="1"/>
  <c r="Q575" i="2"/>
  <c r="L575" i="2" s="1"/>
  <c r="AF249" i="2"/>
  <c r="AF878" i="2"/>
  <c r="W367" i="2"/>
  <c r="AL367" i="2" s="1"/>
  <c r="AM367" i="2" s="1"/>
  <c r="AF268" i="2"/>
  <c r="AF1221" i="2"/>
  <c r="Q1146" i="2"/>
  <c r="L1146" i="2" s="1"/>
  <c r="AF1184" i="2"/>
  <c r="AF747" i="2"/>
  <c r="AF1079" i="2"/>
  <c r="R401" i="2"/>
  <c r="N401" i="2" s="1"/>
  <c r="Z401" i="2" s="1"/>
  <c r="AN401" i="2" s="1"/>
  <c r="AO401" i="2" s="1"/>
  <c r="Q826" i="2"/>
  <c r="L826" i="2" s="1"/>
  <c r="W256" i="2"/>
  <c r="AL256" i="2" s="1"/>
  <c r="AM256" i="2" s="1"/>
  <c r="AF536" i="2"/>
  <c r="AF50" i="2"/>
  <c r="Q738" i="2"/>
  <c r="L738" i="2" s="1"/>
  <c r="W671" i="2"/>
  <c r="AL671" i="2" s="1"/>
  <c r="AM671" i="2" s="1"/>
  <c r="AG1226" i="2"/>
  <c r="Q1011" i="2"/>
  <c r="L1011" i="2" s="1"/>
  <c r="Q758" i="2"/>
  <c r="L758" i="2" s="1"/>
  <c r="R1196" i="2"/>
  <c r="N1196" i="2" s="1"/>
  <c r="Q424" i="2"/>
  <c r="L424" i="2" s="1"/>
  <c r="AF573" i="2"/>
  <c r="W979" i="2"/>
  <c r="AL979" i="2" s="1"/>
  <c r="AM979" i="2" s="1"/>
  <c r="W774" i="2"/>
  <c r="AL774" i="2" s="1"/>
  <c r="AM774" i="2" s="1"/>
  <c r="R1089" i="2"/>
  <c r="N1089" i="2" s="1"/>
  <c r="AF923" i="2"/>
  <c r="W841" i="2"/>
  <c r="AL841" i="2" s="1"/>
  <c r="AM841" i="2" s="1"/>
  <c r="R193" i="2"/>
  <c r="N193" i="2" s="1"/>
  <c r="Q50" i="2"/>
  <c r="L50" i="2" s="1"/>
  <c r="W476" i="2"/>
  <c r="AL476" i="2" s="1"/>
  <c r="AM476" i="2" s="1"/>
  <c r="W1147" i="2"/>
  <c r="AL1147" i="2" s="1"/>
  <c r="AM1147" i="2" s="1"/>
  <c r="R841" i="2"/>
  <c r="N841" i="2" s="1"/>
  <c r="R452" i="2"/>
  <c r="N452" i="2" s="1"/>
  <c r="W626" i="2"/>
  <c r="AL626" i="2" s="1"/>
  <c r="AM626" i="2" s="1"/>
  <c r="AF152" i="2"/>
  <c r="AF1024" i="2"/>
  <c r="Q441" i="2"/>
  <c r="L441" i="2" s="1"/>
  <c r="AG639" i="2"/>
  <c r="Q1040" i="2"/>
  <c r="L1040" i="2" s="1"/>
  <c r="AG1132" i="2"/>
  <c r="W40" i="2"/>
  <c r="AL40" i="2" s="1"/>
  <c r="AM40" i="2" s="1"/>
  <c r="AF697" i="2"/>
  <c r="AG955" i="2"/>
  <c r="W1070" i="2"/>
  <c r="AL1070" i="2" s="1"/>
  <c r="AM1070" i="2" s="1"/>
  <c r="R548" i="2"/>
  <c r="N548" i="2" s="1"/>
  <c r="R562" i="2"/>
  <c r="N562" i="2" s="1"/>
  <c r="Z562" i="2" s="1"/>
  <c r="AN562" i="2" s="1"/>
  <c r="AO562" i="2" s="1"/>
  <c r="AF1070" i="2"/>
  <c r="Q639" i="2"/>
  <c r="L639" i="2" s="1"/>
  <c r="AG671" i="2"/>
  <c r="W217" i="2"/>
  <c r="AL217" i="2" s="1"/>
  <c r="AM217" i="2" s="1"/>
  <c r="W512" i="2"/>
  <c r="AL512" i="2" s="1"/>
  <c r="AM512" i="2" s="1"/>
  <c r="W1107" i="2"/>
  <c r="AL1107" i="2" s="1"/>
  <c r="AM1107" i="2" s="1"/>
  <c r="AG707" i="2"/>
  <c r="R800" i="2"/>
  <c r="N800" i="2" s="1"/>
  <c r="AF270" i="2"/>
  <c r="AG171" i="2"/>
  <c r="W923" i="2"/>
  <c r="AL923" i="2" s="1"/>
  <c r="AM923" i="2" s="1"/>
  <c r="AG1011" i="2"/>
  <c r="W282" i="2"/>
  <c r="AL282" i="2" s="1"/>
  <c r="AM282" i="2" s="1"/>
  <c r="AG476" i="2"/>
  <c r="AG156" i="2"/>
  <c r="R1116" i="2"/>
  <c r="N1116" i="2" s="1"/>
  <c r="AF512" i="2"/>
  <c r="AG366" i="2"/>
  <c r="Q1226" i="2"/>
  <c r="L1226" i="2" s="1"/>
  <c r="R340" i="2"/>
  <c r="N340" i="2" s="1"/>
  <c r="W135" i="2"/>
  <c r="AL135" i="2" s="1"/>
  <c r="AM135" i="2" s="1"/>
  <c r="W452" i="2"/>
  <c r="AL452" i="2" s="1"/>
  <c r="AM452" i="2" s="1"/>
  <c r="W77" i="2"/>
  <c r="AL77" i="2" s="1"/>
  <c r="AM77" i="2" s="1"/>
  <c r="AF1167" i="2"/>
  <c r="R1107" i="2"/>
  <c r="N1107" i="2" s="1"/>
  <c r="AG40" i="2"/>
  <c r="AG1070" i="2"/>
  <c r="AF282" i="2"/>
  <c r="R98" i="2"/>
  <c r="N98" i="2" s="1"/>
  <c r="W22" i="2"/>
  <c r="AL22" i="2" s="1"/>
  <c r="AM22" i="2" s="1"/>
  <c r="W562" i="2"/>
  <c r="AL562" i="2" s="1"/>
  <c r="AM562" i="2" s="1"/>
  <c r="Q871" i="2"/>
  <c r="L871" i="2" s="1"/>
  <c r="W119" i="2"/>
  <c r="AL119" i="2" s="1"/>
  <c r="AM119" i="2" s="1"/>
  <c r="W573" i="2"/>
  <c r="AL573" i="2" s="1"/>
  <c r="AM573" i="2" s="1"/>
  <c r="AF1187" i="2"/>
  <c r="Q1147" i="2"/>
  <c r="L1147" i="2" s="1"/>
  <c r="AF707" i="2"/>
  <c r="Q707" i="2"/>
  <c r="L707" i="2" s="1"/>
  <c r="Q409" i="2"/>
  <c r="L409" i="2" s="1"/>
  <c r="AF322" i="2"/>
  <c r="Q1055" i="2"/>
  <c r="L1055" i="2" s="1"/>
  <c r="R789" i="2"/>
  <c r="N789" i="2" s="1"/>
  <c r="AG409" i="2"/>
  <c r="R152" i="2"/>
  <c r="N152" i="2" s="1"/>
  <c r="Z152" i="2" s="1"/>
  <c r="AN152" i="2" s="1"/>
  <c r="AO152" i="2" s="1"/>
  <c r="W738" i="2"/>
  <c r="AL738" i="2" s="1"/>
  <c r="AM738" i="2" s="1"/>
  <c r="W707" i="2"/>
  <c r="AL707" i="2" s="1"/>
  <c r="AM707" i="2" s="1"/>
  <c r="AG1040" i="2"/>
  <c r="AG923" i="2"/>
  <c r="Q1024" i="2"/>
  <c r="L1024" i="2" s="1"/>
  <c r="W1209" i="2"/>
  <c r="AL1209" i="2" s="1"/>
  <c r="AM1209" i="2" s="1"/>
  <c r="R697" i="2"/>
  <c r="N697" i="2" s="1"/>
  <c r="R682" i="2"/>
  <c r="N682" i="2" s="1"/>
  <c r="R270" i="2"/>
  <c r="N270" i="2" s="1"/>
  <c r="AF487" i="2"/>
  <c r="W156" i="2"/>
  <c r="AL156" i="2" s="1"/>
  <c r="AM156" i="2" s="1"/>
  <c r="W50" i="2"/>
  <c r="AL50" i="2" s="1"/>
  <c r="AM50" i="2" s="1"/>
  <c r="AF256" i="2"/>
  <c r="AF452" i="2"/>
  <c r="AF40" i="2"/>
  <c r="Q955" i="2"/>
  <c r="L955" i="2" s="1"/>
  <c r="W857" i="2"/>
  <c r="AL857" i="2" s="1"/>
  <c r="AM857" i="2" s="1"/>
  <c r="R573" i="2"/>
  <c r="N573" i="2" s="1"/>
  <c r="AG256" i="2"/>
  <c r="AF738" i="2"/>
  <c r="AG394" i="2"/>
  <c r="W1024" i="2"/>
  <c r="AL1024" i="2" s="1"/>
  <c r="AM1024" i="2" s="1"/>
  <c r="AG119" i="2"/>
  <c r="R282" i="2"/>
  <c r="N282" i="2" s="1"/>
  <c r="AF77" i="2"/>
  <c r="W394" i="2"/>
  <c r="AL394" i="2" s="1"/>
  <c r="AM394" i="2" s="1"/>
  <c r="AF119" i="2"/>
  <c r="W270" i="2"/>
  <c r="AL270" i="2" s="1"/>
  <c r="AM270" i="2" s="1"/>
  <c r="AF22" i="2"/>
  <c r="AG826" i="2"/>
  <c r="AG722" i="2"/>
  <c r="Q394" i="2"/>
  <c r="L394" i="2" s="1"/>
  <c r="R77" i="2"/>
  <c r="N77" i="2" s="1"/>
  <c r="AF562" i="2"/>
  <c r="W937" i="2"/>
  <c r="AL937" i="2" s="1"/>
  <c r="AM937" i="2" s="1"/>
  <c r="W487" i="2"/>
  <c r="AL487" i="2" s="1"/>
  <c r="AM487" i="2" s="1"/>
  <c r="Q119" i="2"/>
  <c r="L119" i="2" s="1"/>
  <c r="Q512" i="2"/>
  <c r="L512" i="2" s="1"/>
  <c r="R774" i="2"/>
  <c r="N774" i="2" s="1"/>
  <c r="R11" i="2"/>
  <c r="N11" i="2" s="1"/>
  <c r="AG1209" i="2"/>
  <c r="Q156" i="2"/>
  <c r="L156" i="2" s="1"/>
  <c r="W98" i="2"/>
  <c r="AL98" i="2" s="1"/>
  <c r="AM98" i="2" s="1"/>
  <c r="AF1107" i="2"/>
  <c r="Q366" i="2"/>
  <c r="L366" i="2" s="1"/>
  <c r="AF841" i="2"/>
  <c r="AF409" i="2"/>
  <c r="W494" i="2"/>
  <c r="AL494" i="2" s="1"/>
  <c r="AM494" i="2" s="1"/>
  <c r="Q318" i="2"/>
  <c r="L318" i="2" s="1"/>
  <c r="AF232" i="2"/>
  <c r="AF937" i="2"/>
  <c r="Q135" i="2"/>
  <c r="L135" i="2" s="1"/>
  <c r="W1167" i="2"/>
  <c r="AL1167" i="2" s="1"/>
  <c r="AM1167" i="2" s="1"/>
  <c r="AF671" i="2"/>
  <c r="AG441" i="2"/>
  <c r="W322" i="2"/>
  <c r="AL322" i="2" s="1"/>
  <c r="AM322" i="2" s="1"/>
  <c r="AF626" i="2"/>
  <c r="AF243" i="2"/>
  <c r="Q722" i="2"/>
  <c r="L722" i="2" s="1"/>
  <c r="AG135" i="2"/>
  <c r="Q40" i="2"/>
  <c r="L40" i="2" s="1"/>
  <c r="W152" i="2"/>
  <c r="AL152" i="2" s="1"/>
  <c r="AM152" i="2" s="1"/>
  <c r="R536" i="2"/>
  <c r="N536" i="2" s="1"/>
  <c r="AG659" i="2"/>
  <c r="R494" i="2"/>
  <c r="N494" i="2" s="1"/>
  <c r="AG22" i="2"/>
  <c r="W340" i="2"/>
  <c r="AL340" i="2" s="1"/>
  <c r="AM340" i="2" s="1"/>
  <c r="AF156" i="2"/>
  <c r="AF494" i="2"/>
  <c r="Q379" i="2"/>
  <c r="L379" i="2" s="1"/>
  <c r="Q171" i="2"/>
  <c r="L171" i="2" s="1"/>
  <c r="AG424" i="2"/>
  <c r="AF979" i="2"/>
  <c r="AG512" i="2"/>
  <c r="R487" i="2"/>
  <c r="N487" i="2" s="1"/>
  <c r="Q1132" i="2"/>
  <c r="L1132" i="2" s="1"/>
  <c r="Q899" i="2"/>
  <c r="L899" i="2" s="1"/>
  <c r="Q476" i="2"/>
  <c r="L476" i="2" s="1"/>
  <c r="AF1011" i="2"/>
  <c r="AG1147" i="2"/>
  <c r="AF955" i="2"/>
  <c r="R322" i="2"/>
  <c r="N322" i="2" s="1"/>
  <c r="W536" i="2"/>
  <c r="AL536" i="2" s="1"/>
  <c r="AM536" i="2" s="1"/>
  <c r="R217" i="2"/>
  <c r="N217" i="2" s="1"/>
  <c r="W955" i="2"/>
  <c r="AL955" i="2" s="1"/>
  <c r="AM955" i="2" s="1"/>
  <c r="AF1089" i="2"/>
  <c r="AG758" i="2"/>
  <c r="AG626" i="2"/>
  <c r="AF857" i="2"/>
  <c r="Q923" i="2"/>
  <c r="L923" i="2" s="1"/>
  <c r="R1167" i="2"/>
  <c r="N1167" i="2" s="1"/>
  <c r="Z1167" i="2" s="1"/>
  <c r="AN1167" i="2" s="1"/>
  <c r="AO1167" i="2" s="1"/>
  <c r="R885" i="2"/>
  <c r="N885" i="2" s="1"/>
  <c r="AF476" i="2"/>
  <c r="W347" i="2"/>
  <c r="AL347" i="2" s="1"/>
  <c r="AM347" i="2" s="1"/>
  <c r="W548" i="2"/>
  <c r="AL548" i="2" s="1"/>
  <c r="AM548" i="2" s="1"/>
  <c r="AG979" i="2"/>
  <c r="W409" i="2"/>
  <c r="AL409" i="2" s="1"/>
  <c r="AM409" i="2" s="1"/>
  <c r="W1011" i="2"/>
  <c r="AL1011" i="2" s="1"/>
  <c r="AM1011" i="2" s="1"/>
  <c r="AG318" i="2"/>
  <c r="Q1070" i="2"/>
  <c r="L1070" i="2" s="1"/>
  <c r="R298" i="2"/>
  <c r="N298" i="2" s="1"/>
  <c r="W1089" i="2"/>
  <c r="AL1089" i="2" s="1"/>
  <c r="AM1089" i="2" s="1"/>
  <c r="R915" i="2"/>
  <c r="N915" i="2" s="1"/>
  <c r="AG738" i="2"/>
  <c r="Q979" i="2"/>
  <c r="L979" i="2" s="1"/>
  <c r="Q659" i="2"/>
  <c r="L659" i="2" s="1"/>
  <c r="AF1147" i="2"/>
  <c r="AF441" i="2"/>
  <c r="AF548" i="2"/>
  <c r="AG50" i="2"/>
  <c r="R989" i="2"/>
  <c r="N989" i="2" s="1"/>
  <c r="AG1024" i="2"/>
  <c r="Q256" i="2"/>
  <c r="L256" i="2" s="1"/>
  <c r="W697" i="2"/>
  <c r="AL697" i="2" s="1"/>
  <c r="AM697" i="2" s="1"/>
  <c r="AG1055" i="2"/>
  <c r="R1187" i="2"/>
  <c r="N1187" i="2" s="1"/>
  <c r="R595" i="2"/>
  <c r="N595" i="2" s="1"/>
  <c r="Q626" i="2"/>
  <c r="L626" i="2" s="1"/>
  <c r="AG899" i="2"/>
  <c r="R815" i="2"/>
  <c r="N815" i="2" s="1"/>
  <c r="AG379" i="2"/>
  <c r="W441" i="2"/>
  <c r="AL441" i="2" s="1"/>
  <c r="AM441" i="2" s="1"/>
  <c r="W1187" i="2"/>
  <c r="AL1187" i="2" s="1"/>
  <c r="AM1187" i="2" s="1"/>
  <c r="R347" i="2"/>
  <c r="N347" i="2" s="1"/>
  <c r="AF394" i="2"/>
  <c r="AF217" i="2"/>
  <c r="R528" i="2"/>
  <c r="N528" i="2" s="1"/>
  <c r="Q671" i="2"/>
  <c r="L671" i="2" s="1"/>
  <c r="AF347" i="2"/>
  <c r="W232" i="2"/>
  <c r="AL232" i="2" s="1"/>
  <c r="AM232" i="2" s="1"/>
  <c r="AF1209" i="2"/>
  <c r="R857" i="2"/>
  <c r="N857" i="2" s="1"/>
  <c r="AG871" i="2"/>
  <c r="R232" i="2"/>
  <c r="N232" i="2" s="1"/>
  <c r="AG243" i="2"/>
  <c r="R206" i="2"/>
  <c r="N206" i="2" s="1"/>
  <c r="R937" i="2"/>
  <c r="N937" i="2" s="1"/>
  <c r="AF135" i="2"/>
  <c r="Q22" i="2"/>
  <c r="L22" i="2" s="1"/>
  <c r="AF98" i="2"/>
  <c r="AF774" i="2"/>
  <c r="AF340" i="2"/>
  <c r="Q1209" i="2"/>
  <c r="L1209" i="2" s="1"/>
  <c r="W243" i="2"/>
  <c r="AL243" i="2" s="1"/>
  <c r="AM243" i="2" s="1"/>
  <c r="Q243" i="2"/>
  <c r="L243" i="2" s="1"/>
  <c r="AF386" i="2"/>
  <c r="R505" i="2"/>
  <c r="N505" i="2" s="1"/>
  <c r="Z505" i="2" s="1"/>
  <c r="AN505" i="2" s="1"/>
  <c r="AO505" i="2" s="1"/>
  <c r="AG571" i="2"/>
  <c r="R318" i="2"/>
  <c r="N318" i="2" s="1"/>
  <c r="AG931" i="2"/>
  <c r="AG92" i="2"/>
  <c r="AF760" i="2"/>
  <c r="AF590" i="2"/>
  <c r="AF477" i="2"/>
  <c r="Q1099" i="2"/>
  <c r="L1099" i="2" s="1"/>
  <c r="W1049" i="2"/>
  <c r="AL1049" i="2" s="1"/>
  <c r="AM1049" i="2" s="1"/>
  <c r="AF32" i="2"/>
  <c r="Q590" i="2"/>
  <c r="L590" i="2" s="1"/>
  <c r="Q640" i="2"/>
  <c r="L640" i="2" s="1"/>
  <c r="AG1159" i="2"/>
  <c r="AG1004" i="2"/>
  <c r="Q1159" i="2"/>
  <c r="L1159" i="2" s="1"/>
  <c r="W620" i="2"/>
  <c r="AL620" i="2" s="1"/>
  <c r="AM620" i="2" s="1"/>
  <c r="AG442" i="2"/>
  <c r="AG760" i="2"/>
  <c r="W1116" i="2"/>
  <c r="AL1116" i="2" s="1"/>
  <c r="AM1116" i="2" s="1"/>
  <c r="AF887" i="2"/>
  <c r="R549" i="2"/>
  <c r="N549" i="2" s="1"/>
  <c r="W346" i="2"/>
  <c r="AL346" i="2" s="1"/>
  <c r="AM346" i="2" s="1"/>
  <c r="Q426" i="2"/>
  <c r="L426" i="2" s="1"/>
  <c r="R358" i="2"/>
  <c r="N358" i="2" s="1"/>
  <c r="W1159" i="2"/>
  <c r="AL1159" i="2" s="1"/>
  <c r="AM1159" i="2" s="1"/>
  <c r="W140" i="2"/>
  <c r="AL140" i="2" s="1"/>
  <c r="AM140" i="2" s="1"/>
  <c r="Q164" i="2"/>
  <c r="L164" i="2" s="1"/>
  <c r="W459" i="2"/>
  <c r="AL459" i="2" s="1"/>
  <c r="AM459" i="2" s="1"/>
  <c r="W62" i="2"/>
  <c r="AL62" i="2" s="1"/>
  <c r="AM62" i="2" s="1"/>
  <c r="R851" i="2"/>
  <c r="N851" i="2" s="1"/>
  <c r="AF303" i="2"/>
  <c r="AG258" i="2"/>
  <c r="R477" i="2"/>
  <c r="N477" i="2" s="1"/>
  <c r="W505" i="2"/>
  <c r="AL505" i="2" s="1"/>
  <c r="AM505" i="2" s="1"/>
  <c r="W844" i="2"/>
  <c r="AL844" i="2" s="1"/>
  <c r="AM844" i="2" s="1"/>
  <c r="Q303" i="2"/>
  <c r="L303" i="2" s="1"/>
  <c r="W1150" i="2"/>
  <c r="AL1150" i="2" s="1"/>
  <c r="AM1150" i="2" s="1"/>
  <c r="W271" i="2"/>
  <c r="AL271" i="2" s="1"/>
  <c r="AM271" i="2" s="1"/>
  <c r="AF1150" i="2"/>
  <c r="AF258" i="2"/>
  <c r="Q931" i="2"/>
  <c r="L931" i="2" s="1"/>
  <c r="R1132" i="2"/>
  <c r="N1132" i="2" s="1"/>
  <c r="R732" i="2"/>
  <c r="N732" i="2" s="1"/>
  <c r="AF976" i="2"/>
  <c r="Q288" i="2"/>
  <c r="L288" i="2" s="1"/>
  <c r="R628" i="2"/>
  <c r="N628" i="2" s="1"/>
  <c r="Z628" i="2" s="1"/>
  <c r="AN628" i="2" s="1"/>
  <c r="AO628" i="2" s="1"/>
  <c r="AF62" i="2"/>
  <c r="AG1150" i="2"/>
  <c r="AG660" i="2"/>
  <c r="AF844" i="2"/>
  <c r="W288" i="2"/>
  <c r="AL288" i="2" s="1"/>
  <c r="AM288" i="2" s="1"/>
  <c r="AG1176" i="2"/>
  <c r="W500" i="2"/>
  <c r="AL500" i="2" s="1"/>
  <c r="AM500" i="2" s="1"/>
  <c r="AG521" i="2"/>
  <c r="W1087" i="2"/>
  <c r="AL1087" i="2" s="1"/>
  <c r="AM1087" i="2" s="1"/>
  <c r="AG887" i="2"/>
  <c r="Q1227" i="2"/>
  <c r="L1227" i="2" s="1"/>
  <c r="AF459" i="2"/>
  <c r="AF1185" i="2"/>
  <c r="AF851" i="2"/>
  <c r="Q62" i="2"/>
  <c r="L62" i="2" s="1"/>
  <c r="R1049" i="2"/>
  <c r="N1049" i="2" s="1"/>
  <c r="W818" i="2"/>
  <c r="AL818" i="2" s="1"/>
  <c r="AM818" i="2" s="1"/>
  <c r="R976" i="2"/>
  <c r="N976" i="2" s="1"/>
  <c r="Q459" i="2"/>
  <c r="L459" i="2" s="1"/>
  <c r="AG805" i="2"/>
  <c r="R241" i="2"/>
  <c r="N241" i="2" s="1"/>
  <c r="Q32" i="2"/>
  <c r="L32" i="2" s="1"/>
  <c r="AG459" i="2"/>
  <c r="AF1087" i="2"/>
  <c r="W358" i="2"/>
  <c r="AL358" i="2" s="1"/>
  <c r="AM358" i="2" s="1"/>
  <c r="Q112" i="2"/>
  <c r="L112" i="2" s="1"/>
  <c r="Q760" i="2"/>
  <c r="L760" i="2" s="1"/>
  <c r="R122" i="2"/>
  <c r="N122" i="2" s="1"/>
  <c r="Z122" i="2" s="1"/>
  <c r="AN122" i="2" s="1"/>
  <c r="AO122" i="2" s="1"/>
  <c r="AG1227" i="2"/>
  <c r="R500" i="2"/>
  <c r="N500" i="2" s="1"/>
  <c r="W1099" i="2"/>
  <c r="AL1099" i="2" s="1"/>
  <c r="AM1099" i="2" s="1"/>
  <c r="AF1099" i="2"/>
  <c r="AG112" i="2"/>
  <c r="AG32" i="2"/>
  <c r="W931" i="2"/>
  <c r="AL931" i="2" s="1"/>
  <c r="AM931" i="2" s="1"/>
  <c r="Q234" i="2"/>
  <c r="L234" i="2" s="1"/>
  <c r="R613" i="2"/>
  <c r="N613" i="2" s="1"/>
  <c r="Z613" i="2" s="1"/>
  <c r="AN613" i="2" s="1"/>
  <c r="AO613" i="2" s="1"/>
  <c r="Q442" i="2"/>
  <c r="L442" i="2" s="1"/>
  <c r="R386" i="2"/>
  <c r="N386" i="2" s="1"/>
  <c r="Z386" i="2" s="1"/>
  <c r="AN386" i="2" s="1"/>
  <c r="AO386" i="2" s="1"/>
  <c r="W1201" i="2"/>
  <c r="AL1201" i="2" s="1"/>
  <c r="AM1201" i="2" s="1"/>
  <c r="AF358" i="2"/>
  <c r="R670" i="2"/>
  <c r="N670" i="2" s="1"/>
  <c r="AG197" i="2"/>
  <c r="Q1004" i="2"/>
  <c r="L1004" i="2" s="1"/>
  <c r="R943" i="2"/>
  <c r="N943" i="2" s="1"/>
  <c r="AF271" i="2"/>
  <c r="W590" i="2"/>
  <c r="AL590" i="2" s="1"/>
  <c r="AM590" i="2" s="1"/>
  <c r="R556" i="2"/>
  <c r="N556" i="2" s="1"/>
  <c r="W197" i="2"/>
  <c r="AL197" i="2" s="1"/>
  <c r="AM197" i="2" s="1"/>
  <c r="AF329" i="2"/>
  <c r="AF712" i="2"/>
  <c r="W976" i="2"/>
  <c r="AL976" i="2" s="1"/>
  <c r="AM976" i="2" s="1"/>
  <c r="W318" i="2"/>
  <c r="AL318" i="2" s="1"/>
  <c r="AM318" i="2" s="1"/>
  <c r="AF931" i="2"/>
  <c r="Q620" i="2"/>
  <c r="L620" i="2" s="1"/>
  <c r="AG534" i="2"/>
  <c r="W48" i="2"/>
  <c r="AL48" i="2" s="1"/>
  <c r="AM48" i="2" s="1"/>
  <c r="W851" i="2"/>
  <c r="AL851" i="2" s="1"/>
  <c r="AM851" i="2" s="1"/>
  <c r="Q872" i="2"/>
  <c r="L872" i="2" s="1"/>
  <c r="AF505" i="2"/>
  <c r="Q660" i="2"/>
  <c r="L660" i="2" s="1"/>
  <c r="R402" i="2"/>
  <c r="N402" i="2" s="1"/>
  <c r="R585" i="2"/>
  <c r="N585" i="2" s="1"/>
  <c r="AF701" i="2"/>
  <c r="AG212" i="2"/>
  <c r="R956" i="2"/>
  <c r="N956" i="2" s="1"/>
  <c r="W805" i="2"/>
  <c r="AL805" i="2" s="1"/>
  <c r="AM805" i="2" s="1"/>
  <c r="W402" i="2"/>
  <c r="AL402" i="2" s="1"/>
  <c r="AM402" i="2" s="1"/>
  <c r="AF613" i="2"/>
  <c r="Q701" i="2"/>
  <c r="L701" i="2" s="1"/>
  <c r="Q805" i="2"/>
  <c r="L805" i="2" s="1"/>
  <c r="AG590" i="2"/>
  <c r="R2" i="2"/>
  <c r="N2" i="2" s="1"/>
  <c r="W887" i="2"/>
  <c r="AL887" i="2" s="1"/>
  <c r="AM887" i="2" s="1"/>
  <c r="W258" i="2"/>
  <c r="AL258" i="2" s="1"/>
  <c r="AM258" i="2" s="1"/>
  <c r="AF346" i="2"/>
  <c r="Q887" i="2"/>
  <c r="L887" i="2" s="1"/>
  <c r="AG303" i="2"/>
  <c r="W234" i="2"/>
  <c r="AL234" i="2" s="1"/>
  <c r="AM234" i="2" s="1"/>
  <c r="Q1201" i="2"/>
  <c r="L1201" i="2" s="1"/>
  <c r="AG792" i="2"/>
  <c r="R1087" i="2"/>
  <c r="N1087" i="2" s="1"/>
  <c r="Z1087" i="2" s="1"/>
  <c r="AN1087" i="2" s="1"/>
  <c r="AO1087" i="2" s="1"/>
  <c r="AF1159" i="2"/>
  <c r="AF571" i="2"/>
  <c r="W92" i="2"/>
  <c r="AL92" i="2" s="1"/>
  <c r="AM92" i="2" s="1"/>
  <c r="Q212" i="2"/>
  <c r="L212" i="2" s="1"/>
  <c r="AF72" i="2"/>
  <c r="AF1201" i="2"/>
  <c r="AF197" i="2"/>
  <c r="AF234" i="2"/>
  <c r="W32" i="2"/>
  <c r="AL32" i="2" s="1"/>
  <c r="AM32" i="2" s="1"/>
  <c r="Q151" i="2"/>
  <c r="L151" i="2" s="1"/>
  <c r="Q534" i="2"/>
  <c r="L534" i="2" s="1"/>
  <c r="AG151" i="2"/>
  <c r="AG640" i="2"/>
  <c r="W712" i="2"/>
  <c r="AL712" i="2" s="1"/>
  <c r="AM712" i="2" s="1"/>
  <c r="AG62" i="2"/>
  <c r="W303" i="2"/>
  <c r="AL303" i="2" s="1"/>
  <c r="AM303" i="2" s="1"/>
  <c r="AF500" i="2"/>
  <c r="R373" i="2"/>
  <c r="N373" i="2" s="1"/>
  <c r="R712" i="2"/>
  <c r="N712" i="2" s="1"/>
  <c r="Z712" i="2" s="1"/>
  <c r="AN712" i="2" s="1"/>
  <c r="AO712" i="2" s="1"/>
  <c r="Q776" i="2"/>
  <c r="L776" i="2" s="1"/>
  <c r="AG818" i="2"/>
  <c r="AF48" i="2"/>
  <c r="W2" i="2"/>
  <c r="AL2" i="2" s="1"/>
  <c r="AM2" i="2" s="1"/>
  <c r="W477" i="2"/>
  <c r="AL477" i="2" s="1"/>
  <c r="AM477" i="2" s="1"/>
  <c r="AG620" i="2"/>
  <c r="W760" i="2"/>
  <c r="AL760" i="2" s="1"/>
  <c r="AM760" i="2" s="1"/>
  <c r="AG426" i="2"/>
  <c r="W701" i="2"/>
  <c r="AL701" i="2" s="1"/>
  <c r="AM701" i="2" s="1"/>
  <c r="AF122" i="2"/>
  <c r="R346" i="2"/>
  <c r="N346" i="2" s="1"/>
  <c r="W1066" i="2"/>
  <c r="AL1066" i="2" s="1"/>
  <c r="AM1066" i="2" s="1"/>
  <c r="AG872" i="2"/>
  <c r="AF1049" i="2"/>
  <c r="R72" i="2"/>
  <c r="N72" i="2" s="1"/>
  <c r="Z72" i="2" s="1"/>
  <c r="AN72" i="2" s="1"/>
  <c r="AO72" i="2" s="1"/>
  <c r="Q1116" i="2"/>
  <c r="L1116" i="2" s="1"/>
  <c r="AG1116" i="2"/>
  <c r="R844" i="2"/>
  <c r="N844" i="2" s="1"/>
  <c r="Z844" i="2" s="1"/>
  <c r="AN844" i="2" s="1"/>
  <c r="AO844" i="2" s="1"/>
  <c r="W628" i="2"/>
  <c r="AL628" i="2" s="1"/>
  <c r="AM628" i="2" s="1"/>
  <c r="W571" i="2"/>
  <c r="AL571" i="2" s="1"/>
  <c r="AM571" i="2" s="1"/>
  <c r="R686" i="2"/>
  <c r="N686" i="2" s="1"/>
  <c r="W1185" i="2"/>
  <c r="AL1185" i="2" s="1"/>
  <c r="AM1185" i="2" s="1"/>
  <c r="W792" i="2"/>
  <c r="AL792" i="2" s="1"/>
  <c r="AM792" i="2" s="1"/>
  <c r="AF805" i="2"/>
  <c r="AG701" i="2"/>
  <c r="Q258" i="2"/>
  <c r="L258" i="2" s="1"/>
  <c r="Q329" i="2"/>
  <c r="L329" i="2" s="1"/>
  <c r="Q792" i="2"/>
  <c r="L792" i="2" s="1"/>
  <c r="AG1201" i="2"/>
  <c r="Q1150" i="2"/>
  <c r="L1150" i="2" s="1"/>
  <c r="Q521" i="2"/>
  <c r="L521" i="2" s="1"/>
  <c r="AF92" i="2"/>
  <c r="W386" i="2"/>
  <c r="AL386" i="2" s="1"/>
  <c r="AM386" i="2" s="1"/>
  <c r="Q1176" i="2"/>
  <c r="L1176" i="2" s="1"/>
  <c r="AF620" i="2"/>
  <c r="R902" i="2"/>
  <c r="N902" i="2" s="1"/>
  <c r="AF776" i="2"/>
  <c r="AF792" i="2"/>
  <c r="AF1116" i="2"/>
  <c r="AG1019" i="2"/>
  <c r="R987" i="2"/>
  <c r="N987" i="2" s="1"/>
  <c r="AG164" i="2"/>
  <c r="W1132" i="2"/>
  <c r="AL1132" i="2" s="1"/>
  <c r="AM1132" i="2" s="1"/>
  <c r="W241" i="2"/>
  <c r="AL241" i="2" s="1"/>
  <c r="AM241" i="2" s="1"/>
  <c r="W329" i="2"/>
  <c r="AL329" i="2" s="1"/>
  <c r="AM329" i="2" s="1"/>
  <c r="AF288" i="2"/>
  <c r="AG288" i="2"/>
  <c r="Q1019" i="2"/>
  <c r="L1019" i="2" s="1"/>
  <c r="AF241" i="2"/>
  <c r="AG234" i="2"/>
  <c r="AF818" i="2"/>
  <c r="R174" i="2"/>
  <c r="N174" i="2" s="1"/>
  <c r="R1071" i="2"/>
  <c r="N1071" i="2" s="1"/>
  <c r="Q571" i="2"/>
  <c r="L571" i="2" s="1"/>
  <c r="AF628" i="2"/>
  <c r="Q818" i="2"/>
  <c r="L818" i="2" s="1"/>
  <c r="AF1066" i="2"/>
  <c r="R140" i="2"/>
  <c r="N140" i="2" s="1"/>
  <c r="Q197" i="2"/>
  <c r="L197" i="2" s="1"/>
  <c r="AG329" i="2"/>
  <c r="W164" i="2"/>
  <c r="AL164" i="2" s="1"/>
  <c r="AM164" i="2" s="1"/>
  <c r="AF1132" i="2"/>
  <c r="AF318" i="2"/>
  <c r="AF140" i="2"/>
  <c r="AF2" i="2"/>
  <c r="AG1099" i="2"/>
  <c r="R1066" i="2"/>
  <c r="N1066" i="2" s="1"/>
  <c r="W72" i="2"/>
  <c r="AL72" i="2" s="1"/>
  <c r="AM72" i="2" s="1"/>
  <c r="W776" i="2"/>
  <c r="AL776" i="2" s="1"/>
  <c r="AM776" i="2" s="1"/>
  <c r="R730" i="2"/>
  <c r="N730" i="2" s="1"/>
  <c r="AG776" i="2"/>
  <c r="W122" i="2"/>
  <c r="AL122" i="2" s="1"/>
  <c r="AM122" i="2" s="1"/>
  <c r="R271" i="2"/>
  <c r="N271" i="2" s="1"/>
  <c r="AF164" i="2"/>
  <c r="AF402" i="2"/>
  <c r="R916" i="2"/>
  <c r="N916" i="2" s="1"/>
  <c r="Q92" i="2"/>
  <c r="L92" i="2" s="1"/>
  <c r="W613" i="2"/>
  <c r="AL613" i="2" s="1"/>
  <c r="AM613" i="2" s="1"/>
  <c r="R1185" i="2"/>
  <c r="N1185" i="2" s="1"/>
  <c r="Z1185" i="2" s="1"/>
  <c r="AN1185" i="2" s="1"/>
  <c r="AO1185" i="2" s="1"/>
  <c r="R48" i="2"/>
  <c r="N48" i="2" s="1"/>
  <c r="Z48" i="2" s="1"/>
  <c r="AN48" i="2" s="1"/>
  <c r="AO48" i="2" s="1"/>
  <c r="Q387" i="2"/>
  <c r="L387" i="2" s="1"/>
  <c r="W368" i="2"/>
  <c r="AL368" i="2" s="1"/>
  <c r="AM368" i="2" s="1"/>
  <c r="Q913" i="2"/>
  <c r="L913" i="2" s="1"/>
  <c r="AF189" i="2"/>
  <c r="R356" i="2"/>
  <c r="N356" i="2" s="1"/>
  <c r="R52" i="2"/>
  <c r="N52" i="2" s="1"/>
  <c r="Q520" i="2"/>
  <c r="L520" i="2" s="1"/>
  <c r="Q879" i="2"/>
  <c r="L879" i="2" s="1"/>
  <c r="AF120" i="2"/>
  <c r="R813" i="2"/>
  <c r="N813" i="2" s="1"/>
  <c r="Q862" i="2"/>
  <c r="L862" i="2" s="1"/>
  <c r="R432" i="2"/>
  <c r="N432" i="2" s="1"/>
  <c r="Z432" i="2" s="1"/>
  <c r="AN432" i="2" s="1"/>
  <c r="AO432" i="2" s="1"/>
  <c r="AG971" i="2"/>
  <c r="W672" i="2"/>
  <c r="AL672" i="2" s="1"/>
  <c r="AM672" i="2" s="1"/>
  <c r="W520" i="2"/>
  <c r="AL520" i="2" s="1"/>
  <c r="AM520" i="2" s="1"/>
  <c r="AF1023" i="2"/>
  <c r="AF900" i="2"/>
  <c r="AF789" i="2"/>
  <c r="W189" i="2"/>
  <c r="AL189" i="2" s="1"/>
  <c r="AM189" i="2" s="1"/>
  <c r="W884" i="2"/>
  <c r="AL884" i="2" s="1"/>
  <c r="AM884" i="2" s="1"/>
  <c r="W503" i="2"/>
  <c r="AL503" i="2" s="1"/>
  <c r="AM503" i="2" s="1"/>
  <c r="W632" i="2"/>
  <c r="AL632" i="2" s="1"/>
  <c r="AM632" i="2" s="1"/>
  <c r="AG263" i="2"/>
  <c r="R1193" i="2"/>
  <c r="N1193" i="2" s="1"/>
  <c r="AG136" i="2"/>
  <c r="AG1097" i="2"/>
  <c r="W1065" i="2"/>
  <c r="AL1065" i="2" s="1"/>
  <c r="AM1065" i="2" s="1"/>
  <c r="Q900" i="2"/>
  <c r="L900" i="2" s="1"/>
  <c r="AF708" i="2"/>
  <c r="W83" i="2"/>
  <c r="AL83" i="2" s="1"/>
  <c r="AM83" i="2" s="1"/>
  <c r="Q688" i="2"/>
  <c r="L688" i="2" s="1"/>
  <c r="Q1210" i="2"/>
  <c r="L1210" i="2" s="1"/>
  <c r="AG296" i="2"/>
  <c r="AG328" i="2"/>
  <c r="Q68" i="2"/>
  <c r="L68" i="2" s="1"/>
  <c r="AG688" i="2"/>
  <c r="AG672" i="2"/>
  <c r="AF1033" i="2"/>
  <c r="W1106" i="2"/>
  <c r="AL1106" i="2" s="1"/>
  <c r="AM1106" i="2" s="1"/>
  <c r="Q343" i="2"/>
  <c r="L343" i="2" s="1"/>
  <c r="AF432" i="2"/>
  <c r="R884" i="2"/>
  <c r="N884" i="2" s="1"/>
  <c r="Z884" i="2" s="1"/>
  <c r="AN884" i="2" s="1"/>
  <c r="AO884" i="2" s="1"/>
  <c r="AF1065" i="2"/>
  <c r="AF159" i="2"/>
  <c r="Q204" i="2"/>
  <c r="L204" i="2" s="1"/>
  <c r="AG204" i="2"/>
  <c r="R632" i="2"/>
  <c r="N632" i="2" s="1"/>
  <c r="AF391" i="2"/>
  <c r="Q312" i="2"/>
  <c r="L312" i="2" s="1"/>
  <c r="Q956" i="2"/>
  <c r="L956" i="2" s="1"/>
  <c r="Q1097" i="2"/>
  <c r="L1097" i="2" s="1"/>
  <c r="W312" i="2"/>
  <c r="AL312" i="2" s="1"/>
  <c r="AM312" i="2" s="1"/>
  <c r="AG1148" i="2"/>
  <c r="Q9" i="2"/>
  <c r="L9" i="2" s="1"/>
  <c r="R89" i="2"/>
  <c r="N89" i="2" s="1"/>
  <c r="AG9" i="2"/>
  <c r="AF862" i="2"/>
  <c r="AF387" i="2"/>
  <c r="W742" i="2"/>
  <c r="AL742" i="2" s="1"/>
  <c r="AM742" i="2" s="1"/>
  <c r="R159" i="2"/>
  <c r="N159" i="2" s="1"/>
  <c r="Z159" i="2" s="1"/>
  <c r="AN159" i="2" s="1"/>
  <c r="AO159" i="2" s="1"/>
  <c r="W1112" i="2"/>
  <c r="AL1112" i="2" s="1"/>
  <c r="AM1112" i="2" s="1"/>
  <c r="AG425" i="2"/>
  <c r="W1033" i="2"/>
  <c r="AL1033" i="2" s="1"/>
  <c r="AM1033" i="2" s="1"/>
  <c r="AG879" i="2"/>
  <c r="R749" i="2"/>
  <c r="N749" i="2" s="1"/>
  <c r="AG789" i="2"/>
  <c r="W263" i="2"/>
  <c r="AL263" i="2" s="1"/>
  <c r="AM263" i="2" s="1"/>
  <c r="W387" i="2"/>
  <c r="AL387" i="2" s="1"/>
  <c r="AM387" i="2" s="1"/>
  <c r="W343" i="2"/>
  <c r="AL343" i="2" s="1"/>
  <c r="AM343" i="2" s="1"/>
  <c r="AG387" i="2"/>
  <c r="AF1210" i="2"/>
  <c r="W595" i="2"/>
  <c r="AL595" i="2" s="1"/>
  <c r="AM595" i="2" s="1"/>
  <c r="W1023" i="2"/>
  <c r="AL1023" i="2" s="1"/>
  <c r="AM1023" i="2" s="1"/>
  <c r="Q425" i="2"/>
  <c r="L425" i="2" s="1"/>
  <c r="Q136" i="2"/>
  <c r="L136" i="2" s="1"/>
  <c r="AF672" i="2"/>
  <c r="Q971" i="2"/>
  <c r="L971" i="2" s="1"/>
  <c r="AF749" i="2"/>
  <c r="Q450" i="2"/>
  <c r="L450" i="2" s="1"/>
  <c r="R534" i="2"/>
  <c r="N534" i="2" s="1"/>
  <c r="Z534" i="2" s="1"/>
  <c r="AN534" i="2" s="1"/>
  <c r="AO534" i="2" s="1"/>
  <c r="W1133" i="2"/>
  <c r="AL1133" i="2" s="1"/>
  <c r="AM1133" i="2" s="1"/>
  <c r="W1010" i="2"/>
  <c r="AL1010" i="2" s="1"/>
  <c r="AM1010" i="2" s="1"/>
  <c r="AF534" i="2"/>
  <c r="AF9" i="2"/>
  <c r="W36" i="2"/>
  <c r="AL36" i="2" s="1"/>
  <c r="AM36" i="2" s="1"/>
  <c r="AF1010" i="2"/>
  <c r="AG31" i="2"/>
  <c r="W1160" i="2"/>
  <c r="AL1160" i="2" s="1"/>
  <c r="AM1160" i="2" s="1"/>
  <c r="R1160" i="2"/>
  <c r="N1160" i="2" s="1"/>
  <c r="AG956" i="2"/>
  <c r="AF1218" i="2"/>
  <c r="AG68" i="2"/>
  <c r="AF425" i="2"/>
  <c r="R480" i="2"/>
  <c r="N480" i="2" s="1"/>
  <c r="Q789" i="2"/>
  <c r="L789" i="2" s="1"/>
  <c r="W607" i="2"/>
  <c r="AL607" i="2" s="1"/>
  <c r="AM607" i="2" s="1"/>
  <c r="Q708" i="2"/>
  <c r="L708" i="2" s="1"/>
  <c r="AF659" i="2"/>
  <c r="AG980" i="2"/>
  <c r="Q672" i="2"/>
  <c r="L672" i="2" s="1"/>
  <c r="W708" i="2"/>
  <c r="AL708" i="2" s="1"/>
  <c r="AM708" i="2" s="1"/>
  <c r="Q328" i="2"/>
  <c r="L328" i="2" s="1"/>
  <c r="Q565" i="2"/>
  <c r="L565" i="2" s="1"/>
  <c r="Q233" i="2"/>
  <c r="L233" i="2" s="1"/>
  <c r="AF503" i="2"/>
  <c r="AF499" i="2"/>
  <c r="R1065" i="2"/>
  <c r="N1065" i="2" s="1"/>
  <c r="AF480" i="2"/>
  <c r="R761" i="2"/>
  <c r="N761" i="2" s="1"/>
  <c r="W749" i="2"/>
  <c r="AL749" i="2" s="1"/>
  <c r="AM749" i="2" s="1"/>
  <c r="W432" i="2"/>
  <c r="AL432" i="2" s="1"/>
  <c r="AM432" i="2" s="1"/>
  <c r="AF1097" i="2"/>
  <c r="Q1133" i="2"/>
  <c r="L1133" i="2" s="1"/>
  <c r="AF1080" i="2"/>
  <c r="AF520" i="2"/>
  <c r="AG312" i="2"/>
  <c r="R503" i="2"/>
  <c r="N503" i="2" s="1"/>
  <c r="Z503" i="2" s="1"/>
  <c r="AN503" i="2" s="1"/>
  <c r="AO503" i="2" s="1"/>
  <c r="AF704" i="2"/>
  <c r="R36" i="2"/>
  <c r="N36" i="2" s="1"/>
  <c r="R250" i="2"/>
  <c r="N250" i="2" s="1"/>
  <c r="AG862" i="2"/>
  <c r="W704" i="2"/>
  <c r="AL704" i="2" s="1"/>
  <c r="AM704" i="2" s="1"/>
  <c r="Q1080" i="2"/>
  <c r="L1080" i="2" s="1"/>
  <c r="AG343" i="2"/>
  <c r="Q549" i="2"/>
  <c r="L549" i="2" s="1"/>
  <c r="AG1210" i="2"/>
  <c r="Q31" i="2"/>
  <c r="L31" i="2" s="1"/>
  <c r="AF924" i="2"/>
  <c r="AG913" i="2"/>
  <c r="R171" i="2"/>
  <c r="N171" i="2" s="1"/>
  <c r="R742" i="2"/>
  <c r="N742" i="2" s="1"/>
  <c r="Q619" i="2"/>
  <c r="L619" i="2" s="1"/>
  <c r="AG83" i="2"/>
  <c r="AF1160" i="2"/>
  <c r="W1080" i="2"/>
  <c r="AL1080" i="2" s="1"/>
  <c r="AM1080" i="2" s="1"/>
  <c r="R1010" i="2"/>
  <c r="N1010" i="2" s="1"/>
  <c r="Z1010" i="2" s="1"/>
  <c r="AN1010" i="2" s="1"/>
  <c r="AO1010" i="2" s="1"/>
  <c r="AF1133" i="2"/>
  <c r="W480" i="2"/>
  <c r="AL480" i="2" s="1"/>
  <c r="AM480" i="2" s="1"/>
  <c r="R704" i="2"/>
  <c r="N704" i="2" s="1"/>
  <c r="W577" i="2"/>
  <c r="AL577" i="2" s="1"/>
  <c r="AM577" i="2" s="1"/>
  <c r="AF136" i="2"/>
  <c r="W980" i="2"/>
  <c r="AL980" i="2" s="1"/>
  <c r="AM980" i="2" s="1"/>
  <c r="AF827" i="2"/>
  <c r="W52" i="2"/>
  <c r="AL52" i="2" s="1"/>
  <c r="AM52" i="2" s="1"/>
  <c r="AG565" i="2"/>
  <c r="AF263" i="2"/>
  <c r="W803" i="2"/>
  <c r="AL803" i="2" s="1"/>
  <c r="AM803" i="2" s="1"/>
  <c r="W499" i="2"/>
  <c r="AL499" i="2" s="1"/>
  <c r="AM499" i="2" s="1"/>
  <c r="AG1133" i="2"/>
  <c r="AF1106" i="2"/>
  <c r="AF233" i="2"/>
  <c r="AF549" i="2"/>
  <c r="W956" i="2"/>
  <c r="AL956" i="2" s="1"/>
  <c r="AM956" i="2" s="1"/>
  <c r="AF577" i="2"/>
  <c r="W159" i="2"/>
  <c r="AL159" i="2" s="1"/>
  <c r="AM159" i="2" s="1"/>
  <c r="Q83" i="2"/>
  <c r="L83" i="2" s="1"/>
  <c r="W1097" i="2"/>
  <c r="AL1097" i="2" s="1"/>
  <c r="AM1097" i="2" s="1"/>
  <c r="AF343" i="2"/>
  <c r="W827" i="2"/>
  <c r="AL827" i="2" s="1"/>
  <c r="AM827" i="2" s="1"/>
  <c r="AG120" i="2"/>
  <c r="W862" i="2"/>
  <c r="AL862" i="2" s="1"/>
  <c r="AM862" i="2" s="1"/>
  <c r="AF83" i="2"/>
  <c r="Q120" i="2"/>
  <c r="L120" i="2" s="1"/>
  <c r="AG1080" i="2"/>
  <c r="AF52" i="2"/>
  <c r="W900" i="2"/>
  <c r="AL900" i="2" s="1"/>
  <c r="AM900" i="2" s="1"/>
  <c r="W549" i="2"/>
  <c r="AL549" i="2" s="1"/>
  <c r="AM549" i="2" s="1"/>
  <c r="Q1148" i="2"/>
  <c r="L1148" i="2" s="1"/>
  <c r="R659" i="2"/>
  <c r="N659" i="2" s="1"/>
  <c r="R1218" i="2"/>
  <c r="N1218" i="2" s="1"/>
  <c r="AF368" i="2"/>
  <c r="W994" i="2"/>
  <c r="AL994" i="2" s="1"/>
  <c r="AM994" i="2" s="1"/>
  <c r="AF742" i="2"/>
  <c r="AG924" i="2"/>
  <c r="W659" i="2"/>
  <c r="AL659" i="2" s="1"/>
  <c r="AM659" i="2" s="1"/>
  <c r="AF312" i="2"/>
  <c r="AF632" i="2"/>
  <c r="R1175" i="2"/>
  <c r="N1175" i="2" s="1"/>
  <c r="AG520" i="2"/>
  <c r="R577" i="2"/>
  <c r="N577" i="2" s="1"/>
  <c r="AG827" i="2"/>
  <c r="AG233" i="2"/>
  <c r="Q803" i="2"/>
  <c r="L803" i="2" s="1"/>
  <c r="AF884" i="2"/>
  <c r="AG619" i="2"/>
  <c r="R1058" i="2"/>
  <c r="N1058" i="2" s="1"/>
  <c r="Q296" i="2"/>
  <c r="L296" i="2" s="1"/>
  <c r="R368" i="2"/>
  <c r="N368" i="2" s="1"/>
  <c r="AG189" i="2"/>
  <c r="W233" i="2"/>
  <c r="AL233" i="2" s="1"/>
  <c r="AM233" i="2" s="1"/>
  <c r="AG549" i="2"/>
  <c r="W924" i="2"/>
  <c r="AL924" i="2" s="1"/>
  <c r="AM924" i="2" s="1"/>
  <c r="R1033" i="2"/>
  <c r="N1033" i="2" s="1"/>
  <c r="W425" i="2"/>
  <c r="AL425" i="2" s="1"/>
  <c r="AM425" i="2" s="1"/>
  <c r="Q595" i="2"/>
  <c r="L595" i="2" s="1"/>
  <c r="W120" i="2"/>
  <c r="AL120" i="2" s="1"/>
  <c r="AM120" i="2" s="1"/>
  <c r="Q827" i="2"/>
  <c r="L827" i="2" s="1"/>
  <c r="W9" i="2"/>
  <c r="AL9" i="2" s="1"/>
  <c r="AM9" i="2" s="1"/>
  <c r="W391" i="2"/>
  <c r="AL391" i="2" s="1"/>
  <c r="AM391" i="2" s="1"/>
  <c r="AF1112" i="2"/>
  <c r="AF171" i="2"/>
  <c r="R1023" i="2"/>
  <c r="N1023" i="2" s="1"/>
  <c r="W171" i="2"/>
  <c r="AL171" i="2" s="1"/>
  <c r="AM171" i="2" s="1"/>
  <c r="AF980" i="2"/>
  <c r="AG450" i="2"/>
  <c r="R836" i="2"/>
  <c r="N836" i="2" s="1"/>
  <c r="AF607" i="2"/>
  <c r="R944" i="2"/>
  <c r="N944" i="2" s="1"/>
  <c r="AG708" i="2"/>
  <c r="W1218" i="2"/>
  <c r="AL1218" i="2" s="1"/>
  <c r="AM1218" i="2" s="1"/>
  <c r="R994" i="2"/>
  <c r="N994" i="2" s="1"/>
  <c r="Z994" i="2" s="1"/>
  <c r="AN994" i="2" s="1"/>
  <c r="AO994" i="2" s="1"/>
  <c r="AF803" i="2"/>
  <c r="W913" i="2"/>
  <c r="AL913" i="2" s="1"/>
  <c r="AM913" i="2" s="1"/>
  <c r="W789" i="2"/>
  <c r="AL789" i="2" s="1"/>
  <c r="AM789" i="2" s="1"/>
  <c r="Q263" i="2"/>
  <c r="L263" i="2" s="1"/>
  <c r="Q980" i="2"/>
  <c r="L980" i="2" s="1"/>
  <c r="AF956" i="2"/>
  <c r="R277" i="2"/>
  <c r="N277" i="2" s="1"/>
  <c r="AG900" i="2"/>
  <c r="R499" i="2"/>
  <c r="N499" i="2" s="1"/>
  <c r="Z499" i="2" s="1"/>
  <c r="AN499" i="2" s="1"/>
  <c r="AO499" i="2" s="1"/>
  <c r="W136" i="2"/>
  <c r="AL136" i="2" s="1"/>
  <c r="AM136" i="2" s="1"/>
  <c r="R649" i="2"/>
  <c r="N649" i="2" s="1"/>
  <c r="AG595" i="2"/>
  <c r="R607" i="2"/>
  <c r="N607" i="2" s="1"/>
  <c r="Q189" i="2"/>
  <c r="L189" i="2" s="1"/>
  <c r="AF913" i="2"/>
  <c r="W1210" i="2"/>
  <c r="AL1210" i="2" s="1"/>
  <c r="AM1210" i="2" s="1"/>
  <c r="W534" i="2"/>
  <c r="AL534" i="2" s="1"/>
  <c r="AM534" i="2" s="1"/>
  <c r="R472" i="2"/>
  <c r="N472" i="2" s="1"/>
  <c r="AF595" i="2"/>
  <c r="AF36" i="2"/>
  <c r="AF994" i="2"/>
  <c r="R1112" i="2"/>
  <c r="N1112" i="2" s="1"/>
  <c r="Q924" i="2"/>
  <c r="L924" i="2" s="1"/>
  <c r="R391" i="2"/>
  <c r="N391" i="2" s="1"/>
  <c r="R1106" i="2"/>
  <c r="N1106" i="2" s="1"/>
  <c r="AG803" i="2"/>
  <c r="AG337" i="2"/>
  <c r="AF518" i="2"/>
  <c r="AF450" i="2"/>
  <c r="R951" i="2"/>
  <c r="N951" i="2" s="1"/>
  <c r="AF260" i="2"/>
  <c r="Q730" i="2"/>
  <c r="L730" i="2" s="1"/>
  <c r="AG486" i="2"/>
  <c r="R905" i="2"/>
  <c r="N905" i="2" s="1"/>
  <c r="R1226" i="2"/>
  <c r="N1226" i="2" s="1"/>
  <c r="Q1067" i="2"/>
  <c r="L1067" i="2" s="1"/>
  <c r="R39" i="2"/>
  <c r="N39" i="2" s="1"/>
  <c r="Q1082" i="2"/>
  <c r="L1082" i="2" s="1"/>
  <c r="Q895" i="2"/>
  <c r="L895" i="2" s="1"/>
  <c r="W765" i="2"/>
  <c r="AL765" i="2" s="1"/>
  <c r="AM765" i="2" s="1"/>
  <c r="R450" i="2"/>
  <c r="N450" i="2" s="1"/>
  <c r="AG356" i="2"/>
  <c r="AG384" i="2"/>
  <c r="Q245" i="2"/>
  <c r="L245" i="2" s="1"/>
  <c r="AF746" i="2"/>
  <c r="AF337" i="2"/>
  <c r="W1110" i="2"/>
  <c r="AL1110" i="2" s="1"/>
  <c r="AM1110" i="2" s="1"/>
  <c r="AG831" i="2"/>
  <c r="AG895" i="2"/>
  <c r="R1206" i="2"/>
  <c r="N1206" i="2" s="1"/>
  <c r="Z1206" i="2" s="1"/>
  <c r="AN1206" i="2" s="1"/>
  <c r="AO1206" i="2" s="1"/>
  <c r="Q746" i="2"/>
  <c r="L746" i="2" s="1"/>
  <c r="AG779" i="2"/>
  <c r="AF1145" i="2"/>
  <c r="W1028" i="2"/>
  <c r="AL1028" i="2" s="1"/>
  <c r="AM1028" i="2" s="1"/>
  <c r="W366" i="2"/>
  <c r="AL366" i="2" s="1"/>
  <c r="AM366" i="2" s="1"/>
  <c r="W895" i="2"/>
  <c r="AL895" i="2" s="1"/>
  <c r="AM895" i="2" s="1"/>
  <c r="W129" i="2"/>
  <c r="AL129" i="2" s="1"/>
  <c r="AM129" i="2" s="1"/>
  <c r="AG100" i="2"/>
  <c r="AG882" i="2"/>
  <c r="W1137" i="2"/>
  <c r="AL1137" i="2" s="1"/>
  <c r="AM1137" i="2" s="1"/>
  <c r="W730" i="2"/>
  <c r="AL730" i="2" s="1"/>
  <c r="AM730" i="2" s="1"/>
  <c r="AG730" i="2"/>
  <c r="AF552" i="2"/>
  <c r="R695" i="2"/>
  <c r="N695" i="2" s="1"/>
  <c r="AF1176" i="2"/>
  <c r="AF1206" i="2"/>
  <c r="AG245" i="2"/>
  <c r="AG65" i="2"/>
  <c r="AG193" i="2"/>
  <c r="AF565" i="2"/>
  <c r="R1110" i="2"/>
  <c r="N1110" i="2" s="1"/>
  <c r="Z1110" i="2" s="1"/>
  <c r="AN1110" i="2" s="1"/>
  <c r="AO1110" i="2" s="1"/>
  <c r="R949" i="2"/>
  <c r="N949" i="2" s="1"/>
  <c r="W716" i="2"/>
  <c r="AL716" i="2" s="1"/>
  <c r="AM716" i="2" s="1"/>
  <c r="AF1110" i="2"/>
  <c r="AF640" i="2"/>
  <c r="Q919" i="2"/>
  <c r="L919" i="2" s="1"/>
  <c r="Q606" i="2"/>
  <c r="L606" i="2" s="1"/>
  <c r="W882" i="2"/>
  <c r="AL882" i="2" s="1"/>
  <c r="AM882" i="2" s="1"/>
  <c r="AF290" i="2"/>
  <c r="Q882" i="2"/>
  <c r="L882" i="2" s="1"/>
  <c r="AG1067" i="2"/>
  <c r="AG413" i="2"/>
  <c r="AF680" i="2"/>
  <c r="W450" i="2"/>
  <c r="AL450" i="2" s="1"/>
  <c r="AM450" i="2" s="1"/>
  <c r="R1083" i="2"/>
  <c r="N1083" i="2" s="1"/>
  <c r="Z1083" i="2" s="1"/>
  <c r="AN1083" i="2" s="1"/>
  <c r="AO1083" i="2" s="1"/>
  <c r="AF356" i="2"/>
  <c r="R640" i="2"/>
  <c r="N640" i="2" s="1"/>
  <c r="W640" i="2"/>
  <c r="AL640" i="2" s="1"/>
  <c r="AM640" i="2" s="1"/>
  <c r="Q208" i="2"/>
  <c r="L208" i="2" s="1"/>
  <c r="R235" i="2"/>
  <c r="N235" i="2" s="1"/>
  <c r="Q65" i="2"/>
  <c r="L65" i="2" s="1"/>
  <c r="W580" i="2"/>
  <c r="AL580" i="2" s="1"/>
  <c r="AM580" i="2" s="1"/>
  <c r="R1113" i="2"/>
  <c r="N1113" i="2" s="1"/>
  <c r="Z1113" i="2" s="1"/>
  <c r="AN1113" i="2" s="1"/>
  <c r="AO1113" i="2" s="1"/>
  <c r="Q636" i="2"/>
  <c r="L636" i="2" s="1"/>
  <c r="AF580" i="2"/>
  <c r="Q260" i="2"/>
  <c r="L260" i="2" s="1"/>
  <c r="W260" i="2"/>
  <c r="AL260" i="2" s="1"/>
  <c r="AM260" i="2" s="1"/>
  <c r="AF831" i="2"/>
  <c r="W919" i="2"/>
  <c r="AL919" i="2" s="1"/>
  <c r="AM919" i="2" s="1"/>
  <c r="R431" i="2"/>
  <c r="N431" i="2" s="1"/>
  <c r="W1165" i="2"/>
  <c r="AL1165" i="2" s="1"/>
  <c r="AM1165" i="2" s="1"/>
  <c r="Q622" i="2"/>
  <c r="L622" i="2" s="1"/>
  <c r="Q1014" i="2"/>
  <c r="L1014" i="2" s="1"/>
  <c r="W995" i="2"/>
  <c r="AL995" i="2" s="1"/>
  <c r="AM995" i="2" s="1"/>
  <c r="Q413" i="2"/>
  <c r="L413" i="2" s="1"/>
  <c r="Q337" i="2"/>
  <c r="L337" i="2" s="1"/>
  <c r="AF174" i="2"/>
  <c r="W779" i="2"/>
  <c r="AL779" i="2" s="1"/>
  <c r="AM779" i="2" s="1"/>
  <c r="Q1165" i="2"/>
  <c r="L1165" i="2" s="1"/>
  <c r="AF895" i="2"/>
  <c r="AG746" i="2"/>
  <c r="AF1045" i="2"/>
  <c r="AF100" i="2"/>
  <c r="W552" i="2"/>
  <c r="AL552" i="2" s="1"/>
  <c r="AM552" i="2" s="1"/>
  <c r="AG765" i="2"/>
  <c r="AF1031" i="2"/>
  <c r="W1176" i="2"/>
  <c r="AL1176" i="2" s="1"/>
  <c r="AM1176" i="2" s="1"/>
  <c r="AF117" i="2"/>
  <c r="AF1137" i="2"/>
  <c r="AG636" i="2"/>
  <c r="W636" i="2"/>
  <c r="AL636" i="2" s="1"/>
  <c r="AM636" i="2" s="1"/>
  <c r="W193" i="2"/>
  <c r="AL193" i="2" s="1"/>
  <c r="AM193" i="2" s="1"/>
  <c r="W1067" i="2"/>
  <c r="AL1067" i="2" s="1"/>
  <c r="AM1067" i="2" s="1"/>
  <c r="AF431" i="2"/>
  <c r="W581" i="2"/>
  <c r="AL581" i="2" s="1"/>
  <c r="AM581" i="2" s="1"/>
  <c r="AG502" i="2"/>
  <c r="AF951" i="2"/>
  <c r="AF384" i="2"/>
  <c r="AG1082" i="2"/>
  <c r="R983" i="2"/>
  <c r="N983" i="2" s="1"/>
  <c r="R716" i="2"/>
  <c r="N716" i="2" s="1"/>
  <c r="R995" i="2"/>
  <c r="N995" i="2" s="1"/>
  <c r="Z995" i="2" s="1"/>
  <c r="AN995" i="2" s="1"/>
  <c r="AO995" i="2" s="1"/>
  <c r="AF919" i="2"/>
  <c r="W337" i="2"/>
  <c r="AL337" i="2" s="1"/>
  <c r="AM337" i="2" s="1"/>
  <c r="AF882" i="2"/>
  <c r="W39" i="2"/>
  <c r="AL39" i="2" s="1"/>
  <c r="AM39" i="2" s="1"/>
  <c r="AF65" i="2"/>
  <c r="W973" i="2"/>
  <c r="AL973" i="2" s="1"/>
  <c r="AM973" i="2" s="1"/>
  <c r="Q934" i="2"/>
  <c r="L934" i="2" s="1"/>
  <c r="AG606" i="2"/>
  <c r="AF716" i="2"/>
  <c r="AF765" i="2"/>
  <c r="W1206" i="2"/>
  <c r="AL1206" i="2" s="1"/>
  <c r="AM1206" i="2" s="1"/>
  <c r="AG934" i="2"/>
  <c r="W79" i="2"/>
  <c r="AL79" i="2" s="1"/>
  <c r="AM79" i="2" s="1"/>
  <c r="R1145" i="2"/>
  <c r="N1145" i="2" s="1"/>
  <c r="Q486" i="2"/>
  <c r="L486" i="2" s="1"/>
  <c r="W565" i="2"/>
  <c r="AL565" i="2" s="1"/>
  <c r="AM565" i="2" s="1"/>
  <c r="W356" i="2"/>
  <c r="AL356" i="2" s="1"/>
  <c r="AM356" i="2" s="1"/>
  <c r="AG1196" i="2"/>
  <c r="AF1196" i="2"/>
  <c r="W245" i="2"/>
  <c r="AL245" i="2" s="1"/>
  <c r="AM245" i="2" s="1"/>
  <c r="AG260" i="2"/>
  <c r="AF39" i="2"/>
  <c r="W290" i="2"/>
  <c r="AL290" i="2" s="1"/>
  <c r="AM290" i="2" s="1"/>
  <c r="R131" i="2"/>
  <c r="N131" i="2" s="1"/>
  <c r="R850" i="2"/>
  <c r="N850" i="2" s="1"/>
  <c r="R1176" i="2"/>
  <c r="N1176" i="2" s="1"/>
  <c r="Q1196" i="2"/>
  <c r="L1196" i="2" s="1"/>
  <c r="W131" i="2"/>
  <c r="AL131" i="2" s="1"/>
  <c r="AM131" i="2" s="1"/>
  <c r="AG580" i="2"/>
  <c r="AF472" i="2"/>
  <c r="Q193" i="2"/>
  <c r="L193" i="2" s="1"/>
  <c r="Q384" i="2"/>
  <c r="L384" i="2" s="1"/>
  <c r="AG472" i="2"/>
  <c r="R565" i="2"/>
  <c r="N565" i="2" s="1"/>
  <c r="R973" i="2"/>
  <c r="N973" i="2" s="1"/>
  <c r="Q808" i="2"/>
  <c r="L808" i="2" s="1"/>
  <c r="W472" i="2"/>
  <c r="AL472" i="2" s="1"/>
  <c r="AM472" i="2" s="1"/>
  <c r="W657" i="2"/>
  <c r="AL657" i="2" s="1"/>
  <c r="AM657" i="2" s="1"/>
  <c r="AG321" i="2"/>
  <c r="AG680" i="2"/>
  <c r="AF581" i="2"/>
  <c r="AG1028" i="2"/>
  <c r="W384" i="2"/>
  <c r="AL384" i="2" s="1"/>
  <c r="AM384" i="2" s="1"/>
  <c r="Q79" i="2"/>
  <c r="L79" i="2" s="1"/>
  <c r="AF695" i="2"/>
  <c r="Q580" i="2"/>
  <c r="L580" i="2" s="1"/>
  <c r="AG174" i="2"/>
  <c r="AG117" i="2"/>
  <c r="W1145" i="2"/>
  <c r="AL1145" i="2" s="1"/>
  <c r="AM1145" i="2" s="1"/>
  <c r="AF272" i="2"/>
  <c r="W399" i="2"/>
  <c r="AL399" i="2" s="1"/>
  <c r="AM399" i="2" s="1"/>
  <c r="R581" i="2"/>
  <c r="N581" i="2" s="1"/>
  <c r="W951" i="2"/>
  <c r="AL951" i="2" s="1"/>
  <c r="AM951" i="2" s="1"/>
  <c r="R416" i="2"/>
  <c r="N416" i="2" s="1"/>
  <c r="Q356" i="2"/>
  <c r="L356" i="2" s="1"/>
  <c r="AF995" i="2"/>
  <c r="AF636" i="2"/>
  <c r="W1226" i="2"/>
  <c r="AL1226" i="2" s="1"/>
  <c r="AM1226" i="2" s="1"/>
  <c r="Q1028" i="2"/>
  <c r="L1028" i="2" s="1"/>
  <c r="AF1113" i="2"/>
  <c r="Q472" i="2"/>
  <c r="L472" i="2" s="1"/>
  <c r="AG399" i="2"/>
  <c r="W746" i="2"/>
  <c r="AL746" i="2" s="1"/>
  <c r="AM746" i="2" s="1"/>
  <c r="R1045" i="2"/>
  <c r="N1045" i="2" s="1"/>
  <c r="AG552" i="2"/>
  <c r="Q399" i="2"/>
  <c r="L399" i="2" s="1"/>
  <c r="AG208" i="2"/>
  <c r="AF1226" i="2"/>
  <c r="W431" i="2"/>
  <c r="AL431" i="2" s="1"/>
  <c r="AM431" i="2" s="1"/>
  <c r="R272" i="2"/>
  <c r="N272" i="2" s="1"/>
  <c r="W1031" i="2"/>
  <c r="AL1031" i="2" s="1"/>
  <c r="AM1031" i="2" s="1"/>
  <c r="R306" i="2"/>
  <c r="N306" i="2" s="1"/>
  <c r="AF413" i="2"/>
  <c r="R167" i="2"/>
  <c r="N167" i="2" s="1"/>
  <c r="W413" i="2"/>
  <c r="AL413" i="2" s="1"/>
  <c r="AM413" i="2" s="1"/>
  <c r="Q779" i="2"/>
  <c r="L779" i="2" s="1"/>
  <c r="W518" i="2"/>
  <c r="AL518" i="2" s="1"/>
  <c r="AM518" i="2" s="1"/>
  <c r="AF1067" i="2"/>
  <c r="W65" i="2"/>
  <c r="AL65" i="2" s="1"/>
  <c r="AM65" i="2" s="1"/>
  <c r="W174" i="2"/>
  <c r="AL174" i="2" s="1"/>
  <c r="AM174" i="2" s="1"/>
  <c r="AF129" i="2"/>
  <c r="R523" i="2"/>
  <c r="N523" i="2" s="1"/>
  <c r="Q765" i="2"/>
  <c r="L765" i="2" s="1"/>
  <c r="AG1165" i="2"/>
  <c r="AF1083" i="2"/>
  <c r="AF399" i="2"/>
  <c r="W272" i="2"/>
  <c r="AL272" i="2" s="1"/>
  <c r="AM272" i="2" s="1"/>
  <c r="AF657" i="2"/>
  <c r="AG919" i="2"/>
  <c r="W1196" i="2"/>
  <c r="AL1196" i="2" s="1"/>
  <c r="AM1196" i="2" s="1"/>
  <c r="R668" i="2"/>
  <c r="N668" i="2" s="1"/>
  <c r="W1045" i="2"/>
  <c r="AL1045" i="2" s="1"/>
  <c r="AM1045" i="2" s="1"/>
  <c r="R85" i="2"/>
  <c r="N85" i="2" s="1"/>
  <c r="W680" i="2"/>
  <c r="AL680" i="2" s="1"/>
  <c r="AM680" i="2" s="1"/>
  <c r="Q502" i="2"/>
  <c r="L502" i="2" s="1"/>
  <c r="R865" i="2"/>
  <c r="N865" i="2" s="1"/>
  <c r="AG808" i="2"/>
  <c r="R366" i="2"/>
  <c r="N366" i="2" s="1"/>
  <c r="W1113" i="2"/>
  <c r="AL1113" i="2" s="1"/>
  <c r="AM1113" i="2" s="1"/>
  <c r="AF131" i="2"/>
  <c r="W668" i="2"/>
  <c r="AL668" i="2" s="1"/>
  <c r="AM668" i="2" s="1"/>
  <c r="R1031" i="2"/>
  <c r="N1031" i="2" s="1"/>
  <c r="AF730" i="2"/>
  <c r="R784" i="2"/>
  <c r="N784" i="2" s="1"/>
  <c r="W695" i="2"/>
  <c r="AL695" i="2" s="1"/>
  <c r="AM695" i="2" s="1"/>
  <c r="AF79" i="2"/>
  <c r="AF973" i="2"/>
  <c r="Q321" i="2"/>
  <c r="L321" i="2" s="1"/>
  <c r="W905" i="2"/>
  <c r="AL905" i="2" s="1"/>
  <c r="AM905" i="2" s="1"/>
  <c r="Q680" i="2"/>
  <c r="L680" i="2" s="1"/>
  <c r="Q552" i="2"/>
  <c r="L552" i="2" s="1"/>
  <c r="R518" i="2"/>
  <c r="N518" i="2" s="1"/>
  <c r="W831" i="2"/>
  <c r="AL831" i="2" s="1"/>
  <c r="AM831" i="2" s="1"/>
  <c r="AF245" i="2"/>
  <c r="W1083" i="2"/>
  <c r="AL1083" i="2" s="1"/>
  <c r="AM1083" i="2" s="1"/>
  <c r="AF1028" i="2"/>
  <c r="Q831" i="2"/>
  <c r="L831" i="2" s="1"/>
  <c r="Q174" i="2"/>
  <c r="L174" i="2" s="1"/>
  <c r="Q100" i="2"/>
  <c r="L100" i="2" s="1"/>
  <c r="W100" i="2"/>
  <c r="AL100" i="2" s="1"/>
  <c r="AM100" i="2" s="1"/>
  <c r="AF779" i="2"/>
  <c r="R1137" i="2"/>
  <c r="N1137" i="2" s="1"/>
  <c r="Z1137" i="2" s="1"/>
  <c r="AN1137" i="2" s="1"/>
  <c r="AO1137" i="2" s="1"/>
  <c r="AF905" i="2"/>
  <c r="AG1014" i="2"/>
  <c r="Q129" i="2"/>
  <c r="L129" i="2" s="1"/>
  <c r="Q117" i="2"/>
  <c r="L117" i="2" s="1"/>
  <c r="AG622" i="2"/>
  <c r="AG79" i="2"/>
  <c r="AG129" i="2"/>
  <c r="W117" i="2"/>
  <c r="AL117" i="2" s="1"/>
  <c r="AM117" i="2" s="1"/>
  <c r="AF193" i="2"/>
  <c r="AF366" i="2"/>
  <c r="AF1165" i="2"/>
  <c r="R657" i="2"/>
  <c r="N657" i="2" s="1"/>
  <c r="AF668" i="2"/>
  <c r="R290" i="2"/>
  <c r="N290" i="2" s="1"/>
  <c r="W11" i="2"/>
  <c r="AL11" i="2" s="1"/>
  <c r="AM11" i="2" s="1"/>
  <c r="R350" i="2"/>
  <c r="N350" i="2" s="1"/>
  <c r="AG484" i="2"/>
  <c r="Q772" i="2"/>
  <c r="L772" i="2" s="1"/>
  <c r="Q275" i="2"/>
  <c r="L275" i="2" s="1"/>
  <c r="AF846" i="2"/>
  <c r="R105" i="2"/>
  <c r="N105" i="2" s="1"/>
  <c r="AF404" i="2"/>
  <c r="Q238" i="2"/>
  <c r="L238" i="2" s="1"/>
  <c r="W1217" i="2"/>
  <c r="AL1217" i="2" s="1"/>
  <c r="AM1217" i="2" s="1"/>
  <c r="AF635" i="2"/>
  <c r="AF1164" i="2"/>
  <c r="AG139" i="2"/>
  <c r="Q20" i="2"/>
  <c r="L20" i="2" s="1"/>
  <c r="AG178" i="2"/>
  <c r="Q969" i="2"/>
  <c r="L969" i="2" s="1"/>
  <c r="W1170" i="2"/>
  <c r="AL1170" i="2" s="1"/>
  <c r="AM1170" i="2" s="1"/>
  <c r="R896" i="2"/>
  <c r="N896" i="2" s="1"/>
  <c r="AF1230" i="2"/>
  <c r="AF145" i="2"/>
  <c r="AF42" i="2"/>
  <c r="Q813" i="2"/>
  <c r="L813" i="2" s="1"/>
  <c r="W617" i="2"/>
  <c r="AL617" i="2" s="1"/>
  <c r="AM617" i="2" s="1"/>
  <c r="AF24" i="2"/>
  <c r="R222" i="2"/>
  <c r="N222" i="2" s="1"/>
  <c r="Q717" i="2"/>
  <c r="L717" i="2" s="1"/>
  <c r="W501" i="2"/>
  <c r="AL501" i="2" s="1"/>
  <c r="AM501" i="2" s="1"/>
  <c r="W1004" i="2"/>
  <c r="AL1004" i="2" s="1"/>
  <c r="AM1004" i="2" s="1"/>
  <c r="R1029" i="2"/>
  <c r="N1029" i="2" s="1"/>
  <c r="Z1029" i="2" s="1"/>
  <c r="AN1029" i="2" s="1"/>
  <c r="AO1029" i="2" s="1"/>
  <c r="AG491" i="2"/>
  <c r="Q73" i="2"/>
  <c r="L73" i="2" s="1"/>
  <c r="AF415" i="2"/>
  <c r="AF1131" i="2"/>
  <c r="AF109" i="2"/>
  <c r="R1014" i="2"/>
  <c r="N1014" i="2" s="1"/>
  <c r="R646" i="2"/>
  <c r="N646" i="2" s="1"/>
  <c r="W1096" i="2"/>
  <c r="AL1096" i="2" s="1"/>
  <c r="AM1096" i="2" s="1"/>
  <c r="Q799" i="2"/>
  <c r="L799" i="2" s="1"/>
  <c r="R302" i="2"/>
  <c r="N302" i="2" s="1"/>
  <c r="AG678" i="2"/>
  <c r="W331" i="2"/>
  <c r="AL331" i="2" s="1"/>
  <c r="AM331" i="2" s="1"/>
  <c r="AG543" i="2"/>
  <c r="AF528" i="2"/>
  <c r="Q350" i="2"/>
  <c r="L350" i="2" s="1"/>
  <c r="R881" i="2"/>
  <c r="N881" i="2" s="1"/>
  <c r="AF513" i="2"/>
  <c r="Q678" i="2"/>
  <c r="L678" i="2" s="1"/>
  <c r="AF662" i="2"/>
  <c r="AG947" i="2"/>
  <c r="AF609" i="2"/>
  <c r="R770" i="2"/>
  <c r="N770" i="2" s="1"/>
  <c r="AF936" i="2"/>
  <c r="Q389" i="2"/>
  <c r="L389" i="2" s="1"/>
  <c r="AF891" i="2"/>
  <c r="AF198" i="2"/>
  <c r="AF374" i="2"/>
  <c r="W691" i="2"/>
  <c r="AL691" i="2" s="1"/>
  <c r="AM691" i="2" s="1"/>
  <c r="AG787" i="2"/>
  <c r="Q148" i="2"/>
  <c r="L148" i="2" s="1"/>
  <c r="R812" i="2"/>
  <c r="N812" i="2" s="1"/>
  <c r="W1157" i="2"/>
  <c r="AL1157" i="2" s="1"/>
  <c r="AM1157" i="2" s="1"/>
  <c r="W320" i="2"/>
  <c r="AL320" i="2" s="1"/>
  <c r="AM320" i="2" s="1"/>
  <c r="AG247" i="2"/>
  <c r="Q947" i="2"/>
  <c r="L947" i="2" s="1"/>
  <c r="AF160" i="2"/>
  <c r="W863" i="2"/>
  <c r="AL863" i="2" s="1"/>
  <c r="AM863" i="2" s="1"/>
  <c r="W1225" i="2"/>
  <c r="AL1225" i="2" s="1"/>
  <c r="AM1225" i="2" s="1"/>
  <c r="Q101" i="2"/>
  <c r="L101" i="2" s="1"/>
  <c r="R541" i="2"/>
  <c r="N541" i="2" s="1"/>
  <c r="Q277" i="2"/>
  <c r="L277" i="2" s="1"/>
  <c r="AF296" i="2"/>
  <c r="W748" i="2"/>
  <c r="AL748" i="2" s="1"/>
  <c r="AM748" i="2" s="1"/>
  <c r="W1019" i="2"/>
  <c r="AL1019" i="2" s="1"/>
  <c r="AM1019" i="2" s="1"/>
  <c r="AG800" i="2"/>
  <c r="AF732" i="2"/>
  <c r="R722" i="2"/>
  <c r="N722" i="2" s="1"/>
  <c r="W709" i="2"/>
  <c r="AL709" i="2" s="1"/>
  <c r="AM709" i="2" s="1"/>
  <c r="W722" i="2"/>
  <c r="AL722" i="2" s="1"/>
  <c r="AM722" i="2" s="1"/>
  <c r="R411" i="2"/>
  <c r="N411" i="2" s="1"/>
  <c r="W903" i="2"/>
  <c r="AL903" i="2" s="1"/>
  <c r="AM903" i="2" s="1"/>
  <c r="R1219" i="2"/>
  <c r="N1219" i="2" s="1"/>
  <c r="W445" i="2"/>
  <c r="AL445" i="2" s="1"/>
  <c r="AM445" i="2" s="1"/>
  <c r="R1123" i="2"/>
  <c r="N1123" i="2" s="1"/>
  <c r="Z1123" i="2" s="1"/>
  <c r="AN1123" i="2" s="1"/>
  <c r="AO1123" i="2" s="1"/>
  <c r="R648" i="2"/>
  <c r="N648" i="2" s="1"/>
  <c r="AG821" i="2"/>
  <c r="AG1021" i="2"/>
  <c r="W926" i="2"/>
  <c r="AL926" i="2" s="1"/>
  <c r="AM926" i="2" s="1"/>
  <c r="R328" i="2"/>
  <c r="N328" i="2" s="1"/>
  <c r="AF486" i="2"/>
  <c r="AF170" i="2"/>
  <c r="W635" i="2"/>
  <c r="AL635" i="2" s="1"/>
  <c r="AM635" i="2" s="1"/>
  <c r="AF1038" i="2"/>
  <c r="Q761" i="2"/>
  <c r="L761" i="2" s="1"/>
  <c r="AF860" i="2"/>
  <c r="W1060" i="2"/>
  <c r="AL1060" i="2" s="1"/>
  <c r="AM1060" i="2" s="1"/>
  <c r="AG949" i="2"/>
  <c r="Q54" i="2"/>
  <c r="L54" i="2" s="1"/>
  <c r="AF95" i="2"/>
  <c r="AF741" i="2"/>
  <c r="Q885" i="2"/>
  <c r="L885" i="2" s="1"/>
  <c r="Q644" i="2"/>
  <c r="L644" i="2" s="1"/>
  <c r="W103" i="2"/>
  <c r="AL103" i="2" s="1"/>
  <c r="AM103" i="2" s="1"/>
  <c r="W796" i="2"/>
  <c r="AL796" i="2" s="1"/>
  <c r="AM796" i="2" s="1"/>
  <c r="R468" i="2"/>
  <c r="N468" i="2" s="1"/>
  <c r="Q1058" i="2"/>
  <c r="L1058" i="2" s="1"/>
  <c r="W588" i="2"/>
  <c r="AL588" i="2" s="1"/>
  <c r="AM588" i="2" s="1"/>
  <c r="AF417" i="2"/>
  <c r="Q364" i="2"/>
  <c r="L364" i="2" s="1"/>
  <c r="AF942" i="2"/>
  <c r="Q724" i="2"/>
  <c r="L724" i="2" s="1"/>
  <c r="R417" i="2"/>
  <c r="N417" i="2" s="1"/>
  <c r="W428" i="2"/>
  <c r="AL428" i="2" s="1"/>
  <c r="AM428" i="2" s="1"/>
  <c r="AG373" i="2"/>
  <c r="Q162" i="2"/>
  <c r="L162" i="2" s="1"/>
  <c r="Q787" i="2"/>
  <c r="L787" i="2" s="1"/>
  <c r="AF373" i="2"/>
  <c r="AG376" i="2"/>
  <c r="AF227" i="2"/>
  <c r="W885" i="2"/>
  <c r="AL885" i="2" s="1"/>
  <c r="AM885" i="2" s="1"/>
  <c r="AG362" i="2"/>
  <c r="Q662" i="2"/>
  <c r="L662" i="2" s="1"/>
  <c r="R1211" i="2"/>
  <c r="N1211" i="2" s="1"/>
  <c r="R635" i="2"/>
  <c r="N635" i="2" s="1"/>
  <c r="Z635" i="2" s="1"/>
  <c r="AN635" i="2" s="1"/>
  <c r="AO635" i="2" s="1"/>
  <c r="AG991" i="2"/>
  <c r="W49" i="2"/>
  <c r="AL49" i="2" s="1"/>
  <c r="AM49" i="2" s="1"/>
  <c r="W829" i="2"/>
  <c r="AL829" i="2" s="1"/>
  <c r="AM829" i="2" s="1"/>
  <c r="AG604" i="2"/>
  <c r="W799" i="2"/>
  <c r="AL799" i="2" s="1"/>
  <c r="AM799" i="2" s="1"/>
  <c r="W813" i="2"/>
  <c r="AL813" i="2" s="1"/>
  <c r="AM813" i="2" s="1"/>
  <c r="W768" i="2"/>
  <c r="AL768" i="2" s="1"/>
  <c r="AM768" i="2" s="1"/>
  <c r="W76" i="2"/>
  <c r="AL76" i="2" s="1"/>
  <c r="AM76" i="2" s="1"/>
  <c r="AF416" i="2"/>
  <c r="AG908" i="2"/>
  <c r="AF788" i="2"/>
  <c r="AF269" i="2"/>
  <c r="W407" i="2"/>
  <c r="AL407" i="2" s="1"/>
  <c r="AM407" i="2" s="1"/>
  <c r="AF718" i="2"/>
  <c r="W717" i="2"/>
  <c r="AL717" i="2" s="1"/>
  <c r="AM717" i="2" s="1"/>
  <c r="AF787" i="2"/>
  <c r="Q1172" i="2"/>
  <c r="L1172" i="2" s="1"/>
  <c r="W808" i="2"/>
  <c r="AL808" i="2" s="1"/>
  <c r="AM808" i="2" s="1"/>
  <c r="AG361" i="2"/>
  <c r="R1013" i="2"/>
  <c r="N1013" i="2" s="1"/>
  <c r="W328" i="2"/>
  <c r="AL328" i="2" s="1"/>
  <c r="AM328" i="2" s="1"/>
  <c r="R91" i="2"/>
  <c r="N91" i="2" s="1"/>
  <c r="R755" i="2"/>
  <c r="N755" i="2" s="1"/>
  <c r="AF470" i="2"/>
  <c r="W498" i="2"/>
  <c r="AL498" i="2" s="1"/>
  <c r="AM498" i="2" s="1"/>
  <c r="AG621" i="2"/>
  <c r="W806" i="2"/>
  <c r="AL806" i="2" s="1"/>
  <c r="AM806" i="2" s="1"/>
  <c r="AG969" i="2"/>
  <c r="Q474" i="2"/>
  <c r="L474" i="2" s="1"/>
  <c r="R754" i="2"/>
  <c r="N754" i="2" s="1"/>
  <c r="W1098" i="2"/>
  <c r="AL1098" i="2" s="1"/>
  <c r="AM1098" i="2" s="1"/>
  <c r="W1082" i="2"/>
  <c r="AL1082" i="2" s="1"/>
  <c r="AM1082" i="2" s="1"/>
  <c r="W514" i="2"/>
  <c r="AL514" i="2" s="1"/>
  <c r="AM514" i="2" s="1"/>
  <c r="AG748" i="2"/>
  <c r="W462" i="2"/>
  <c r="AL462" i="2" s="1"/>
  <c r="AM462" i="2" s="1"/>
  <c r="R183" i="2"/>
  <c r="N183" i="2" s="1"/>
  <c r="AF1019" i="2"/>
  <c r="AG987" i="2"/>
  <c r="Q58" i="2"/>
  <c r="L58" i="2" s="1"/>
  <c r="W183" i="2"/>
  <c r="AL183" i="2" s="1"/>
  <c r="AM183" i="2" s="1"/>
  <c r="AF767" i="2"/>
  <c r="Q1037" i="2"/>
  <c r="L1037" i="2" s="1"/>
  <c r="AG623" i="2"/>
  <c r="W101" i="2"/>
  <c r="AL101" i="2" s="1"/>
  <c r="AM101" i="2" s="1"/>
  <c r="W44" i="2"/>
  <c r="AL44" i="2" s="1"/>
  <c r="AM44" i="2" s="1"/>
  <c r="AG667" i="2"/>
  <c r="R950" i="2"/>
  <c r="N950" i="2" s="1"/>
  <c r="R230" i="2"/>
  <c r="N230" i="2" s="1"/>
  <c r="R1082" i="2"/>
  <c r="N1082" i="2" s="1"/>
  <c r="W31" i="2"/>
  <c r="AL31" i="2" s="1"/>
  <c r="AM31" i="2" s="1"/>
  <c r="AG1143" i="2"/>
  <c r="W767" i="2"/>
  <c r="AL767" i="2" s="1"/>
  <c r="AM767" i="2" s="1"/>
  <c r="R31" i="2"/>
  <c r="N31" i="2" s="1"/>
  <c r="AF1111" i="2"/>
  <c r="AF808" i="2"/>
  <c r="AG591" i="2"/>
  <c r="W404" i="2"/>
  <c r="AL404" i="2" s="1"/>
  <c r="AM404" i="2" s="1"/>
  <c r="W1126" i="2"/>
  <c r="AL1126" i="2" s="1"/>
  <c r="AM1126" i="2" s="1"/>
  <c r="W917" i="2"/>
  <c r="AL917" i="2" s="1"/>
  <c r="AM917" i="2" s="1"/>
  <c r="R991" i="2"/>
  <c r="N991" i="2" s="1"/>
  <c r="Q248" i="2"/>
  <c r="L248" i="2" s="1"/>
  <c r="AF1152" i="2"/>
  <c r="W848" i="2"/>
  <c r="AL848" i="2" s="1"/>
  <c r="AM848" i="2" s="1"/>
  <c r="AG1027" i="2"/>
  <c r="R76" i="2"/>
  <c r="N76" i="2" s="1"/>
  <c r="W216" i="2"/>
  <c r="AL216" i="2" s="1"/>
  <c r="AM216" i="2" s="1"/>
  <c r="AF468" i="2"/>
  <c r="W975" i="2"/>
  <c r="AL975" i="2" s="1"/>
  <c r="AM975" i="2" s="1"/>
  <c r="R1202" i="2"/>
  <c r="N1202" i="2" s="1"/>
  <c r="W362" i="2"/>
  <c r="AL362" i="2" s="1"/>
  <c r="AM362" i="2" s="1"/>
  <c r="W17" i="2"/>
  <c r="AL17" i="2" s="1"/>
  <c r="AM17" i="2" s="1"/>
  <c r="W1009" i="2"/>
  <c r="AL1009" i="2" s="1"/>
  <c r="AM1009" i="2" s="1"/>
  <c r="W342" i="2"/>
  <c r="AL342" i="2" s="1"/>
  <c r="AM342" i="2" s="1"/>
  <c r="AF302" i="2"/>
  <c r="AG158" i="2"/>
  <c r="AF491" i="2"/>
  <c r="W91" i="2"/>
  <c r="AL91" i="2" s="1"/>
  <c r="AM91" i="2" s="1"/>
  <c r="R1060" i="2"/>
  <c r="N1060" i="2" s="1"/>
  <c r="W1044" i="2"/>
  <c r="AL1044" i="2" s="1"/>
  <c r="AM1044" i="2" s="1"/>
  <c r="Q1078" i="2"/>
  <c r="L1078" i="2" s="1"/>
  <c r="AF566" i="2"/>
  <c r="W294" i="2"/>
  <c r="AL294" i="2" s="1"/>
  <c r="AM294" i="2" s="1"/>
  <c r="AF474" i="2"/>
  <c r="AF781" i="2"/>
  <c r="AF341" i="2"/>
  <c r="Q247" i="2"/>
  <c r="L247" i="2" s="1"/>
  <c r="W556" i="2"/>
  <c r="AL556" i="2" s="1"/>
  <c r="AM556" i="2" s="1"/>
  <c r="W111" i="2"/>
  <c r="AL111" i="2" s="1"/>
  <c r="AM111" i="2" s="1"/>
  <c r="AF964" i="2"/>
  <c r="AG1048" i="2"/>
  <c r="AG1111" i="2"/>
  <c r="Q964" i="2"/>
  <c r="L964" i="2" s="1"/>
  <c r="Q949" i="2"/>
  <c r="L949" i="2" s="1"/>
  <c r="AF1194" i="2"/>
  <c r="AF692" i="2"/>
  <c r="AF428" i="2"/>
  <c r="AG350" i="2"/>
  <c r="AF298" i="2"/>
  <c r="Q373" i="2"/>
  <c r="L373" i="2" s="1"/>
  <c r="W349" i="2"/>
  <c r="AL349" i="2" s="1"/>
  <c r="AM349" i="2" s="1"/>
  <c r="AG644" i="2"/>
  <c r="AG89" i="2"/>
  <c r="W1162" i="2"/>
  <c r="AL1162" i="2" s="1"/>
  <c r="AM1162" i="2" s="1"/>
  <c r="W486" i="2"/>
  <c r="AL486" i="2" s="1"/>
  <c r="AM486" i="2" s="1"/>
  <c r="AG813" i="2"/>
  <c r="Q510" i="2"/>
  <c r="L510" i="2" s="1"/>
  <c r="AG436" i="2"/>
  <c r="AF858" i="2"/>
  <c r="AF403" i="2"/>
  <c r="W463" i="2"/>
  <c r="AL463" i="2" s="1"/>
  <c r="AM463" i="2" s="1"/>
  <c r="R637" i="2"/>
  <c r="N637" i="2" s="1"/>
  <c r="Z637" i="2" s="1"/>
  <c r="AN637" i="2" s="1"/>
  <c r="AO637" i="2" s="1"/>
  <c r="AF948" i="2"/>
  <c r="R768" i="2"/>
  <c r="N768" i="2" s="1"/>
  <c r="W846" i="2"/>
  <c r="AL846" i="2" s="1"/>
  <c r="AM846" i="2" s="1"/>
  <c r="AF570" i="2"/>
  <c r="AG1214" i="2"/>
  <c r="AF1069" i="2"/>
  <c r="W1084" i="2"/>
  <c r="AL1084" i="2" s="1"/>
  <c r="AM1084" i="2" s="1"/>
  <c r="R1026" i="2"/>
  <c r="N1026" i="2" s="1"/>
  <c r="Q767" i="2"/>
  <c r="L767" i="2" s="1"/>
  <c r="AF623" i="2"/>
  <c r="AG1105" i="2"/>
  <c r="Q836" i="2"/>
  <c r="L836" i="2" s="1"/>
  <c r="AF608" i="2"/>
  <c r="Q194" i="2"/>
  <c r="L194" i="2" s="1"/>
  <c r="W546" i="2"/>
  <c r="AL546" i="2" s="1"/>
  <c r="AM546" i="2" s="1"/>
  <c r="AF1123" i="2"/>
  <c r="Q1138" i="2"/>
  <c r="L1138" i="2" s="1"/>
  <c r="AF722" i="2"/>
  <c r="AF1143" i="2"/>
  <c r="AF821" i="2"/>
  <c r="AF757" i="2"/>
  <c r="Q909" i="2"/>
  <c r="L909" i="2" s="1"/>
  <c r="AG237" i="2"/>
  <c r="W1048" i="2"/>
  <c r="AL1048" i="2" s="1"/>
  <c r="AM1048" i="2" s="1"/>
  <c r="AF699" i="2"/>
  <c r="Q528" i="2"/>
  <c r="L528" i="2" s="1"/>
  <c r="R891" i="2"/>
  <c r="N891" i="2" s="1"/>
  <c r="AG1078" i="2"/>
  <c r="AG1086" i="2"/>
  <c r="R1164" i="2"/>
  <c r="N1164" i="2" s="1"/>
  <c r="AF812" i="2"/>
  <c r="W491" i="2"/>
  <c r="AL491" i="2" s="1"/>
  <c r="AM491" i="2" s="1"/>
  <c r="W718" i="2"/>
  <c r="AL718" i="2" s="1"/>
  <c r="AM718" i="2" s="1"/>
  <c r="Q1098" i="2"/>
  <c r="L1098" i="2" s="1"/>
  <c r="AG293" i="2"/>
  <c r="R998" i="2"/>
  <c r="N998" i="2" s="1"/>
  <c r="Z998" i="2" s="1"/>
  <c r="AN998" i="2" s="1"/>
  <c r="AO998" i="2" s="1"/>
  <c r="W489" i="2"/>
  <c r="AL489" i="2" s="1"/>
  <c r="AM489" i="2" s="1"/>
  <c r="W670" i="2"/>
  <c r="AL670" i="2" s="1"/>
  <c r="AM670" i="2" s="1"/>
  <c r="AF604" i="2"/>
  <c r="R928" i="2"/>
  <c r="N928" i="2" s="1"/>
  <c r="AF307" i="2"/>
  <c r="AF63" i="2"/>
  <c r="AF111" i="2"/>
  <c r="Q1109" i="2"/>
  <c r="L1109" i="2" s="1"/>
  <c r="R629" i="2"/>
  <c r="N629" i="2" s="1"/>
  <c r="Z629" i="2" s="1"/>
  <c r="AN629" i="2" s="1"/>
  <c r="AO629" i="2" s="1"/>
  <c r="R781" i="2"/>
  <c r="N781" i="2" s="1"/>
  <c r="AG134" i="2"/>
  <c r="AG1125" i="2"/>
  <c r="Q604" i="2"/>
  <c r="L604" i="2" s="1"/>
  <c r="AG868" i="2"/>
  <c r="AG609" i="2"/>
  <c r="AF754" i="2"/>
  <c r="W1202" i="2"/>
  <c r="AL1202" i="2" s="1"/>
  <c r="AM1202" i="2" s="1"/>
  <c r="AF1003" i="2"/>
  <c r="Q757" i="2"/>
  <c r="L757" i="2" s="1"/>
  <c r="W127" i="2"/>
  <c r="AL127" i="2" s="1"/>
  <c r="AM127" i="2" s="1"/>
  <c r="W1194" i="2"/>
  <c r="AL1194" i="2" s="1"/>
  <c r="AM1194" i="2" s="1"/>
  <c r="AG1172" i="2"/>
  <c r="R1055" i="2"/>
  <c r="N1055" i="2" s="1"/>
  <c r="Q1179" i="2"/>
  <c r="L1179" i="2" s="1"/>
  <c r="AF559" i="2"/>
  <c r="AF761" i="2"/>
  <c r="W1058" i="2"/>
  <c r="AL1058" i="2" s="1"/>
  <c r="AM1058" i="2" s="1"/>
  <c r="AF1172" i="2"/>
  <c r="R45" i="2"/>
  <c r="N45" i="2" s="1"/>
  <c r="Z45" i="2" s="1"/>
  <c r="AN45" i="2" s="1"/>
  <c r="AO45" i="2" s="1"/>
  <c r="AG1053" i="2"/>
  <c r="AG555" i="2"/>
  <c r="AF436" i="2"/>
  <c r="R1040" i="2"/>
  <c r="N1040" i="2" s="1"/>
  <c r="AF30" i="2"/>
  <c r="Q621" i="2"/>
  <c r="L621" i="2" s="1"/>
  <c r="W772" i="2"/>
  <c r="AL772" i="2" s="1"/>
  <c r="AM772" i="2" s="1"/>
  <c r="AF637" i="2"/>
  <c r="W105" i="2"/>
  <c r="AL105" i="2" s="1"/>
  <c r="AM105" i="2" s="1"/>
  <c r="Q1094" i="2"/>
  <c r="L1094" i="2" s="1"/>
  <c r="W983" i="2"/>
  <c r="AL983" i="2" s="1"/>
  <c r="AM983" i="2" s="1"/>
  <c r="Q1186" i="2"/>
  <c r="L1186" i="2" s="1"/>
  <c r="W1175" i="2"/>
  <c r="AL1175" i="2" s="1"/>
  <c r="AM1175" i="2" s="1"/>
  <c r="Q556" i="2"/>
  <c r="L556" i="2" s="1"/>
  <c r="W373" i="2"/>
  <c r="AL373" i="2" s="1"/>
  <c r="AM373" i="2" s="1"/>
  <c r="AF37" i="2"/>
  <c r="Q407" i="2"/>
  <c r="L407" i="2" s="1"/>
  <c r="AF1202" i="2"/>
  <c r="R349" i="2"/>
  <c r="N349" i="2" s="1"/>
  <c r="AG101" i="2"/>
  <c r="W918" i="2"/>
  <c r="AL918" i="2" s="1"/>
  <c r="AM918" i="2" s="1"/>
  <c r="AF1068" i="2"/>
  <c r="AG306" i="2"/>
  <c r="AF903" i="2"/>
  <c r="AF648" i="2"/>
  <c r="AF869" i="2"/>
  <c r="W502" i="2"/>
  <c r="AL502" i="2" s="1"/>
  <c r="AM502" i="2" s="1"/>
  <c r="Q1021" i="2"/>
  <c r="L1021" i="2" s="1"/>
  <c r="AG836" i="2"/>
  <c r="AF44" i="2"/>
  <c r="W5" i="2"/>
  <c r="AL5" i="2" s="1"/>
  <c r="AM5" i="2" s="1"/>
  <c r="AF1064" i="2"/>
  <c r="W996" i="2"/>
  <c r="AL996" i="2" s="1"/>
  <c r="AM996" i="2" s="1"/>
  <c r="AF996" i="2"/>
  <c r="AG125" i="2"/>
  <c r="W1018" i="2"/>
  <c r="AL1018" i="2" s="1"/>
  <c r="AM1018" i="2" s="1"/>
  <c r="AF453" i="2"/>
  <c r="W1205" i="2"/>
  <c r="AL1205" i="2" s="1"/>
  <c r="AM1205" i="2" s="1"/>
  <c r="AG535" i="2"/>
  <c r="Q902" i="2"/>
  <c r="L902" i="2" s="1"/>
  <c r="AF740" i="2"/>
  <c r="R21" i="2"/>
  <c r="N21" i="2" s="1"/>
  <c r="W535" i="2"/>
  <c r="AL535" i="2" s="1"/>
  <c r="AM535" i="2" s="1"/>
  <c r="AF29" i="2"/>
  <c r="Q125" i="2"/>
  <c r="L125" i="2" s="1"/>
  <c r="W902" i="2"/>
  <c r="AL902" i="2" s="1"/>
  <c r="AM902" i="2" s="1"/>
  <c r="R563" i="2"/>
  <c r="N563" i="2" s="1"/>
  <c r="R442" i="2"/>
  <c r="N442" i="2" s="1"/>
  <c r="W676" i="2"/>
  <c r="AL676" i="2" s="1"/>
  <c r="AM676" i="2" s="1"/>
  <c r="Q943" i="2"/>
  <c r="L943" i="2" s="1"/>
  <c r="W85" i="2"/>
  <c r="AL85" i="2" s="1"/>
  <c r="AM85" i="2" s="1"/>
  <c r="AG943" i="2"/>
  <c r="R148" i="2"/>
  <c r="N148" i="2" s="1"/>
  <c r="R301" i="2"/>
  <c r="N301" i="2" s="1"/>
  <c r="W4" i="2"/>
  <c r="AL4" i="2" s="1"/>
  <c r="AM4" i="2" s="1"/>
  <c r="AF1223" i="2"/>
  <c r="W566" i="2"/>
  <c r="AL566" i="2" s="1"/>
  <c r="AM566" i="2" s="1"/>
  <c r="Q1230" i="2"/>
  <c r="L1230" i="2" s="1"/>
  <c r="AF532" i="2"/>
  <c r="Q932" i="2"/>
  <c r="L932" i="2" s="1"/>
  <c r="AG275" i="2"/>
  <c r="R309" i="2"/>
  <c r="N309" i="2" s="1"/>
  <c r="R182" i="2"/>
  <c r="N182" i="2" s="1"/>
  <c r="W942" i="2"/>
  <c r="AL942" i="2" s="1"/>
  <c r="AM942" i="2" s="1"/>
  <c r="AG455" i="2"/>
  <c r="AG220" i="2"/>
  <c r="Q274" i="2"/>
  <c r="L274" i="2" s="1"/>
  <c r="AF89" i="2"/>
  <c r="AF555" i="2"/>
  <c r="AF591" i="2"/>
  <c r="Q911" i="2"/>
  <c r="L911" i="2" s="1"/>
  <c r="W160" i="2"/>
  <c r="AL160" i="2" s="1"/>
  <c r="AM160" i="2" s="1"/>
  <c r="AF1009" i="2"/>
  <c r="AG717" i="2"/>
  <c r="AF775" i="2"/>
  <c r="AF670" i="2"/>
  <c r="R513" i="2"/>
  <c r="N513" i="2" s="1"/>
  <c r="Q1202" i="2"/>
  <c r="L1202" i="2" s="1"/>
  <c r="W1086" i="2"/>
  <c r="AL1086" i="2" s="1"/>
  <c r="AM1086" i="2" s="1"/>
  <c r="AF1060" i="2"/>
  <c r="W42" i="2"/>
  <c r="AL42" i="2" s="1"/>
  <c r="AM42" i="2" s="1"/>
  <c r="AF829" i="2"/>
  <c r="AF1157" i="2"/>
  <c r="AF45" i="2"/>
  <c r="AF947" i="2"/>
  <c r="AG975" i="2"/>
  <c r="Q823" i="2"/>
  <c r="L823" i="2" s="1"/>
  <c r="W896" i="2"/>
  <c r="AL896" i="2" s="1"/>
  <c r="AM896" i="2" s="1"/>
  <c r="R863" i="2"/>
  <c r="N863" i="2" s="1"/>
  <c r="Z863" i="2" s="1"/>
  <c r="AN863" i="2" s="1"/>
  <c r="AO863" i="2" s="1"/>
  <c r="AF388" i="2"/>
  <c r="R1044" i="2"/>
  <c r="N1044" i="2" s="1"/>
  <c r="AF556" i="2"/>
  <c r="W1013" i="2"/>
  <c r="AL1013" i="2" s="1"/>
  <c r="AM1013" i="2" s="1"/>
  <c r="W485" i="2"/>
  <c r="AL485" i="2" s="1"/>
  <c r="AM485" i="2" s="1"/>
  <c r="W528" i="2"/>
  <c r="AL528" i="2" s="1"/>
  <c r="AM528" i="2" s="1"/>
  <c r="AG699" i="2"/>
  <c r="W389" i="2"/>
  <c r="AL389" i="2" s="1"/>
  <c r="AM389" i="2" s="1"/>
  <c r="Q180" i="2"/>
  <c r="L180" i="2" s="1"/>
  <c r="AG145" i="2"/>
  <c r="AG1186" i="2"/>
  <c r="W1073" i="2"/>
  <c r="AL1073" i="2" s="1"/>
  <c r="AM1073" i="2" s="1"/>
  <c r="AF64" i="2"/>
  <c r="AF896" i="2"/>
  <c r="R489" i="2"/>
  <c r="N489" i="2" s="1"/>
  <c r="AG1058" i="2"/>
  <c r="W525" i="2"/>
  <c r="AL525" i="2" s="1"/>
  <c r="AM525" i="2" s="1"/>
  <c r="W161" i="2"/>
  <c r="AL161" i="2" s="1"/>
  <c r="AM161" i="2" s="1"/>
  <c r="R904" i="2"/>
  <c r="N904" i="2" s="1"/>
  <c r="Z904" i="2" s="1"/>
  <c r="AN904" i="2" s="1"/>
  <c r="AO904" i="2" s="1"/>
  <c r="AG105" i="2"/>
  <c r="Q252" i="2"/>
  <c r="L252" i="2" s="1"/>
  <c r="R665" i="2"/>
  <c r="N665" i="2" s="1"/>
  <c r="AG148" i="2"/>
  <c r="AF275" i="2"/>
  <c r="AF813" i="2"/>
  <c r="R428" i="2"/>
  <c r="N428" i="2" s="1"/>
  <c r="Q115" i="2"/>
  <c r="L115" i="2" s="1"/>
  <c r="Q537" i="2"/>
  <c r="L537" i="2" s="1"/>
  <c r="AF407" i="2"/>
  <c r="AF885" i="2"/>
  <c r="R639" i="2"/>
  <c r="N639" i="2" s="1"/>
  <c r="R160" i="2"/>
  <c r="N160" i="2" s="1"/>
  <c r="W987" i="2"/>
  <c r="AL987" i="2" s="1"/>
  <c r="AM987" i="2" s="1"/>
  <c r="AF277" i="2"/>
  <c r="AG1068" i="2"/>
  <c r="AF514" i="2"/>
  <c r="W572" i="2"/>
  <c r="AL572" i="2" s="1"/>
  <c r="AM572" i="2" s="1"/>
  <c r="Q561" i="2"/>
  <c r="L561" i="2" s="1"/>
  <c r="Q1052" i="2"/>
  <c r="L1052" i="2" s="1"/>
  <c r="AF941" i="2"/>
  <c r="W608" i="2"/>
  <c r="AL608" i="2" s="1"/>
  <c r="AM608" i="2" s="1"/>
  <c r="Q623" i="2"/>
  <c r="L623" i="2" s="1"/>
  <c r="AF306" i="2"/>
  <c r="Q462" i="2"/>
  <c r="L462" i="2" s="1"/>
  <c r="W732" i="2"/>
  <c r="AL732" i="2" s="1"/>
  <c r="AM732" i="2" s="1"/>
  <c r="R139" i="2"/>
  <c r="N139" i="2" s="1"/>
  <c r="R445" i="2"/>
  <c r="N445" i="2" s="1"/>
  <c r="Z445" i="2" s="1"/>
  <c r="AN445" i="2" s="1"/>
  <c r="AO445" i="2" s="1"/>
  <c r="R155" i="2"/>
  <c r="N155" i="2" s="1"/>
  <c r="Z155" i="2" s="1"/>
  <c r="AN155" i="2" s="1"/>
  <c r="AO155" i="2" s="1"/>
  <c r="R859" i="2"/>
  <c r="N859" i="2" s="1"/>
  <c r="Q213" i="2"/>
  <c r="L213" i="2" s="1"/>
  <c r="R709" i="2"/>
  <c r="N709" i="2" s="1"/>
  <c r="W541" i="2"/>
  <c r="AL541" i="2" s="1"/>
  <c r="AM541" i="2" s="1"/>
  <c r="AG715" i="2"/>
  <c r="AF1104" i="2"/>
  <c r="W954" i="2"/>
  <c r="AL954" i="2" s="1"/>
  <c r="AM954" i="2" s="1"/>
  <c r="Q860" i="2"/>
  <c r="L860" i="2" s="1"/>
  <c r="W252" i="2"/>
  <c r="AL252" i="2" s="1"/>
  <c r="AM252" i="2" s="1"/>
  <c r="R893" i="2"/>
  <c r="N893" i="2" s="1"/>
  <c r="Z893" i="2" s="1"/>
  <c r="AN893" i="2" s="1"/>
  <c r="AO893" i="2" s="1"/>
  <c r="W757" i="2"/>
  <c r="AL757" i="2" s="1"/>
  <c r="AM757" i="2" s="1"/>
  <c r="AG238" i="2"/>
  <c r="AF678" i="2"/>
  <c r="AF989" i="2"/>
  <c r="AG825" i="2"/>
  <c r="AF76" i="2"/>
  <c r="W1181" i="2"/>
  <c r="AL1181" i="2" s="1"/>
  <c r="AM1181" i="2" s="1"/>
  <c r="AF20" i="2"/>
  <c r="W293" i="2"/>
  <c r="AL293" i="2" s="1"/>
  <c r="AM293" i="2" s="1"/>
  <c r="W839" i="2"/>
  <c r="AL839" i="2" s="1"/>
  <c r="AM839" i="2" s="1"/>
  <c r="R718" i="2"/>
  <c r="N718" i="2" s="1"/>
  <c r="R661" i="2"/>
  <c r="N661" i="2" s="1"/>
  <c r="W238" i="2"/>
  <c r="AL238" i="2" s="1"/>
  <c r="AM238" i="2" s="1"/>
  <c r="AF893" i="2"/>
  <c r="AG860" i="2"/>
  <c r="AF484" i="2"/>
  <c r="W508" i="2"/>
  <c r="AL508" i="2" s="1"/>
  <c r="AM508" i="2" s="1"/>
  <c r="AF82" i="2"/>
  <c r="W307" i="2"/>
  <c r="AL307" i="2" s="1"/>
  <c r="AM307" i="2" s="1"/>
  <c r="Q42" i="2"/>
  <c r="L42" i="2" s="1"/>
  <c r="Q559" i="2"/>
  <c r="L559" i="2" s="1"/>
  <c r="AF629" i="2"/>
  <c r="W637" i="2"/>
  <c r="AL637" i="2" s="1"/>
  <c r="AM637" i="2" s="1"/>
  <c r="W6" i="2"/>
  <c r="AL6" i="2" s="1"/>
  <c r="AM6" i="2" s="1"/>
  <c r="AF998" i="2"/>
  <c r="AF293" i="2"/>
  <c r="AF1162" i="2"/>
  <c r="R624" i="2"/>
  <c r="N624" i="2" s="1"/>
  <c r="Z624" i="2" s="1"/>
  <c r="AN624" i="2" s="1"/>
  <c r="AO624" i="2" s="1"/>
  <c r="W629" i="2"/>
  <c r="AL629" i="2" s="1"/>
  <c r="AM629" i="2" s="1"/>
  <c r="W30" i="2"/>
  <c r="AL30" i="2" s="1"/>
  <c r="AM30" i="2" s="1"/>
  <c r="AG926" i="2"/>
  <c r="Q829" i="2"/>
  <c r="L829" i="2" s="1"/>
  <c r="AF158" i="2"/>
  <c r="AG389" i="2"/>
  <c r="R1003" i="2"/>
  <c r="N1003" i="2" s="1"/>
  <c r="R212" i="2"/>
  <c r="N212" i="2" s="1"/>
  <c r="Z212" i="2" s="1"/>
  <c r="AN212" i="2" s="1"/>
  <c r="AO212" i="2" s="1"/>
  <c r="AG799" i="2"/>
  <c r="AF463" i="2"/>
  <c r="W455" i="2"/>
  <c r="AL455" i="2" s="1"/>
  <c r="AM455" i="2" s="1"/>
  <c r="AF665" i="2"/>
  <c r="R180" i="2"/>
  <c r="N180" i="2" s="1"/>
  <c r="W227" i="2"/>
  <c r="AL227" i="2" s="1"/>
  <c r="AM227" i="2" s="1"/>
  <c r="AF1098" i="2"/>
  <c r="Q781" i="2"/>
  <c r="L781" i="2" s="1"/>
  <c r="R426" i="2"/>
  <c r="N426" i="2" s="1"/>
  <c r="AG727" i="2"/>
  <c r="W932" i="2"/>
  <c r="AL932" i="2" s="1"/>
  <c r="AM932" i="2" s="1"/>
  <c r="R95" i="2"/>
  <c r="N95" i="2" s="1"/>
  <c r="Q908" i="2"/>
  <c r="L908" i="2" s="1"/>
  <c r="AF588" i="2"/>
  <c r="R886" i="2"/>
  <c r="N886" i="2" s="1"/>
  <c r="Q715" i="2"/>
  <c r="L715" i="2" s="1"/>
  <c r="R942" i="2"/>
  <c r="N942" i="2" s="1"/>
  <c r="AG1009" i="2"/>
  <c r="AG690" i="2"/>
  <c r="Q435" i="2"/>
  <c r="L435" i="2" s="1"/>
  <c r="AF489" i="2"/>
  <c r="W37" i="2"/>
  <c r="AL37" i="2" s="1"/>
  <c r="AM37" i="2" s="1"/>
  <c r="W537" i="2"/>
  <c r="AL537" i="2" s="1"/>
  <c r="AM537" i="2" s="1"/>
  <c r="AF721" i="2"/>
  <c r="R448" i="2"/>
  <c r="N448" i="2" s="1"/>
  <c r="Z448" i="2" s="1"/>
  <c r="AN448" i="2" s="1"/>
  <c r="AO448" i="2" s="1"/>
  <c r="AG462" i="2"/>
  <c r="AG587" i="2"/>
  <c r="AF784" i="2"/>
  <c r="W941" i="2"/>
  <c r="AL941" i="2" s="1"/>
  <c r="AM941" i="2" s="1"/>
  <c r="Q821" i="2"/>
  <c r="L821" i="2" s="1"/>
  <c r="AG323" i="2"/>
  <c r="W155" i="2"/>
  <c r="AL155" i="2" s="1"/>
  <c r="AM155" i="2" s="1"/>
  <c r="R429" i="2"/>
  <c r="N429" i="2" s="1"/>
  <c r="AG1000" i="2"/>
  <c r="W1088" i="2"/>
  <c r="AL1088" i="2" s="1"/>
  <c r="AM1088" i="2" s="1"/>
  <c r="W800" i="2"/>
  <c r="AL800" i="2" s="1"/>
  <c r="AM800" i="2" s="1"/>
  <c r="AF139" i="2"/>
  <c r="W1204" i="2"/>
  <c r="AL1204" i="2" s="1"/>
  <c r="AM1204" i="2" s="1"/>
  <c r="AF572" i="2"/>
  <c r="AF363" i="2"/>
  <c r="W1219" i="2"/>
  <c r="AL1219" i="2" s="1"/>
  <c r="AM1219" i="2" s="1"/>
  <c r="R926" i="2"/>
  <c r="N926" i="2" s="1"/>
  <c r="Q261" i="2"/>
  <c r="L261" i="2" s="1"/>
  <c r="W375" i="2"/>
  <c r="AL375" i="2" s="1"/>
  <c r="AM375" i="2" s="1"/>
  <c r="AF429" i="2"/>
  <c r="Q1143" i="2"/>
  <c r="L1143" i="2" s="1"/>
  <c r="AF17" i="2"/>
  <c r="W690" i="2"/>
  <c r="AL690" i="2" s="1"/>
  <c r="AM690" i="2" s="1"/>
  <c r="AG598" i="2"/>
  <c r="AF54" i="2"/>
  <c r="AG498" i="2"/>
  <c r="Q1126" i="2"/>
  <c r="L1126" i="2" s="1"/>
  <c r="Q361" i="2"/>
  <c r="L361" i="2" s="1"/>
  <c r="W787" i="2"/>
  <c r="AL787" i="2" s="1"/>
  <c r="AM787" i="2" s="1"/>
  <c r="W1230" i="2"/>
  <c r="AL1230" i="2" s="1"/>
  <c r="AM1230" i="2" s="1"/>
  <c r="R1068" i="2"/>
  <c r="N1068" i="2" s="1"/>
  <c r="R341" i="2"/>
  <c r="N341" i="2" s="1"/>
  <c r="W812" i="2"/>
  <c r="AL812" i="2" s="1"/>
  <c r="AM812" i="2" s="1"/>
  <c r="W361" i="2"/>
  <c r="AL361" i="2" s="1"/>
  <c r="AM361" i="2" s="1"/>
  <c r="W609" i="2"/>
  <c r="AL609" i="2" s="1"/>
  <c r="AM609" i="2" s="1"/>
  <c r="W20" i="2"/>
  <c r="AL20" i="2" s="1"/>
  <c r="AM20" i="2" s="1"/>
  <c r="AF1084" i="2"/>
  <c r="R1131" i="2"/>
  <c r="N1131" i="2" s="1"/>
  <c r="R333" i="2"/>
  <c r="N333" i="2" s="1"/>
  <c r="AG1109" i="2"/>
  <c r="R111" i="2"/>
  <c r="N111" i="2" s="1"/>
  <c r="AG510" i="2"/>
  <c r="AF1179" i="2"/>
  <c r="Q850" i="2"/>
  <c r="L850" i="2" s="1"/>
  <c r="W1142" i="2"/>
  <c r="AL1142" i="2" s="1"/>
  <c r="AM1142" i="2" s="1"/>
  <c r="AG954" i="2"/>
  <c r="AF90" i="2"/>
  <c r="AG541" i="2"/>
  <c r="AF909" i="2"/>
  <c r="AF806" i="2"/>
  <c r="AG325" i="2"/>
  <c r="R103" i="2"/>
  <c r="N103" i="2" s="1"/>
  <c r="W109" i="2"/>
  <c r="AL109" i="2" s="1"/>
  <c r="AM109" i="2" s="1"/>
  <c r="Q362" i="2"/>
  <c r="L362" i="2" s="1"/>
  <c r="Q376" i="2"/>
  <c r="L376" i="2" s="1"/>
  <c r="AF848" i="2"/>
  <c r="W575" i="2"/>
  <c r="AL575" i="2" s="1"/>
  <c r="AM575" i="2" s="1"/>
  <c r="Q454" i="2"/>
  <c r="L454" i="2" s="1"/>
  <c r="Q965" i="2"/>
  <c r="L965" i="2" s="1"/>
  <c r="W699" i="2"/>
  <c r="AL699" i="2" s="1"/>
  <c r="AM699" i="2" s="1"/>
  <c r="AF435" i="2"/>
  <c r="W145" i="2"/>
  <c r="AL145" i="2" s="1"/>
  <c r="AM145" i="2" s="1"/>
  <c r="R463" i="2"/>
  <c r="N463" i="2" s="1"/>
  <c r="AG1012" i="2"/>
  <c r="Q4" i="2"/>
  <c r="L4" i="2" s="1"/>
  <c r="W275" i="2"/>
  <c r="AL275" i="2" s="1"/>
  <c r="AM275" i="2" s="1"/>
  <c r="AF525" i="2"/>
  <c r="W964" i="2"/>
  <c r="AL964" i="2" s="1"/>
  <c r="AM964" i="2" s="1"/>
  <c r="AG407" i="2"/>
  <c r="AF376" i="2"/>
  <c r="Q1181" i="2"/>
  <c r="L1181" i="2" s="1"/>
  <c r="AF1109" i="2"/>
  <c r="Q1086" i="2"/>
  <c r="L1086" i="2" s="1"/>
  <c r="AG13" i="2"/>
  <c r="R30" i="2"/>
  <c r="N30" i="2" s="1"/>
  <c r="W948" i="2"/>
  <c r="AL948" i="2" s="1"/>
  <c r="AM948" i="2" s="1"/>
  <c r="AF237" i="2"/>
  <c r="W350" i="2"/>
  <c r="AL350" i="2" s="1"/>
  <c r="AM350" i="2" s="1"/>
  <c r="Q436" i="2"/>
  <c r="L436" i="2" s="1"/>
  <c r="W1071" i="2"/>
  <c r="AL1071" i="2" s="1"/>
  <c r="AM1071" i="2" s="1"/>
  <c r="Q617" i="2"/>
  <c r="L617" i="2" s="1"/>
  <c r="Q1048" i="2"/>
  <c r="L1048" i="2" s="1"/>
  <c r="R1104" i="2"/>
  <c r="N1104" i="2" s="1"/>
  <c r="W178" i="2"/>
  <c r="AL178" i="2" s="1"/>
  <c r="AM178" i="2" s="1"/>
  <c r="AG1084" i="2"/>
  <c r="AF868" i="2"/>
  <c r="R591" i="2"/>
  <c r="N591" i="2" s="1"/>
  <c r="R112" i="2"/>
  <c r="N112" i="2" s="1"/>
  <c r="W230" i="2"/>
  <c r="AL230" i="2" s="1"/>
  <c r="AM230" i="2" s="1"/>
  <c r="AF462" i="2"/>
  <c r="AF155" i="2"/>
  <c r="AF987" i="2"/>
  <c r="W698" i="2"/>
  <c r="AL698" i="2" s="1"/>
  <c r="AM698" i="2" s="1"/>
  <c r="AF502" i="2"/>
  <c r="AF5" i="2"/>
  <c r="AG375" i="2"/>
  <c r="AF1021" i="2"/>
  <c r="Q732" i="2"/>
  <c r="L732" i="2" s="1"/>
  <c r="AF1088" i="2"/>
  <c r="R1161" i="2"/>
  <c r="N1161" i="2" s="1"/>
  <c r="Q1157" i="2"/>
  <c r="L1157" i="2" s="1"/>
  <c r="AF364" i="2"/>
  <c r="AG528" i="2"/>
  <c r="W646" i="2"/>
  <c r="AL646" i="2" s="1"/>
  <c r="AM646" i="2" s="1"/>
  <c r="AF1055" i="2"/>
  <c r="W1172" i="2"/>
  <c r="AL1172" i="2" s="1"/>
  <c r="AM1172" i="2" s="1"/>
  <c r="W27" i="2"/>
  <c r="AL27" i="2" s="1"/>
  <c r="AM27" i="2" s="1"/>
  <c r="AF294" i="2"/>
  <c r="AG772" i="2"/>
  <c r="AG416" i="2"/>
  <c r="AF142" i="2"/>
  <c r="AG1098" i="2"/>
  <c r="AG911" i="2"/>
  <c r="AF216" i="2"/>
  <c r="Q341" i="2"/>
  <c r="L341" i="2" s="1"/>
  <c r="W278" i="2"/>
  <c r="AL278" i="2" s="1"/>
  <c r="AM278" i="2" s="1"/>
  <c r="AF1048" i="2"/>
  <c r="AF768" i="2"/>
  <c r="AG252" i="2"/>
  <c r="AF350" i="2"/>
  <c r="R622" i="2"/>
  <c r="N622" i="2" s="1"/>
  <c r="W63" i="2"/>
  <c r="AL63" i="2" s="1"/>
  <c r="AM63" i="2" s="1"/>
  <c r="W513" i="2"/>
  <c r="AL513" i="2" s="1"/>
  <c r="AM513" i="2" s="1"/>
  <c r="W365" i="2"/>
  <c r="AL365" i="2" s="1"/>
  <c r="AM365" i="2" s="1"/>
  <c r="AF1073" i="2"/>
  <c r="Q202" i="2"/>
  <c r="L202" i="2" s="1"/>
  <c r="AF928" i="2"/>
  <c r="Q63" i="2"/>
  <c r="L63" i="2" s="1"/>
  <c r="R294" i="2"/>
  <c r="N294" i="2" s="1"/>
  <c r="Z294" i="2" s="1"/>
  <c r="AN294" i="2" s="1"/>
  <c r="AO294" i="2" s="1"/>
  <c r="AF247" i="2"/>
  <c r="W89" i="2"/>
  <c r="AL89" i="2" s="1"/>
  <c r="AM89" i="2" s="1"/>
  <c r="AG341" i="2"/>
  <c r="R570" i="2"/>
  <c r="N570" i="2" s="1"/>
  <c r="AF1175" i="2"/>
  <c r="AF465" i="2"/>
  <c r="W692" i="2"/>
  <c r="AL692" i="2" s="1"/>
  <c r="AM692" i="2" s="1"/>
  <c r="AG180" i="2"/>
  <c r="Q491" i="2"/>
  <c r="L491" i="2" s="1"/>
  <c r="AF690" i="2"/>
  <c r="Q1175" i="2"/>
  <c r="L1175" i="2" s="1"/>
  <c r="Q298" i="2"/>
  <c r="L298" i="2" s="1"/>
  <c r="R1217" i="2"/>
  <c r="N1217" i="2" s="1"/>
  <c r="Z1217" i="2" s="1"/>
  <c r="AN1217" i="2" s="1"/>
  <c r="AO1217" i="2" s="1"/>
  <c r="AF825" i="2"/>
  <c r="Q591" i="2"/>
  <c r="L591" i="2" s="1"/>
  <c r="Q237" i="2"/>
  <c r="L237" i="2" s="1"/>
  <c r="W207" i="2"/>
  <c r="AL207" i="2" s="1"/>
  <c r="AM207" i="2" s="1"/>
  <c r="AF448" i="2"/>
  <c r="AG474" i="2"/>
  <c r="AF646" i="2"/>
  <c r="AG202" i="2"/>
  <c r="W775" i="2"/>
  <c r="AL775" i="2" s="1"/>
  <c r="AM775" i="2" s="1"/>
  <c r="W1114" i="2"/>
  <c r="AL1114" i="2" s="1"/>
  <c r="AM1114" i="2" s="1"/>
  <c r="AG1152" i="2"/>
  <c r="R519" i="2"/>
  <c r="N519" i="2" s="1"/>
  <c r="W543" i="2"/>
  <c r="AL543" i="2" s="1"/>
  <c r="AM543" i="2" s="1"/>
  <c r="AF717" i="2"/>
  <c r="W1179" i="2"/>
  <c r="AL1179" i="2" s="1"/>
  <c r="AM1179" i="2" s="1"/>
  <c r="AF575" i="2"/>
  <c r="AG566" i="2"/>
  <c r="AF361" i="2"/>
  <c r="W1069" i="2"/>
  <c r="AL1069" i="2" s="1"/>
  <c r="AM1069" i="2" s="1"/>
  <c r="AF1148" i="2"/>
  <c r="Q734" i="2"/>
  <c r="L734" i="2" s="1"/>
  <c r="R436" i="2"/>
  <c r="N436" i="2" s="1"/>
  <c r="AF1037" i="2"/>
  <c r="AF445" i="2"/>
  <c r="AG514" i="2"/>
  <c r="AF213" i="2"/>
  <c r="Q1000" i="2"/>
  <c r="L1000" i="2" s="1"/>
  <c r="AG1052" i="2"/>
  <c r="AF194" i="2"/>
  <c r="W1037" i="2"/>
  <c r="AL1037" i="2" s="1"/>
  <c r="AM1037" i="2" s="1"/>
  <c r="AG71" i="2"/>
  <c r="W780" i="2"/>
  <c r="AL780" i="2" s="1"/>
  <c r="AM780" i="2" s="1"/>
  <c r="AF836" i="2"/>
  <c r="W1189" i="2"/>
  <c r="AL1189" i="2" s="1"/>
  <c r="AM1189" i="2" s="1"/>
  <c r="AF969" i="2"/>
  <c r="W600" i="2"/>
  <c r="AL600" i="2" s="1"/>
  <c r="AM600" i="2" s="1"/>
  <c r="AG1229" i="2"/>
  <c r="W855" i="2"/>
  <c r="AL855" i="2" s="1"/>
  <c r="AM855" i="2" s="1"/>
  <c r="AF483" i="2"/>
  <c r="AF114" i="2"/>
  <c r="AF281" i="2"/>
  <c r="AG380" i="2"/>
  <c r="AG845" i="2"/>
  <c r="AF959" i="2"/>
  <c r="AF563" i="2"/>
  <c r="AG664" i="2"/>
  <c r="AG798" i="2"/>
  <c r="Q191" i="2"/>
  <c r="L191" i="2" s="1"/>
  <c r="AF676" i="2"/>
  <c r="W369" i="2"/>
  <c r="AL369" i="2" s="1"/>
  <c r="AM369" i="2" s="1"/>
  <c r="Q1117" i="2"/>
  <c r="L1117" i="2" s="1"/>
  <c r="Q855" i="2"/>
  <c r="L855" i="2" s="1"/>
  <c r="AG959" i="2"/>
  <c r="AF873" i="2"/>
  <c r="Q85" i="2"/>
  <c r="L85" i="2" s="1"/>
  <c r="AG483" i="2"/>
  <c r="AF521" i="2"/>
  <c r="W605" i="2"/>
  <c r="AL605" i="2" s="1"/>
  <c r="AM605" i="2" s="1"/>
  <c r="AG902" i="2"/>
  <c r="W959" i="2"/>
  <c r="AL959" i="2" s="1"/>
  <c r="AM959" i="2" s="1"/>
  <c r="W442" i="2"/>
  <c r="AL442" i="2" s="1"/>
  <c r="AM442" i="2" s="1"/>
  <c r="W1192" i="2"/>
  <c r="AL1192" i="2" s="1"/>
  <c r="AM1192" i="2" s="1"/>
  <c r="R521" i="2"/>
  <c r="N521" i="2" s="1"/>
  <c r="Z521" i="2" s="1"/>
  <c r="AN521" i="2" s="1"/>
  <c r="AO521" i="2" s="1"/>
  <c r="W753" i="2"/>
  <c r="AL753" i="2" s="1"/>
  <c r="AM753" i="2" s="1"/>
  <c r="AF605" i="2"/>
  <c r="AF845" i="2"/>
  <c r="AF1205" i="2"/>
  <c r="W598" i="2"/>
  <c r="AL598" i="2" s="1"/>
  <c r="AM598" i="2" s="1"/>
  <c r="W550" i="2"/>
  <c r="AL550" i="2" s="1"/>
  <c r="AM550" i="2" s="1"/>
  <c r="AF582" i="2"/>
  <c r="AF235" i="2"/>
  <c r="AF1177" i="2"/>
  <c r="AF598" i="2"/>
  <c r="Q1081" i="2"/>
  <c r="L1081" i="2" s="1"/>
  <c r="W330" i="2"/>
  <c r="AL330" i="2" s="1"/>
  <c r="AM330" i="2" s="1"/>
  <c r="R615" i="2"/>
  <c r="N615" i="2" s="1"/>
  <c r="W649" i="2"/>
  <c r="AL649" i="2" s="1"/>
  <c r="AM649" i="2" s="1"/>
  <c r="W968" i="2"/>
  <c r="AL968" i="2" s="1"/>
  <c r="AM968" i="2" s="1"/>
  <c r="AG353" i="2"/>
  <c r="Q550" i="2"/>
  <c r="L550" i="2" s="1"/>
  <c r="Q453" i="2"/>
  <c r="L453" i="2" s="1"/>
  <c r="Q798" i="2"/>
  <c r="L798" i="2" s="1"/>
  <c r="R633" i="2"/>
  <c r="N633" i="2" s="1"/>
  <c r="R1138" i="2"/>
  <c r="N1138" i="2" s="1"/>
  <c r="R1155" i="2"/>
  <c r="N1155" i="2" s="1"/>
  <c r="R1018" i="2"/>
  <c r="N1018" i="2" s="1"/>
  <c r="W563" i="2"/>
  <c r="AL563" i="2" s="1"/>
  <c r="AM563" i="2" s="1"/>
  <c r="AF811" i="2"/>
  <c r="R719" i="2"/>
  <c r="N719" i="2" s="1"/>
  <c r="R144" i="2"/>
  <c r="N144" i="2" s="1"/>
  <c r="W934" i="2"/>
  <c r="AL934" i="2" s="1"/>
  <c r="AM934" i="2" s="1"/>
  <c r="AF321" i="2"/>
  <c r="AF934" i="2"/>
  <c r="W943" i="2"/>
  <c r="AL943" i="2" s="1"/>
  <c r="AM943" i="2" s="1"/>
  <c r="W144" i="2"/>
  <c r="AL144" i="2" s="1"/>
  <c r="AM144" i="2" s="1"/>
  <c r="R605" i="2"/>
  <c r="N605" i="2" s="1"/>
  <c r="Z605" i="2" s="1"/>
  <c r="AN605" i="2" s="1"/>
  <c r="AO605" i="2" s="1"/>
  <c r="R1102" i="2"/>
  <c r="N1102" i="2" s="1"/>
  <c r="R29" i="2"/>
  <c r="N29" i="2" s="1"/>
  <c r="AF1018" i="2"/>
  <c r="Q982" i="2"/>
  <c r="L982" i="2" s="1"/>
  <c r="W664" i="2"/>
  <c r="AL664" i="2" s="1"/>
  <c r="AM664" i="2" s="1"/>
  <c r="W521" i="2"/>
  <c r="AL521" i="2" s="1"/>
  <c r="AM521" i="2" s="1"/>
  <c r="AG250" i="2"/>
  <c r="R934" i="2"/>
  <c r="N934" i="2" s="1"/>
  <c r="W204" i="2"/>
  <c r="AL204" i="2" s="1"/>
  <c r="AM204" i="2" s="1"/>
  <c r="R289" i="2"/>
  <c r="N289" i="2" s="1"/>
  <c r="AF1229" i="2"/>
  <c r="AG49" i="2"/>
  <c r="W928" i="2"/>
  <c r="AL928" i="2" s="1"/>
  <c r="AM928" i="2" s="1"/>
  <c r="AF691" i="2"/>
  <c r="W891" i="2"/>
  <c r="AL891" i="2" s="1"/>
  <c r="AM891" i="2" s="1"/>
  <c r="R1096" i="2"/>
  <c r="N1096" i="2" s="1"/>
  <c r="W1186" i="2"/>
  <c r="AL1186" i="2" s="1"/>
  <c r="AM1186" i="2" s="1"/>
  <c r="Q49" i="2"/>
  <c r="L49" i="2" s="1"/>
  <c r="Q727" i="2"/>
  <c r="L727" i="2" s="1"/>
  <c r="Q989" i="2"/>
  <c r="L989" i="2" s="1"/>
  <c r="R379" i="2"/>
  <c r="N379" i="2" s="1"/>
  <c r="W302" i="2"/>
  <c r="AL302" i="2" s="1"/>
  <c r="AM302" i="2" s="1"/>
  <c r="AF274" i="2"/>
  <c r="AG454" i="2"/>
  <c r="W1214" i="2"/>
  <c r="AL1214" i="2" s="1"/>
  <c r="AM1214" i="2" s="1"/>
  <c r="AG216" i="2"/>
  <c r="W781" i="2"/>
  <c r="AL781" i="2" s="1"/>
  <c r="AM781" i="2" s="1"/>
  <c r="W1148" i="2"/>
  <c r="AL1148" i="2" s="1"/>
  <c r="AM1148" i="2" s="1"/>
  <c r="R839" i="2"/>
  <c r="N839" i="2" s="1"/>
  <c r="R170" i="2"/>
  <c r="N170" i="2" s="1"/>
  <c r="AG127" i="2"/>
  <c r="R1073" i="2"/>
  <c r="N1073" i="2" s="1"/>
  <c r="AF1040" i="2"/>
  <c r="AF134" i="2"/>
  <c r="AF1090" i="2"/>
  <c r="W416" i="2"/>
  <c r="AL416" i="2" s="1"/>
  <c r="AM416" i="2" s="1"/>
  <c r="AF871" i="2"/>
  <c r="W828" i="2"/>
  <c r="AL828" i="2" s="1"/>
  <c r="AM828" i="2" s="1"/>
  <c r="W1040" i="2"/>
  <c r="AL1040" i="2" s="1"/>
  <c r="AM1040" i="2" s="1"/>
  <c r="AF220" i="2"/>
  <c r="W755" i="2"/>
  <c r="AL755" i="2" s="1"/>
  <c r="AM755" i="2" s="1"/>
  <c r="AF839" i="2"/>
  <c r="AF308" i="2"/>
  <c r="W247" i="2"/>
  <c r="AL247" i="2" s="1"/>
  <c r="AM247" i="2" s="1"/>
  <c r="W911" i="2"/>
  <c r="AL911" i="2" s="1"/>
  <c r="AM911" i="2" s="1"/>
  <c r="AF333" i="2"/>
  <c r="AG253" i="2"/>
  <c r="AF320" i="2"/>
  <c r="Q825" i="2"/>
  <c r="L825" i="2" s="1"/>
  <c r="W1078" i="2"/>
  <c r="AL1078" i="2" s="1"/>
  <c r="AM1078" i="2" s="1"/>
  <c r="AG932" i="2"/>
  <c r="W68" i="2"/>
  <c r="AL68" i="2" s="1"/>
  <c r="AM68" i="2" s="1"/>
  <c r="W971" i="2"/>
  <c r="AL971" i="2" s="1"/>
  <c r="AM971" i="2" s="1"/>
  <c r="W115" i="2"/>
  <c r="AL115" i="2" s="1"/>
  <c r="AM115" i="2" s="1"/>
  <c r="AG559" i="2"/>
  <c r="Q416" i="2"/>
  <c r="L416" i="2" s="1"/>
  <c r="AF389" i="2"/>
  <c r="R142" i="2"/>
  <c r="N142" i="2" s="1"/>
  <c r="AF278" i="2"/>
  <c r="Q609" i="2"/>
  <c r="L609" i="2" s="1"/>
  <c r="W398" i="2"/>
  <c r="AL398" i="2" s="1"/>
  <c r="AM398" i="2" s="1"/>
  <c r="AG1223" i="2"/>
  <c r="AG754" i="2"/>
  <c r="AG1202" i="2"/>
  <c r="R855" i="2"/>
  <c r="N855" i="2" s="1"/>
  <c r="AF498" i="2"/>
  <c r="W991" i="2"/>
  <c r="AL991" i="2" s="1"/>
  <c r="AM991" i="2" s="1"/>
  <c r="R508" i="2"/>
  <c r="N508" i="2" s="1"/>
  <c r="AF886" i="2"/>
  <c r="AF828" i="2"/>
  <c r="AF215" i="2"/>
  <c r="AF105" i="2"/>
  <c r="R1142" i="2"/>
  <c r="N1142" i="2" s="1"/>
  <c r="W474" i="2"/>
  <c r="AL474" i="2" s="1"/>
  <c r="AM474" i="2" s="1"/>
  <c r="AG308" i="2"/>
  <c r="AF496" i="2"/>
  <c r="W341" i="2"/>
  <c r="AL341" i="2" s="1"/>
  <c r="AM341" i="2" s="1"/>
  <c r="R941" i="2"/>
  <c r="N941" i="2" s="1"/>
  <c r="AF1082" i="2"/>
  <c r="Q587" i="2"/>
  <c r="L587" i="2" s="1"/>
  <c r="AG767" i="2"/>
  <c r="W149" i="2"/>
  <c r="AL149" i="2" s="1"/>
  <c r="AM149" i="2" s="1"/>
  <c r="AF1219" i="2"/>
  <c r="W1000" i="2"/>
  <c r="AL1000" i="2" s="1"/>
  <c r="AM1000" i="2" s="1"/>
  <c r="W438" i="2"/>
  <c r="AL438" i="2" s="1"/>
  <c r="AM438" i="2" s="1"/>
  <c r="AG784" i="2"/>
  <c r="AF478" i="2"/>
  <c r="W836" i="2"/>
  <c r="AL836" i="2" s="1"/>
  <c r="AM836" i="2" s="1"/>
  <c r="Q71" i="2"/>
  <c r="L71" i="2" s="1"/>
  <c r="AF950" i="2"/>
  <c r="Q44" i="2"/>
  <c r="L44" i="2" s="1"/>
  <c r="R296" i="2"/>
  <c r="N296" i="2" s="1"/>
  <c r="R502" i="2"/>
  <c r="N502" i="2" s="1"/>
  <c r="W58" i="2"/>
  <c r="AL58" i="2" s="1"/>
  <c r="AM58" i="2" s="1"/>
  <c r="AG546" i="2"/>
  <c r="AG682" i="2"/>
  <c r="R654" i="2"/>
  <c r="N654" i="2" s="1"/>
  <c r="R969" i="2"/>
  <c r="N969" i="2" s="1"/>
  <c r="AF379" i="2"/>
  <c r="AF13" i="2"/>
  <c r="AF1029" i="2"/>
  <c r="W248" i="2"/>
  <c r="AL248" i="2" s="1"/>
  <c r="AM248" i="2" s="1"/>
  <c r="AG42" i="2"/>
  <c r="AF182" i="2"/>
  <c r="AF455" i="2"/>
  <c r="W1029" i="2"/>
  <c r="AL1029" i="2" s="1"/>
  <c r="AM1029" i="2" s="1"/>
  <c r="W621" i="2"/>
  <c r="AL621" i="2" s="1"/>
  <c r="AM621" i="2" s="1"/>
  <c r="AG6" i="2"/>
  <c r="AG846" i="2"/>
  <c r="R1038" i="2"/>
  <c r="N1038" i="2" s="1"/>
  <c r="W436" i="2"/>
  <c r="AL436" i="2" s="1"/>
  <c r="AM436" i="2" s="1"/>
  <c r="Q796" i="2"/>
  <c r="L796" i="2" s="1"/>
  <c r="Q686" i="2"/>
  <c r="L686" i="2" s="1"/>
  <c r="R191" i="2"/>
  <c r="N191" i="2" s="1"/>
  <c r="Q216" i="2"/>
  <c r="L216" i="2" s="1"/>
  <c r="W652" i="2"/>
  <c r="AL652" i="2" s="1"/>
  <c r="AM652" i="2" s="1"/>
  <c r="W909" i="2"/>
  <c r="AL909" i="2" s="1"/>
  <c r="AM909" i="2" s="1"/>
  <c r="AF1058" i="2"/>
  <c r="W661" i="2"/>
  <c r="AL661" i="2" s="1"/>
  <c r="AM661" i="2" s="1"/>
  <c r="Q158" i="2"/>
  <c r="L158" i="2" s="1"/>
  <c r="Q828" i="2"/>
  <c r="L828" i="2" s="1"/>
  <c r="AF248" i="2"/>
  <c r="AG909" i="2"/>
  <c r="R691" i="2"/>
  <c r="N691" i="2" s="1"/>
  <c r="R936" i="2"/>
  <c r="N936" i="2" s="1"/>
  <c r="Z936" i="2" s="1"/>
  <c r="AN936" i="2" s="1"/>
  <c r="AO936" i="2" s="1"/>
  <c r="W989" i="2"/>
  <c r="AL989" i="2" s="1"/>
  <c r="AM989" i="2" s="1"/>
  <c r="R485" i="2"/>
  <c r="N485" i="2" s="1"/>
  <c r="AF325" i="2"/>
  <c r="Q1053" i="2"/>
  <c r="L1053" i="2" s="1"/>
  <c r="W73" i="2"/>
  <c r="AL73" i="2" s="1"/>
  <c r="AM73" i="2" s="1"/>
  <c r="Q1214" i="2"/>
  <c r="L1214" i="2" s="1"/>
  <c r="AF727" i="2"/>
  <c r="W586" i="2"/>
  <c r="AL586" i="2" s="1"/>
  <c r="AM586" i="2" s="1"/>
  <c r="W45" i="2"/>
  <c r="AL45" i="2" s="1"/>
  <c r="AM45" i="2" s="1"/>
  <c r="R194" i="2"/>
  <c r="N194" i="2" s="1"/>
  <c r="Z194" i="2" s="1"/>
  <c r="AN194" i="2" s="1"/>
  <c r="AO194" i="2" s="1"/>
  <c r="AG556" i="2"/>
  <c r="Q926" i="2"/>
  <c r="L926" i="2" s="1"/>
  <c r="R975" i="2"/>
  <c r="N975" i="2" s="1"/>
  <c r="AF49" i="2"/>
  <c r="W158" i="2"/>
  <c r="AL158" i="2" s="1"/>
  <c r="AM158" i="2" s="1"/>
  <c r="W1104" i="2"/>
  <c r="AL1104" i="2" s="1"/>
  <c r="AM1104" i="2" s="1"/>
  <c r="AG298" i="2"/>
  <c r="AG1126" i="2"/>
  <c r="R161" i="2"/>
  <c r="N161" i="2" s="1"/>
  <c r="W591" i="2"/>
  <c r="AL591" i="2" s="1"/>
  <c r="AM591" i="2" s="1"/>
  <c r="AG721" i="2"/>
  <c r="W929" i="2"/>
  <c r="AL929" i="2" s="1"/>
  <c r="AM929" i="2" s="1"/>
  <c r="R1162" i="2"/>
  <c r="N1162" i="2" s="1"/>
  <c r="Z1162" i="2" s="1"/>
  <c r="AN1162" i="2" s="1"/>
  <c r="AO1162" i="2" s="1"/>
  <c r="AF543" i="2"/>
  <c r="AG110" i="2"/>
  <c r="Q230" i="2"/>
  <c r="L230" i="2" s="1"/>
  <c r="W309" i="2"/>
  <c r="AL309" i="2" s="1"/>
  <c r="AM309" i="2" s="1"/>
  <c r="W660" i="2"/>
  <c r="AL660" i="2" s="1"/>
  <c r="AM660" i="2" s="1"/>
  <c r="W364" i="2"/>
  <c r="AL364" i="2" s="1"/>
  <c r="AM364" i="2" s="1"/>
  <c r="W484" i="2"/>
  <c r="AL484" i="2" s="1"/>
  <c r="AM484" i="2" s="1"/>
  <c r="AF710" i="2"/>
  <c r="R63" i="2"/>
  <c r="N63" i="2" s="1"/>
  <c r="Q439" i="2"/>
  <c r="L439" i="2" s="1"/>
  <c r="W559" i="2"/>
  <c r="AL559" i="2" s="1"/>
  <c r="AM559" i="2" s="1"/>
  <c r="W678" i="2"/>
  <c r="AL678" i="2" s="1"/>
  <c r="AM678" i="2" s="1"/>
  <c r="AF911" i="2"/>
  <c r="AF1014" i="2"/>
  <c r="W308" i="2"/>
  <c r="AL308" i="2" s="1"/>
  <c r="AM308" i="2" s="1"/>
  <c r="W496" i="2"/>
  <c r="AL496" i="2" s="1"/>
  <c r="AM496" i="2" s="1"/>
  <c r="W246" i="2"/>
  <c r="AL246" i="2" s="1"/>
  <c r="AM246" i="2" s="1"/>
  <c r="Q19" i="2"/>
  <c r="L19" i="2" s="1"/>
  <c r="W1021" i="2"/>
  <c r="AL1021" i="2" s="1"/>
  <c r="AM1021" i="2" s="1"/>
  <c r="W859" i="2"/>
  <c r="AL859" i="2" s="1"/>
  <c r="AM859" i="2" s="1"/>
  <c r="AF1000" i="2"/>
  <c r="W194" i="2"/>
  <c r="AL194" i="2" s="1"/>
  <c r="AM194" i="2" s="1"/>
  <c r="AF1189" i="2"/>
  <c r="AG261" i="2"/>
  <c r="R1088" i="2"/>
  <c r="N1088" i="2" s="1"/>
  <c r="AF149" i="2"/>
  <c r="W784" i="2"/>
  <c r="AL784" i="2" s="1"/>
  <c r="AM784" i="2" s="1"/>
  <c r="W112" i="2"/>
  <c r="AL112" i="2" s="1"/>
  <c r="AM112" i="2" s="1"/>
  <c r="W1143" i="2"/>
  <c r="AL1143" i="2" s="1"/>
  <c r="AM1143" i="2" s="1"/>
  <c r="Q682" i="2"/>
  <c r="L682" i="2" s="1"/>
  <c r="AG561" i="2"/>
  <c r="W323" i="2"/>
  <c r="AL323" i="2" s="1"/>
  <c r="AM323" i="2" s="1"/>
  <c r="R363" i="2"/>
  <c r="N363" i="2" s="1"/>
  <c r="Z363" i="2" s="1"/>
  <c r="AN363" i="2" s="1"/>
  <c r="AO363" i="2" s="1"/>
  <c r="R903" i="2"/>
  <c r="N903" i="2" s="1"/>
  <c r="Z903" i="2" s="1"/>
  <c r="AN903" i="2" s="1"/>
  <c r="AO903" i="2" s="1"/>
  <c r="AG608" i="2"/>
  <c r="Q323" i="2"/>
  <c r="L323" i="2" s="1"/>
  <c r="R354" i="2"/>
  <c r="N354" i="2" s="1"/>
  <c r="R149" i="2"/>
  <c r="N149" i="2" s="1"/>
  <c r="W622" i="2"/>
  <c r="AL622" i="2" s="1"/>
  <c r="AM622" i="2" s="1"/>
  <c r="R68" i="2"/>
  <c r="N68" i="2" s="1"/>
  <c r="W162" i="2"/>
  <c r="AL162" i="2" s="1"/>
  <c r="AM162" i="2" s="1"/>
  <c r="AF661" i="2"/>
  <c r="Q470" i="2"/>
  <c r="L470" i="2" s="1"/>
  <c r="AG63" i="2"/>
  <c r="R342" i="2"/>
  <c r="N342" i="2" s="1"/>
  <c r="W134" i="2"/>
  <c r="AL134" i="2" s="1"/>
  <c r="AM134" i="2" s="1"/>
  <c r="AF622" i="2"/>
  <c r="W532" i="2"/>
  <c r="AL532" i="2" s="1"/>
  <c r="AM532" i="2" s="1"/>
  <c r="AF238" i="2"/>
  <c r="AF755" i="2"/>
  <c r="AF362" i="2"/>
  <c r="AF103" i="2"/>
  <c r="Q523" i="2"/>
  <c r="L523" i="2" s="1"/>
  <c r="W448" i="2"/>
  <c r="AL448" i="2" s="1"/>
  <c r="AM448" i="2" s="1"/>
  <c r="R207" i="2"/>
  <c r="N207" i="2" s="1"/>
  <c r="W871" i="2"/>
  <c r="AL871" i="2" s="1"/>
  <c r="AM871" i="2" s="1"/>
  <c r="W374" i="2"/>
  <c r="AL374" i="2" s="1"/>
  <c r="AM374" i="2" s="1"/>
  <c r="AG274" i="2"/>
  <c r="AF385" i="2"/>
  <c r="W333" i="2"/>
  <c r="AL333" i="2" s="1"/>
  <c r="AM333" i="2" s="1"/>
  <c r="AF508" i="2"/>
  <c r="Q806" i="2"/>
  <c r="L806" i="2" s="1"/>
  <c r="AG439" i="2"/>
  <c r="AG331" i="2"/>
  <c r="W703" i="2"/>
  <c r="AL703" i="2" s="1"/>
  <c r="AM703" i="2" s="1"/>
  <c r="Q105" i="2"/>
  <c r="L105" i="2" s="1"/>
  <c r="W519" i="2"/>
  <c r="AL519" i="2" s="1"/>
  <c r="AM519" i="2" s="1"/>
  <c r="W662" i="2"/>
  <c r="AL662" i="2" s="1"/>
  <c r="AM662" i="2" s="1"/>
  <c r="W693" i="2"/>
  <c r="AL693" i="2" s="1"/>
  <c r="AM693" i="2" s="1"/>
  <c r="AG781" i="2"/>
  <c r="W823" i="2"/>
  <c r="AL823" i="2" s="1"/>
  <c r="AM823" i="2" s="1"/>
  <c r="Q269" i="2"/>
  <c r="L269" i="2" s="1"/>
  <c r="W212" i="2"/>
  <c r="AL212" i="2" s="1"/>
  <c r="AM212" i="2" s="1"/>
  <c r="Q703" i="2"/>
  <c r="L703" i="2" s="1"/>
  <c r="W724" i="2"/>
  <c r="AL724" i="2" s="1"/>
  <c r="AM724" i="2" s="1"/>
  <c r="AF1114" i="2"/>
  <c r="R73" i="2"/>
  <c r="N73" i="2" s="1"/>
  <c r="W949" i="2"/>
  <c r="AL949" i="2" s="1"/>
  <c r="AM949" i="2" s="1"/>
  <c r="Q82" i="2"/>
  <c r="L82" i="2" s="1"/>
  <c r="AF904" i="2"/>
  <c r="AF519" i="2"/>
  <c r="R275" i="2"/>
  <c r="N275" i="2" s="1"/>
  <c r="AF1126" i="2"/>
  <c r="AF406" i="2"/>
  <c r="AF908" i="2"/>
  <c r="AF207" i="2"/>
  <c r="AG269" i="2"/>
  <c r="AF73" i="2"/>
  <c r="AF1044" i="2"/>
  <c r="AF617" i="2"/>
  <c r="W24" i="2"/>
  <c r="AL24" i="2" s="1"/>
  <c r="AM24" i="2" s="1"/>
  <c r="Q1212" i="2"/>
  <c r="L1212" i="2" s="1"/>
  <c r="AG1157" i="2"/>
  <c r="R879" i="2"/>
  <c r="N879" i="2" s="1"/>
  <c r="W837" i="2"/>
  <c r="AL837" i="2" s="1"/>
  <c r="AM837" i="2" s="1"/>
  <c r="AG828" i="2"/>
  <c r="W439" i="2"/>
  <c r="AL439" i="2" s="1"/>
  <c r="AM439" i="2" s="1"/>
  <c r="R740" i="2"/>
  <c r="N740" i="2" s="1"/>
  <c r="Q991" i="2"/>
  <c r="L991" i="2" s="1"/>
  <c r="AG724" i="2"/>
  <c r="Q1084" i="2"/>
  <c r="L1084" i="2" s="1"/>
  <c r="W639" i="2"/>
  <c r="AL639" i="2" s="1"/>
  <c r="AM639" i="2" s="1"/>
  <c r="Q1069" i="2"/>
  <c r="L1069" i="2" s="1"/>
  <c r="W325" i="2"/>
  <c r="AL325" i="2" s="1"/>
  <c r="AM325" i="2" s="1"/>
  <c r="AF709" i="2"/>
  <c r="AF926" i="2"/>
  <c r="Q667" i="2"/>
  <c r="L667" i="2" s="1"/>
  <c r="Q987" i="2"/>
  <c r="L987" i="2" s="1"/>
  <c r="AF800" i="2"/>
  <c r="AG438" i="2"/>
  <c r="Q784" i="2"/>
  <c r="L784" i="2" s="1"/>
  <c r="AF918" i="2"/>
  <c r="AF71" i="2"/>
  <c r="Q546" i="2"/>
  <c r="L546" i="2" s="1"/>
  <c r="AF546" i="2"/>
  <c r="R1019" i="2"/>
  <c r="N1019" i="2" s="1"/>
  <c r="Z1019" i="2" s="1"/>
  <c r="AN1019" i="2" s="1"/>
  <c r="AO1019" i="2" s="1"/>
  <c r="W139" i="2"/>
  <c r="AL139" i="2" s="1"/>
  <c r="AM139" i="2" s="1"/>
  <c r="Q1223" i="2"/>
  <c r="L1223" i="2" s="1"/>
  <c r="Q145" i="2"/>
  <c r="L145" i="2" s="1"/>
  <c r="W470" i="2"/>
  <c r="AL470" i="2" s="1"/>
  <c r="AM470" i="2" s="1"/>
  <c r="Q498" i="2"/>
  <c r="L498" i="2" s="1"/>
  <c r="W435" i="2"/>
  <c r="AL435" i="2" s="1"/>
  <c r="AM435" i="2" s="1"/>
  <c r="AF799" i="2"/>
  <c r="AG703" i="2"/>
  <c r="Q917" i="2"/>
  <c r="L917" i="2" s="1"/>
  <c r="AF426" i="2"/>
  <c r="R307" i="2"/>
  <c r="N307" i="2" s="1"/>
  <c r="W665" i="2"/>
  <c r="AL665" i="2" s="1"/>
  <c r="AM665" i="2" s="1"/>
  <c r="AF523" i="2"/>
  <c r="AF796" i="2"/>
  <c r="AF398" i="2"/>
  <c r="R1170" i="2"/>
  <c r="N1170" i="2" s="1"/>
  <c r="R1148" i="2"/>
  <c r="N1148" i="2" s="1"/>
  <c r="R588" i="2"/>
  <c r="N588" i="2" s="1"/>
  <c r="Z588" i="2" s="1"/>
  <c r="AN588" i="2" s="1"/>
  <c r="AO588" i="2" s="1"/>
  <c r="W850" i="2"/>
  <c r="AL850" i="2" s="1"/>
  <c r="AM850" i="2" s="1"/>
  <c r="W90" i="2"/>
  <c r="AL90" i="2" s="1"/>
  <c r="AM90" i="2" s="1"/>
  <c r="AF1096" i="2"/>
  <c r="R1144" i="2"/>
  <c r="N1144" i="2" s="1"/>
  <c r="R90" i="2"/>
  <c r="N90" i="2" s="1"/>
  <c r="R27" i="2"/>
  <c r="N27" i="2" s="1"/>
  <c r="Z27" i="2" s="1"/>
  <c r="AN27" i="2" s="1"/>
  <c r="AO27" i="2" s="1"/>
  <c r="W1003" i="2"/>
  <c r="AL1003" i="2" s="1"/>
  <c r="AM1003" i="2" s="1"/>
  <c r="Q139" i="2"/>
  <c r="L139" i="2" s="1"/>
  <c r="W715" i="2"/>
  <c r="AL715" i="2" s="1"/>
  <c r="AM715" i="2" s="1"/>
  <c r="AF586" i="2"/>
  <c r="W1012" i="2"/>
  <c r="AL1012" i="2" s="1"/>
  <c r="AM1012" i="2" s="1"/>
  <c r="Q929" i="2"/>
  <c r="L929" i="2" s="1"/>
  <c r="W1053" i="2"/>
  <c r="AL1053" i="2" s="1"/>
  <c r="AM1053" i="2" s="1"/>
  <c r="Q89" i="2"/>
  <c r="L89" i="2" s="1"/>
  <c r="AF1053" i="2"/>
  <c r="AG686" i="2"/>
  <c r="AF971" i="2"/>
  <c r="Q1012" i="2"/>
  <c r="L1012" i="2" s="1"/>
  <c r="AG1230" i="2"/>
  <c r="AG374" i="2"/>
  <c r="AF621" i="2"/>
  <c r="R1114" i="2"/>
  <c r="N1114" i="2" s="1"/>
  <c r="AF162" i="2"/>
  <c r="W82" i="2"/>
  <c r="AL82" i="2" s="1"/>
  <c r="AM82" i="2" s="1"/>
  <c r="R837" i="2"/>
  <c r="N837" i="2" s="1"/>
  <c r="Z837" i="2" s="1"/>
  <c r="AN837" i="2" s="1"/>
  <c r="AO837" i="2" s="1"/>
  <c r="AF127" i="2"/>
  <c r="AF342" i="2"/>
  <c r="W998" i="2"/>
  <c r="AL998" i="2" s="1"/>
  <c r="AM998" i="2" s="1"/>
  <c r="AG796" i="2"/>
  <c r="AG885" i="2"/>
  <c r="W269" i="2"/>
  <c r="AL269" i="2" s="1"/>
  <c r="AM269" i="2" s="1"/>
  <c r="AF309" i="2"/>
  <c r="AF1086" i="2"/>
  <c r="W220" i="2"/>
  <c r="AL220" i="2" s="1"/>
  <c r="AM220" i="2" s="1"/>
  <c r="AF881" i="2"/>
  <c r="AF252" i="2"/>
  <c r="R501" i="2"/>
  <c r="N501" i="2" s="1"/>
  <c r="AG230" i="2"/>
  <c r="W1038" i="2"/>
  <c r="AL1038" i="2" s="1"/>
  <c r="AM1038" i="2" s="1"/>
  <c r="AG1175" i="2"/>
  <c r="AG1212" i="2"/>
  <c r="Q566" i="2"/>
  <c r="L566" i="2" s="1"/>
  <c r="AF624" i="2"/>
  <c r="AG734" i="2"/>
  <c r="AG73" i="2"/>
  <c r="W770" i="2"/>
  <c r="AL770" i="2" s="1"/>
  <c r="AM770" i="2" s="1"/>
  <c r="R1037" i="2"/>
  <c r="N1037" i="2" s="1"/>
  <c r="W478" i="2"/>
  <c r="AL478" i="2" s="1"/>
  <c r="AM478" i="2" s="1"/>
  <c r="W1052" i="2"/>
  <c r="AL1052" i="2" s="1"/>
  <c r="AM1052" i="2" s="1"/>
  <c r="AF780" i="2"/>
  <c r="AG277" i="2"/>
  <c r="AF667" i="2"/>
  <c r="W623" i="2"/>
  <c r="AL623" i="2" s="1"/>
  <c r="AM623" i="2" s="1"/>
  <c r="W213" i="2"/>
  <c r="AL213" i="2" s="1"/>
  <c r="AM213" i="2" s="1"/>
  <c r="AF375" i="2"/>
  <c r="Q608" i="2"/>
  <c r="L608" i="2" s="1"/>
  <c r="W654" i="2"/>
  <c r="AL654" i="2" s="1"/>
  <c r="AM654" i="2" s="1"/>
  <c r="W277" i="2"/>
  <c r="AL277" i="2" s="1"/>
  <c r="AM277" i="2" s="1"/>
  <c r="AF246" i="2"/>
  <c r="Q246" i="2"/>
  <c r="L246" i="2" s="1"/>
  <c r="AG1051" i="2"/>
  <c r="W29" i="2"/>
  <c r="AL29" i="2" s="1"/>
  <c r="AM29" i="2" s="1"/>
  <c r="AF85" i="2"/>
  <c r="AF719" i="2"/>
  <c r="Q873" i="2"/>
  <c r="L873" i="2" s="1"/>
  <c r="AF442" i="2"/>
  <c r="W380" i="2"/>
  <c r="AL380" i="2" s="1"/>
  <c r="AM380" i="2" s="1"/>
  <c r="AG330" i="2"/>
  <c r="AF250" i="2"/>
  <c r="AG915" i="2"/>
  <c r="AF395" i="2"/>
  <c r="W281" i="2"/>
  <c r="AL281" i="2" s="1"/>
  <c r="AM281" i="2" s="1"/>
  <c r="AF756" i="2"/>
  <c r="AG1081" i="2"/>
  <c r="AF510" i="2"/>
  <c r="W615" i="2"/>
  <c r="AL615" i="2" s="1"/>
  <c r="AM615" i="2" s="1"/>
  <c r="Q114" i="2"/>
  <c r="L114" i="2" s="1"/>
  <c r="AG1177" i="2"/>
  <c r="AF70" i="2"/>
  <c r="AF696" i="2"/>
  <c r="AF301" i="2"/>
  <c r="W21" i="2"/>
  <c r="AL21" i="2" s="1"/>
  <c r="AM21" i="2" s="1"/>
  <c r="W395" i="2"/>
  <c r="AL395" i="2" s="1"/>
  <c r="AM395" i="2" s="1"/>
  <c r="AF855" i="2"/>
  <c r="AG235" i="2"/>
  <c r="W510" i="2"/>
  <c r="AL510" i="2" s="1"/>
  <c r="AM510" i="2" s="1"/>
  <c r="AF943" i="2"/>
  <c r="AF339" i="2"/>
  <c r="AG85" i="2"/>
  <c r="W339" i="2"/>
  <c r="AL339" i="2" s="1"/>
  <c r="AM339" i="2" s="1"/>
  <c r="W469" i="2"/>
  <c r="AL469" i="2" s="1"/>
  <c r="AM469" i="2" s="1"/>
  <c r="R53" i="2"/>
  <c r="N53" i="2" s="1"/>
  <c r="W873" i="2"/>
  <c r="AL873" i="2" s="1"/>
  <c r="AM873" i="2" s="1"/>
  <c r="AF982" i="2"/>
  <c r="AF166" i="2"/>
  <c r="AG873" i="2"/>
  <c r="AF353" i="2"/>
  <c r="Q649" i="2"/>
  <c r="L649" i="2" s="1"/>
  <c r="AG1064" i="2"/>
  <c r="Q845" i="2"/>
  <c r="L845" i="2" s="1"/>
  <c r="W915" i="2"/>
  <c r="AL915" i="2" s="1"/>
  <c r="AM915" i="2" s="1"/>
  <c r="W1177" i="2"/>
  <c r="AL1177" i="2" s="1"/>
  <c r="AM1177" i="2" s="1"/>
  <c r="W301" i="2"/>
  <c r="AL301" i="2" s="1"/>
  <c r="AM301" i="2" s="1"/>
  <c r="R1127" i="2"/>
  <c r="N1127" i="2" s="1"/>
  <c r="W633" i="2"/>
  <c r="AL633" i="2" s="1"/>
  <c r="AM633" i="2" s="1"/>
  <c r="AG166" i="2"/>
  <c r="Q410" i="2"/>
  <c r="L410" i="2" s="1"/>
  <c r="W483" i="2"/>
  <c r="AL483" i="2" s="1"/>
  <c r="AM483" i="2" s="1"/>
  <c r="AF148" i="2"/>
  <c r="W1117" i="2"/>
  <c r="AL1117" i="2" s="1"/>
  <c r="AM1117" i="2" s="1"/>
  <c r="R204" i="2"/>
  <c r="N204" i="2" s="1"/>
  <c r="Z204" i="2" s="1"/>
  <c r="AN204" i="2" s="1"/>
  <c r="AO204" i="2" s="1"/>
  <c r="W782" i="2"/>
  <c r="AL782" i="2" s="1"/>
  <c r="AM782" i="2" s="1"/>
  <c r="R94" i="2"/>
  <c r="N94" i="2" s="1"/>
  <c r="W982" i="2"/>
  <c r="AL982" i="2" s="1"/>
  <c r="AM982" i="2" s="1"/>
  <c r="W845" i="2"/>
  <c r="AL845" i="2" s="1"/>
  <c r="AM845" i="2" s="1"/>
  <c r="R811" i="2"/>
  <c r="N811" i="2" s="1"/>
  <c r="R996" i="2"/>
  <c r="N996" i="2" s="1"/>
  <c r="Z996" i="2" s="1"/>
  <c r="AN996" i="2" s="1"/>
  <c r="AO996" i="2" s="1"/>
  <c r="R723" i="2"/>
  <c r="N723" i="2" s="1"/>
  <c r="W453" i="2"/>
  <c r="AL453" i="2" s="1"/>
  <c r="AM453" i="2" s="1"/>
  <c r="R369" i="2"/>
  <c r="N369" i="2" s="1"/>
  <c r="R424" i="2"/>
  <c r="N424" i="2" s="1"/>
  <c r="AG740" i="2"/>
  <c r="Q753" i="2"/>
  <c r="L753" i="2" s="1"/>
  <c r="R696" i="2"/>
  <c r="N696" i="2" s="1"/>
  <c r="AG44" i="2"/>
  <c r="AG191" i="2"/>
  <c r="AF826" i="2"/>
  <c r="AG550" i="2"/>
  <c r="AG11" i="2"/>
  <c r="Q469" i="2"/>
  <c r="L469" i="2" s="1"/>
  <c r="Q676" i="2"/>
  <c r="L676" i="2" s="1"/>
  <c r="AF94" i="2"/>
  <c r="AF902" i="2"/>
  <c r="AF633" i="2"/>
  <c r="AG114" i="2"/>
  <c r="AF330" i="2"/>
  <c r="W811" i="2"/>
  <c r="AL811" i="2" s="1"/>
  <c r="AM811" i="2" s="1"/>
  <c r="AF222" i="2"/>
  <c r="AG70" i="2"/>
  <c r="W1229" i="2"/>
  <c r="AL1229" i="2" s="1"/>
  <c r="AM1229" i="2" s="1"/>
  <c r="AG453" i="2"/>
  <c r="W723" i="2"/>
  <c r="AL723" i="2" s="1"/>
  <c r="AM723" i="2" s="1"/>
  <c r="W321" i="2"/>
  <c r="AL321" i="2" s="1"/>
  <c r="AM321" i="2" s="1"/>
  <c r="W696" i="2"/>
  <c r="AL696" i="2" s="1"/>
  <c r="AM696" i="2" s="1"/>
  <c r="W719" i="2"/>
  <c r="AL719" i="2" s="1"/>
  <c r="AM719" i="2" s="1"/>
  <c r="AG395" i="2"/>
  <c r="R510" i="2"/>
  <c r="N510" i="2" s="1"/>
  <c r="W125" i="2"/>
  <c r="AL125" i="2" s="1"/>
  <c r="AM125" i="2" s="1"/>
  <c r="AG248" i="2"/>
  <c r="W403" i="2"/>
  <c r="AL403" i="2" s="1"/>
  <c r="AM403" i="2" s="1"/>
  <c r="W858" i="2"/>
  <c r="AL858" i="2" s="1"/>
  <c r="AM858" i="2" s="1"/>
  <c r="W860" i="2"/>
  <c r="AL860" i="2" s="1"/>
  <c r="AM860" i="2" s="1"/>
  <c r="W825" i="2"/>
  <c r="AL825" i="2" s="1"/>
  <c r="AM825" i="2" s="1"/>
  <c r="W465" i="2"/>
  <c r="AL465" i="2" s="1"/>
  <c r="AM465" i="2" s="1"/>
  <c r="W1223" i="2"/>
  <c r="AL1223" i="2" s="1"/>
  <c r="AM1223" i="2" s="1"/>
  <c r="AF715" i="2"/>
  <c r="AF1012" i="2"/>
  <c r="Q586" i="2"/>
  <c r="L586" i="2" s="1"/>
  <c r="AG17" i="2"/>
  <c r="AF917" i="2"/>
  <c r="AG662" i="2"/>
  <c r="W1115" i="2"/>
  <c r="AL1115" i="2" s="1"/>
  <c r="AM1115" i="2" s="1"/>
  <c r="AF6" i="2"/>
  <c r="AG823" i="2"/>
  <c r="R64" i="2"/>
  <c r="N64" i="2" s="1"/>
  <c r="AF703" i="2"/>
  <c r="W198" i="2"/>
  <c r="AL198" i="2" s="1"/>
  <c r="AM198" i="2" s="1"/>
  <c r="AG82" i="2"/>
  <c r="Q17" i="2"/>
  <c r="L17" i="2" s="1"/>
  <c r="Q253" i="2"/>
  <c r="L253" i="2" s="1"/>
  <c r="AF660" i="2"/>
  <c r="R775" i="2"/>
  <c r="N775" i="2" s="1"/>
  <c r="R19" i="2"/>
  <c r="N19" i="2" s="1"/>
  <c r="R871" i="2"/>
  <c r="N871" i="2" s="1"/>
  <c r="R1090" i="2"/>
  <c r="N1090" i="2" s="1"/>
  <c r="W95" i="2"/>
  <c r="AL95" i="2" s="1"/>
  <c r="AM95" i="2" s="1"/>
  <c r="AF180" i="2"/>
  <c r="AG435" i="2"/>
  <c r="Q975" i="2"/>
  <c r="L975" i="2" s="1"/>
  <c r="AF929" i="2"/>
  <c r="AF693" i="2"/>
  <c r="R37" i="2"/>
  <c r="N37" i="2" s="1"/>
  <c r="Q690" i="2"/>
  <c r="L690" i="2" s="1"/>
  <c r="Q954" i="2"/>
  <c r="L954" i="2" s="1"/>
  <c r="AF724" i="2"/>
  <c r="Q543" i="2"/>
  <c r="L543" i="2" s="1"/>
  <c r="AG983" i="2"/>
  <c r="W406" i="2"/>
  <c r="AL406" i="2" s="1"/>
  <c r="AM406" i="2" s="1"/>
  <c r="Q1009" i="2"/>
  <c r="L1009" i="2" s="1"/>
  <c r="AG617" i="2"/>
  <c r="R365" i="2"/>
  <c r="N365" i="2" s="1"/>
  <c r="Z365" i="2" s="1"/>
  <c r="AN365" i="2" s="1"/>
  <c r="AO365" i="2" s="1"/>
  <c r="R126" i="2"/>
  <c r="N126" i="2" s="1"/>
  <c r="W215" i="2"/>
  <c r="AL215" i="2" s="1"/>
  <c r="AM215" i="2" s="1"/>
  <c r="W1090" i="2"/>
  <c r="AL1090" i="2" s="1"/>
  <c r="AM1090" i="2" s="1"/>
  <c r="AF151" i="2"/>
  <c r="R693" i="2"/>
  <c r="N693" i="2" s="1"/>
  <c r="W1131" i="2"/>
  <c r="AL1131" i="2" s="1"/>
  <c r="AM1131" i="2" s="1"/>
  <c r="R415" i="2"/>
  <c r="N415" i="2" s="1"/>
  <c r="R385" i="2"/>
  <c r="N385" i="2" s="1"/>
  <c r="Q1071" i="2"/>
  <c r="L1071" i="2" s="1"/>
  <c r="AF253" i="2"/>
  <c r="W1111" i="2"/>
  <c r="AL1111" i="2" s="1"/>
  <c r="AM1111" i="2" s="1"/>
  <c r="Q374" i="2"/>
  <c r="L374" i="2" s="1"/>
  <c r="W1055" i="2"/>
  <c r="AL1055" i="2" s="1"/>
  <c r="AM1055" i="2" s="1"/>
  <c r="AG54" i="2"/>
  <c r="R650" i="2"/>
  <c r="N650" i="2" s="1"/>
  <c r="Q1125" i="2"/>
  <c r="L1125" i="2" s="1"/>
  <c r="R1004" i="2"/>
  <c r="N1004" i="2" s="1"/>
  <c r="Q13" i="2"/>
  <c r="L13" i="2" s="1"/>
  <c r="AG115" i="2"/>
  <c r="AF1214" i="2"/>
  <c r="AF639" i="2"/>
  <c r="AG811" i="2"/>
  <c r="R6" i="2"/>
  <c r="N6" i="2" s="1"/>
  <c r="W363" i="2"/>
  <c r="AL363" i="2" s="1"/>
  <c r="AM363" i="2" s="1"/>
  <c r="AF261" i="2"/>
  <c r="AG572" i="2"/>
  <c r="W354" i="2"/>
  <c r="AL354" i="2" s="1"/>
  <c r="AM354" i="2" s="1"/>
  <c r="AG1037" i="2"/>
  <c r="W19" i="2"/>
  <c r="AL19" i="2" s="1"/>
  <c r="AM19" i="2" s="1"/>
  <c r="AF19" i="2"/>
  <c r="AF859" i="2"/>
  <c r="AF101" i="2"/>
  <c r="W306" i="2"/>
  <c r="AL306" i="2" s="1"/>
  <c r="AM306" i="2" s="1"/>
  <c r="AF1052" i="2"/>
  <c r="Q514" i="2"/>
  <c r="L514" i="2" s="1"/>
  <c r="Q572" i="2"/>
  <c r="L572" i="2" s="1"/>
  <c r="AF230" i="2"/>
  <c r="R1177" i="2"/>
  <c r="N1177" i="2" s="1"/>
  <c r="R698" i="2"/>
  <c r="N698" i="2" s="1"/>
  <c r="R478" i="2"/>
  <c r="N478" i="2" s="1"/>
  <c r="W1068" i="2"/>
  <c r="AL1068" i="2" s="1"/>
  <c r="AM1068" i="2" s="1"/>
  <c r="AF587" i="2"/>
  <c r="W821" i="2"/>
  <c r="AL821" i="2" s="1"/>
  <c r="AM821" i="2" s="1"/>
  <c r="R5" i="2"/>
  <c r="N5" i="2" s="1"/>
  <c r="R532" i="2"/>
  <c r="N532" i="2" s="1"/>
  <c r="R208" i="2"/>
  <c r="N208" i="2" s="1"/>
  <c r="R848" i="2"/>
  <c r="N848" i="2" s="1"/>
  <c r="AF212" i="2"/>
  <c r="W417" i="2"/>
  <c r="AL417" i="2" s="1"/>
  <c r="AM417" i="2" s="1"/>
  <c r="R404" i="2"/>
  <c r="N404" i="2" s="1"/>
  <c r="AF837" i="2"/>
  <c r="AG364" i="2"/>
  <c r="Q983" i="2"/>
  <c r="L983" i="2" s="1"/>
  <c r="Q598" i="2"/>
  <c r="L598" i="2" s="1"/>
  <c r="Q710" i="2"/>
  <c r="L710" i="2" s="1"/>
  <c r="W274" i="2"/>
  <c r="AL274" i="2" s="1"/>
  <c r="AM274" i="2" s="1"/>
  <c r="AF1225" i="2"/>
  <c r="W570" i="2"/>
  <c r="AL570" i="2" s="1"/>
  <c r="AM570" i="2" s="1"/>
  <c r="AG20" i="2"/>
  <c r="W64" i="2"/>
  <c r="AL64" i="2" s="1"/>
  <c r="AM64" i="2" s="1"/>
  <c r="AF91" i="2"/>
  <c r="AG670" i="2"/>
  <c r="AF1004" i="2"/>
  <c r="W904" i="2"/>
  <c r="AL904" i="2" s="1"/>
  <c r="AM904" i="2" s="1"/>
  <c r="AG4" i="2"/>
  <c r="AG741" i="2"/>
  <c r="AG917" i="2"/>
  <c r="Q541" i="2"/>
  <c r="L541" i="2" s="1"/>
  <c r="Q134" i="2"/>
  <c r="L134" i="2" s="1"/>
  <c r="Q1194" i="2"/>
  <c r="L1194" i="2" s="1"/>
  <c r="AF365" i="2"/>
  <c r="AF1186" i="2"/>
  <c r="W741" i="2"/>
  <c r="AL741" i="2" s="1"/>
  <c r="AM741" i="2" s="1"/>
  <c r="AF178" i="2"/>
  <c r="AF537" i="2"/>
  <c r="R1115" i="2"/>
  <c r="N1115" i="2" s="1"/>
  <c r="R496" i="2"/>
  <c r="N496" i="2" s="1"/>
  <c r="Q670" i="2"/>
  <c r="L670" i="2" s="1"/>
  <c r="W886" i="2"/>
  <c r="AL886" i="2" s="1"/>
  <c r="AM886" i="2" s="1"/>
  <c r="AF879" i="2"/>
  <c r="AG850" i="2"/>
  <c r="R1136" i="2"/>
  <c r="N1136" i="2" s="1"/>
  <c r="Z1136" i="2" s="1"/>
  <c r="AN1136" i="2" s="1"/>
  <c r="AO1136" i="2" s="1"/>
  <c r="AF1125" i="2"/>
  <c r="W1152" i="2"/>
  <c r="AL1152" i="2" s="1"/>
  <c r="AM1152" i="2" s="1"/>
  <c r="W182" i="2"/>
  <c r="AL182" i="2" s="1"/>
  <c r="AM182" i="2" s="1"/>
  <c r="AF850" i="2"/>
  <c r="W879" i="2"/>
  <c r="AL879" i="2" s="1"/>
  <c r="AM879" i="2" s="1"/>
  <c r="W202" i="2"/>
  <c r="AL202" i="2" s="1"/>
  <c r="AM202" i="2" s="1"/>
  <c r="Q220" i="2"/>
  <c r="L220" i="2" s="1"/>
  <c r="R192" i="2"/>
  <c r="N192" i="2" s="1"/>
  <c r="AF349" i="2"/>
  <c r="Q308" i="2"/>
  <c r="L308" i="2" s="1"/>
  <c r="Q721" i="2"/>
  <c r="L721" i="2" s="1"/>
  <c r="AG1071" i="2"/>
  <c r="AF1144" i="2"/>
  <c r="W788" i="2"/>
  <c r="AL788" i="2" s="1"/>
  <c r="AM788" i="2" s="1"/>
  <c r="W936" i="2"/>
  <c r="AL936" i="2" s="1"/>
  <c r="AM936" i="2" s="1"/>
  <c r="AG710" i="2"/>
  <c r="AG761" i="2"/>
  <c r="W253" i="2"/>
  <c r="AL253" i="2" s="1"/>
  <c r="AM253" i="2" s="1"/>
  <c r="AF1136" i="2"/>
  <c r="AF1142" i="2"/>
  <c r="R403" i="2"/>
  <c r="N403" i="2" s="1"/>
  <c r="Z403" i="2" s="1"/>
  <c r="AN403" i="2" s="1"/>
  <c r="AO403" i="2" s="1"/>
  <c r="AF983" i="2"/>
  <c r="AG964" i="2"/>
  <c r="R660" i="2"/>
  <c r="N660" i="2" s="1"/>
  <c r="W686" i="2"/>
  <c r="AL686" i="2" s="1"/>
  <c r="AM686" i="2" s="1"/>
  <c r="Q868" i="2"/>
  <c r="L868" i="2" s="1"/>
  <c r="Q293" i="2"/>
  <c r="L293" i="2" s="1"/>
  <c r="R227" i="2"/>
  <c r="N227" i="2" s="1"/>
  <c r="Q375" i="2"/>
  <c r="L375" i="2" s="1"/>
  <c r="W429" i="2"/>
  <c r="AL429" i="2" s="1"/>
  <c r="AM429" i="2" s="1"/>
  <c r="AF183" i="2"/>
  <c r="AG194" i="2"/>
  <c r="W667" i="2"/>
  <c r="AL667" i="2" s="1"/>
  <c r="AM667" i="2" s="1"/>
  <c r="AF1204" i="2"/>
  <c r="Q1068" i="2"/>
  <c r="L1068" i="2" s="1"/>
  <c r="Q748" i="2"/>
  <c r="L748" i="2" s="1"/>
  <c r="R869" i="2"/>
  <c r="N869" i="2" s="1"/>
  <c r="Z869" i="2" s="1"/>
  <c r="AN869" i="2" s="1"/>
  <c r="AO869" i="2" s="1"/>
  <c r="AF682" i="2"/>
  <c r="R1204" i="2"/>
  <c r="N1204" i="2" s="1"/>
  <c r="Z1204" i="2" s="1"/>
  <c r="AN1204" i="2" s="1"/>
  <c r="AO1204" i="2" s="1"/>
  <c r="AF748" i="2"/>
  <c r="W587" i="2"/>
  <c r="AL587" i="2" s="1"/>
  <c r="AM587" i="2" s="1"/>
  <c r="AG246" i="2"/>
  <c r="Q438" i="2"/>
  <c r="L438" i="2" s="1"/>
  <c r="AF58" i="2"/>
  <c r="R395" i="2"/>
  <c r="N395" i="2" s="1"/>
  <c r="W261" i="2"/>
  <c r="AL261" i="2" s="1"/>
  <c r="AM261" i="2" s="1"/>
  <c r="AG19" i="2"/>
  <c r="AF31" i="2"/>
  <c r="R918" i="2"/>
  <c r="N918" i="2" s="1"/>
  <c r="R600" i="2"/>
  <c r="N600" i="2" s="1"/>
  <c r="R808" i="2"/>
  <c r="N808" i="2" s="1"/>
  <c r="W170" i="2"/>
  <c r="AL170" i="2" s="1"/>
  <c r="AM170" i="2" s="1"/>
  <c r="AF991" i="2"/>
  <c r="R692" i="2"/>
  <c r="N692" i="2" s="1"/>
  <c r="AF1078" i="2"/>
  <c r="AF115" i="2"/>
  <c r="R320" i="2"/>
  <c r="N320" i="2" s="1"/>
  <c r="AG586" i="2"/>
  <c r="Q1152" i="2"/>
  <c r="L1152" i="2" s="1"/>
  <c r="W388" i="2"/>
  <c r="AL388" i="2" s="1"/>
  <c r="AM388" i="2" s="1"/>
  <c r="W727" i="2"/>
  <c r="AL727" i="2" s="1"/>
  <c r="AM727" i="2" s="1"/>
  <c r="W180" i="2"/>
  <c r="AL180" i="2" s="1"/>
  <c r="AM180" i="2" s="1"/>
  <c r="W644" i="2"/>
  <c r="AL644" i="2" s="1"/>
  <c r="AM644" i="2" s="1"/>
  <c r="AG929" i="2"/>
  <c r="W947" i="2"/>
  <c r="AL947" i="2" s="1"/>
  <c r="AM947" i="2" s="1"/>
  <c r="W376" i="2"/>
  <c r="AL376" i="2" s="1"/>
  <c r="AM376" i="2" s="1"/>
  <c r="W555" i="2"/>
  <c r="AL555" i="2" s="1"/>
  <c r="AM555" i="2" s="1"/>
  <c r="W1144" i="2"/>
  <c r="AL1144" i="2" s="1"/>
  <c r="AM1144" i="2" s="1"/>
  <c r="AG829" i="2"/>
  <c r="AF331" i="2"/>
  <c r="AG757" i="2"/>
  <c r="Q6" i="2"/>
  <c r="L6" i="2" s="1"/>
  <c r="AF932" i="2"/>
  <c r="AF954" i="2"/>
  <c r="Q1142" i="2"/>
  <c r="L1142" i="2" s="1"/>
  <c r="AG965" i="2"/>
  <c r="AF772" i="2"/>
  <c r="W13" i="2"/>
  <c r="AL13" i="2" s="1"/>
  <c r="AM13" i="2" s="1"/>
  <c r="W761" i="2"/>
  <c r="AL761" i="2" s="1"/>
  <c r="AM761" i="2" s="1"/>
  <c r="AG1069" i="2"/>
  <c r="AG537" i="2"/>
  <c r="AF863" i="2"/>
  <c r="R109" i="2"/>
  <c r="N109" i="2" s="1"/>
  <c r="Z109" i="2" s="1"/>
  <c r="AN109" i="2" s="1"/>
  <c r="AO109" i="2" s="1"/>
  <c r="Q1111" i="2"/>
  <c r="L1111" i="2" s="1"/>
  <c r="R198" i="2"/>
  <c r="N198" i="2" s="1"/>
  <c r="Q484" i="2"/>
  <c r="L484" i="2" s="1"/>
  <c r="Q127" i="2"/>
  <c r="L127" i="2" s="1"/>
  <c r="W1109" i="2"/>
  <c r="AL1109" i="2" s="1"/>
  <c r="AM1109" i="2" s="1"/>
  <c r="AF27" i="2"/>
  <c r="W908" i="2"/>
  <c r="AL908" i="2" s="1"/>
  <c r="AM908" i="2" s="1"/>
  <c r="AG1142" i="2"/>
  <c r="AF652" i="2"/>
  <c r="R406" i="2"/>
  <c r="N406" i="2" s="1"/>
  <c r="AG1179" i="2"/>
  <c r="Q110" i="2"/>
  <c r="L110" i="2" s="1"/>
  <c r="Q741" i="2"/>
  <c r="L741" i="2" s="1"/>
  <c r="AF770" i="2"/>
  <c r="AF975" i="2"/>
  <c r="AF1181" i="2"/>
  <c r="W754" i="2"/>
  <c r="AL754" i="2" s="1"/>
  <c r="AM754" i="2" s="1"/>
  <c r="AF501" i="2"/>
  <c r="AF1212" i="2"/>
  <c r="R948" i="2"/>
  <c r="N948" i="2" s="1"/>
  <c r="R971" i="2"/>
  <c r="N971" i="2" s="1"/>
  <c r="AF485" i="2"/>
  <c r="W893" i="2"/>
  <c r="AL893" i="2" s="1"/>
  <c r="AM893" i="2" s="1"/>
  <c r="W1164" i="2"/>
  <c r="AL1164" i="2" s="1"/>
  <c r="AM1164" i="2" s="1"/>
  <c r="AF1217" i="2"/>
  <c r="W426" i="2"/>
  <c r="AL426" i="2" s="1"/>
  <c r="AM426" i="2" s="1"/>
  <c r="R525" i="2"/>
  <c r="N525" i="2" s="1"/>
  <c r="AG806" i="2"/>
  <c r="W721" i="2"/>
  <c r="AL721" i="2" s="1"/>
  <c r="AM721" i="2" s="1"/>
  <c r="AG523" i="2"/>
  <c r="W151" i="2"/>
  <c r="AL151" i="2" s="1"/>
  <c r="AM151" i="2" s="1"/>
  <c r="AF644" i="2"/>
  <c r="W1014" i="2"/>
  <c r="AL1014" i="2" s="1"/>
  <c r="AM1014" i="2" s="1"/>
  <c r="AF438" i="2"/>
  <c r="AF354" i="2"/>
  <c r="AG213" i="2"/>
  <c r="AF654" i="2"/>
  <c r="W648" i="2"/>
  <c r="AL648" i="2" s="1"/>
  <c r="AM648" i="2" s="1"/>
  <c r="W1123" i="2"/>
  <c r="AL1123" i="2" s="1"/>
  <c r="AM1123" i="2" s="1"/>
  <c r="Q1105" i="2"/>
  <c r="L1105" i="2" s="1"/>
  <c r="R780" i="2"/>
  <c r="N780" i="2" s="1"/>
  <c r="Q1189" i="2"/>
  <c r="L1189" i="2" s="1"/>
  <c r="AF541" i="2"/>
  <c r="W950" i="2"/>
  <c r="AL950" i="2" s="1"/>
  <c r="AM950" i="2" s="1"/>
  <c r="AF600" i="2"/>
  <c r="Q455" i="2"/>
  <c r="L455" i="2" s="1"/>
  <c r="R388" i="2"/>
  <c r="N388" i="2" s="1"/>
  <c r="W142" i="2"/>
  <c r="AL142" i="2" s="1"/>
  <c r="AM142" i="2" s="1"/>
  <c r="W881" i="2"/>
  <c r="AL881" i="2" s="1"/>
  <c r="AM881" i="2" s="1"/>
  <c r="R748" i="2"/>
  <c r="N748" i="2" s="1"/>
  <c r="AF208" i="2"/>
  <c r="R1192" i="2"/>
  <c r="N1192" i="2" s="1"/>
  <c r="AF328" i="2"/>
  <c r="W710" i="2"/>
  <c r="AL710" i="2" s="1"/>
  <c r="AM710" i="2" s="1"/>
  <c r="R331" i="2"/>
  <c r="N331" i="2" s="1"/>
  <c r="AF202" i="2"/>
  <c r="W604" i="2"/>
  <c r="AL604" i="2" s="1"/>
  <c r="AM604" i="2" s="1"/>
  <c r="Q325" i="2"/>
  <c r="L325" i="2" s="1"/>
  <c r="Q555" i="2"/>
  <c r="L555" i="2" s="1"/>
  <c r="AG1181" i="2"/>
  <c r="R1225" i="2"/>
  <c r="N1225" i="2" s="1"/>
  <c r="Z1225" i="2" s="1"/>
  <c r="AN1225" i="2" s="1"/>
  <c r="AO1225" i="2" s="1"/>
  <c r="W523" i="2"/>
  <c r="AL523" i="2" s="1"/>
  <c r="AM523" i="2" s="1"/>
  <c r="W54" i="2"/>
  <c r="AL54" i="2" s="1"/>
  <c r="AM54" i="2" s="1"/>
  <c r="R652" i="2"/>
  <c r="N652" i="2" s="1"/>
  <c r="AF1013" i="2"/>
  <c r="W1136" i="2"/>
  <c r="AL1136" i="2" s="1"/>
  <c r="AM1136" i="2" s="1"/>
  <c r="R788" i="2"/>
  <c r="N788" i="2" s="1"/>
  <c r="R858" i="2"/>
  <c r="N858" i="2" s="1"/>
  <c r="W298" i="2"/>
  <c r="AL298" i="2" s="1"/>
  <c r="AM298" i="2" s="1"/>
  <c r="AG162" i="2"/>
  <c r="R465" i="2"/>
  <c r="N465" i="2" s="1"/>
  <c r="Z465" i="2" s="1"/>
  <c r="AN465" i="2" s="1"/>
  <c r="AO465" i="2" s="1"/>
  <c r="W385" i="2"/>
  <c r="AL385" i="2" s="1"/>
  <c r="AM385" i="2" s="1"/>
  <c r="Q754" i="2"/>
  <c r="L754" i="2" s="1"/>
  <c r="W208" i="2"/>
  <c r="AL208" i="2" s="1"/>
  <c r="AM208" i="2" s="1"/>
  <c r="R278" i="2"/>
  <c r="N278" i="2" s="1"/>
  <c r="Q811" i="2"/>
  <c r="L811" i="2" s="1"/>
  <c r="AF686" i="2"/>
  <c r="W468" i="2"/>
  <c r="AL468" i="2" s="1"/>
  <c r="AM468" i="2" s="1"/>
  <c r="R486" i="2"/>
  <c r="N486" i="2" s="1"/>
  <c r="AF68" i="2"/>
  <c r="R24" i="2"/>
  <c r="N24" i="2" s="1"/>
  <c r="AF439" i="2"/>
  <c r="AF161" i="2"/>
  <c r="R537" i="2"/>
  <c r="N537" i="2" s="1"/>
  <c r="AF4" i="2"/>
  <c r="R575" i="2"/>
  <c r="N575" i="2" s="1"/>
  <c r="Z575" i="2" s="1"/>
  <c r="AN575" i="2" s="1"/>
  <c r="AO575" i="2" s="1"/>
  <c r="Q1027" i="2"/>
  <c r="L1027" i="2" s="1"/>
  <c r="Q699" i="2"/>
  <c r="L699" i="2" s="1"/>
  <c r="W379" i="2"/>
  <c r="AL379" i="2" s="1"/>
  <c r="AM379" i="2" s="1"/>
  <c r="W237" i="2"/>
  <c r="AL237" i="2" s="1"/>
  <c r="AM237" i="2" s="1"/>
  <c r="AF823" i="2"/>
  <c r="AF1115" i="2"/>
  <c r="W624" i="2"/>
  <c r="AL624" i="2" s="1"/>
  <c r="AM624" i="2" s="1"/>
  <c r="Q178" i="2"/>
  <c r="L178" i="2" s="1"/>
  <c r="AG989" i="2"/>
  <c r="Q846" i="2"/>
  <c r="L846" i="2" s="1"/>
  <c r="W1212" i="2"/>
  <c r="AL1212" i="2" s="1"/>
  <c r="AM1212" i="2" s="1"/>
  <c r="AG1094" i="2"/>
  <c r="Q331" i="2"/>
  <c r="L331" i="2" s="1"/>
  <c r="AG1194" i="2"/>
  <c r="AF1071" i="2"/>
  <c r="AF949" i="2"/>
  <c r="AG470" i="2"/>
  <c r="R215" i="2"/>
  <c r="N215" i="2" s="1"/>
  <c r="W1125" i="2"/>
  <c r="AL1125" i="2" s="1"/>
  <c r="AM1125" i="2" s="1"/>
  <c r="W415" i="2"/>
  <c r="AL415" i="2" s="1"/>
  <c r="AM415" i="2" s="1"/>
  <c r="AF1170" i="2"/>
  <c r="W868" i="2"/>
  <c r="AL868" i="2" s="1"/>
  <c r="AM868" i="2" s="1"/>
  <c r="R151" i="2"/>
  <c r="N151" i="2" s="1"/>
  <c r="Z151" i="2" s="1"/>
  <c r="AN151" i="2" s="1"/>
  <c r="AO151" i="2" s="1"/>
  <c r="R398" i="2"/>
  <c r="N398" i="2" s="1"/>
  <c r="Z398" i="2" s="1"/>
  <c r="AN398" i="2" s="1"/>
  <c r="AO398" i="2" s="1"/>
  <c r="Q306" i="2"/>
  <c r="L306" i="2" s="1"/>
  <c r="W969" i="2"/>
  <c r="AL969" i="2" s="1"/>
  <c r="AM969" i="2" s="1"/>
  <c r="AG1138" i="2"/>
  <c r="AG732" i="2"/>
  <c r="W682" i="2"/>
  <c r="AL682" i="2" s="1"/>
  <c r="AM682" i="2" s="1"/>
  <c r="AG58" i="2"/>
  <c r="AF323" i="2"/>
  <c r="Q800" i="2"/>
  <c r="L800" i="2" s="1"/>
  <c r="AG1189" i="2"/>
  <c r="W296" i="2"/>
  <c r="AL296" i="2" s="1"/>
  <c r="AM296" i="2" s="1"/>
  <c r="W869" i="2"/>
  <c r="AL869" i="2" s="1"/>
  <c r="AM869" i="2" s="1"/>
  <c r="W71" i="2"/>
  <c r="AL71" i="2" s="1"/>
  <c r="AM71" i="2" s="1"/>
  <c r="AF698" i="2"/>
  <c r="AF615" i="2"/>
  <c r="AG222" i="2"/>
  <c r="W250" i="2"/>
  <c r="AL250" i="2" s="1"/>
  <c r="AM250" i="2" s="1"/>
  <c r="AF1027" i="2"/>
  <c r="AG982" i="2"/>
  <c r="AF424" i="2"/>
  <c r="AF144" i="2"/>
  <c r="AF968" i="2"/>
  <c r="AF1192" i="2"/>
  <c r="AG469" i="2"/>
  <c r="W756" i="2"/>
  <c r="AL756" i="2" s="1"/>
  <c r="AM756" i="2" s="1"/>
  <c r="AF469" i="2"/>
  <c r="AF782" i="2"/>
  <c r="Q1192" i="2"/>
  <c r="L1192" i="2" s="1"/>
  <c r="AF125" i="2"/>
  <c r="R782" i="2"/>
  <c r="N782" i="2" s="1"/>
  <c r="Q330" i="2"/>
  <c r="L330" i="2" s="1"/>
  <c r="AF11" i="2"/>
  <c r="Q222" i="2"/>
  <c r="L222" i="2" s="1"/>
  <c r="Q740" i="2"/>
  <c r="L740" i="2" s="1"/>
  <c r="Q11" i="2"/>
  <c r="L11" i="2" s="1"/>
  <c r="Q664" i="2"/>
  <c r="L664" i="2" s="1"/>
  <c r="AG410" i="2"/>
  <c r="AF1102" i="2"/>
  <c r="AF1117" i="2"/>
  <c r="W222" i="2"/>
  <c r="AL222" i="2" s="1"/>
  <c r="AM222" i="2" s="1"/>
  <c r="AF535" i="2"/>
  <c r="Q535" i="2"/>
  <c r="L535" i="2" s="1"/>
  <c r="Q250" i="2"/>
  <c r="L250" i="2" s="1"/>
  <c r="Q70" i="2"/>
  <c r="L70" i="2" s="1"/>
  <c r="Q1064" i="2"/>
  <c r="L1064" i="2" s="1"/>
  <c r="W826" i="2"/>
  <c r="AL826" i="2" s="1"/>
  <c r="AM826" i="2" s="1"/>
  <c r="Q1051" i="2"/>
  <c r="L1051" i="2" s="1"/>
  <c r="W424" i="2"/>
  <c r="AL424" i="2" s="1"/>
  <c r="AM424" i="2" s="1"/>
  <c r="W1155" i="2"/>
  <c r="AL1155" i="2" s="1"/>
  <c r="AM1155" i="2" s="1"/>
  <c r="AF191" i="2"/>
  <c r="AG1117" i="2"/>
  <c r="AF723" i="2"/>
  <c r="AG649" i="2"/>
  <c r="Q235" i="2"/>
  <c r="L235" i="2" s="1"/>
  <c r="AG855" i="2"/>
  <c r="W114" i="2"/>
  <c r="AL114" i="2" s="1"/>
  <c r="AM114" i="2" s="1"/>
  <c r="W1081" i="2"/>
  <c r="AL1081" i="2" s="1"/>
  <c r="AM1081" i="2" s="1"/>
  <c r="AF204" i="2"/>
  <c r="AF1081" i="2"/>
  <c r="W1064" i="2"/>
  <c r="AL1064" i="2" s="1"/>
  <c r="AM1064" i="2" s="1"/>
  <c r="W235" i="2"/>
  <c r="AL235" i="2" s="1"/>
  <c r="AM235" i="2" s="1"/>
  <c r="W353" i="2"/>
  <c r="AL353" i="2" s="1"/>
  <c r="AM353" i="2" s="1"/>
  <c r="W582" i="2"/>
  <c r="AL582" i="2" s="1"/>
  <c r="AM582" i="2" s="1"/>
  <c r="W410" i="2"/>
  <c r="AL410" i="2" s="1"/>
  <c r="AM410" i="2" s="1"/>
  <c r="Q1177" i="2"/>
  <c r="L1177" i="2" s="1"/>
  <c r="AF753" i="2"/>
  <c r="AF21" i="2"/>
  <c r="R321" i="2"/>
  <c r="N321" i="2" s="1"/>
  <c r="Z321" i="2" s="1"/>
  <c r="AN321" i="2" s="1"/>
  <c r="AO321" i="2" s="1"/>
  <c r="W148" i="2"/>
  <c r="AL148" i="2" s="1"/>
  <c r="AM148" i="2" s="1"/>
  <c r="R1205" i="2"/>
  <c r="N1205" i="2" s="1"/>
  <c r="R968" i="2"/>
  <c r="N968" i="2" s="1"/>
  <c r="AF649" i="2"/>
  <c r="Q166" i="2"/>
  <c r="L166" i="2" s="1"/>
  <c r="Q483" i="2"/>
  <c r="L483" i="2" s="1"/>
  <c r="R1027" i="2"/>
  <c r="N1027" i="2" s="1"/>
  <c r="R598" i="2"/>
  <c r="N598" i="2" s="1"/>
  <c r="Z598" i="2" s="1"/>
  <c r="AN598" i="2" s="1"/>
  <c r="AO598" i="2" s="1"/>
  <c r="AF1138" i="2"/>
  <c r="Q395" i="2"/>
  <c r="L395" i="2" s="1"/>
  <c r="AF380" i="2"/>
  <c r="Q353" i="2"/>
  <c r="L353" i="2" s="1"/>
  <c r="W94" i="2"/>
  <c r="AL94" i="2" s="1"/>
  <c r="AM94" i="2" s="1"/>
  <c r="R265" i="2"/>
  <c r="N265" i="2" s="1"/>
  <c r="W166" i="2"/>
  <c r="AL166" i="2" s="1"/>
  <c r="AM166" i="2" s="1"/>
  <c r="R826" i="2"/>
  <c r="N826" i="2" s="1"/>
  <c r="Z826" i="2" s="1"/>
  <c r="AN826" i="2" s="1"/>
  <c r="AO826" i="2" s="1"/>
  <c r="AF1127" i="2"/>
  <c r="R281" i="2"/>
  <c r="N281" i="2" s="1"/>
  <c r="AG1192" i="2"/>
  <c r="R339" i="2"/>
  <c r="N339" i="2" s="1"/>
  <c r="Z339" i="2" s="1"/>
  <c r="AN339" i="2" s="1"/>
  <c r="AO339" i="2" s="1"/>
  <c r="AF112" i="2"/>
  <c r="AG676" i="2"/>
  <c r="Q959" i="2"/>
  <c r="L959" i="2" s="1"/>
  <c r="AF664" i="2"/>
  <c r="Q1229" i="2"/>
  <c r="L1229" i="2" s="1"/>
  <c r="W265" i="2"/>
  <c r="AL265" i="2" s="1"/>
  <c r="AM265" i="2" s="1"/>
  <c r="W1138" i="2"/>
  <c r="AL1138" i="2" s="1"/>
  <c r="AM1138" i="2" s="1"/>
  <c r="AF550" i="2"/>
  <c r="AF369" i="2"/>
  <c r="AF410" i="2"/>
  <c r="AF265" i="2"/>
  <c r="AF1155" i="2"/>
  <c r="R582" i="2"/>
  <c r="N582" i="2" s="1"/>
  <c r="Z582" i="2" s="1"/>
  <c r="AN582" i="2" s="1"/>
  <c r="AO582" i="2" s="1"/>
  <c r="AG753" i="2"/>
  <c r="AF915" i="2"/>
  <c r="W191" i="2"/>
  <c r="AL191" i="2" s="1"/>
  <c r="AM191" i="2" s="1"/>
  <c r="W1027" i="2"/>
  <c r="AL1027" i="2" s="1"/>
  <c r="AM1027" i="2" s="1"/>
  <c r="R756" i="2"/>
  <c r="N756" i="2" s="1"/>
  <c r="W1102" i="2"/>
  <c r="AL1102" i="2" s="1"/>
  <c r="AM1102" i="2" s="1"/>
  <c r="W1127" i="2"/>
  <c r="AL1127" i="2" s="1"/>
  <c r="AM1127" i="2" s="1"/>
  <c r="Q915" i="2"/>
  <c r="L915" i="2" s="1"/>
  <c r="Q380" i="2"/>
  <c r="L380" i="2" s="1"/>
  <c r="W740" i="2"/>
  <c r="AL740" i="2" s="1"/>
  <c r="AM740" i="2" s="1"/>
  <c r="W70" i="2"/>
  <c r="AL70" i="2" s="1"/>
  <c r="AM70" i="2" s="1"/>
  <c r="AF815" i="2"/>
  <c r="AG236" i="2"/>
  <c r="AG86" i="2"/>
  <c r="AG925" i="2"/>
  <c r="L492" i="2"/>
  <c r="AF172" i="2"/>
  <c r="AG1211" i="2"/>
  <c r="AF259" i="2"/>
  <c r="AF59" i="2"/>
  <c r="AF411" i="2"/>
  <c r="Q888" i="2"/>
  <c r="L888" i="2" s="1"/>
  <c r="AF297" i="2"/>
  <c r="AF688" i="2"/>
  <c r="AF977" i="2"/>
  <c r="AG206" i="2"/>
  <c r="AF334" i="2"/>
  <c r="AG815" i="2"/>
  <c r="AF289" i="2"/>
  <c r="AF1026" i="2"/>
  <c r="AF899" i="2"/>
  <c r="W297" i="2"/>
  <c r="AL297" i="2" s="1"/>
  <c r="AM297" i="2" s="1"/>
  <c r="AF545" i="2"/>
  <c r="AF597" i="2"/>
  <c r="AG297" i="2"/>
  <c r="AF527" i="2"/>
  <c r="AG916" i="2"/>
  <c r="AF916" i="2"/>
  <c r="AF126" i="2"/>
  <c r="Q396" i="2"/>
  <c r="L396" i="2" s="1"/>
  <c r="AF1211" i="2"/>
  <c r="AF745" i="2"/>
  <c r="AF606" i="2"/>
  <c r="AF167" i="2"/>
  <c r="W1105" i="2"/>
  <c r="AL1105" i="2" s="1"/>
  <c r="AM1105" i="2" s="1"/>
  <c r="Q427" i="2"/>
  <c r="L427" i="2" s="1"/>
  <c r="W273" i="2"/>
  <c r="AL273" i="2" s="1"/>
  <c r="AM273" i="2" s="1"/>
  <c r="Q925" i="2"/>
  <c r="L925" i="2" s="1"/>
  <c r="W1129" i="2"/>
  <c r="AL1129" i="2" s="1"/>
  <c r="AM1129" i="2" s="1"/>
  <c r="W167" i="2"/>
  <c r="AL167" i="2" s="1"/>
  <c r="AM167" i="2" s="1"/>
  <c r="AF471" i="2"/>
  <c r="AF192" i="2"/>
  <c r="AF357" i="2"/>
  <c r="AG273" i="2"/>
  <c r="AG527" i="2"/>
  <c r="AG314" i="2"/>
  <c r="AG251" i="2"/>
  <c r="AF1002" i="2"/>
  <c r="AF396" i="2"/>
  <c r="AF798" i="2"/>
  <c r="AF888" i="2"/>
  <c r="AF865" i="2"/>
  <c r="AF495" i="2"/>
  <c r="AG33" i="2"/>
  <c r="AG1161" i="2"/>
  <c r="AF561" i="2"/>
  <c r="AG427" i="2"/>
  <c r="AF771" i="2"/>
  <c r="AF713" i="2"/>
  <c r="AF822" i="2"/>
  <c r="AF702" i="2"/>
  <c r="AG126" i="2"/>
  <c r="AF835" i="2"/>
  <c r="AF1063" i="2"/>
  <c r="AF273" i="2"/>
  <c r="AF1105" i="2"/>
  <c r="AG99" i="2"/>
  <c r="AF1129" i="2"/>
  <c r="AF634" i="2"/>
  <c r="AG289" i="2"/>
  <c r="Q314" i="2"/>
  <c r="L314" i="2" s="1"/>
  <c r="Q793" i="2"/>
  <c r="L793" i="2" s="1"/>
  <c r="W1051" i="2"/>
  <c r="AL1051" i="2" s="1"/>
  <c r="AM1051" i="2" s="1"/>
  <c r="AG1193" i="2"/>
  <c r="AG793" i="2"/>
  <c r="AF651" i="2"/>
  <c r="AG585" i="2"/>
  <c r="AF944" i="2"/>
  <c r="AG1026" i="2"/>
  <c r="AF1051" i="2"/>
  <c r="AG12" i="2"/>
  <c r="AF585" i="2"/>
  <c r="AF1161" i="2"/>
  <c r="Q865" i="2"/>
  <c r="L865" i="2" s="1"/>
  <c r="AF1042" i="2"/>
  <c r="Q585" i="2"/>
  <c r="L585" i="2" s="1"/>
  <c r="AG167" i="2"/>
  <c r="AF925" i="2"/>
  <c r="AF1193" i="2"/>
  <c r="AF86" i="2"/>
  <c r="Q815" i="2"/>
  <c r="L815" i="2" s="1"/>
  <c r="AG192" i="2"/>
  <c r="AG53" i="2"/>
  <c r="AF314" i="2"/>
  <c r="AF619" i="2"/>
  <c r="AG381" i="2"/>
  <c r="AG1178" i="2"/>
  <c r="AG223" i="2"/>
  <c r="AF793" i="2"/>
  <c r="AF223" i="2"/>
  <c r="AF427" i="2"/>
  <c r="AF236" i="2"/>
  <c r="AF1094" i="2"/>
  <c r="AF110" i="2"/>
  <c r="AG944" i="2"/>
  <c r="AF492" i="2"/>
  <c r="AG411" i="2"/>
  <c r="AG888" i="2"/>
  <c r="Q381" i="2"/>
  <c r="L381" i="2" s="1"/>
  <c r="Q1193" i="2"/>
  <c r="L1193" i="2" s="1"/>
  <c r="W977" i="2"/>
  <c r="AL977" i="2" s="1"/>
  <c r="AM977" i="2" s="1"/>
  <c r="W334" i="2"/>
  <c r="AL334" i="2" s="1"/>
  <c r="AM334" i="2" s="1"/>
  <c r="Q33" i="2"/>
  <c r="L33" i="2" s="1"/>
  <c r="Q223" i="2"/>
  <c r="L223" i="2" s="1"/>
  <c r="AG597" i="2"/>
  <c r="AG396" i="2"/>
  <c r="AF12" i="2"/>
  <c r="AF1074" i="2"/>
  <c r="AF251" i="2"/>
  <c r="AF650" i="2"/>
  <c r="AG650" i="2"/>
  <c r="AF872" i="2"/>
  <c r="AF677" i="2"/>
  <c r="AF317" i="2"/>
  <c r="AF99" i="2"/>
  <c r="AG634" i="2"/>
  <c r="AF147" i="2"/>
  <c r="AF53" i="2"/>
  <c r="AF33" i="2"/>
  <c r="AG1118" i="2"/>
  <c r="AF758" i="2"/>
  <c r="AF990" i="2"/>
  <c r="Q86" i="2"/>
  <c r="L86" i="2" s="1"/>
  <c r="AF1154" i="2"/>
  <c r="AF381" i="2"/>
  <c r="AG865" i="2"/>
  <c r="AF130" i="2"/>
  <c r="AG1042" i="2"/>
  <c r="AG702" i="2"/>
  <c r="AF965" i="2"/>
  <c r="AF1178" i="2"/>
  <c r="Q273" i="2"/>
  <c r="L273" i="2" s="1"/>
  <c r="AF734" i="2"/>
  <c r="AF1118" i="2"/>
  <c r="AG677" i="2"/>
  <c r="AF206" i="2"/>
  <c r="AF454" i="2"/>
  <c r="Q916" i="2"/>
  <c r="L916" i="2" s="1"/>
  <c r="W597" i="2"/>
  <c r="AL597" i="2" s="1"/>
  <c r="AM597" i="2" s="1"/>
  <c r="W1026" i="2"/>
  <c r="AL1026" i="2" s="1"/>
  <c r="AM1026" i="2" s="1"/>
  <c r="W236" i="2"/>
  <c r="AL236" i="2" s="1"/>
  <c r="AM236" i="2" s="1"/>
  <c r="W798" i="2"/>
  <c r="AL798" i="2" s="1"/>
  <c r="AM798" i="2" s="1"/>
  <c r="Q1161" i="2"/>
  <c r="L1161" i="2" s="1"/>
  <c r="W471" i="2"/>
  <c r="AL471" i="2" s="1"/>
  <c r="AM471" i="2" s="1"/>
  <c r="Q236" i="2"/>
  <c r="L236" i="2" s="1"/>
  <c r="W1074" i="2"/>
  <c r="AL1074" i="2" s="1"/>
  <c r="AM1074" i="2" s="1"/>
  <c r="R619" i="2"/>
  <c r="N619" i="2" s="1"/>
  <c r="W251" i="2"/>
  <c r="AL251" i="2" s="1"/>
  <c r="AM251" i="2" s="1"/>
  <c r="W1227" i="2"/>
  <c r="AL1227" i="2" s="1"/>
  <c r="AM1227" i="2" s="1"/>
  <c r="W381" i="2"/>
  <c r="AL381" i="2" s="1"/>
  <c r="AM381" i="2" s="1"/>
  <c r="W793" i="2"/>
  <c r="AL793" i="2" s="1"/>
  <c r="AM793" i="2" s="1"/>
  <c r="W172" i="2"/>
  <c r="AL172" i="2" s="1"/>
  <c r="AM172" i="2" s="1"/>
  <c r="W688" i="2"/>
  <c r="AL688" i="2" s="1"/>
  <c r="AM688" i="2" s="1"/>
  <c r="Q650" i="2"/>
  <c r="L650" i="2" s="1"/>
  <c r="W454" i="2"/>
  <c r="AL454" i="2" s="1"/>
  <c r="AM454" i="2" s="1"/>
  <c r="Q12" i="2"/>
  <c r="L12" i="2" s="1"/>
  <c r="Q206" i="2"/>
  <c r="L206" i="2" s="1"/>
  <c r="R334" i="2"/>
  <c r="N334" i="2" s="1"/>
  <c r="W771" i="2"/>
  <c r="AL771" i="2" s="1"/>
  <c r="AM771" i="2" s="1"/>
  <c r="Q527" i="2"/>
  <c r="L527" i="2" s="1"/>
  <c r="Q1026" i="2"/>
  <c r="L1026" i="2" s="1"/>
  <c r="Q634" i="2"/>
  <c r="L634" i="2" s="1"/>
  <c r="W33" i="2"/>
  <c r="AL33" i="2" s="1"/>
  <c r="AM33" i="2" s="1"/>
  <c r="W888" i="2"/>
  <c r="AL888" i="2" s="1"/>
  <c r="AM888" i="2" s="1"/>
  <c r="Q251" i="2"/>
  <c r="L251" i="2" s="1"/>
  <c r="W223" i="2"/>
  <c r="AL223" i="2" s="1"/>
  <c r="AM223" i="2" s="1"/>
  <c r="W745" i="2"/>
  <c r="AL745" i="2" s="1"/>
  <c r="AM745" i="2" s="1"/>
  <c r="W1063" i="2"/>
  <c r="AL1063" i="2" s="1"/>
  <c r="AM1063" i="2" s="1"/>
  <c r="W865" i="2"/>
  <c r="AL865" i="2" s="1"/>
  <c r="AM865" i="2" s="1"/>
  <c r="Q677" i="2"/>
  <c r="L677" i="2" s="1"/>
  <c r="W527" i="2"/>
  <c r="AL527" i="2" s="1"/>
  <c r="AM527" i="2" s="1"/>
  <c r="W619" i="2"/>
  <c r="AL619" i="2" s="1"/>
  <c r="AM619" i="2" s="1"/>
  <c r="Q944" i="2"/>
  <c r="L944" i="2" s="1"/>
  <c r="W872" i="2"/>
  <c r="AL872" i="2" s="1"/>
  <c r="AM872" i="2" s="1"/>
  <c r="Q99" i="2"/>
  <c r="L99" i="2" s="1"/>
  <c r="W492" i="2"/>
  <c r="AL492" i="2" s="1"/>
  <c r="AM492" i="2" s="1"/>
  <c r="W1178" i="2"/>
  <c r="AL1178" i="2" s="1"/>
  <c r="AM1178" i="2" s="1"/>
  <c r="R1074" i="2"/>
  <c r="N1074" i="2" s="1"/>
  <c r="W944" i="2"/>
  <c r="AL944" i="2" s="1"/>
  <c r="AM944" i="2" s="1"/>
  <c r="W289" i="2"/>
  <c r="AL289" i="2" s="1"/>
  <c r="AM289" i="2" s="1"/>
  <c r="W585" i="2"/>
  <c r="AL585" i="2" s="1"/>
  <c r="AM585" i="2" s="1"/>
  <c r="W396" i="2"/>
  <c r="AL396" i="2" s="1"/>
  <c r="AM396" i="2" s="1"/>
  <c r="W758" i="2"/>
  <c r="AL758" i="2" s="1"/>
  <c r="AM758" i="2" s="1"/>
  <c r="W916" i="2"/>
  <c r="AL916" i="2" s="1"/>
  <c r="AM916" i="2" s="1"/>
  <c r="Q192" i="2"/>
  <c r="L192" i="2" s="1"/>
  <c r="Q53" i="2"/>
  <c r="L53" i="2" s="1"/>
  <c r="W815" i="2"/>
  <c r="AL815" i="2" s="1"/>
  <c r="AM815" i="2" s="1"/>
  <c r="Q702" i="2"/>
  <c r="L702" i="2" s="1"/>
  <c r="W990" i="2"/>
  <c r="AL990" i="2" s="1"/>
  <c r="AM990" i="2" s="1"/>
  <c r="W734" i="2"/>
  <c r="AL734" i="2" s="1"/>
  <c r="AM734" i="2" s="1"/>
  <c r="W545" i="2"/>
  <c r="AL545" i="2" s="1"/>
  <c r="AM545" i="2" s="1"/>
  <c r="W1094" i="2"/>
  <c r="AL1094" i="2" s="1"/>
  <c r="AM1094" i="2" s="1"/>
  <c r="W130" i="2"/>
  <c r="AL130" i="2" s="1"/>
  <c r="AM130" i="2" s="1"/>
  <c r="W317" i="2"/>
  <c r="AL317" i="2" s="1"/>
  <c r="AM317" i="2" s="1"/>
  <c r="W822" i="2"/>
  <c r="AL822" i="2" s="1"/>
  <c r="AM822" i="2" s="1"/>
  <c r="R872" i="2"/>
  <c r="N872" i="2" s="1"/>
  <c r="R977" i="2"/>
  <c r="N977" i="2" s="1"/>
  <c r="W1211" i="2"/>
  <c r="AL1211" i="2" s="1"/>
  <c r="AM1211" i="2" s="1"/>
  <c r="W1002" i="2"/>
  <c r="AL1002" i="2" s="1"/>
  <c r="AM1002" i="2" s="1"/>
  <c r="W713" i="2"/>
  <c r="AL713" i="2" s="1"/>
  <c r="AM713" i="2" s="1"/>
  <c r="Q1178" i="2"/>
  <c r="L1178" i="2" s="1"/>
  <c r="W1193" i="2"/>
  <c r="AL1193" i="2" s="1"/>
  <c r="AM1193" i="2" s="1"/>
  <c r="Q297" i="2"/>
  <c r="L297" i="2" s="1"/>
  <c r="W99" i="2"/>
  <c r="AL99" i="2" s="1"/>
  <c r="AM99" i="2" s="1"/>
  <c r="W1154" i="2"/>
  <c r="AL1154" i="2" s="1"/>
  <c r="AM1154" i="2" s="1"/>
  <c r="Q289" i="2"/>
  <c r="L289" i="2" s="1"/>
  <c r="W835" i="2"/>
  <c r="AL835" i="2" s="1"/>
  <c r="AM835" i="2" s="1"/>
  <c r="Q411" i="2"/>
  <c r="L411" i="2" s="1"/>
  <c r="W427" i="2"/>
  <c r="AL427" i="2" s="1"/>
  <c r="AM427" i="2" s="1"/>
  <c r="W86" i="2"/>
  <c r="AL86" i="2" s="1"/>
  <c r="AM86" i="2" s="1"/>
  <c r="W1161" i="2"/>
  <c r="AL1161" i="2" s="1"/>
  <c r="AM1161" i="2" s="1"/>
  <c r="R357" i="2"/>
  <c r="N357" i="2" s="1"/>
  <c r="R771" i="2"/>
  <c r="N771" i="2" s="1"/>
  <c r="W1118" i="2"/>
  <c r="AL1118" i="2" s="1"/>
  <c r="AM1118" i="2" s="1"/>
  <c r="W206" i="2"/>
  <c r="AL206" i="2" s="1"/>
  <c r="AM206" i="2" s="1"/>
  <c r="W634" i="2"/>
  <c r="AL634" i="2" s="1"/>
  <c r="AM634" i="2" s="1"/>
  <c r="R492" i="2"/>
  <c r="N492" i="2" s="1"/>
  <c r="W899" i="2"/>
  <c r="AL899" i="2" s="1"/>
  <c r="AM899" i="2" s="1"/>
  <c r="R130" i="2"/>
  <c r="N130" i="2" s="1"/>
  <c r="W1042" i="2"/>
  <c r="AL1042" i="2" s="1"/>
  <c r="AM1042" i="2" s="1"/>
  <c r="W925" i="2"/>
  <c r="AL925" i="2" s="1"/>
  <c r="AM925" i="2" s="1"/>
  <c r="R965" i="2"/>
  <c r="N965" i="2" s="1"/>
  <c r="R471" i="2"/>
  <c r="N471" i="2" s="1"/>
  <c r="W110" i="2"/>
  <c r="AL110" i="2" s="1"/>
  <c r="AM110" i="2" s="1"/>
  <c r="R1105" i="2"/>
  <c r="N1105" i="2" s="1"/>
  <c r="R1002" i="2"/>
  <c r="N1002" i="2" s="1"/>
  <c r="W126" i="2"/>
  <c r="AL126" i="2" s="1"/>
  <c r="AM126" i="2" s="1"/>
  <c r="R1051" i="2"/>
  <c r="N1051" i="2" s="1"/>
  <c r="R688" i="2"/>
  <c r="N688" i="2" s="1"/>
  <c r="R745" i="2"/>
  <c r="N745" i="2" s="1"/>
  <c r="R651" i="2"/>
  <c r="N651" i="2" s="1"/>
  <c r="W965" i="2"/>
  <c r="AL965" i="2" s="1"/>
  <c r="AM965" i="2" s="1"/>
  <c r="R147" i="2"/>
  <c r="N147" i="2" s="1"/>
  <c r="W357" i="2"/>
  <c r="AL357" i="2" s="1"/>
  <c r="AM357" i="2" s="1"/>
  <c r="R734" i="2"/>
  <c r="N734" i="2" s="1"/>
  <c r="W650" i="2"/>
  <c r="AL650" i="2" s="1"/>
  <c r="AM650" i="2" s="1"/>
  <c r="Q1211" i="2"/>
  <c r="L1211" i="2" s="1"/>
  <c r="R822" i="2"/>
  <c r="N822" i="2" s="1"/>
  <c r="W147" i="2"/>
  <c r="AL147" i="2" s="1"/>
  <c r="AM147" i="2" s="1"/>
  <c r="R835" i="2"/>
  <c r="N835" i="2" s="1"/>
  <c r="R1094" i="2"/>
  <c r="N1094" i="2" s="1"/>
  <c r="R990" i="2"/>
  <c r="N990" i="2" s="1"/>
  <c r="W651" i="2"/>
  <c r="AL651" i="2" s="1"/>
  <c r="AM651" i="2" s="1"/>
  <c r="Q126" i="2"/>
  <c r="L126" i="2" s="1"/>
  <c r="R561" i="2"/>
  <c r="N561" i="2" s="1"/>
  <c r="R899" i="2"/>
  <c r="N899" i="2" s="1"/>
  <c r="R713" i="2"/>
  <c r="N713" i="2" s="1"/>
  <c r="W59" i="2"/>
  <c r="AL59" i="2" s="1"/>
  <c r="AM59" i="2" s="1"/>
  <c r="R1227" i="2"/>
  <c r="N1227" i="2" s="1"/>
  <c r="W411" i="2"/>
  <c r="AL411" i="2" s="1"/>
  <c r="AM411" i="2" s="1"/>
  <c r="R110" i="2"/>
  <c r="N110" i="2" s="1"/>
  <c r="W702" i="2"/>
  <c r="AL702" i="2" s="1"/>
  <c r="AM702" i="2" s="1"/>
  <c r="R259" i="2"/>
  <c r="N259" i="2" s="1"/>
  <c r="W495" i="2"/>
  <c r="AL495" i="2" s="1"/>
  <c r="AM495" i="2" s="1"/>
  <c r="R1154" i="2"/>
  <c r="N1154" i="2" s="1"/>
  <c r="R798" i="2"/>
  <c r="N798" i="2" s="1"/>
  <c r="R545" i="2"/>
  <c r="N545" i="2" s="1"/>
  <c r="R606" i="2"/>
  <c r="N606" i="2" s="1"/>
  <c r="W259" i="2"/>
  <c r="AL259" i="2" s="1"/>
  <c r="AM259" i="2" s="1"/>
  <c r="Q597" i="2"/>
  <c r="L597" i="2" s="1"/>
  <c r="W606" i="2"/>
  <c r="AL606" i="2" s="1"/>
  <c r="AM606" i="2" s="1"/>
  <c r="W561" i="2"/>
  <c r="AL561" i="2" s="1"/>
  <c r="AM561" i="2" s="1"/>
  <c r="Q1042" i="2"/>
  <c r="L1042" i="2" s="1"/>
  <c r="R59" i="2"/>
  <c r="N59" i="2" s="1"/>
  <c r="W314" i="2"/>
  <c r="AL314" i="2" s="1"/>
  <c r="AM314" i="2" s="1"/>
  <c r="W192" i="2"/>
  <c r="AL192" i="2" s="1"/>
  <c r="AM192" i="2" s="1"/>
  <c r="W677" i="2"/>
  <c r="AL677" i="2" s="1"/>
  <c r="AM677" i="2" s="1"/>
  <c r="R758" i="2"/>
  <c r="N758" i="2" s="1"/>
  <c r="W12" i="2"/>
  <c r="AL12" i="2" s="1"/>
  <c r="AM12" i="2" s="1"/>
  <c r="R454" i="2"/>
  <c r="N454" i="2" s="1"/>
  <c r="Q1118" i="2"/>
  <c r="L1118" i="2" s="1"/>
  <c r="R1063" i="2"/>
  <c r="N1063" i="2" s="1"/>
  <c r="R1129" i="2"/>
  <c r="N1129" i="2" s="1"/>
  <c r="R172" i="2"/>
  <c r="N172" i="2" s="1"/>
  <c r="W53" i="2"/>
  <c r="AL53" i="2" s="1"/>
  <c r="AM53" i="2" s="1"/>
  <c r="Q167" i="2"/>
  <c r="L167" i="2" s="1"/>
  <c r="R317" i="2"/>
  <c r="N317" i="2" s="1"/>
  <c r="R495" i="2"/>
  <c r="N495" i="2" s="1"/>
  <c r="AF1227" i="2"/>
  <c r="D8" i="4"/>
  <c r="C8" i="4"/>
  <c r="C4" i="4"/>
  <c r="G6" i="4"/>
  <c r="C5" i="4"/>
  <c r="G8" i="4"/>
  <c r="F6" i="4"/>
  <c r="D7" i="4"/>
  <c r="D5" i="4"/>
  <c r="G7" i="4"/>
  <c r="C6" i="4"/>
  <c r="G3" i="4"/>
  <c r="D3" i="4"/>
  <c r="G5" i="4"/>
  <c r="D4" i="4"/>
  <c r="F4" i="4"/>
  <c r="C7" i="4"/>
  <c r="D6" i="4"/>
  <c r="F7" i="4"/>
  <c r="F5" i="4"/>
  <c r="F8" i="4"/>
  <c r="G4" i="4"/>
  <c r="F3" i="4"/>
  <c r="C3" i="4"/>
  <c r="Z153" i="2" l="1"/>
  <c r="AN153" i="2" s="1"/>
  <c r="AO153" i="2" s="1"/>
  <c r="Z354" i="2"/>
  <c r="AN354" i="2" s="1"/>
  <c r="AO354" i="2" s="1"/>
  <c r="Z1130" i="2"/>
  <c r="AN1130" i="2" s="1"/>
  <c r="AO1130" i="2" s="1"/>
  <c r="Z1095" i="2"/>
  <c r="AN1095" i="2" s="1"/>
  <c r="AO1095" i="2" s="1"/>
  <c r="Z718" i="2"/>
  <c r="AN718" i="2" s="1"/>
  <c r="AO718" i="2" s="1"/>
  <c r="Z309" i="2"/>
  <c r="AN309" i="2" s="1"/>
  <c r="AO309" i="2" s="1"/>
  <c r="Z573" i="2"/>
  <c r="AN573" i="2" s="1"/>
  <c r="AO573" i="2" s="1"/>
  <c r="Z1191" i="2"/>
  <c r="AN1191" i="2" s="1"/>
  <c r="AO1191" i="2" s="1"/>
  <c r="Z227" i="2"/>
  <c r="AN227" i="2" s="1"/>
  <c r="AO227" i="2" s="1"/>
  <c r="Z404" i="2"/>
  <c r="AN404" i="2" s="1"/>
  <c r="AO404" i="2" s="1"/>
  <c r="Z485" i="2"/>
  <c r="AN485" i="2" s="1"/>
  <c r="AO485" i="2" s="1"/>
  <c r="Z111" i="2"/>
  <c r="AN111" i="2" s="1"/>
  <c r="AO111" i="2" s="1"/>
  <c r="Z1049" i="2"/>
  <c r="AN1049" i="2" s="1"/>
  <c r="AO1049" i="2" s="1"/>
  <c r="Z517" i="2"/>
  <c r="AN517" i="2" s="1"/>
  <c r="AO517" i="2" s="1"/>
  <c r="Z16" i="2"/>
  <c r="AN16" i="2" s="1"/>
  <c r="AO16" i="2" s="1"/>
  <c r="Z347" i="2"/>
  <c r="AN347" i="2" s="1"/>
  <c r="AO347" i="2" s="1"/>
  <c r="Z600" i="2"/>
  <c r="AN600" i="2" s="1"/>
  <c r="AO600" i="2" s="1"/>
  <c r="Z1102" i="2"/>
  <c r="AN1102" i="2" s="1"/>
  <c r="AO1102" i="2" s="1"/>
  <c r="Z719" i="2"/>
  <c r="AN719" i="2" s="1"/>
  <c r="AO719" i="2" s="1"/>
  <c r="Z905" i="2"/>
  <c r="AN905" i="2" s="1"/>
  <c r="AO905" i="2" s="1"/>
  <c r="Z698" i="2"/>
  <c r="AN698" i="2" s="1"/>
  <c r="AO698" i="2" s="1"/>
  <c r="Z1221" i="2"/>
  <c r="AN1221" i="2" s="1"/>
  <c r="AO1221" i="2" s="1"/>
  <c r="Z881" i="2"/>
  <c r="AN881" i="2" s="1"/>
  <c r="AO881" i="2" s="1"/>
  <c r="Z577" i="2"/>
  <c r="AN577" i="2" s="1"/>
  <c r="AO577" i="2" s="1"/>
  <c r="Z937" i="2"/>
  <c r="AN937" i="2" s="1"/>
  <c r="AO937" i="2" s="1"/>
  <c r="Z291" i="2"/>
  <c r="AN291" i="2" s="1"/>
  <c r="AO291" i="2" s="1"/>
  <c r="Z1224" i="2"/>
  <c r="AN1224" i="2" s="1"/>
  <c r="AO1224" i="2" s="1"/>
  <c r="Z631" i="2"/>
  <c r="AN631" i="2" s="1"/>
  <c r="AO631" i="2" s="1"/>
  <c r="Z952" i="2"/>
  <c r="AN952" i="2" s="1"/>
  <c r="AO952" i="2" s="1"/>
  <c r="Z163" i="2"/>
  <c r="AN163" i="2" s="1"/>
  <c r="AO163" i="2" s="1"/>
  <c r="Z38" i="2"/>
  <c r="AN38" i="2" s="1"/>
  <c r="AO38" i="2" s="1"/>
  <c r="Z898" i="2"/>
  <c r="AN898" i="2" s="1"/>
  <c r="AO898" i="2" s="1"/>
  <c r="Z369" i="2"/>
  <c r="AN369" i="2" s="1"/>
  <c r="AO369" i="2" s="1"/>
  <c r="Z318" i="2"/>
  <c r="AN318" i="2" s="1"/>
  <c r="AO318" i="2" s="1"/>
  <c r="Z816" i="2"/>
  <c r="AN816" i="2" s="1"/>
  <c r="AO816" i="2" s="1"/>
  <c r="Z749" i="2"/>
  <c r="AN749" i="2" s="1"/>
  <c r="AO749" i="2" s="1"/>
  <c r="Z953" i="2"/>
  <c r="AN953" i="2" s="1"/>
  <c r="AO953" i="2" s="1"/>
  <c r="Z693" i="2"/>
  <c r="AN693" i="2" s="1"/>
  <c r="AO693" i="2" s="1"/>
  <c r="Z66" i="2"/>
  <c r="AN66" i="2" s="1"/>
  <c r="AO66" i="2" s="1"/>
  <c r="Z627" i="2"/>
  <c r="AN627" i="2" s="1"/>
  <c r="AO627" i="2" s="1"/>
  <c r="Z581" i="2"/>
  <c r="AN581" i="2" s="1"/>
  <c r="AO581" i="2" s="1"/>
  <c r="Z55" i="2"/>
  <c r="AN55" i="2" s="1"/>
  <c r="AO55" i="2" s="1"/>
  <c r="Z1155" i="2"/>
  <c r="AN1155" i="2" s="1"/>
  <c r="AO1155" i="2" s="1"/>
  <c r="Z1145" i="2"/>
  <c r="AN1145" i="2" s="1"/>
  <c r="AO1145" i="2" s="1"/>
  <c r="Z1033" i="2"/>
  <c r="AN1033" i="2" s="1"/>
  <c r="AO1033" i="2" s="1"/>
  <c r="Z218" i="2"/>
  <c r="AN218" i="2" s="1"/>
  <c r="AO218" i="2" s="1"/>
  <c r="Z728" i="2"/>
  <c r="AN728" i="2" s="1"/>
  <c r="AO728" i="2" s="1"/>
  <c r="Z440" i="2"/>
  <c r="AN440" i="2" s="1"/>
  <c r="AO440" i="2" s="1"/>
  <c r="Z265" i="2"/>
  <c r="AN265" i="2" s="1"/>
  <c r="AO265" i="2" s="1"/>
  <c r="Z1044" i="2"/>
  <c r="AN1044" i="2" s="1"/>
  <c r="AO1044" i="2" s="1"/>
  <c r="Z1043" i="2"/>
  <c r="AN1043" i="2" s="1"/>
  <c r="AO1043" i="2" s="1"/>
  <c r="Z763" i="2"/>
  <c r="AN763" i="2" s="1"/>
  <c r="AO763" i="2" s="1"/>
  <c r="Z714" i="2"/>
  <c r="AN714" i="2" s="1"/>
  <c r="AO714" i="2" s="1"/>
  <c r="Z382" i="2"/>
  <c r="AN382" i="2" s="1"/>
  <c r="AO382" i="2" s="1"/>
  <c r="Z1016" i="2"/>
  <c r="AN1016" i="2" s="1"/>
  <c r="AO1016" i="2" s="1"/>
  <c r="Z788" i="2"/>
  <c r="AN788" i="2" s="1"/>
  <c r="AO788" i="2" s="1"/>
  <c r="Z525" i="2"/>
  <c r="AN525" i="2" s="1"/>
  <c r="AO525" i="2" s="1"/>
  <c r="Z1090" i="2"/>
  <c r="AN1090" i="2" s="1"/>
  <c r="AO1090" i="2" s="1"/>
  <c r="Z654" i="2"/>
  <c r="AN654" i="2" s="1"/>
  <c r="AO654" i="2" s="1"/>
  <c r="Z326" i="2"/>
  <c r="AN326" i="2" s="1"/>
  <c r="AO326" i="2" s="1"/>
  <c r="Z569" i="2"/>
  <c r="AN569" i="2" s="1"/>
  <c r="AO569" i="2" s="1"/>
  <c r="Z487" i="2"/>
  <c r="AN487" i="2" s="1"/>
  <c r="AO487" i="2" s="1"/>
  <c r="Z657" i="2"/>
  <c r="AN657" i="2" s="1"/>
  <c r="AO657" i="2" s="1"/>
  <c r="N2" i="1"/>
  <c r="N3" i="1" s="1"/>
  <c r="Z866" i="2"/>
  <c r="AN866" i="2" s="1"/>
  <c r="AO866" i="2" s="1"/>
  <c r="Z861" i="2"/>
  <c r="AN861" i="2" s="1"/>
  <c r="AO861" i="2" s="1"/>
  <c r="Z1101" i="2"/>
  <c r="AN1101" i="2" s="1"/>
  <c r="AO1101" i="2" s="1"/>
  <c r="Z358" i="2"/>
  <c r="AN358" i="2" s="1"/>
  <c r="AO358" i="2" s="1"/>
  <c r="Z428" i="2"/>
  <c r="AN428" i="2" s="1"/>
  <c r="AO428" i="2" s="1"/>
  <c r="Z272" i="2"/>
  <c r="AN272" i="2" s="1"/>
  <c r="AO272" i="2" s="1"/>
  <c r="Z1160" i="2"/>
  <c r="AN1160" i="2" s="1"/>
  <c r="AO1160" i="2" s="1"/>
  <c r="Z5" i="2"/>
  <c r="AN5" i="2" s="1"/>
  <c r="AO5" i="2" s="1"/>
  <c r="Z488" i="2"/>
  <c r="AN488" i="2" s="1"/>
  <c r="AO488" i="2" s="1"/>
  <c r="Z14" i="2"/>
  <c r="AN14" i="2" s="1"/>
  <c r="AO14" i="2" s="1"/>
  <c r="Z397" i="2"/>
  <c r="AN397" i="2" s="1"/>
  <c r="AO397" i="2" s="1"/>
  <c r="Z348" i="2"/>
  <c r="AN348" i="2" s="1"/>
  <c r="AO348" i="2" s="1"/>
  <c r="Z544" i="2"/>
  <c r="AN544" i="2" s="1"/>
  <c r="AO544" i="2" s="1"/>
  <c r="Z280" i="2"/>
  <c r="AN280" i="2" s="1"/>
  <c r="AO280" i="2" s="1"/>
  <c r="Z847" i="2"/>
  <c r="AN847" i="2" s="1"/>
  <c r="AO847" i="2" s="1"/>
  <c r="Z466" i="2"/>
  <c r="AN466" i="2" s="1"/>
  <c r="AO466" i="2" s="1"/>
  <c r="Z67" i="2"/>
  <c r="AN67" i="2" s="1"/>
  <c r="AO67" i="2" s="1"/>
  <c r="Z198" i="2"/>
  <c r="AN198" i="2" s="1"/>
  <c r="AO198" i="2" s="1"/>
  <c r="Z723" i="2"/>
  <c r="AN723" i="2" s="1"/>
  <c r="AO723" i="2" s="1"/>
  <c r="Z1114" i="2"/>
  <c r="AN1114" i="2" s="1"/>
  <c r="AO1114" i="2" s="1"/>
  <c r="Z241" i="2"/>
  <c r="AN241" i="2" s="1"/>
  <c r="AO241" i="2" s="1"/>
  <c r="Z322" i="2"/>
  <c r="AN322" i="2" s="1"/>
  <c r="AO322" i="2" s="1"/>
  <c r="Z841" i="2"/>
  <c r="AN841" i="2" s="1"/>
  <c r="AO841" i="2" s="1"/>
  <c r="Z46" i="2"/>
  <c r="AN46" i="2" s="1"/>
  <c r="AO46" i="2" s="1"/>
  <c r="Z968" i="2"/>
  <c r="AN968" i="2" s="1"/>
  <c r="AO968" i="2" s="1"/>
  <c r="Z858" i="2"/>
  <c r="AN858" i="2" s="1"/>
  <c r="AO858" i="2" s="1"/>
  <c r="Z1144" i="2"/>
  <c r="AN1144" i="2" s="1"/>
  <c r="AO1144" i="2" s="1"/>
  <c r="Z429" i="2"/>
  <c r="AN429" i="2" s="1"/>
  <c r="AO429" i="2" s="1"/>
  <c r="Z477" i="2"/>
  <c r="AN477" i="2" s="1"/>
  <c r="AO477" i="2" s="1"/>
  <c r="Z1173" i="2"/>
  <c r="AN1173" i="2" s="1"/>
  <c r="AO1173" i="2" s="1"/>
  <c r="Z653" i="2"/>
  <c r="AN653" i="2" s="1"/>
  <c r="AO653" i="2" s="1"/>
  <c r="Z725" i="2"/>
  <c r="AN725" i="2" s="1"/>
  <c r="AO725" i="2" s="1"/>
  <c r="Z430" i="2"/>
  <c r="AN430" i="2" s="1"/>
  <c r="AO430" i="2" s="1"/>
  <c r="Z945" i="2"/>
  <c r="AN945" i="2" s="1"/>
  <c r="AO945" i="2" s="1"/>
  <c r="Z786" i="2"/>
  <c r="AN786" i="2" s="1"/>
  <c r="AO786" i="2" s="1"/>
  <c r="Z47" i="2"/>
  <c r="AN47" i="2" s="1"/>
  <c r="AO47" i="2" s="1"/>
  <c r="Z461" i="2"/>
  <c r="AN461" i="2" s="1"/>
  <c r="AO461" i="2" s="1"/>
  <c r="Z529" i="2"/>
  <c r="AN529" i="2" s="1"/>
  <c r="AO529" i="2" s="1"/>
  <c r="Z531" i="2"/>
  <c r="AN531" i="2" s="1"/>
  <c r="AO531" i="2" s="1"/>
  <c r="Z867" i="2"/>
  <c r="AN867" i="2" s="1"/>
  <c r="AO867" i="2" s="1"/>
  <c r="Z161" i="2"/>
  <c r="AN161" i="2" s="1"/>
  <c r="AO161" i="2" s="1"/>
  <c r="Z691" i="2"/>
  <c r="AN691" i="2" s="1"/>
  <c r="AO691" i="2" s="1"/>
  <c r="Z1096" i="2"/>
  <c r="AN1096" i="2" s="1"/>
  <c r="AO1096" i="2" s="1"/>
  <c r="Z1003" i="2"/>
  <c r="AN1003" i="2" s="1"/>
  <c r="AO1003" i="2" s="1"/>
  <c r="Z301" i="2"/>
  <c r="AN301" i="2" s="1"/>
  <c r="AO301" i="2" s="1"/>
  <c r="Z21" i="2"/>
  <c r="AN21" i="2" s="1"/>
  <c r="AO21" i="2" s="1"/>
  <c r="Z1055" i="2"/>
  <c r="AN1055" i="2" s="1"/>
  <c r="AO1055" i="2" s="1"/>
  <c r="Z232" i="2"/>
  <c r="AN232" i="2" s="1"/>
  <c r="AO232" i="2" s="1"/>
  <c r="Z1004" i="2"/>
  <c r="AN1004" i="2" s="1"/>
  <c r="AO1004" i="2" s="1"/>
  <c r="Z775" i="2"/>
  <c r="AN775" i="2" s="1"/>
  <c r="AO775" i="2" s="1"/>
  <c r="Z696" i="2"/>
  <c r="AN696" i="2" s="1"/>
  <c r="AO696" i="2" s="1"/>
  <c r="Z1127" i="2"/>
  <c r="AN1127" i="2" s="1"/>
  <c r="AO1127" i="2" s="1"/>
  <c r="Z942" i="2"/>
  <c r="AN942" i="2" s="1"/>
  <c r="AO942" i="2" s="1"/>
  <c r="Z709" i="2"/>
  <c r="AN709" i="2" s="1"/>
  <c r="AO709" i="2" s="1"/>
  <c r="Z183" i="2"/>
  <c r="AN183" i="2" s="1"/>
  <c r="AO183" i="2" s="1"/>
  <c r="Z1218" i="2"/>
  <c r="AN1218" i="2" s="1"/>
  <c r="AO1218" i="2" s="1"/>
  <c r="Z480" i="2"/>
  <c r="AN480" i="2" s="1"/>
  <c r="AO480" i="2" s="1"/>
  <c r="Z217" i="2"/>
  <c r="AN217" i="2" s="1"/>
  <c r="AO217" i="2" s="1"/>
  <c r="Z785" i="2"/>
  <c r="AN785" i="2" s="1"/>
  <c r="AO785" i="2" s="1"/>
  <c r="Z8" i="2"/>
  <c r="AN8" i="2" s="1"/>
  <c r="AO8" i="2" s="1"/>
  <c r="Z68" i="2"/>
  <c r="AN68" i="2" s="1"/>
  <c r="AO68" i="2" s="1"/>
  <c r="Z296" i="2"/>
  <c r="AN296" i="2" s="1"/>
  <c r="AO296" i="2" s="1"/>
  <c r="Z1139" i="2"/>
  <c r="AN1139" i="2" s="1"/>
  <c r="AO1139" i="2" s="1"/>
  <c r="Z756" i="2"/>
  <c r="AN756" i="2" s="1"/>
  <c r="AO756" i="2" s="1"/>
  <c r="Z281" i="2"/>
  <c r="AN281" i="2" s="1"/>
  <c r="AO281" i="2" s="1"/>
  <c r="Z478" i="2"/>
  <c r="AN478" i="2" s="1"/>
  <c r="AO478" i="2" s="1"/>
  <c r="Z704" i="2"/>
  <c r="AN704" i="2" s="1"/>
  <c r="AO704" i="2" s="1"/>
  <c r="Z890" i="2"/>
  <c r="AN890" i="2" s="1"/>
  <c r="AO890" i="2" s="1"/>
  <c r="Z1034" i="2"/>
  <c r="AN1034" i="2" s="1"/>
  <c r="AO1034" i="2" s="1"/>
  <c r="Z1088" i="2"/>
  <c r="AN1088" i="2" s="1"/>
  <c r="AO1088" i="2" s="1"/>
  <c r="Z1104" i="2"/>
  <c r="AN1104" i="2" s="1"/>
  <c r="AO1104" i="2" s="1"/>
  <c r="Z95" i="2"/>
  <c r="AN95" i="2" s="1"/>
  <c r="AO95" i="2" s="1"/>
  <c r="Z182" i="2"/>
  <c r="AN182" i="2" s="1"/>
  <c r="AO182" i="2" s="1"/>
  <c r="Z928" i="2"/>
  <c r="AN928" i="2" s="1"/>
  <c r="AO928" i="2" s="1"/>
  <c r="Z755" i="2"/>
  <c r="AN755" i="2" s="1"/>
  <c r="AO755" i="2" s="1"/>
  <c r="Z896" i="2"/>
  <c r="AN896" i="2" s="1"/>
  <c r="AO896" i="2" s="1"/>
  <c r="Z951" i="2"/>
  <c r="AN951" i="2" s="1"/>
  <c r="AO951" i="2" s="1"/>
  <c r="Z349" i="2"/>
  <c r="AN349" i="2" s="1"/>
  <c r="AO349" i="2" s="1"/>
  <c r="Z1112" i="2"/>
  <c r="AN1112" i="2" s="1"/>
  <c r="AO1112" i="2" s="1"/>
  <c r="Z976" i="2"/>
  <c r="AN976" i="2" s="1"/>
  <c r="AO976" i="2" s="1"/>
  <c r="Z946" i="2"/>
  <c r="AN946" i="2" s="1"/>
  <c r="AO946" i="2" s="1"/>
  <c r="Z848" i="2"/>
  <c r="AN848" i="2" s="1"/>
  <c r="AO848" i="2" s="1"/>
  <c r="Z871" i="2"/>
  <c r="AN871" i="2" s="1"/>
  <c r="AO871" i="2" s="1"/>
  <c r="Z615" i="2"/>
  <c r="AN615" i="2" s="1"/>
  <c r="AO615" i="2" s="1"/>
  <c r="Z1131" i="2"/>
  <c r="AN1131" i="2" s="1"/>
  <c r="AO1131" i="2" s="1"/>
  <c r="Z891" i="2"/>
  <c r="AN891" i="2" s="1"/>
  <c r="AO891" i="2" s="1"/>
  <c r="Z607" i="2"/>
  <c r="AN607" i="2" s="1"/>
  <c r="AO607" i="2" s="1"/>
  <c r="Z918" i="2"/>
  <c r="AN918" i="2" s="1"/>
  <c r="AO918" i="2" s="1"/>
  <c r="Z24" i="2"/>
  <c r="AN24" i="2" s="1"/>
  <c r="AO24" i="2" s="1"/>
  <c r="Z780" i="2"/>
  <c r="AN780" i="2" s="1"/>
  <c r="AO780" i="2" s="1"/>
  <c r="Z1164" i="2"/>
  <c r="AN1164" i="2" s="1"/>
  <c r="AO1164" i="2" s="1"/>
  <c r="Z648" i="2"/>
  <c r="AN648" i="2" s="1"/>
  <c r="AO648" i="2" s="1"/>
  <c r="Z646" i="2"/>
  <c r="AN646" i="2" s="1"/>
  <c r="AO646" i="2" s="1"/>
  <c r="Z695" i="2"/>
  <c r="AN695" i="2" s="1"/>
  <c r="AO695" i="2" s="1"/>
  <c r="Z742" i="2"/>
  <c r="AN742" i="2" s="1"/>
  <c r="AO742" i="2" s="1"/>
  <c r="Z632" i="2"/>
  <c r="AN632" i="2" s="1"/>
  <c r="AO632" i="2" s="1"/>
  <c r="Z1066" i="2"/>
  <c r="AN1066" i="2" s="1"/>
  <c r="AO1066" i="2" s="1"/>
  <c r="Z747" i="2"/>
  <c r="AN747" i="2" s="1"/>
  <c r="AO747" i="2" s="1"/>
  <c r="Z419" i="2"/>
  <c r="AN419" i="2" s="1"/>
  <c r="AO419" i="2" s="1"/>
  <c r="Z974" i="2"/>
  <c r="AN974" i="2" s="1"/>
  <c r="AO974" i="2" s="1"/>
  <c r="Z209" i="2"/>
  <c r="AN209" i="2" s="1"/>
  <c r="AO209" i="2" s="1"/>
  <c r="Z370" i="2"/>
  <c r="AN370" i="2" s="1"/>
  <c r="AO370" i="2" s="1"/>
  <c r="Z1047" i="2"/>
  <c r="AN1047" i="2" s="1"/>
  <c r="AO1047" i="2" s="1"/>
  <c r="Z1093" i="2"/>
  <c r="AN1093" i="2" s="1"/>
  <c r="AO1093" i="2" s="1"/>
  <c r="Z283" i="2"/>
  <c r="AN283" i="2" s="1"/>
  <c r="AO283" i="2" s="1"/>
  <c r="Z486" i="2"/>
  <c r="AN486" i="2" s="1"/>
  <c r="AO486" i="2" s="1"/>
  <c r="Z73" i="2"/>
  <c r="AN73" i="2" s="1"/>
  <c r="AO73" i="2" s="1"/>
  <c r="Z502" i="2"/>
  <c r="AN502" i="2" s="1"/>
  <c r="AO502" i="2" s="1"/>
  <c r="Z934" i="2"/>
  <c r="AN934" i="2" s="1"/>
  <c r="AO934" i="2" s="1"/>
  <c r="Z515" i="2"/>
  <c r="AN515" i="2" s="1"/>
  <c r="AO515" i="2" s="1"/>
  <c r="Z808" i="2"/>
  <c r="AN808" i="2" s="1"/>
  <c r="AO808" i="2" s="1"/>
  <c r="Z63" i="2"/>
  <c r="AN63" i="2" s="1"/>
  <c r="AO63" i="2" s="1"/>
  <c r="Z1176" i="2"/>
  <c r="AN1176" i="2" s="1"/>
  <c r="AO1176" i="2" s="1"/>
  <c r="Z320" i="2"/>
  <c r="AN320" i="2" s="1"/>
  <c r="AO320" i="2" s="1"/>
  <c r="Z415" i="2"/>
  <c r="AN415" i="2" s="1"/>
  <c r="AO415" i="2" s="1"/>
  <c r="Z1170" i="2"/>
  <c r="AN1170" i="2" s="1"/>
  <c r="AO1170" i="2" s="1"/>
  <c r="Z1073" i="2"/>
  <c r="AN1073" i="2" s="1"/>
  <c r="AO1073" i="2" s="1"/>
  <c r="Z886" i="2"/>
  <c r="AN886" i="2" s="1"/>
  <c r="AO886" i="2" s="1"/>
  <c r="Z859" i="2"/>
  <c r="AN859" i="2" s="1"/>
  <c r="AO859" i="2" s="1"/>
  <c r="Z1060" i="2"/>
  <c r="AN1060" i="2" s="1"/>
  <c r="AO1060" i="2" s="1"/>
  <c r="Z1219" i="2"/>
  <c r="AN1219" i="2" s="1"/>
  <c r="AO1219" i="2" s="1"/>
  <c r="Z39" i="2"/>
  <c r="AN39" i="2" s="1"/>
  <c r="AO39" i="2" s="1"/>
  <c r="Z843" i="2"/>
  <c r="AN843" i="2" s="1"/>
  <c r="AO843" i="2" s="1"/>
  <c r="Z729" i="2"/>
  <c r="AN729" i="2" s="1"/>
  <c r="AO729" i="2" s="1"/>
  <c r="Z94" i="2"/>
  <c r="AN94" i="2" s="1"/>
  <c r="AO94" i="2" s="1"/>
  <c r="Z501" i="2"/>
  <c r="AN501" i="2" s="1"/>
  <c r="AO501" i="2" s="1"/>
  <c r="Z307" i="2"/>
  <c r="AN307" i="2" s="1"/>
  <c r="AO307" i="2" s="1"/>
  <c r="Z207" i="2"/>
  <c r="AN207" i="2" s="1"/>
  <c r="AO207" i="2" s="1"/>
  <c r="Z406" i="2"/>
  <c r="AN406" i="2" s="1"/>
  <c r="AO406" i="2" s="1"/>
  <c r="Z37" i="2"/>
  <c r="AN37" i="2" s="1"/>
  <c r="AO37" i="2" s="1"/>
  <c r="Z508" i="2"/>
  <c r="AN508" i="2" s="1"/>
  <c r="AO508" i="2" s="1"/>
  <c r="Z519" i="2"/>
  <c r="AN519" i="2" s="1"/>
  <c r="AO519" i="2" s="1"/>
  <c r="Z91" i="2"/>
  <c r="AN91" i="2" s="1"/>
  <c r="AO91" i="2" s="1"/>
  <c r="Z1106" i="2"/>
  <c r="AN1106" i="2" s="1"/>
  <c r="AO1106" i="2" s="1"/>
  <c r="Z368" i="2"/>
  <c r="AN368" i="2" s="1"/>
  <c r="AO368" i="2" s="1"/>
  <c r="Z242" i="2"/>
  <c r="AN242" i="2" s="1"/>
  <c r="AO242" i="2" s="1"/>
  <c r="Z1188" i="2"/>
  <c r="AN1188" i="2" s="1"/>
  <c r="AO1188" i="2" s="1"/>
  <c r="Z215" i="2"/>
  <c r="AN215" i="2" s="1"/>
  <c r="AO215" i="2" s="1"/>
  <c r="Z496" i="2"/>
  <c r="AN496" i="2" s="1"/>
  <c r="AO496" i="2" s="1"/>
  <c r="Z532" i="2"/>
  <c r="AN532" i="2" s="1"/>
  <c r="AO532" i="2" s="1"/>
  <c r="Z149" i="2"/>
  <c r="AN149" i="2" s="1"/>
  <c r="AO149" i="2" s="1"/>
  <c r="Z142" i="2"/>
  <c r="AN142" i="2" s="1"/>
  <c r="AO142" i="2" s="1"/>
  <c r="Z1018" i="2"/>
  <c r="AN1018" i="2" s="1"/>
  <c r="AO1018" i="2" s="1"/>
  <c r="Z677" i="2"/>
  <c r="AN677" i="2" s="1"/>
  <c r="AO677" i="2" s="1"/>
  <c r="Z745" i="2"/>
  <c r="AN745" i="2" s="1"/>
  <c r="AO745" i="2" s="1"/>
  <c r="Z29" i="2"/>
  <c r="AN29" i="2" s="1"/>
  <c r="AO29" i="2" s="1"/>
  <c r="Z1180" i="2"/>
  <c r="AN1180" i="2" s="1"/>
  <c r="AO1180" i="2" s="1"/>
  <c r="Z102" i="2"/>
  <c r="AN102" i="2" s="1"/>
  <c r="AO102" i="2" s="1"/>
  <c r="Z971" i="2"/>
  <c r="AN971" i="2" s="1"/>
  <c r="AO971" i="2" s="1"/>
  <c r="Z424" i="2"/>
  <c r="AN424" i="2" s="1"/>
  <c r="AO424" i="2" s="1"/>
  <c r="Z570" i="2"/>
  <c r="AN570" i="2" s="1"/>
  <c r="AO570" i="2" s="1"/>
  <c r="Z160" i="2"/>
  <c r="AN160" i="2" s="1"/>
  <c r="AO160" i="2" s="1"/>
  <c r="Z513" i="2"/>
  <c r="AN513" i="2" s="1"/>
  <c r="AO513" i="2" s="1"/>
  <c r="Z76" i="2"/>
  <c r="AN76" i="2" s="1"/>
  <c r="AO76" i="2" s="1"/>
  <c r="Z722" i="2"/>
  <c r="AN722" i="2" s="1"/>
  <c r="AO722" i="2" s="1"/>
  <c r="Z290" i="2"/>
  <c r="AN290" i="2" s="1"/>
  <c r="AO290" i="2" s="1"/>
  <c r="Z1045" i="2"/>
  <c r="AN1045" i="2" s="1"/>
  <c r="AO1045" i="2" s="1"/>
  <c r="Z391" i="2"/>
  <c r="AN391" i="2" s="1"/>
  <c r="AO391" i="2" s="1"/>
  <c r="Z36" i="2"/>
  <c r="AN36" i="2" s="1"/>
  <c r="AO36" i="2" s="1"/>
  <c r="Z1065" i="2"/>
  <c r="AN1065" i="2" s="1"/>
  <c r="AO1065" i="2" s="1"/>
  <c r="Z346" i="2"/>
  <c r="AN346" i="2" s="1"/>
  <c r="AO346" i="2" s="1"/>
  <c r="Z851" i="2"/>
  <c r="AN851" i="2" s="1"/>
  <c r="AO851" i="2" s="1"/>
  <c r="Z77" i="2"/>
  <c r="AN77" i="2" s="1"/>
  <c r="AO77" i="2" s="1"/>
  <c r="Z270" i="2"/>
  <c r="AN270" i="2" s="1"/>
  <c r="AO270" i="2" s="1"/>
  <c r="Z1107" i="2"/>
  <c r="AN1107" i="2" s="1"/>
  <c r="AO1107" i="2" s="1"/>
  <c r="Z603" i="2"/>
  <c r="AN603" i="2" s="1"/>
  <c r="AO603" i="2" s="1"/>
  <c r="Z592" i="2"/>
  <c r="AN592" i="2" s="1"/>
  <c r="AO592" i="2" s="1"/>
  <c r="Z35" i="2"/>
  <c r="AN35" i="2" s="1"/>
  <c r="AO35" i="2" s="1"/>
  <c r="Z516" i="2"/>
  <c r="AN516" i="2" s="1"/>
  <c r="AO516" i="2" s="1"/>
  <c r="Z93" i="2"/>
  <c r="AN93" i="2" s="1"/>
  <c r="AO93" i="2" s="1"/>
  <c r="Z733" i="2"/>
  <c r="AN733" i="2" s="1"/>
  <c r="AO733" i="2" s="1"/>
  <c r="Z641" i="2"/>
  <c r="AN641" i="2" s="1"/>
  <c r="AO641" i="2" s="1"/>
  <c r="Z305" i="2"/>
  <c r="AN305" i="2" s="1"/>
  <c r="AO305" i="2" s="1"/>
  <c r="Z60" i="2"/>
  <c r="AN60" i="2" s="1"/>
  <c r="AO60" i="2" s="1"/>
  <c r="Z1061" i="2"/>
  <c r="AN1061" i="2" s="1"/>
  <c r="AO1061" i="2" s="1"/>
  <c r="Z141" i="2"/>
  <c r="AN141" i="2" s="1"/>
  <c r="AO141" i="2" s="1"/>
  <c r="Z1207" i="2"/>
  <c r="AN1207" i="2" s="1"/>
  <c r="AO1207" i="2" s="1"/>
  <c r="Z652" i="2"/>
  <c r="AN652" i="2" s="1"/>
  <c r="AO652" i="2" s="1"/>
  <c r="Z112" i="2"/>
  <c r="AN112" i="2" s="1"/>
  <c r="AO112" i="2" s="1"/>
  <c r="Z103" i="2"/>
  <c r="AN103" i="2" s="1"/>
  <c r="AO103" i="2" s="1"/>
  <c r="Z489" i="2"/>
  <c r="AN489" i="2" s="1"/>
  <c r="AO489" i="2" s="1"/>
  <c r="Z1013" i="2"/>
  <c r="AN1013" i="2" s="1"/>
  <c r="AO1013" i="2" s="1"/>
  <c r="Z417" i="2"/>
  <c r="AN417" i="2" s="1"/>
  <c r="AO417" i="2" s="1"/>
  <c r="Z770" i="2"/>
  <c r="AN770" i="2" s="1"/>
  <c r="AO770" i="2" s="1"/>
  <c r="Z302" i="2"/>
  <c r="AN302" i="2" s="1"/>
  <c r="AO302" i="2" s="1"/>
  <c r="Z668" i="2"/>
  <c r="AN668" i="2" s="1"/>
  <c r="AO668" i="2" s="1"/>
  <c r="Z716" i="2"/>
  <c r="AN716" i="2" s="1"/>
  <c r="AO716" i="2" s="1"/>
  <c r="Z857" i="2"/>
  <c r="AN857" i="2" s="1"/>
  <c r="AO857" i="2" s="1"/>
  <c r="Z1187" i="2"/>
  <c r="AN1187" i="2" s="1"/>
  <c r="AO1187" i="2" s="1"/>
  <c r="Z282" i="2"/>
  <c r="AN282" i="2" s="1"/>
  <c r="AO282" i="2" s="1"/>
  <c r="Z340" i="2"/>
  <c r="AN340" i="2" s="1"/>
  <c r="AO340" i="2" s="1"/>
  <c r="Z694" i="2"/>
  <c r="AN694" i="2" s="1"/>
  <c r="AO694" i="2" s="1"/>
  <c r="Z647" i="2"/>
  <c r="AN647" i="2" s="1"/>
  <c r="AO647" i="2" s="1"/>
  <c r="Z1076" i="2"/>
  <c r="AN1076" i="2" s="1"/>
  <c r="AO1076" i="2" s="1"/>
  <c r="Z685" i="2"/>
  <c r="AN685" i="2" s="1"/>
  <c r="AO685" i="2" s="1"/>
  <c r="Z437" i="2"/>
  <c r="AN437" i="2" s="1"/>
  <c r="AO437" i="2" s="1"/>
  <c r="Z810" i="2"/>
  <c r="AN810" i="2" s="1"/>
  <c r="AO810" i="2" s="1"/>
  <c r="Z940" i="2"/>
  <c r="AN940" i="2" s="1"/>
  <c r="AO940" i="2" s="1"/>
  <c r="Z578" i="2"/>
  <c r="AN578" i="2" s="1"/>
  <c r="AO578" i="2" s="1"/>
  <c r="Z128" i="2"/>
  <c r="AN128" i="2" s="1"/>
  <c r="AO128" i="2" s="1"/>
  <c r="Z622" i="2"/>
  <c r="AN622" i="2" s="1"/>
  <c r="AO622" i="2" s="1"/>
  <c r="Z126" i="2"/>
  <c r="AN126" i="2" s="1"/>
  <c r="AO126" i="2" s="1"/>
  <c r="Z490" i="2"/>
  <c r="AN490" i="2" s="1"/>
  <c r="AO490" i="2" s="1"/>
  <c r="Z1205" i="2"/>
  <c r="AN1205" i="2" s="1"/>
  <c r="AO1205" i="2" s="1"/>
  <c r="Z782" i="2"/>
  <c r="AN782" i="2" s="1"/>
  <c r="AO782" i="2" s="1"/>
  <c r="Z278" i="2"/>
  <c r="AN278" i="2" s="1"/>
  <c r="AO278" i="2" s="1"/>
  <c r="Z388" i="2"/>
  <c r="AN388" i="2" s="1"/>
  <c r="AO388" i="2" s="1"/>
  <c r="Z692" i="2"/>
  <c r="AN692" i="2" s="1"/>
  <c r="AO692" i="2" s="1"/>
  <c r="Z1115" i="2"/>
  <c r="AN1115" i="2" s="1"/>
  <c r="AO1115" i="2" s="1"/>
  <c r="Z385" i="2"/>
  <c r="AN385" i="2" s="1"/>
  <c r="AO385" i="2" s="1"/>
  <c r="Z1148" i="2"/>
  <c r="AN1148" i="2" s="1"/>
  <c r="AO1148" i="2" s="1"/>
  <c r="Z342" i="2"/>
  <c r="AN342" i="2" s="1"/>
  <c r="AO342" i="2" s="1"/>
  <c r="Z839" i="2"/>
  <c r="AN839" i="2" s="1"/>
  <c r="AO839" i="2" s="1"/>
  <c r="Z379" i="2"/>
  <c r="AN379" i="2" s="1"/>
  <c r="AO379" i="2" s="1"/>
  <c r="Z30" i="2"/>
  <c r="AN30" i="2" s="1"/>
  <c r="AO30" i="2" s="1"/>
  <c r="Z463" i="2"/>
  <c r="AN463" i="2" s="1"/>
  <c r="AO463" i="2" s="1"/>
  <c r="Z333" i="2"/>
  <c r="AN333" i="2" s="1"/>
  <c r="AO333" i="2" s="1"/>
  <c r="Z661" i="2"/>
  <c r="AN661" i="2" s="1"/>
  <c r="AO661" i="2" s="1"/>
  <c r="Z665" i="2"/>
  <c r="AN665" i="2" s="1"/>
  <c r="AO665" i="2" s="1"/>
  <c r="Z563" i="2"/>
  <c r="AN563" i="2" s="1"/>
  <c r="AO563" i="2" s="1"/>
  <c r="Z950" i="2"/>
  <c r="AN950" i="2" s="1"/>
  <c r="AO950" i="2" s="1"/>
  <c r="Z1031" i="2"/>
  <c r="AN1031" i="2" s="1"/>
  <c r="AO1031" i="2" s="1"/>
  <c r="Z659" i="2"/>
  <c r="AN659" i="2" s="1"/>
  <c r="AO659" i="2" s="1"/>
  <c r="Z697" i="2"/>
  <c r="AN697" i="2" s="1"/>
  <c r="AO697" i="2" s="1"/>
  <c r="Z548" i="2"/>
  <c r="AN548" i="2" s="1"/>
  <c r="AO548" i="2" s="1"/>
  <c r="Z452" i="2"/>
  <c r="AN452" i="2" s="1"/>
  <c r="AO452" i="2" s="1"/>
  <c r="Z864" i="2"/>
  <c r="AN864" i="2" s="1"/>
  <c r="AO864" i="2" s="1"/>
  <c r="Z880" i="2"/>
  <c r="AN880" i="2" s="1"/>
  <c r="AO880" i="2" s="1"/>
  <c r="Z1103" i="2"/>
  <c r="AN1103" i="2" s="1"/>
  <c r="AO1103" i="2" s="1"/>
  <c r="Z906" i="2"/>
  <c r="AN906" i="2" s="1"/>
  <c r="AO906" i="2" s="1"/>
  <c r="Z1128" i="2"/>
  <c r="AN1128" i="2" s="1"/>
  <c r="AO1128" i="2" s="1"/>
  <c r="Z443" i="2"/>
  <c r="AN443" i="2" s="1"/>
  <c r="AO443" i="2" s="1"/>
  <c r="Z423" i="2"/>
  <c r="AN423" i="2" s="1"/>
  <c r="AO423" i="2" s="1"/>
  <c r="Z1190" i="2"/>
  <c r="AN1190" i="2" s="1"/>
  <c r="AO1190" i="2" s="1"/>
  <c r="Z660" i="2"/>
  <c r="AN660" i="2" s="1"/>
  <c r="AO660" i="2" s="1"/>
  <c r="Z208" i="2"/>
  <c r="AN208" i="2" s="1"/>
  <c r="AO208" i="2" s="1"/>
  <c r="Z64" i="2"/>
  <c r="AN64" i="2" s="1"/>
  <c r="AO64" i="2" s="1"/>
  <c r="Z90" i="2"/>
  <c r="AN90" i="2" s="1"/>
  <c r="AO90" i="2" s="1"/>
  <c r="Z633" i="2"/>
  <c r="AN633" i="2" s="1"/>
  <c r="AO633" i="2" s="1"/>
  <c r="Z768" i="2"/>
  <c r="AN768" i="2" s="1"/>
  <c r="AO768" i="2" s="1"/>
  <c r="Z468" i="2"/>
  <c r="AN468" i="2" s="1"/>
  <c r="AO468" i="2" s="1"/>
  <c r="Z812" i="2"/>
  <c r="AN812" i="2" s="1"/>
  <c r="AO812" i="2" s="1"/>
  <c r="Z518" i="2"/>
  <c r="AN518" i="2" s="1"/>
  <c r="AO518" i="2" s="1"/>
  <c r="Z131" i="2"/>
  <c r="AN131" i="2" s="1"/>
  <c r="AO131" i="2" s="1"/>
  <c r="Z431" i="2"/>
  <c r="AN431" i="2" s="1"/>
  <c r="AO431" i="2" s="1"/>
  <c r="Z494" i="2"/>
  <c r="AN494" i="2" s="1"/>
  <c r="AO494" i="2" s="1"/>
  <c r="Z98" i="2"/>
  <c r="AN98" i="2" s="1"/>
  <c r="AO98" i="2" s="1"/>
  <c r="Z367" i="2"/>
  <c r="AN367" i="2" s="1"/>
  <c r="AO367" i="2" s="1"/>
  <c r="Z804" i="2"/>
  <c r="AN804" i="2" s="1"/>
  <c r="AO804" i="2" s="1"/>
  <c r="Z43" i="2"/>
  <c r="AN43" i="2" s="1"/>
  <c r="AO43" i="2" s="1"/>
  <c r="Z1222" i="2"/>
  <c r="AN1222" i="2" s="1"/>
  <c r="AO1222" i="2" s="1"/>
  <c r="Z104" i="2"/>
  <c r="AN104" i="2" s="1"/>
  <c r="AO104" i="2" s="1"/>
  <c r="Z310" i="2"/>
  <c r="AN310" i="2" s="1"/>
  <c r="AO310" i="2" s="1"/>
  <c r="Z594" i="2"/>
  <c r="AN594" i="2" s="1"/>
  <c r="AO594" i="2" s="1"/>
  <c r="Z948" i="2"/>
  <c r="AN948" i="2" s="1"/>
  <c r="AO948" i="2" s="1"/>
  <c r="Z879" i="2"/>
  <c r="AN879" i="2" s="1"/>
  <c r="AO879" i="2" s="1"/>
  <c r="Z1038" i="2"/>
  <c r="AN1038" i="2" s="1"/>
  <c r="AO1038" i="2" s="1"/>
  <c r="Z941" i="2"/>
  <c r="AN941" i="2" s="1"/>
  <c r="AO941" i="2" s="1"/>
  <c r="Z170" i="2"/>
  <c r="AN170" i="2" s="1"/>
  <c r="AO170" i="2" s="1"/>
  <c r="Z144" i="2"/>
  <c r="AN144" i="2" s="1"/>
  <c r="AO144" i="2" s="1"/>
  <c r="Z426" i="2"/>
  <c r="AN426" i="2" s="1"/>
  <c r="AO426" i="2" s="1"/>
  <c r="Z639" i="2"/>
  <c r="AN639" i="2" s="1"/>
  <c r="AO639" i="2" s="1"/>
  <c r="Z973" i="2"/>
  <c r="AN973" i="2" s="1"/>
  <c r="AO973" i="2" s="1"/>
  <c r="Z140" i="2"/>
  <c r="AN140" i="2" s="1"/>
  <c r="AO140" i="2" s="1"/>
  <c r="Z335" i="2"/>
  <c r="AN335" i="2" s="1"/>
  <c r="AO335" i="2" s="1"/>
  <c r="Z1213" i="2"/>
  <c r="AN1213" i="2" s="1"/>
  <c r="AO1213" i="2" s="1"/>
  <c r="Z366" i="2"/>
  <c r="AN366" i="2" s="1"/>
  <c r="AO366" i="2" s="1"/>
  <c r="Z565" i="2"/>
  <c r="AN565" i="2" s="1"/>
  <c r="AO565" i="2" s="1"/>
  <c r="Z1129" i="2"/>
  <c r="AN1129" i="2" s="1"/>
  <c r="AO1129" i="2" s="1"/>
  <c r="Z1227" i="2"/>
  <c r="AN1227" i="2" s="1"/>
  <c r="AO1227" i="2" s="1"/>
  <c r="Z561" i="2"/>
  <c r="AN561" i="2" s="1"/>
  <c r="AO561" i="2" s="1"/>
  <c r="Z52" i="2"/>
  <c r="AN52" i="2" s="1"/>
  <c r="AO52" i="2" s="1"/>
  <c r="Z121" i="2"/>
  <c r="AN121" i="2" s="1"/>
  <c r="AO121" i="2" s="1"/>
  <c r="Z284" i="2"/>
  <c r="AN284" i="2" s="1"/>
  <c r="AO284" i="2" s="1"/>
  <c r="Z328" i="2"/>
  <c r="AN328" i="2" s="1"/>
  <c r="AO328" i="2" s="1"/>
  <c r="Z524" i="2"/>
  <c r="AN524" i="2" s="1"/>
  <c r="AO524" i="2" s="1"/>
  <c r="Z1132" i="2"/>
  <c r="AN1132" i="2" s="1"/>
  <c r="AO1132" i="2" s="1"/>
  <c r="Z200" i="2"/>
  <c r="AN200" i="2" s="1"/>
  <c r="AO200" i="2" s="1"/>
  <c r="Z815" i="2"/>
  <c r="AN815" i="2" s="1"/>
  <c r="AO815" i="2" s="1"/>
  <c r="Z876" i="2"/>
  <c r="AN876" i="2" s="1"/>
  <c r="AO876" i="2" s="1"/>
  <c r="Z492" i="2"/>
  <c r="AN492" i="2" s="1"/>
  <c r="AO492" i="2" s="1"/>
  <c r="Z771" i="2"/>
  <c r="AN771" i="2" s="1"/>
  <c r="AO771" i="2" s="1"/>
  <c r="Z33" i="2"/>
  <c r="AN33" i="2" s="1"/>
  <c r="AO33" i="2" s="1"/>
  <c r="Z86" i="2"/>
  <c r="AN86" i="2" s="1"/>
  <c r="AO86" i="2" s="1"/>
  <c r="Z977" i="2"/>
  <c r="AN977" i="2" s="1"/>
  <c r="AO977" i="2" s="1"/>
  <c r="Z1154" i="2"/>
  <c r="AN1154" i="2" s="1"/>
  <c r="AO1154" i="2" s="1"/>
  <c r="Z888" i="2"/>
  <c r="AN888" i="2" s="1"/>
  <c r="AO888" i="2" s="1"/>
  <c r="Z835" i="2"/>
  <c r="AN835" i="2" s="1"/>
  <c r="AO835" i="2" s="1"/>
  <c r="Z965" i="2"/>
  <c r="AN965" i="2" s="1"/>
  <c r="AO965" i="2" s="1"/>
  <c r="Z1138" i="2"/>
  <c r="AN1138" i="2" s="1"/>
  <c r="AO1138" i="2" s="1"/>
  <c r="Z427" i="2"/>
  <c r="AN427" i="2" s="1"/>
  <c r="AO427" i="2" s="1"/>
  <c r="Z148" i="2"/>
  <c r="AN148" i="2" s="1"/>
  <c r="AO148" i="2" s="1"/>
  <c r="Z381" i="2"/>
  <c r="AN381" i="2" s="1"/>
  <c r="AO381" i="2" s="1"/>
  <c r="Z53" i="2"/>
  <c r="AN53" i="2" s="1"/>
  <c r="AO53" i="2" s="1"/>
  <c r="Z1026" i="2"/>
  <c r="AN1026" i="2" s="1"/>
  <c r="AO1026" i="2" s="1"/>
  <c r="Z748" i="2"/>
  <c r="AN748" i="2" s="1"/>
  <c r="AO748" i="2" s="1"/>
  <c r="Z650" i="2"/>
  <c r="AN650" i="2" s="1"/>
  <c r="AO650" i="2" s="1"/>
  <c r="Z872" i="2"/>
  <c r="AN872" i="2" s="1"/>
  <c r="AO872" i="2" s="1"/>
  <c r="Z545" i="2"/>
  <c r="AN545" i="2" s="1"/>
  <c r="AO545" i="2" s="1"/>
  <c r="Z899" i="2"/>
  <c r="AN899" i="2" s="1"/>
  <c r="AO899" i="2" s="1"/>
  <c r="Z334" i="2"/>
  <c r="AN334" i="2" s="1"/>
  <c r="AO334" i="2" s="1"/>
  <c r="Z106" i="2"/>
  <c r="AN106" i="2" s="1"/>
  <c r="AO106" i="2" s="1"/>
  <c r="Z146" i="2"/>
  <c r="AN146" i="2" s="1"/>
  <c r="AO146" i="2" s="1"/>
  <c r="Z574" i="2"/>
  <c r="AN574" i="2" s="1"/>
  <c r="AO574" i="2" s="1"/>
  <c r="Z223" i="2"/>
  <c r="AN223" i="2" s="1"/>
  <c r="AO223" i="2" s="1"/>
  <c r="Z1082" i="2"/>
  <c r="AN1082" i="2" s="1"/>
  <c r="AO1082" i="2" s="1"/>
  <c r="Z750" i="2"/>
  <c r="AN750" i="2" s="1"/>
  <c r="AO750" i="2" s="1"/>
  <c r="Z1005" i="2"/>
  <c r="AN1005" i="2" s="1"/>
  <c r="AO1005" i="2" s="1"/>
  <c r="Z479" i="2"/>
  <c r="AN479" i="2" s="1"/>
  <c r="AO479" i="2" s="1"/>
  <c r="Z185" i="2"/>
  <c r="AN185" i="2" s="1"/>
  <c r="AO185" i="2" s="1"/>
  <c r="Z922" i="2"/>
  <c r="AN922" i="2" s="1"/>
  <c r="AO922" i="2" s="1"/>
  <c r="Z420" i="2"/>
  <c r="AN420" i="2" s="1"/>
  <c r="AO420" i="2" s="1"/>
  <c r="Z1002" i="2"/>
  <c r="AN1002" i="2" s="1"/>
  <c r="AO1002" i="2" s="1"/>
  <c r="Z317" i="2"/>
  <c r="AN317" i="2" s="1"/>
  <c r="AO317" i="2" s="1"/>
  <c r="Z59" i="2"/>
  <c r="AN59" i="2" s="1"/>
  <c r="AO59" i="2" s="1"/>
  <c r="Z798" i="2"/>
  <c r="AN798" i="2" s="1"/>
  <c r="AO798" i="2" s="1"/>
  <c r="Z396" i="2"/>
  <c r="AN396" i="2" s="1"/>
  <c r="AO396" i="2" s="1"/>
  <c r="Z442" i="2"/>
  <c r="AN442" i="2" s="1"/>
  <c r="AO442" i="2" s="1"/>
  <c r="Z640" i="2"/>
  <c r="AN640" i="2" s="1"/>
  <c r="AO640" i="2" s="1"/>
  <c r="Z1226" i="2"/>
  <c r="AN1226" i="2" s="1"/>
  <c r="AO1226" i="2" s="1"/>
  <c r="Z1023" i="2"/>
  <c r="AN1023" i="2" s="1"/>
  <c r="AO1023" i="2" s="1"/>
  <c r="Z171" i="2"/>
  <c r="AN171" i="2" s="1"/>
  <c r="AO171" i="2" s="1"/>
  <c r="Z1182" i="2"/>
  <c r="AN1182" i="2" s="1"/>
  <c r="AO1182" i="2" s="1"/>
  <c r="Z1141" i="2"/>
  <c r="AN1141" i="2" s="1"/>
  <c r="AO1141" i="2" s="1"/>
  <c r="Z84" i="2"/>
  <c r="AN84" i="2" s="1"/>
  <c r="AO84" i="2" s="1"/>
  <c r="Z1171" i="2"/>
  <c r="AN1171" i="2" s="1"/>
  <c r="AO1171" i="2" s="1"/>
  <c r="Z324" i="2"/>
  <c r="AN324" i="2" s="1"/>
  <c r="AO324" i="2" s="1"/>
  <c r="Z1001" i="2"/>
  <c r="AN1001" i="2" s="1"/>
  <c r="AO1001" i="2" s="1"/>
  <c r="Z414" i="2"/>
  <c r="AN414" i="2" s="1"/>
  <c r="AO414" i="2" s="1"/>
  <c r="Z1200" i="2"/>
  <c r="AN1200" i="2" s="1"/>
  <c r="AO1200" i="2" s="1"/>
  <c r="Z711" i="2"/>
  <c r="AN711" i="2" s="1"/>
  <c r="AO711" i="2" s="1"/>
  <c r="Z560" i="2"/>
  <c r="AN560" i="2" s="1"/>
  <c r="AO560" i="2" s="1"/>
  <c r="Z737" i="2"/>
  <c r="AN737" i="2" s="1"/>
  <c r="AO737" i="2" s="1"/>
  <c r="Z421" i="2"/>
  <c r="AN421" i="2" s="1"/>
  <c r="AO421" i="2" s="1"/>
  <c r="Z3" i="2"/>
  <c r="AN3" i="2" s="1"/>
  <c r="AO3" i="2" s="1"/>
  <c r="Z80" i="2"/>
  <c r="AN80" i="2" s="1"/>
  <c r="AO80" i="2" s="1"/>
  <c r="Z819" i="2"/>
  <c r="AN819" i="2" s="1"/>
  <c r="AO819" i="2" s="1"/>
  <c r="Z1027" i="2"/>
  <c r="AN1027" i="2" s="1"/>
  <c r="AO1027" i="2" s="1"/>
  <c r="Z436" i="2"/>
  <c r="AN436" i="2" s="1"/>
  <c r="AO436" i="2" s="1"/>
  <c r="Z558" i="2"/>
  <c r="AN558" i="2" s="1"/>
  <c r="AO558" i="2" s="1"/>
  <c r="Z713" i="2"/>
  <c r="AN713" i="2" s="1"/>
  <c r="AO713" i="2" s="1"/>
  <c r="Z734" i="2"/>
  <c r="AN734" i="2" s="1"/>
  <c r="AO734" i="2" s="1"/>
  <c r="Z651" i="2"/>
  <c r="AN651" i="2" s="1"/>
  <c r="AO651" i="2" s="1"/>
  <c r="Z206" i="2"/>
  <c r="AN206" i="2" s="1"/>
  <c r="AO206" i="2" s="1"/>
  <c r="Z251" i="2"/>
  <c r="AN251" i="2" s="1"/>
  <c r="AO251" i="2" s="1"/>
  <c r="Z537" i="2"/>
  <c r="AN537" i="2" s="1"/>
  <c r="AO537" i="2" s="1"/>
  <c r="Z275" i="2"/>
  <c r="AN275" i="2" s="1"/>
  <c r="AO275" i="2" s="1"/>
  <c r="Z969" i="2"/>
  <c r="AN969" i="2" s="1"/>
  <c r="AO969" i="2" s="1"/>
  <c r="Z1040" i="2"/>
  <c r="AN1040" i="2" s="1"/>
  <c r="AO1040" i="2" s="1"/>
  <c r="Z271" i="2"/>
  <c r="AN271" i="2" s="1"/>
  <c r="AO271" i="2" s="1"/>
  <c r="Z402" i="2"/>
  <c r="AN402" i="2" s="1"/>
  <c r="AO402" i="2" s="1"/>
  <c r="Z500" i="2"/>
  <c r="AN500" i="2" s="1"/>
  <c r="AO500" i="2" s="1"/>
  <c r="Z536" i="2"/>
  <c r="AN536" i="2" s="1"/>
  <c r="AO536" i="2" s="1"/>
  <c r="Z774" i="2"/>
  <c r="AN774" i="2" s="1"/>
  <c r="AO774" i="2" s="1"/>
  <c r="Z1089" i="2"/>
  <c r="AN1089" i="2" s="1"/>
  <c r="AO1089" i="2" s="1"/>
  <c r="Z993" i="2"/>
  <c r="AN993" i="2" s="1"/>
  <c r="AO993" i="2" s="1"/>
  <c r="Z143" i="2"/>
  <c r="AN143" i="2" s="1"/>
  <c r="AO143" i="2" s="1"/>
  <c r="Z61" i="2"/>
  <c r="AN61" i="2" s="1"/>
  <c r="AO61" i="2" s="1"/>
  <c r="Z669" i="2"/>
  <c r="AN669" i="2" s="1"/>
  <c r="AO669" i="2" s="1"/>
  <c r="Z705" i="2"/>
  <c r="AN705" i="2" s="1"/>
  <c r="AO705" i="2" s="1"/>
  <c r="Z188" i="2"/>
  <c r="AN188" i="2" s="1"/>
  <c r="AO188" i="2" s="1"/>
  <c r="Z838" i="2"/>
  <c r="AN838" i="2" s="1"/>
  <c r="AO838" i="2" s="1"/>
  <c r="Z460" i="2"/>
  <c r="AN460" i="2" s="1"/>
  <c r="AO460" i="2" s="1"/>
  <c r="Z88" i="2"/>
  <c r="AN88" i="2" s="1"/>
  <c r="AO88" i="2" s="1"/>
  <c r="Z783" i="2"/>
  <c r="AN783" i="2" s="1"/>
  <c r="AO783" i="2" s="1"/>
  <c r="Z81" i="2"/>
  <c r="AN81" i="2" s="1"/>
  <c r="AO81" i="2" s="1"/>
  <c r="Z674" i="2"/>
  <c r="AN674" i="2" s="1"/>
  <c r="AO674" i="2" s="1"/>
  <c r="Z593" i="2"/>
  <c r="AN593" i="2" s="1"/>
  <c r="AO593" i="2" s="1"/>
  <c r="Z28" i="2"/>
  <c r="AN28" i="2" s="1"/>
  <c r="AO28" i="2" s="1"/>
  <c r="Z177" i="2"/>
  <c r="AN177" i="2" s="1"/>
  <c r="AO177" i="2" s="1"/>
  <c r="Z589" i="2"/>
  <c r="AN589" i="2" s="1"/>
  <c r="AO589" i="2" s="1"/>
  <c r="Z533" i="2"/>
  <c r="AN533" i="2" s="1"/>
  <c r="AO533" i="2" s="1"/>
  <c r="Z276" i="2"/>
  <c r="AN276" i="2" s="1"/>
  <c r="AO276" i="2" s="1"/>
  <c r="Z1015" i="2"/>
  <c r="AN1015" i="2" s="1"/>
  <c r="AO1015" i="2" s="1"/>
  <c r="Z547" i="2"/>
  <c r="AN547" i="2" s="1"/>
  <c r="AO547" i="2" s="1"/>
  <c r="Z1030" i="2"/>
  <c r="AN1030" i="2" s="1"/>
  <c r="AO1030" i="2" s="1"/>
  <c r="Z1208" i="2"/>
  <c r="AN1208" i="2" s="1"/>
  <c r="AO1208" i="2" s="1"/>
  <c r="Z568" i="2"/>
  <c r="AN568" i="2" s="1"/>
  <c r="AO568" i="2" s="1"/>
  <c r="Z254" i="2"/>
  <c r="AN254" i="2" s="1"/>
  <c r="AO254" i="2" s="1"/>
  <c r="Z1059" i="2"/>
  <c r="AN1059" i="2" s="1"/>
  <c r="AO1059" i="2" s="1"/>
  <c r="Z481" i="2"/>
  <c r="AN481" i="2" s="1"/>
  <c r="AO481" i="2" s="1"/>
  <c r="Z203" i="2"/>
  <c r="AN203" i="2" s="1"/>
  <c r="AO203" i="2" s="1"/>
  <c r="Z616" i="2"/>
  <c r="AN616" i="2" s="1"/>
  <c r="AO616" i="2" s="1"/>
  <c r="Z510" i="2"/>
  <c r="AN510" i="2" s="1"/>
  <c r="AO510" i="2" s="1"/>
  <c r="Z1037" i="2"/>
  <c r="AN1037" i="2" s="1"/>
  <c r="AO1037" i="2" s="1"/>
  <c r="Z41" i="2"/>
  <c r="AN41" i="2" s="1"/>
  <c r="AO41" i="2" s="1"/>
  <c r="Z138" i="2"/>
  <c r="AN138" i="2" s="1"/>
  <c r="AO138" i="2" s="1"/>
  <c r="Z553" i="2"/>
  <c r="AN553" i="2" s="1"/>
  <c r="AO553" i="2" s="1"/>
  <c r="Z938" i="2"/>
  <c r="AN938" i="2" s="1"/>
  <c r="AO938" i="2" s="1"/>
  <c r="Z292" i="2"/>
  <c r="AN292" i="2" s="1"/>
  <c r="AO292" i="2" s="1"/>
  <c r="Z870" i="2"/>
  <c r="AN870" i="2" s="1"/>
  <c r="AO870" i="2" s="1"/>
  <c r="Z300" i="2"/>
  <c r="AN300" i="2" s="1"/>
  <c r="AO300" i="2" s="1"/>
  <c r="Z1020" i="2"/>
  <c r="AN1020" i="2" s="1"/>
  <c r="AO1020" i="2" s="1"/>
  <c r="Z849" i="2"/>
  <c r="AN849" i="2" s="1"/>
  <c r="AO849" i="2" s="1"/>
  <c r="Z1174" i="2"/>
  <c r="AN1174" i="2" s="1"/>
  <c r="AO1174" i="2" s="1"/>
  <c r="Z493" i="2"/>
  <c r="AN493" i="2" s="1"/>
  <c r="AO493" i="2" s="1"/>
  <c r="Z601" i="2"/>
  <c r="AN601" i="2" s="1"/>
  <c r="AO601" i="2" s="1"/>
  <c r="Z1183" i="2"/>
  <c r="AN1183" i="2" s="1"/>
  <c r="AO1183" i="2" s="1"/>
  <c r="Z97" i="2"/>
  <c r="AN97" i="2" s="1"/>
  <c r="AO97" i="2" s="1"/>
  <c r="Z1163" i="2"/>
  <c r="AN1163" i="2" s="1"/>
  <c r="AO1163" i="2" s="1"/>
  <c r="Z371" i="2"/>
  <c r="AN371" i="2" s="1"/>
  <c r="AO371" i="2" s="1"/>
  <c r="Z1006" i="2"/>
  <c r="AN1006" i="2" s="1"/>
  <c r="AO1006" i="2" s="1"/>
  <c r="Z1121" i="2"/>
  <c r="AN1121" i="2" s="1"/>
  <c r="AO1121" i="2" s="1"/>
  <c r="Z764" i="2"/>
  <c r="AN764" i="2" s="1"/>
  <c r="AO764" i="2" s="1"/>
  <c r="Z1153" i="2"/>
  <c r="AN1153" i="2" s="1"/>
  <c r="AO1153" i="2" s="1"/>
  <c r="Z769" i="2"/>
  <c r="AN769" i="2" s="1"/>
  <c r="AO769" i="2" s="1"/>
  <c r="Z186" i="2"/>
  <c r="AN186" i="2" s="1"/>
  <c r="AO186" i="2" s="1"/>
  <c r="Z299" i="2"/>
  <c r="AN299" i="2" s="1"/>
  <c r="AO299" i="2" s="1"/>
  <c r="Z997" i="2"/>
  <c r="AN997" i="2" s="1"/>
  <c r="AO997" i="2" s="1"/>
  <c r="Z842" i="2"/>
  <c r="AN842" i="2" s="1"/>
  <c r="AO842" i="2" s="1"/>
  <c r="Z744" i="2"/>
  <c r="AN744" i="2" s="1"/>
  <c r="AO744" i="2" s="1"/>
  <c r="Z1211" i="2"/>
  <c r="AN1211" i="2" s="1"/>
  <c r="AO1211" i="2" s="1"/>
  <c r="Z758" i="2"/>
  <c r="AN758" i="2" s="1"/>
  <c r="AO758" i="2" s="1"/>
  <c r="Z916" i="2"/>
  <c r="AN916" i="2" s="1"/>
  <c r="AO916" i="2" s="1"/>
  <c r="Z130" i="2"/>
  <c r="AN130" i="2" s="1"/>
  <c r="AO130" i="2" s="1"/>
  <c r="Z1192" i="2"/>
  <c r="AN1192" i="2" s="1"/>
  <c r="AO1192" i="2" s="1"/>
  <c r="Z12" i="2"/>
  <c r="AN12" i="2" s="1"/>
  <c r="AO12" i="2" s="1"/>
  <c r="Z688" i="2"/>
  <c r="AN688" i="2" s="1"/>
  <c r="AO688" i="2" s="1"/>
  <c r="Z793" i="2"/>
  <c r="AN793" i="2" s="1"/>
  <c r="AO793" i="2" s="1"/>
  <c r="Z314" i="2"/>
  <c r="AN314" i="2" s="1"/>
  <c r="AO314" i="2" s="1"/>
  <c r="L1232" i="2"/>
  <c r="Z395" i="2"/>
  <c r="AN395" i="2" s="1"/>
  <c r="AO395" i="2" s="1"/>
  <c r="Z6" i="2"/>
  <c r="AN6" i="2" s="1"/>
  <c r="AO6" i="2" s="1"/>
  <c r="Z1215" i="2"/>
  <c r="AN1215" i="2" s="1"/>
  <c r="AO1215" i="2" s="1"/>
  <c r="Z1063" i="2"/>
  <c r="AN1063" i="2" s="1"/>
  <c r="AO1063" i="2" s="1"/>
  <c r="Z990" i="2"/>
  <c r="AN990" i="2" s="1"/>
  <c r="AO990" i="2" s="1"/>
  <c r="Z1193" i="2"/>
  <c r="AN1193" i="2" s="1"/>
  <c r="AO1193" i="2" s="1"/>
  <c r="Z236" i="2"/>
  <c r="AN236" i="2" s="1"/>
  <c r="AO236" i="2" s="1"/>
  <c r="Z619" i="2"/>
  <c r="AN619" i="2" s="1"/>
  <c r="AO619" i="2" s="1"/>
  <c r="Z472" i="2"/>
  <c r="AN472" i="2" s="1"/>
  <c r="AO472" i="2" s="1"/>
  <c r="Z956" i="2"/>
  <c r="AN956" i="2" s="1"/>
  <c r="AO956" i="2" s="1"/>
  <c r="Z1094" i="2"/>
  <c r="AN1094" i="2" s="1"/>
  <c r="AO1094" i="2" s="1"/>
  <c r="Z822" i="2"/>
  <c r="AN822" i="2" s="1"/>
  <c r="AO822" i="2" s="1"/>
  <c r="Z147" i="2"/>
  <c r="AN147" i="2" s="1"/>
  <c r="AO147" i="2" s="1"/>
  <c r="Z350" i="2"/>
  <c r="AN350" i="2" s="1"/>
  <c r="AO350" i="2" s="1"/>
  <c r="Z1051" i="2"/>
  <c r="AN1051" i="2" s="1"/>
  <c r="AO1051" i="2" s="1"/>
  <c r="Z754" i="2"/>
  <c r="AN754" i="2" s="1"/>
  <c r="AO754" i="2" s="1"/>
  <c r="Z541" i="2"/>
  <c r="AN541" i="2" s="1"/>
  <c r="AO541" i="2" s="1"/>
  <c r="Z222" i="2"/>
  <c r="AN222" i="2" s="1"/>
  <c r="AO222" i="2" s="1"/>
  <c r="Z523" i="2"/>
  <c r="AN523" i="2" s="1"/>
  <c r="AO523" i="2" s="1"/>
  <c r="Z416" i="2"/>
  <c r="AN416" i="2" s="1"/>
  <c r="AO416" i="2" s="1"/>
  <c r="Z983" i="2"/>
  <c r="AN983" i="2" s="1"/>
  <c r="AO983" i="2" s="1"/>
  <c r="Z89" i="2"/>
  <c r="AN89" i="2" s="1"/>
  <c r="AO89" i="2" s="1"/>
  <c r="Z373" i="2"/>
  <c r="AN373" i="2" s="1"/>
  <c r="AO373" i="2" s="1"/>
  <c r="Z556" i="2"/>
  <c r="AN556" i="2" s="1"/>
  <c r="AO556" i="2" s="1"/>
  <c r="Z595" i="2"/>
  <c r="AN595" i="2" s="1"/>
  <c r="AO595" i="2" s="1"/>
  <c r="Z298" i="2"/>
  <c r="AN298" i="2" s="1"/>
  <c r="AO298" i="2" s="1"/>
  <c r="Z803" i="2"/>
  <c r="AN803" i="2" s="1"/>
  <c r="AO803" i="2" s="1"/>
  <c r="Z868" i="2"/>
  <c r="AN868" i="2" s="1"/>
  <c r="AO868" i="2" s="1"/>
  <c r="Z587" i="2"/>
  <c r="AN587" i="2" s="1"/>
  <c r="AO587" i="2" s="1"/>
  <c r="Z120" i="2"/>
  <c r="AN120" i="2" s="1"/>
  <c r="AO120" i="2" s="1"/>
  <c r="Z247" i="2"/>
  <c r="AN247" i="2" s="1"/>
  <c r="AO247" i="2" s="1"/>
  <c r="Z571" i="2"/>
  <c r="AN571" i="2" s="1"/>
  <c r="AO571" i="2" s="1"/>
  <c r="Z484" i="2"/>
  <c r="AN484" i="2" s="1"/>
  <c r="AO484" i="2" s="1"/>
  <c r="Z1012" i="2"/>
  <c r="AN1012" i="2" s="1"/>
  <c r="AO1012" i="2" s="1"/>
  <c r="Z127" i="2"/>
  <c r="AN127" i="2" s="1"/>
  <c r="AO127" i="2" s="1"/>
  <c r="Z288" i="2"/>
  <c r="AN288" i="2" s="1"/>
  <c r="AO288" i="2" s="1"/>
  <c r="Z678" i="2"/>
  <c r="AN678" i="2" s="1"/>
  <c r="AO678" i="2" s="1"/>
  <c r="Z221" i="2"/>
  <c r="AN221" i="2" s="1"/>
  <c r="AO221" i="2" s="1"/>
  <c r="Z1199" i="2"/>
  <c r="AN1199" i="2" s="1"/>
  <c r="AO1199" i="2" s="1"/>
  <c r="Z101" i="2"/>
  <c r="AN101" i="2" s="1"/>
  <c r="AO101" i="2" s="1"/>
  <c r="Z34" i="2"/>
  <c r="AN34" i="2" s="1"/>
  <c r="AO34" i="2" s="1"/>
  <c r="Z353" i="2"/>
  <c r="AN353" i="2" s="1"/>
  <c r="AO353" i="2" s="1"/>
  <c r="Z145" i="2"/>
  <c r="AN145" i="2" s="1"/>
  <c r="AO145" i="2" s="1"/>
  <c r="Z1111" i="2"/>
  <c r="AN1111" i="2" s="1"/>
  <c r="AO1111" i="2" s="1"/>
  <c r="Z805" i="2"/>
  <c r="AN805" i="2" s="1"/>
  <c r="AO805" i="2" s="1"/>
  <c r="Z984" i="2"/>
  <c r="AN984" i="2" s="1"/>
  <c r="AO984" i="2" s="1"/>
  <c r="Z1078" i="2"/>
  <c r="AN1078" i="2" s="1"/>
  <c r="AO1078" i="2" s="1"/>
  <c r="Z362" i="2"/>
  <c r="AN362" i="2" s="1"/>
  <c r="AO362" i="2" s="1"/>
  <c r="Z252" i="2"/>
  <c r="AN252" i="2" s="1"/>
  <c r="AO252" i="2" s="1"/>
  <c r="Z929" i="2"/>
  <c r="AN929" i="2" s="1"/>
  <c r="AO929" i="2" s="1"/>
  <c r="Z596" i="2"/>
  <c r="AN596" i="2" s="1"/>
  <c r="AO596" i="2" s="1"/>
  <c r="Z258" i="2"/>
  <c r="AN258" i="2" s="1"/>
  <c r="AO258" i="2" s="1"/>
  <c r="Z917" i="2"/>
  <c r="AN917" i="2" s="1"/>
  <c r="AO917" i="2" s="1"/>
  <c r="Z1098" i="2"/>
  <c r="AN1098" i="2" s="1"/>
  <c r="AO1098" i="2" s="1"/>
  <c r="Z256" i="2"/>
  <c r="AN256" i="2" s="1"/>
  <c r="AO256" i="2" s="1"/>
  <c r="Z970" i="2"/>
  <c r="AN970" i="2" s="1"/>
  <c r="AO970" i="2" s="1"/>
  <c r="Z409" i="2"/>
  <c r="AN409" i="2" s="1"/>
  <c r="AO409" i="2" s="1"/>
  <c r="Z330" i="2"/>
  <c r="AN330" i="2" s="1"/>
  <c r="AO330" i="2" s="1"/>
  <c r="Z823" i="2"/>
  <c r="AN823" i="2" s="1"/>
  <c r="AO823" i="2" s="1"/>
  <c r="Z932" i="2"/>
  <c r="AN932" i="2" s="1"/>
  <c r="AO932" i="2" s="1"/>
  <c r="Z1052" i="2"/>
  <c r="AN1052" i="2" s="1"/>
  <c r="AO1052" i="2" s="1"/>
  <c r="Z115" i="2"/>
  <c r="AN115" i="2" s="1"/>
  <c r="AO115" i="2" s="1"/>
  <c r="Z164" i="2"/>
  <c r="AN164" i="2" s="1"/>
  <c r="AO164" i="2" s="1"/>
  <c r="Z1133" i="2"/>
  <c r="AN1133" i="2" s="1"/>
  <c r="AO1133" i="2" s="1"/>
  <c r="Z1081" i="2"/>
  <c r="AN1081" i="2" s="1"/>
  <c r="AO1081" i="2" s="1"/>
  <c r="Z610" i="2"/>
  <c r="AN610" i="2" s="1"/>
  <c r="AO610" i="2" s="1"/>
  <c r="Z757" i="2"/>
  <c r="AN757" i="2" s="1"/>
  <c r="AO757" i="2" s="1"/>
  <c r="Z344" i="2"/>
  <c r="AN344" i="2" s="1"/>
  <c r="AO344" i="2" s="1"/>
  <c r="Z901" i="2"/>
  <c r="AN901" i="2" s="1"/>
  <c r="AO901" i="2" s="1"/>
  <c r="Z1099" i="2"/>
  <c r="AN1099" i="2" s="1"/>
  <c r="AO1099" i="2" s="1"/>
  <c r="Z559" i="2"/>
  <c r="AN559" i="2" s="1"/>
  <c r="AO559" i="2" s="1"/>
  <c r="Z469" i="2"/>
  <c r="AN469" i="2" s="1"/>
  <c r="AO469" i="2" s="1"/>
  <c r="Z759" i="2"/>
  <c r="AN759" i="2" s="1"/>
  <c r="AO759" i="2" s="1"/>
  <c r="Z234" i="2"/>
  <c r="AN234" i="2" s="1"/>
  <c r="AO234" i="2" s="1"/>
  <c r="Z1009" i="2"/>
  <c r="AN1009" i="2" s="1"/>
  <c r="AO1009" i="2" s="1"/>
  <c r="Z308" i="2"/>
  <c r="AN308" i="2" s="1"/>
  <c r="AO308" i="2" s="1"/>
  <c r="Z892" i="2"/>
  <c r="AN892" i="2" s="1"/>
  <c r="AO892" i="2" s="1"/>
  <c r="Z475" i="2"/>
  <c r="AN475" i="2" s="1"/>
  <c r="AO475" i="2" s="1"/>
  <c r="Z108" i="2"/>
  <c r="AN108" i="2" s="1"/>
  <c r="AO108" i="2" s="1"/>
  <c r="Z257" i="2"/>
  <c r="AN257" i="2" s="1"/>
  <c r="AO257" i="2" s="1"/>
  <c r="Z933" i="2"/>
  <c r="AN933" i="2" s="1"/>
  <c r="AO933" i="2" s="1"/>
  <c r="Z796" i="2"/>
  <c r="AN796" i="2" s="1"/>
  <c r="AO796" i="2" s="1"/>
  <c r="Z564" i="2"/>
  <c r="AN564" i="2" s="1"/>
  <c r="AO564" i="2" s="1"/>
  <c r="Z862" i="2"/>
  <c r="AN862" i="2" s="1"/>
  <c r="AO862" i="2" s="1"/>
  <c r="Z449" i="2"/>
  <c r="AN449" i="2" s="1"/>
  <c r="AO449" i="2" s="1"/>
  <c r="Z626" i="2"/>
  <c r="AN626" i="2" s="1"/>
  <c r="AO626" i="2" s="1"/>
  <c r="Z253" i="2"/>
  <c r="AN253" i="2" s="1"/>
  <c r="AO253" i="2" s="1"/>
  <c r="Z7" i="2"/>
  <c r="AN7" i="2" s="1"/>
  <c r="AO7" i="2" s="1"/>
  <c r="Z1032" i="2"/>
  <c r="AN1032" i="2" s="1"/>
  <c r="AO1032" i="2" s="1"/>
  <c r="Z435" i="2"/>
  <c r="AN435" i="2" s="1"/>
  <c r="AO435" i="2" s="1"/>
  <c r="Z542" i="2"/>
  <c r="AN542" i="2" s="1"/>
  <c r="AO542" i="2" s="1"/>
  <c r="Z274" i="2"/>
  <c r="AN274" i="2" s="1"/>
  <c r="AO274" i="2" s="1"/>
  <c r="Z467" i="2"/>
  <c r="AN467" i="2" s="1"/>
  <c r="AO467" i="2" s="1"/>
  <c r="Z807" i="2"/>
  <c r="AN807" i="2" s="1"/>
  <c r="AO807" i="2" s="1"/>
  <c r="Z249" i="2"/>
  <c r="AN249" i="2" s="1"/>
  <c r="AO249" i="2" s="1"/>
  <c r="Z343" i="2"/>
  <c r="AN343" i="2" s="1"/>
  <c r="AO343" i="2" s="1"/>
  <c r="Z738" i="2"/>
  <c r="AN738" i="2" s="1"/>
  <c r="AO738" i="2" s="1"/>
  <c r="Z751" i="2"/>
  <c r="AN751" i="2" s="1"/>
  <c r="AO751" i="2" s="1"/>
  <c r="Z119" i="2"/>
  <c r="AN119" i="2" s="1"/>
  <c r="AO119" i="2" s="1"/>
  <c r="Z580" i="2"/>
  <c r="AN580" i="2" s="1"/>
  <c r="AO580" i="2" s="1"/>
  <c r="Z590" i="2"/>
  <c r="AN590" i="2" s="1"/>
  <c r="AO590" i="2" s="1"/>
  <c r="Z1159" i="2"/>
  <c r="AN1159" i="2" s="1"/>
  <c r="AO1159" i="2" s="1"/>
  <c r="Z939" i="2"/>
  <c r="AN939" i="2" s="1"/>
  <c r="AO939" i="2" s="1"/>
  <c r="Z387" i="2"/>
  <c r="AN387" i="2" s="1"/>
  <c r="AO387" i="2" s="1"/>
  <c r="Z630" i="2"/>
  <c r="AN630" i="2" s="1"/>
  <c r="AO630" i="2" s="1"/>
  <c r="Z986" i="2"/>
  <c r="AN986" i="2" s="1"/>
  <c r="AO986" i="2" s="1"/>
  <c r="Z57" i="2"/>
  <c r="AN57" i="2" s="1"/>
  <c r="AO57" i="2" s="1"/>
  <c r="Z123" i="2"/>
  <c r="AN123" i="2" s="1"/>
  <c r="AO123" i="2" s="1"/>
  <c r="Z1168" i="2"/>
  <c r="AN1168" i="2" s="1"/>
  <c r="AO1168" i="2" s="1"/>
  <c r="Z179" i="2"/>
  <c r="AN179" i="2" s="1"/>
  <c r="AO179" i="2" s="1"/>
  <c r="Z554" i="2"/>
  <c r="AN554" i="2" s="1"/>
  <c r="AO554" i="2" s="1"/>
  <c r="Z753" i="2"/>
  <c r="AN753" i="2" s="1"/>
  <c r="AO753" i="2" s="1"/>
  <c r="Z410" i="2"/>
  <c r="AN410" i="2" s="1"/>
  <c r="AO410" i="2" s="1"/>
  <c r="Z1201" i="2"/>
  <c r="AN1201" i="2" s="1"/>
  <c r="AO1201" i="2" s="1"/>
  <c r="Z491" i="2"/>
  <c r="AN491" i="2" s="1"/>
  <c r="AO491" i="2" s="1"/>
  <c r="Z113" i="2"/>
  <c r="AN113" i="2" s="1"/>
  <c r="AO113" i="2" s="1"/>
  <c r="Z731" i="2"/>
  <c r="AN731" i="2" s="1"/>
  <c r="AO731" i="2" s="1"/>
  <c r="Z470" i="2"/>
  <c r="AN470" i="2" s="1"/>
  <c r="AO470" i="2" s="1"/>
  <c r="Z1039" i="2"/>
  <c r="AN1039" i="2" s="1"/>
  <c r="AO1039" i="2" s="1"/>
  <c r="Z25" i="2"/>
  <c r="AN25" i="2" s="1"/>
  <c r="AO25" i="2" s="1"/>
  <c r="Z586" i="2"/>
  <c r="AN586" i="2" s="1"/>
  <c r="AO586" i="2" s="1"/>
  <c r="Z1062" i="2"/>
  <c r="AN1062" i="2" s="1"/>
  <c r="AO1062" i="2" s="1"/>
  <c r="Z923" i="2"/>
  <c r="AN923" i="2" s="1"/>
  <c r="AO923" i="2" s="1"/>
  <c r="Z779" i="2"/>
  <c r="AN779" i="2" s="1"/>
  <c r="AO779" i="2" s="1"/>
  <c r="Z988" i="2"/>
  <c r="AN988" i="2" s="1"/>
  <c r="AO988" i="2" s="1"/>
  <c r="Z579" i="2"/>
  <c r="AN579" i="2" s="1"/>
  <c r="AO579" i="2" s="1"/>
  <c r="Z168" i="2"/>
  <c r="AN168" i="2" s="1"/>
  <c r="AO168" i="2" s="1"/>
  <c r="Z1056" i="2"/>
  <c r="AN1056" i="2" s="1"/>
  <c r="AO1056" i="2" s="1"/>
  <c r="Z78" i="2"/>
  <c r="AN78" i="2" s="1"/>
  <c r="AO78" i="2" s="1"/>
  <c r="Z389" i="2"/>
  <c r="AN389" i="2" s="1"/>
  <c r="AO389" i="2" s="1"/>
  <c r="Z226" i="2"/>
  <c r="AN226" i="2" s="1"/>
  <c r="AO226" i="2" s="1"/>
  <c r="Z1135" i="2"/>
  <c r="AN1135" i="2" s="1"/>
  <c r="AO1135" i="2" s="1"/>
  <c r="Z801" i="2"/>
  <c r="AN801" i="2" s="1"/>
  <c r="AO801" i="2" s="1"/>
  <c r="Z133" i="2"/>
  <c r="AN133" i="2" s="1"/>
  <c r="AO133" i="2" s="1"/>
  <c r="Z878" i="2"/>
  <c r="AN878" i="2" s="1"/>
  <c r="AO878" i="2" s="1"/>
  <c r="Z684" i="2"/>
  <c r="AN684" i="2" s="1"/>
  <c r="AO684" i="2" s="1"/>
  <c r="Z169" i="2"/>
  <c r="AN169" i="2" s="1"/>
  <c r="AO169" i="2" s="1"/>
  <c r="Z74" i="2"/>
  <c r="AN74" i="2" s="1"/>
  <c r="AO74" i="2" s="1"/>
  <c r="Z762" i="2"/>
  <c r="AN762" i="2" s="1"/>
  <c r="AO762" i="2" s="1"/>
  <c r="Z935" i="2"/>
  <c r="AN935" i="2" s="1"/>
  <c r="AO935" i="2" s="1"/>
  <c r="Z664" i="2"/>
  <c r="AN664" i="2" s="1"/>
  <c r="AO664" i="2" s="1"/>
  <c r="Z824" i="2"/>
  <c r="AN824" i="2" s="1"/>
  <c r="AO824" i="2" s="1"/>
  <c r="Z656" i="2"/>
  <c r="AN656" i="2" s="1"/>
  <c r="AO656" i="2" s="1"/>
  <c r="Z778" i="2"/>
  <c r="AN778" i="2" s="1"/>
  <c r="AO778" i="2" s="1"/>
  <c r="Z853" i="2"/>
  <c r="AN853" i="2" s="1"/>
  <c r="AO853" i="2" s="1"/>
  <c r="Z766" i="2"/>
  <c r="AN766" i="2" s="1"/>
  <c r="AO766" i="2" s="1"/>
  <c r="Z497" i="2"/>
  <c r="AN497" i="2" s="1"/>
  <c r="AO497" i="2" s="1"/>
  <c r="Z741" i="2"/>
  <c r="AN741" i="2" s="1"/>
  <c r="AO741" i="2" s="1"/>
  <c r="Z279" i="2"/>
  <c r="AN279" i="2" s="1"/>
  <c r="AO279" i="2" s="1"/>
  <c r="Z1017" i="2"/>
  <c r="AN1017" i="2" s="1"/>
  <c r="AO1017" i="2" s="1"/>
  <c r="Z634" i="2"/>
  <c r="AN634" i="2" s="1"/>
  <c r="AO634" i="2" s="1"/>
  <c r="Z110" i="2"/>
  <c r="AN110" i="2" s="1"/>
  <c r="AO110" i="2" s="1"/>
  <c r="Z1074" i="2"/>
  <c r="AN1074" i="2" s="1"/>
  <c r="AO1074" i="2" s="1"/>
  <c r="Z495" i="2"/>
  <c r="AN495" i="2" s="1"/>
  <c r="AO495" i="2" s="1"/>
  <c r="Z172" i="2"/>
  <c r="AN172" i="2" s="1"/>
  <c r="AO172" i="2" s="1"/>
  <c r="Z454" i="2"/>
  <c r="AN454" i="2" s="1"/>
  <c r="AO454" i="2" s="1"/>
  <c r="Z527" i="2"/>
  <c r="AN527" i="2" s="1"/>
  <c r="AO527" i="2" s="1"/>
  <c r="Z606" i="2"/>
  <c r="AN606" i="2" s="1"/>
  <c r="AO606" i="2" s="1"/>
  <c r="Z289" i="2"/>
  <c r="AN289" i="2" s="1"/>
  <c r="AO289" i="2" s="1"/>
  <c r="Z259" i="2"/>
  <c r="AN259" i="2" s="1"/>
  <c r="AO259" i="2" s="1"/>
  <c r="Z192" i="2"/>
  <c r="AN192" i="2" s="1"/>
  <c r="AO192" i="2" s="1"/>
  <c r="Z585" i="2"/>
  <c r="AN585" i="2" s="1"/>
  <c r="AO585" i="2" s="1"/>
  <c r="Z925" i="2"/>
  <c r="AN925" i="2" s="1"/>
  <c r="AO925" i="2" s="1"/>
  <c r="Z99" i="2"/>
  <c r="AN99" i="2" s="1"/>
  <c r="AO99" i="2" s="1"/>
  <c r="Z1161" i="2"/>
  <c r="AN1161" i="2" s="1"/>
  <c r="AO1161" i="2" s="1"/>
  <c r="Z471" i="2"/>
  <c r="AN471" i="2" s="1"/>
  <c r="AO471" i="2" s="1"/>
  <c r="Z273" i="2"/>
  <c r="AN273" i="2" s="1"/>
  <c r="AO273" i="2" s="1"/>
  <c r="Z865" i="2"/>
  <c r="AN865" i="2" s="1"/>
  <c r="AO865" i="2" s="1"/>
  <c r="Z1177" i="2"/>
  <c r="AN1177" i="2" s="1"/>
  <c r="AO1177" i="2" s="1"/>
  <c r="Z19" i="2"/>
  <c r="AN19" i="2" s="1"/>
  <c r="AO19" i="2" s="1"/>
  <c r="Z926" i="2"/>
  <c r="AN926" i="2" s="1"/>
  <c r="AO926" i="2" s="1"/>
  <c r="Z781" i="2"/>
  <c r="AN781" i="2" s="1"/>
  <c r="AO781" i="2" s="1"/>
  <c r="Z1202" i="2"/>
  <c r="AN1202" i="2" s="1"/>
  <c r="AO1202" i="2" s="1"/>
  <c r="Z31" i="2"/>
  <c r="AN31" i="2" s="1"/>
  <c r="AO31" i="2" s="1"/>
  <c r="Z85" i="2"/>
  <c r="AN85" i="2" s="1"/>
  <c r="AO85" i="2" s="1"/>
  <c r="Z850" i="2"/>
  <c r="AN850" i="2" s="1"/>
  <c r="AO850" i="2" s="1"/>
  <c r="Z235" i="2"/>
  <c r="AN235" i="2" s="1"/>
  <c r="AO235" i="2" s="1"/>
  <c r="Z649" i="2"/>
  <c r="AN649" i="2" s="1"/>
  <c r="AO649" i="2" s="1"/>
  <c r="Z277" i="2"/>
  <c r="AN277" i="2" s="1"/>
  <c r="AO277" i="2" s="1"/>
  <c r="Z836" i="2"/>
  <c r="AN836" i="2" s="1"/>
  <c r="AO836" i="2" s="1"/>
  <c r="Z1058" i="2"/>
  <c r="AN1058" i="2" s="1"/>
  <c r="AO1058" i="2" s="1"/>
  <c r="Z1175" i="2"/>
  <c r="AN1175" i="2" s="1"/>
  <c r="AO1175" i="2" s="1"/>
  <c r="Z813" i="2"/>
  <c r="AN813" i="2" s="1"/>
  <c r="AO813" i="2" s="1"/>
  <c r="Z730" i="2"/>
  <c r="AN730" i="2" s="1"/>
  <c r="AO730" i="2" s="1"/>
  <c r="Z549" i="2"/>
  <c r="AN549" i="2" s="1"/>
  <c r="AO549" i="2" s="1"/>
  <c r="Z885" i="2"/>
  <c r="AN885" i="2" s="1"/>
  <c r="AO885" i="2" s="1"/>
  <c r="Z11" i="2"/>
  <c r="AN11" i="2" s="1"/>
  <c r="AO11" i="2" s="1"/>
  <c r="Z682" i="2"/>
  <c r="AN682" i="2" s="1"/>
  <c r="AO682" i="2" s="1"/>
  <c r="Z1116" i="2"/>
  <c r="AN1116" i="2" s="1"/>
  <c r="AO1116" i="2" s="1"/>
  <c r="Z800" i="2"/>
  <c r="AN800" i="2" s="1"/>
  <c r="AO800" i="2" s="1"/>
  <c r="Z776" i="2"/>
  <c r="AN776" i="2" s="1"/>
  <c r="AO776" i="2" s="1"/>
  <c r="Z453" i="2"/>
  <c r="AN453" i="2" s="1"/>
  <c r="AO453" i="2" s="1"/>
  <c r="Z441" i="2"/>
  <c r="AN441" i="2" s="1"/>
  <c r="AO441" i="2" s="1"/>
  <c r="Z264" i="2"/>
  <c r="AN264" i="2" s="1"/>
  <c r="AO264" i="2" s="1"/>
  <c r="Z617" i="2"/>
  <c r="AN617" i="2" s="1"/>
  <c r="AO617" i="2" s="1"/>
  <c r="Z361" i="2"/>
  <c r="AN361" i="2" s="1"/>
  <c r="AO361" i="2" s="1"/>
  <c r="Z1230" i="2"/>
  <c r="AN1230" i="2" s="1"/>
  <c r="AO1230" i="2" s="1"/>
  <c r="Z1134" i="2"/>
  <c r="AN1134" i="2" s="1"/>
  <c r="AO1134" i="2" s="1"/>
  <c r="Z325" i="2"/>
  <c r="AN325" i="2" s="1"/>
  <c r="AO325" i="2" s="1"/>
  <c r="Z699" i="2"/>
  <c r="AN699" i="2" s="1"/>
  <c r="AO699" i="2" s="1"/>
  <c r="Z13" i="2"/>
  <c r="AN13" i="2" s="1"/>
  <c r="AO13" i="2" s="1"/>
  <c r="Z552" i="2"/>
  <c r="AN552" i="2" s="1"/>
  <c r="AO552" i="2" s="1"/>
  <c r="Z1179" i="2"/>
  <c r="AN1179" i="2" s="1"/>
  <c r="AO1179" i="2" s="1"/>
  <c r="Z1079" i="2"/>
  <c r="AN1079" i="2" s="1"/>
  <c r="AO1079" i="2" s="1"/>
  <c r="Z710" i="2"/>
  <c r="AN710" i="2" s="1"/>
  <c r="AO710" i="2" s="1"/>
  <c r="Z337" i="2"/>
  <c r="AN337" i="2" s="1"/>
  <c r="AO337" i="2" s="1"/>
  <c r="Z663" i="2"/>
  <c r="AN663" i="2" s="1"/>
  <c r="AO663" i="2" s="1"/>
  <c r="Z69" i="2"/>
  <c r="AN69" i="2" s="1"/>
  <c r="AO69" i="2" s="1"/>
  <c r="Z1228" i="2"/>
  <c r="AN1228" i="2" s="1"/>
  <c r="AO1228" i="2" s="1"/>
  <c r="Z323" i="2"/>
  <c r="AN323" i="2" s="1"/>
  <c r="AO323" i="2" s="1"/>
  <c r="Z374" i="2"/>
  <c r="AN374" i="2" s="1"/>
  <c r="AO374" i="2" s="1"/>
  <c r="Z476" i="2"/>
  <c r="AN476" i="2" s="1"/>
  <c r="AO476" i="2" s="1"/>
  <c r="Z612" i="2"/>
  <c r="AN612" i="2" s="1"/>
  <c r="AO612" i="2" s="1"/>
  <c r="Z689" i="2"/>
  <c r="AN689" i="2" s="1"/>
  <c r="AO689" i="2" s="1"/>
  <c r="Z224" i="2"/>
  <c r="AN224" i="2" s="1"/>
  <c r="AO224" i="2" s="1"/>
  <c r="Z1216" i="2"/>
  <c r="AN1216" i="2" s="1"/>
  <c r="AO1216" i="2" s="1"/>
  <c r="Z360" i="2"/>
  <c r="AN360" i="2" s="1"/>
  <c r="AO360" i="2" s="1"/>
  <c r="Z708" i="2"/>
  <c r="AN708" i="2" s="1"/>
  <c r="AO708" i="2" s="1"/>
  <c r="Z205" i="2"/>
  <c r="AN205" i="2" s="1"/>
  <c r="AO205" i="2" s="1"/>
  <c r="Z680" i="2"/>
  <c r="AN680" i="2" s="1"/>
  <c r="AO680" i="2" s="1"/>
  <c r="Z912" i="2"/>
  <c r="AN912" i="2" s="1"/>
  <c r="AO912" i="2" s="1"/>
  <c r="Z267" i="2"/>
  <c r="AN267" i="2" s="1"/>
  <c r="AO267" i="2" s="1"/>
  <c r="Z875" i="2"/>
  <c r="AN875" i="2" s="1"/>
  <c r="AO875" i="2" s="1"/>
  <c r="Z1057" i="2"/>
  <c r="AN1057" i="2" s="1"/>
  <c r="AO1057" i="2" s="1"/>
  <c r="Z313" i="2"/>
  <c r="AN313" i="2" s="1"/>
  <c r="AO313" i="2" s="1"/>
  <c r="Z433" i="2"/>
  <c r="AN433" i="2" s="1"/>
  <c r="AO433" i="2" s="1"/>
  <c r="Z860" i="2"/>
  <c r="AN860" i="2" s="1"/>
  <c r="AO860" i="2" s="1"/>
  <c r="Z724" i="2"/>
  <c r="AN724" i="2" s="1"/>
  <c r="AO724" i="2" s="1"/>
  <c r="Z178" i="2"/>
  <c r="AN178" i="2" s="1"/>
  <c r="AO178" i="2" s="1"/>
  <c r="Z473" i="2"/>
  <c r="AN473" i="2" s="1"/>
  <c r="AO473" i="2" s="1"/>
  <c r="Z1165" i="2"/>
  <c r="AN1165" i="2" s="1"/>
  <c r="AO1165" i="2" s="1"/>
  <c r="Z852" i="2"/>
  <c r="AN852" i="2" s="1"/>
  <c r="AO852" i="2" s="1"/>
  <c r="Z390" i="2"/>
  <c r="AN390" i="2" s="1"/>
  <c r="AO390" i="2" s="1"/>
  <c r="Z462" i="2"/>
  <c r="AN462" i="2" s="1"/>
  <c r="AO462" i="2" s="1"/>
  <c r="Z384" i="2"/>
  <c r="AN384" i="2" s="1"/>
  <c r="AO384" i="2" s="1"/>
  <c r="Z364" i="2"/>
  <c r="AN364" i="2" s="1"/>
  <c r="AO364" i="2" s="1"/>
  <c r="Z701" i="2"/>
  <c r="AN701" i="2" s="1"/>
  <c r="AO701" i="2" s="1"/>
  <c r="Z874" i="2"/>
  <c r="AN874" i="2" s="1"/>
  <c r="AO874" i="2" s="1"/>
  <c r="Z71" i="2"/>
  <c r="AN71" i="2" s="1"/>
  <c r="AO71" i="2" s="1"/>
  <c r="Z190" i="2"/>
  <c r="AN190" i="2" s="1"/>
  <c r="AO190" i="2" s="1"/>
  <c r="Z22" i="2"/>
  <c r="AN22" i="2" s="1"/>
  <c r="AO22" i="2" s="1"/>
  <c r="Z522" i="2"/>
  <c r="AN522" i="2" s="1"/>
  <c r="AO522" i="2" s="1"/>
  <c r="Z644" i="2"/>
  <c r="AN644" i="2" s="1"/>
  <c r="AO644" i="2" s="1"/>
  <c r="Z894" i="2"/>
  <c r="AN894" i="2" s="1"/>
  <c r="AO894" i="2" s="1"/>
  <c r="Z557" i="2"/>
  <c r="AN557" i="2" s="1"/>
  <c r="AO557" i="2" s="1"/>
  <c r="Z195" i="2"/>
  <c r="AN195" i="2" s="1"/>
  <c r="AO195" i="2" s="1"/>
  <c r="Z1007" i="2"/>
  <c r="AN1007" i="2" s="1"/>
  <c r="AO1007" i="2" s="1"/>
  <c r="Z4" i="2"/>
  <c r="AN4" i="2" s="1"/>
  <c r="AO4" i="2" s="1"/>
  <c r="Z675" i="2"/>
  <c r="AN675" i="2" s="1"/>
  <c r="AO675" i="2" s="1"/>
  <c r="Z621" i="2"/>
  <c r="AN621" i="2" s="1"/>
  <c r="AO621" i="2" s="1"/>
  <c r="Z795" i="2"/>
  <c r="AN795" i="2" s="1"/>
  <c r="AO795" i="2" s="1"/>
  <c r="Z1126" i="2"/>
  <c r="AN1126" i="2" s="1"/>
  <c r="AO1126" i="2" s="1"/>
  <c r="Z1203" i="2"/>
  <c r="AN1203" i="2" s="1"/>
  <c r="AO1203" i="2" s="1"/>
  <c r="Z1152" i="2"/>
  <c r="AN1152" i="2" s="1"/>
  <c r="AO1152" i="2" s="1"/>
  <c r="Z266" i="2"/>
  <c r="AN266" i="2" s="1"/>
  <c r="AO266" i="2" s="1"/>
  <c r="Z854" i="2"/>
  <c r="AN854" i="2" s="1"/>
  <c r="AO854" i="2" s="1"/>
  <c r="Z550" i="2"/>
  <c r="AN550" i="2" s="1"/>
  <c r="AO550" i="2" s="1"/>
  <c r="Z883" i="2"/>
  <c r="AN883" i="2" s="1"/>
  <c r="AO883" i="2" s="1"/>
  <c r="Z197" i="2"/>
  <c r="AN197" i="2" s="1"/>
  <c r="AO197" i="2" s="1"/>
  <c r="Z572" i="2"/>
  <c r="AN572" i="2" s="1"/>
  <c r="AO572" i="2" s="1"/>
  <c r="Z176" i="2"/>
  <c r="AN176" i="2" s="1"/>
  <c r="AO176" i="2" s="1"/>
  <c r="Z743" i="2"/>
  <c r="AN743" i="2" s="1"/>
  <c r="AO743" i="2" s="1"/>
  <c r="Z1067" i="2"/>
  <c r="AN1067" i="2" s="1"/>
  <c r="AO1067" i="2" s="1"/>
  <c r="Z978" i="2"/>
  <c r="AN978" i="2" s="1"/>
  <c r="AO978" i="2" s="1"/>
  <c r="Z1143" i="2"/>
  <c r="AN1143" i="2" s="1"/>
  <c r="AO1143" i="2" s="1"/>
  <c r="Z498" i="2"/>
  <c r="AN498" i="2" s="1"/>
  <c r="AO498" i="2" s="1"/>
  <c r="Z444" i="2"/>
  <c r="AN444" i="2" s="1"/>
  <c r="AO444" i="2" s="1"/>
  <c r="Z676" i="2"/>
  <c r="AN676" i="2" s="1"/>
  <c r="AO676" i="2" s="1"/>
  <c r="Z82" i="2"/>
  <c r="AN82" i="2" s="1"/>
  <c r="AO82" i="2" s="1"/>
  <c r="Z817" i="2"/>
  <c r="AN817" i="2" s="1"/>
  <c r="AO817" i="2" s="1"/>
  <c r="Z158" i="2"/>
  <c r="AN158" i="2" s="1"/>
  <c r="AO158" i="2" s="1"/>
  <c r="Z1097" i="2"/>
  <c r="AN1097" i="2" s="1"/>
  <c r="AO1097" i="2" s="1"/>
  <c r="Z240" i="2"/>
  <c r="AN240" i="2" s="1"/>
  <c r="AO240" i="2" s="1"/>
  <c r="Z107" i="2"/>
  <c r="AN107" i="2" s="1"/>
  <c r="AO107" i="2" s="1"/>
  <c r="Z1157" i="2"/>
  <c r="AN1157" i="2" s="1"/>
  <c r="AO1157" i="2" s="1"/>
  <c r="Z511" i="2"/>
  <c r="AN511" i="2" s="1"/>
  <c r="AO511" i="2" s="1"/>
  <c r="Z966" i="2"/>
  <c r="AN966" i="2" s="1"/>
  <c r="AO966" i="2" s="1"/>
  <c r="Z1220" i="2"/>
  <c r="AN1220" i="2" s="1"/>
  <c r="AO1220" i="2" s="1"/>
  <c r="Z504" i="2"/>
  <c r="AN504" i="2" s="1"/>
  <c r="AO504" i="2" s="1"/>
  <c r="Z315" i="2"/>
  <c r="AN315" i="2" s="1"/>
  <c r="AO315" i="2" s="1"/>
  <c r="Z285" i="2"/>
  <c r="AN285" i="2" s="1"/>
  <c r="AO285" i="2" s="1"/>
  <c r="Z797" i="2"/>
  <c r="AN797" i="2" s="1"/>
  <c r="AO797" i="2" s="1"/>
  <c r="Z961" i="2"/>
  <c r="AN961" i="2" s="1"/>
  <c r="AO961" i="2" s="1"/>
  <c r="Z378" i="2"/>
  <c r="AN378" i="2" s="1"/>
  <c r="AO378" i="2" s="1"/>
  <c r="Z162" i="2"/>
  <c r="AN162" i="2" s="1"/>
  <c r="AO162" i="2" s="1"/>
  <c r="Z464" i="2"/>
  <c r="AN464" i="2" s="1"/>
  <c r="AO464" i="2" s="1"/>
  <c r="Z269" i="2"/>
  <c r="AN269" i="2" s="1"/>
  <c r="AO269" i="2" s="1"/>
  <c r="Z18" i="2"/>
  <c r="AN18" i="2" s="1"/>
  <c r="AO18" i="2" s="1"/>
  <c r="Z1231" i="2"/>
  <c r="AN1231" i="2" s="1"/>
  <c r="AO1231" i="2" s="1"/>
  <c r="Z1212" i="2"/>
  <c r="AN1212" i="2" s="1"/>
  <c r="AO1212" i="2" s="1"/>
  <c r="Z455" i="2"/>
  <c r="AN455" i="2" s="1"/>
  <c r="AO455" i="2" s="1"/>
  <c r="Z667" i="2"/>
  <c r="AN667" i="2" s="1"/>
  <c r="AO667" i="2" s="1"/>
  <c r="Z319" i="2"/>
  <c r="AN319" i="2" s="1"/>
  <c r="AO319" i="2" s="1"/>
  <c r="Z312" i="2"/>
  <c r="AN312" i="2" s="1"/>
  <c r="AO312" i="2" s="1"/>
  <c r="Z963" i="2"/>
  <c r="AN963" i="2" s="1"/>
  <c r="AO963" i="2" s="1"/>
  <c r="Z1108" i="2"/>
  <c r="AN1108" i="2" s="1"/>
  <c r="AO1108" i="2" s="1"/>
  <c r="Z972" i="2"/>
  <c r="AN972" i="2" s="1"/>
  <c r="AO972" i="2" s="1"/>
  <c r="Z1172" i="2"/>
  <c r="AN1172" i="2" s="1"/>
  <c r="AO1172" i="2" s="1"/>
  <c r="Z118" i="2"/>
  <c r="AN118" i="2" s="1"/>
  <c r="AO118" i="2" s="1"/>
  <c r="Z372" i="2"/>
  <c r="AN372" i="2" s="1"/>
  <c r="AO372" i="2" s="1"/>
  <c r="Z567" i="2"/>
  <c r="AN567" i="2" s="1"/>
  <c r="AO567" i="2" s="1"/>
  <c r="Z23" i="2"/>
  <c r="AN23" i="2" s="1"/>
  <c r="AO23" i="2" s="1"/>
  <c r="Z931" i="2"/>
  <c r="AN931" i="2" s="1"/>
  <c r="AO931" i="2" s="1"/>
  <c r="Z907" i="2"/>
  <c r="AN907" i="2" s="1"/>
  <c r="AO907" i="2" s="1"/>
  <c r="Z394" i="2"/>
  <c r="AN394" i="2" s="1"/>
  <c r="AO394" i="2" s="1"/>
  <c r="Z1054" i="2"/>
  <c r="AN1054" i="2" s="1"/>
  <c r="AO1054" i="2" s="1"/>
  <c r="Z666" i="2"/>
  <c r="AN666" i="2" s="1"/>
  <c r="AO666" i="2" s="1"/>
  <c r="Z216" i="2"/>
  <c r="AN216" i="2" s="1"/>
  <c r="AO216" i="2" s="1"/>
  <c r="Z913" i="2"/>
  <c r="AN913" i="2" s="1"/>
  <c r="AO913" i="2" s="1"/>
  <c r="Z261" i="2"/>
  <c r="AN261" i="2" s="1"/>
  <c r="AO261" i="2" s="1"/>
  <c r="Z229" i="2"/>
  <c r="AN229" i="2" s="1"/>
  <c r="AO229" i="2" s="1"/>
  <c r="Z1195" i="2"/>
  <c r="AN1195" i="2" s="1"/>
  <c r="AO1195" i="2" s="1"/>
  <c r="Z380" i="2"/>
  <c r="AN380" i="2" s="1"/>
  <c r="AO380" i="2" s="1"/>
  <c r="Z413" i="2"/>
  <c r="AN413" i="2" s="1"/>
  <c r="AO413" i="2" s="1"/>
  <c r="Z551" i="2"/>
  <c r="AN551" i="2" s="1"/>
  <c r="AO551" i="2" s="1"/>
  <c r="Z957" i="2"/>
  <c r="AN957" i="2" s="1"/>
  <c r="AO957" i="2" s="1"/>
  <c r="Z811" i="2"/>
  <c r="AN811" i="2" s="1"/>
  <c r="AO811" i="2" s="1"/>
  <c r="Z740" i="2"/>
  <c r="AN740" i="2" s="1"/>
  <c r="AO740" i="2" s="1"/>
  <c r="Z975" i="2"/>
  <c r="AN975" i="2" s="1"/>
  <c r="AO975" i="2" s="1"/>
  <c r="Z191" i="2"/>
  <c r="AN191" i="2" s="1"/>
  <c r="AO191" i="2" s="1"/>
  <c r="Z341" i="2"/>
  <c r="AN341" i="2" s="1"/>
  <c r="AO341" i="2" s="1"/>
  <c r="Z180" i="2"/>
  <c r="AN180" i="2" s="1"/>
  <c r="AO180" i="2" s="1"/>
  <c r="Z991" i="2"/>
  <c r="AN991" i="2" s="1"/>
  <c r="AO991" i="2" s="1"/>
  <c r="Z230" i="2"/>
  <c r="AN230" i="2" s="1"/>
  <c r="AO230" i="2" s="1"/>
  <c r="Z1014" i="2"/>
  <c r="AN1014" i="2" s="1"/>
  <c r="AO1014" i="2" s="1"/>
  <c r="Z105" i="2"/>
  <c r="AN105" i="2" s="1"/>
  <c r="AO105" i="2" s="1"/>
  <c r="Z784" i="2"/>
  <c r="AN784" i="2" s="1"/>
  <c r="AO784" i="2" s="1"/>
  <c r="Z306" i="2"/>
  <c r="AN306" i="2" s="1"/>
  <c r="AO306" i="2" s="1"/>
  <c r="Z761" i="2"/>
  <c r="AN761" i="2" s="1"/>
  <c r="AO761" i="2" s="1"/>
  <c r="Z356" i="2"/>
  <c r="AN356" i="2" s="1"/>
  <c r="AO356" i="2" s="1"/>
  <c r="Z1071" i="2"/>
  <c r="AN1071" i="2" s="1"/>
  <c r="AO1071" i="2" s="1"/>
  <c r="Z987" i="2"/>
  <c r="AN987" i="2" s="1"/>
  <c r="AO987" i="2" s="1"/>
  <c r="Z686" i="2"/>
  <c r="AN686" i="2" s="1"/>
  <c r="AO686" i="2" s="1"/>
  <c r="Z670" i="2"/>
  <c r="AN670" i="2" s="1"/>
  <c r="AO670" i="2" s="1"/>
  <c r="Z528" i="2"/>
  <c r="AN528" i="2" s="1"/>
  <c r="AO528" i="2" s="1"/>
  <c r="Z989" i="2"/>
  <c r="AN989" i="2" s="1"/>
  <c r="AO989" i="2" s="1"/>
  <c r="Z915" i="2"/>
  <c r="AN915" i="2" s="1"/>
  <c r="AO915" i="2" s="1"/>
  <c r="Z690" i="2"/>
  <c r="AN690" i="2" s="1"/>
  <c r="AO690" i="2" s="1"/>
  <c r="Z846" i="2"/>
  <c r="AN846" i="2" s="1"/>
  <c r="AO846" i="2" s="1"/>
  <c r="Z375" i="2"/>
  <c r="AN375" i="2" s="1"/>
  <c r="AO375" i="2" s="1"/>
  <c r="Z662" i="2"/>
  <c r="AN662" i="2" s="1"/>
  <c r="AO662" i="2" s="1"/>
  <c r="Z543" i="2"/>
  <c r="AN543" i="2" s="1"/>
  <c r="AO543" i="2" s="1"/>
  <c r="Z947" i="2"/>
  <c r="AN947" i="2" s="1"/>
  <c r="AO947" i="2" s="1"/>
  <c r="Z828" i="2"/>
  <c r="AN828" i="2" s="1"/>
  <c r="AO828" i="2" s="1"/>
  <c r="Z238" i="2"/>
  <c r="AN238" i="2" s="1"/>
  <c r="AO238" i="2" s="1"/>
  <c r="Z930" i="2"/>
  <c r="AN930" i="2" s="1"/>
  <c r="AO930" i="2" s="1"/>
  <c r="Z166" i="2"/>
  <c r="AN166" i="2" s="1"/>
  <c r="AO166" i="2" s="1"/>
  <c r="Z765" i="2"/>
  <c r="AN765" i="2" s="1"/>
  <c r="AO765" i="2" s="1"/>
  <c r="Z1011" i="2"/>
  <c r="AN1011" i="2" s="1"/>
  <c r="AO1011" i="2" s="1"/>
  <c r="Z833" i="2"/>
  <c r="AN833" i="2" s="1"/>
  <c r="AO833" i="2" s="1"/>
  <c r="Z451" i="2"/>
  <c r="AN451" i="2" s="1"/>
  <c r="AO451" i="2" s="1"/>
  <c r="Z114" i="2"/>
  <c r="AN114" i="2" s="1"/>
  <c r="AO114" i="2" s="1"/>
  <c r="Z237" i="2"/>
  <c r="AN237" i="2" s="1"/>
  <c r="AO237" i="2" s="1"/>
  <c r="Z1109" i="2"/>
  <c r="AN1109" i="2" s="1"/>
  <c r="AO1109" i="2" s="1"/>
  <c r="Z1086" i="2"/>
  <c r="AN1086" i="2" s="1"/>
  <c r="AO1086" i="2" s="1"/>
  <c r="Z900" i="2"/>
  <c r="AN900" i="2" s="1"/>
  <c r="AO900" i="2" s="1"/>
  <c r="Z856" i="2"/>
  <c r="AN856" i="2" s="1"/>
  <c r="AO856" i="2" s="1"/>
  <c r="Z909" i="2"/>
  <c r="AN909" i="2" s="1"/>
  <c r="AO909" i="2" s="1"/>
  <c r="Z520" i="2"/>
  <c r="AN520" i="2" s="1"/>
  <c r="AO520" i="2" s="1"/>
  <c r="Z1000" i="2"/>
  <c r="AN1000" i="2" s="1"/>
  <c r="AO1000" i="2" s="1"/>
  <c r="Z211" i="2"/>
  <c r="AN211" i="2" s="1"/>
  <c r="AO211" i="2" s="1"/>
  <c r="Z228" i="2"/>
  <c r="AN228" i="2" s="1"/>
  <c r="AO228" i="2" s="1"/>
  <c r="Z1186" i="2"/>
  <c r="AN1186" i="2" s="1"/>
  <c r="AO1186" i="2" s="1"/>
  <c r="Z772" i="2"/>
  <c r="AN772" i="2" s="1"/>
  <c r="AO772" i="2" s="1"/>
  <c r="Z799" i="2"/>
  <c r="AN799" i="2" s="1"/>
  <c r="AO799" i="2" s="1"/>
  <c r="Z439" i="2"/>
  <c r="AN439" i="2" s="1"/>
  <c r="AO439" i="2" s="1"/>
  <c r="Z399" i="2"/>
  <c r="AN399" i="2" s="1"/>
  <c r="AO399" i="2" s="1"/>
  <c r="Z1229" i="2"/>
  <c r="AN1229" i="2" s="1"/>
  <c r="AO1229" i="2" s="1"/>
  <c r="Z58" i="2"/>
  <c r="AN58" i="2" s="1"/>
  <c r="AO58" i="2" s="1"/>
  <c r="Z512" i="2"/>
  <c r="AN512" i="2" s="1"/>
  <c r="AO512" i="2" s="1"/>
  <c r="Z132" i="2"/>
  <c r="AN132" i="2" s="1"/>
  <c r="AO132" i="2" s="1"/>
  <c r="Z827" i="2"/>
  <c r="AN827" i="2" s="1"/>
  <c r="AO827" i="2" s="1"/>
  <c r="Z1100" i="2"/>
  <c r="AN1100" i="2" s="1"/>
  <c r="AO1100" i="2" s="1"/>
  <c r="Z32" i="2"/>
  <c r="AN32" i="2" s="1"/>
  <c r="AO32" i="2" s="1"/>
  <c r="Z136" i="2"/>
  <c r="AN136" i="2" s="1"/>
  <c r="AO136" i="2" s="1"/>
  <c r="Z584" i="2"/>
  <c r="AN584" i="2" s="1"/>
  <c r="AO584" i="2" s="1"/>
  <c r="Z1146" i="2"/>
  <c r="AN1146" i="2" s="1"/>
  <c r="AO1146" i="2" s="1"/>
  <c r="Z821" i="2"/>
  <c r="AN821" i="2" s="1"/>
  <c r="AO821" i="2" s="1"/>
  <c r="Z908" i="2"/>
  <c r="AN908" i="2" s="1"/>
  <c r="AO908" i="2" s="1"/>
  <c r="Z9" i="2"/>
  <c r="AN9" i="2" s="1"/>
  <c r="AO9" i="2" s="1"/>
  <c r="Z727" i="2"/>
  <c r="AN727" i="2" s="1"/>
  <c r="AO727" i="2" s="1"/>
  <c r="Z614" i="2"/>
  <c r="AN614" i="2" s="1"/>
  <c r="AO614" i="2" s="1"/>
  <c r="Z157" i="2"/>
  <c r="AN157" i="2" s="1"/>
  <c r="AO157" i="2" s="1"/>
  <c r="Z921" i="2"/>
  <c r="AN921" i="2" s="1"/>
  <c r="AO921" i="2" s="1"/>
  <c r="Z92" i="2"/>
  <c r="AN92" i="2" s="1"/>
  <c r="AO92" i="2" s="1"/>
  <c r="Z514" i="2"/>
  <c r="AN514" i="2" s="1"/>
  <c r="AO514" i="2" s="1"/>
  <c r="Z791" i="2"/>
  <c r="AN791" i="2" s="1"/>
  <c r="AO791" i="2" s="1"/>
  <c r="Z125" i="2"/>
  <c r="AN125" i="2" s="1"/>
  <c r="AO125" i="2" s="1"/>
  <c r="Z1119" i="2"/>
  <c r="AN1119" i="2" s="1"/>
  <c r="AO1119" i="2" s="1"/>
  <c r="Z882" i="2"/>
  <c r="AN882" i="2" s="1"/>
  <c r="AO882" i="2" s="1"/>
  <c r="Z1194" i="2"/>
  <c r="AN1194" i="2" s="1"/>
  <c r="AO1194" i="2" s="1"/>
  <c r="Z981" i="2"/>
  <c r="AN981" i="2" s="1"/>
  <c r="AO981" i="2" s="1"/>
  <c r="Z1048" i="2"/>
  <c r="AN1048" i="2" s="1"/>
  <c r="AO1048" i="2" s="1"/>
  <c r="Z311" i="2"/>
  <c r="AN311" i="2" s="1"/>
  <c r="AO311" i="2" s="1"/>
  <c r="Z239" i="2"/>
  <c r="AN239" i="2" s="1"/>
  <c r="AO239" i="2" s="1"/>
  <c r="Z583" i="2"/>
  <c r="AN583" i="2" s="1"/>
  <c r="AO583" i="2" s="1"/>
  <c r="Z681" i="2"/>
  <c r="AN681" i="2" s="1"/>
  <c r="AO681" i="2" s="1"/>
  <c r="Z286" i="2"/>
  <c r="AN286" i="2" s="1"/>
  <c r="AO286" i="2" s="1"/>
  <c r="Z165" i="2"/>
  <c r="AN165" i="2" s="1"/>
  <c r="AO165" i="2" s="1"/>
  <c r="Z100" i="2"/>
  <c r="AN100" i="2" s="1"/>
  <c r="AO100" i="2" s="1"/>
  <c r="Z405" i="2"/>
  <c r="AN405" i="2" s="1"/>
  <c r="AO405" i="2" s="1"/>
  <c r="Z658" i="2"/>
  <c r="AN658" i="2" s="1"/>
  <c r="AO658" i="2" s="1"/>
  <c r="Z345" i="2"/>
  <c r="AN345" i="2" s="1"/>
  <c r="AO345" i="2" s="1"/>
  <c r="Z608" i="2"/>
  <c r="AN608" i="2" s="1"/>
  <c r="AO608" i="2" s="1"/>
  <c r="Z220" i="2"/>
  <c r="AN220" i="2" s="1"/>
  <c r="AO220" i="2" s="1"/>
  <c r="Z620" i="2"/>
  <c r="AN620" i="2" s="1"/>
  <c r="AO620" i="2" s="1"/>
  <c r="Z79" i="2"/>
  <c r="AN79" i="2" s="1"/>
  <c r="AO79" i="2" s="1"/>
  <c r="Z555" i="2"/>
  <c r="AN555" i="2" s="1"/>
  <c r="AO555" i="2" s="1"/>
  <c r="Z873" i="2"/>
  <c r="AN873" i="2" s="1"/>
  <c r="AO873" i="2" s="1"/>
  <c r="Z829" i="2"/>
  <c r="AN829" i="2" s="1"/>
  <c r="AO829" i="2" s="1"/>
  <c r="Z1046" i="2"/>
  <c r="AN1046" i="2" s="1"/>
  <c r="AO1046" i="2" s="1"/>
  <c r="Z196" i="2"/>
  <c r="AN196" i="2" s="1"/>
  <c r="AO196" i="2" s="1"/>
  <c r="Z992" i="2"/>
  <c r="AN992" i="2" s="1"/>
  <c r="AO992" i="2" s="1"/>
  <c r="Z642" i="2"/>
  <c r="AN642" i="2" s="1"/>
  <c r="AO642" i="2" s="1"/>
  <c r="Z739" i="2"/>
  <c r="AN739" i="2" s="1"/>
  <c r="AO739" i="2" s="1"/>
  <c r="Z316" i="2"/>
  <c r="AN316" i="2" s="1"/>
  <c r="AO316" i="2" s="1"/>
  <c r="Z777" i="2"/>
  <c r="AN777" i="2" s="1"/>
  <c r="AO777" i="2" s="1"/>
  <c r="Z1028" i="2"/>
  <c r="AN1028" i="2" s="1"/>
  <c r="AO1028" i="2" s="1"/>
  <c r="Z611" i="2"/>
  <c r="AN611" i="2" s="1"/>
  <c r="AO611" i="2" s="1"/>
  <c r="Z958" i="2"/>
  <c r="AN958" i="2" s="1"/>
  <c r="AO958" i="2" s="1"/>
  <c r="Z924" i="2"/>
  <c r="AN924" i="2" s="1"/>
  <c r="AO924" i="2" s="1"/>
  <c r="Z1070" i="2"/>
  <c r="AN1070" i="2" s="1"/>
  <c r="AO1070" i="2" s="1"/>
  <c r="Z887" i="2"/>
  <c r="AN887" i="2" s="1"/>
  <c r="AO887" i="2" s="1"/>
  <c r="Z65" i="2"/>
  <c r="AN65" i="2" s="1"/>
  <c r="AO65" i="2" s="1"/>
  <c r="Z767" i="2"/>
  <c r="AN767" i="2" s="1"/>
  <c r="AO767" i="2" s="1"/>
  <c r="Z832" i="2"/>
  <c r="AN832" i="2" s="1"/>
  <c r="AO832" i="2" s="1"/>
  <c r="Z219" i="2"/>
  <c r="AN219" i="2" s="1"/>
  <c r="AO219" i="2" s="1"/>
  <c r="Z338" i="2"/>
  <c r="AN338" i="2" s="1"/>
  <c r="AO338" i="2" s="1"/>
  <c r="Z199" i="2"/>
  <c r="AN199" i="2" s="1"/>
  <c r="AO199" i="2" s="1"/>
  <c r="Z687" i="2"/>
  <c r="AN687" i="2" s="1"/>
  <c r="AO687" i="2" s="1"/>
  <c r="Z1197" i="2"/>
  <c r="AN1197" i="2" s="1"/>
  <c r="AO1197" i="2" s="1"/>
  <c r="Z566" i="2"/>
  <c r="AN566" i="2" s="1"/>
  <c r="AO566" i="2" s="1"/>
  <c r="Z1122" i="2"/>
  <c r="AN1122" i="2" s="1"/>
  <c r="AO1122" i="2" s="1"/>
  <c r="Z673" i="2"/>
  <c r="AN673" i="2" s="1"/>
  <c r="AO673" i="2" s="1"/>
  <c r="Z760" i="2"/>
  <c r="AN760" i="2" s="1"/>
  <c r="AO760" i="2" s="1"/>
  <c r="Z787" i="2"/>
  <c r="AN787" i="2" s="1"/>
  <c r="AO787" i="2" s="1"/>
  <c r="Z834" i="2"/>
  <c r="AN834" i="2" s="1"/>
  <c r="AO834" i="2" s="1"/>
  <c r="Z263" i="2"/>
  <c r="AN263" i="2" s="1"/>
  <c r="AO263" i="2" s="1"/>
  <c r="Z599" i="2"/>
  <c r="AN599" i="2" s="1"/>
  <c r="AO599" i="2" s="1"/>
  <c r="Z425" i="2"/>
  <c r="AN425" i="2" s="1"/>
  <c r="AO425" i="2" s="1"/>
  <c r="Z546" i="2"/>
  <c r="AN546" i="2" s="1"/>
  <c r="AO546" i="2" s="1"/>
  <c r="Z897" i="2"/>
  <c r="AN897" i="2" s="1"/>
  <c r="AO897" i="2" s="1"/>
  <c r="Z604" i="2"/>
  <c r="AN604" i="2" s="1"/>
  <c r="AO604" i="2" s="1"/>
  <c r="Z773" i="2"/>
  <c r="AN773" i="2" s="1"/>
  <c r="AO773" i="2" s="1"/>
  <c r="Z245" i="2"/>
  <c r="AN245" i="2" s="1"/>
  <c r="AO245" i="2" s="1"/>
  <c r="Z818" i="2"/>
  <c r="AN818" i="2" s="1"/>
  <c r="AO818" i="2" s="1"/>
  <c r="Z825" i="2"/>
  <c r="AN825" i="2" s="1"/>
  <c r="AO825" i="2" s="1"/>
  <c r="Z679" i="2"/>
  <c r="AN679" i="2" s="1"/>
  <c r="AO679" i="2" s="1"/>
  <c r="Z914" i="2"/>
  <c r="AN914" i="2" s="1"/>
  <c r="AO914" i="2" s="1"/>
  <c r="Z332" i="2"/>
  <c r="AN332" i="2" s="1"/>
  <c r="AO332" i="2" s="1"/>
  <c r="Z845" i="2"/>
  <c r="AN845" i="2" s="1"/>
  <c r="AO845" i="2" s="1"/>
  <c r="Z447" i="2"/>
  <c r="AN447" i="2" s="1"/>
  <c r="AO447" i="2" s="1"/>
  <c r="Z645" i="2"/>
  <c r="AN645" i="2" s="1"/>
  <c r="AO645" i="2" s="1"/>
  <c r="Z1120" i="2"/>
  <c r="AN1120" i="2" s="1"/>
  <c r="AO1120" i="2" s="1"/>
  <c r="Z717" i="2"/>
  <c r="AN717" i="2" s="1"/>
  <c r="AO717" i="2" s="1"/>
  <c r="Z438" i="2"/>
  <c r="AN438" i="2" s="1"/>
  <c r="AO438" i="2" s="1"/>
  <c r="Z189" i="2"/>
  <c r="AN189" i="2" s="1"/>
  <c r="AO189" i="2" s="1"/>
  <c r="Z895" i="2"/>
  <c r="AN895" i="2" s="1"/>
  <c r="AO895" i="2" s="1"/>
  <c r="Z54" i="2"/>
  <c r="AN54" i="2" s="1"/>
  <c r="AO54" i="2" s="1"/>
  <c r="Z175" i="2"/>
  <c r="AN175" i="2" s="1"/>
  <c r="AO175" i="2" s="1"/>
  <c r="Z671" i="2"/>
  <c r="AN671" i="2" s="1"/>
  <c r="AO671" i="2" s="1"/>
  <c r="Z814" i="2"/>
  <c r="AN814" i="2" s="1"/>
  <c r="AO814" i="2" s="1"/>
  <c r="Z42" i="2"/>
  <c r="AN42" i="2" s="1"/>
  <c r="AO42" i="2" s="1"/>
  <c r="Z231" i="2"/>
  <c r="AN231" i="2" s="1"/>
  <c r="AO231" i="2" s="1"/>
  <c r="Z985" i="2"/>
  <c r="AN985" i="2" s="1"/>
  <c r="AO985" i="2" s="1"/>
  <c r="Z352" i="2"/>
  <c r="AN352" i="2" s="1"/>
  <c r="AO352" i="2" s="1"/>
  <c r="Z962" i="2"/>
  <c r="AN962" i="2" s="1"/>
  <c r="AO962" i="2" s="1"/>
  <c r="Z248" i="2"/>
  <c r="AN248" i="2" s="1"/>
  <c r="AO248" i="2" s="1"/>
  <c r="Z87" i="2"/>
  <c r="AN87" i="2" s="1"/>
  <c r="AO87" i="2" s="1"/>
  <c r="Z1125" i="2"/>
  <c r="AN1125" i="2" s="1"/>
  <c r="AO1125" i="2" s="1"/>
  <c r="Z792" i="2"/>
  <c r="AN792" i="2" s="1"/>
  <c r="AO792" i="2" s="1"/>
  <c r="Z920" i="2"/>
  <c r="AN920" i="2" s="1"/>
  <c r="AO920" i="2" s="1"/>
  <c r="Z137" i="2"/>
  <c r="AN137" i="2" s="1"/>
  <c r="AO137" i="2" s="1"/>
  <c r="Z458" i="2"/>
  <c r="AN458" i="2" s="1"/>
  <c r="AO458" i="2" s="1"/>
  <c r="Z944" i="2"/>
  <c r="AN944" i="2" s="1"/>
  <c r="AO944" i="2" s="1"/>
  <c r="Z1105" i="2"/>
  <c r="AN1105" i="2" s="1"/>
  <c r="AO1105" i="2" s="1"/>
  <c r="Z357" i="2"/>
  <c r="AN357" i="2" s="1"/>
  <c r="AO357" i="2" s="1"/>
  <c r="Z331" i="2"/>
  <c r="AN331" i="2" s="1"/>
  <c r="AO331" i="2" s="1"/>
  <c r="Z1142" i="2"/>
  <c r="AN1142" i="2" s="1"/>
  <c r="AO1142" i="2" s="1"/>
  <c r="Z855" i="2"/>
  <c r="AN855" i="2" s="1"/>
  <c r="AO855" i="2" s="1"/>
  <c r="Z591" i="2"/>
  <c r="AN591" i="2" s="1"/>
  <c r="AO591" i="2" s="1"/>
  <c r="Z1068" i="2"/>
  <c r="AN1068" i="2" s="1"/>
  <c r="AO1068" i="2" s="1"/>
  <c r="Z139" i="2"/>
  <c r="AN139" i="2" s="1"/>
  <c r="AO139" i="2" s="1"/>
  <c r="Z949" i="2"/>
  <c r="AN949" i="2" s="1"/>
  <c r="AO949" i="2" s="1"/>
  <c r="Z450" i="2"/>
  <c r="AN450" i="2" s="1"/>
  <c r="AO450" i="2" s="1"/>
  <c r="Z250" i="2"/>
  <c r="AN250" i="2" s="1"/>
  <c r="AO250" i="2" s="1"/>
  <c r="Z174" i="2"/>
  <c r="AN174" i="2" s="1"/>
  <c r="AO174" i="2" s="1"/>
  <c r="Z902" i="2"/>
  <c r="AN902" i="2" s="1"/>
  <c r="AO902" i="2" s="1"/>
  <c r="Z2" i="2"/>
  <c r="AN2" i="2" s="1"/>
  <c r="AO2" i="2" s="1"/>
  <c r="N1232" i="2"/>
  <c r="Z943" i="2"/>
  <c r="AN943" i="2" s="1"/>
  <c r="AO943" i="2" s="1"/>
  <c r="Z732" i="2"/>
  <c r="AN732" i="2" s="1"/>
  <c r="AO732" i="2" s="1"/>
  <c r="Z789" i="2"/>
  <c r="AN789" i="2" s="1"/>
  <c r="AO789" i="2" s="1"/>
  <c r="Z193" i="2"/>
  <c r="AN193" i="2" s="1"/>
  <c r="AO193" i="2" s="1"/>
  <c r="Z1196" i="2"/>
  <c r="AN1196" i="2" s="1"/>
  <c r="AO1196" i="2" s="1"/>
  <c r="Z746" i="2"/>
  <c r="AN746" i="2" s="1"/>
  <c r="AO746" i="2" s="1"/>
  <c r="Z49" i="2"/>
  <c r="AN49" i="2" s="1"/>
  <c r="AO49" i="2" s="1"/>
  <c r="Z964" i="2"/>
  <c r="AN964" i="2" s="1"/>
  <c r="AO964" i="2" s="1"/>
  <c r="Z1184" i="2"/>
  <c r="AN1184" i="2" s="1"/>
  <c r="AO1184" i="2" s="1"/>
  <c r="Z83" i="2"/>
  <c r="AN83" i="2" s="1"/>
  <c r="AO83" i="2" s="1"/>
  <c r="Z50" i="2"/>
  <c r="AN50" i="2" s="1"/>
  <c r="AO50" i="2" s="1"/>
  <c r="Z70" i="2"/>
  <c r="AN70" i="2" s="1"/>
  <c r="AO70" i="2" s="1"/>
  <c r="Z407" i="2"/>
  <c r="AN407" i="2" s="1"/>
  <c r="AO407" i="2" s="1"/>
  <c r="Z260" i="2"/>
  <c r="AN260" i="2" s="1"/>
  <c r="AO260" i="2" s="1"/>
  <c r="Z303" i="2"/>
  <c r="AN303" i="2" s="1"/>
  <c r="AO303" i="2" s="1"/>
  <c r="Z246" i="2"/>
  <c r="AN246" i="2" s="1"/>
  <c r="AO246" i="2" s="1"/>
  <c r="Z1024" i="2"/>
  <c r="AN1024" i="2" s="1"/>
  <c r="AO1024" i="2" s="1"/>
  <c r="Z889" i="2"/>
  <c r="AN889" i="2" s="1"/>
  <c r="AO889" i="2" s="1"/>
  <c r="Z980" i="2"/>
  <c r="AN980" i="2" s="1"/>
  <c r="AO980" i="2" s="1"/>
  <c r="Z609" i="2"/>
  <c r="AN609" i="2" s="1"/>
  <c r="AO609" i="2" s="1"/>
  <c r="Z1041" i="2"/>
  <c r="AN1041" i="2" s="1"/>
  <c r="AO1041" i="2" s="1"/>
  <c r="Z1147" i="2"/>
  <c r="AN1147" i="2" s="1"/>
  <c r="AO1147" i="2" s="1"/>
  <c r="Z1158" i="2"/>
  <c r="AN1158" i="2" s="1"/>
  <c r="AO1158" i="2" s="1"/>
  <c r="Z726" i="2"/>
  <c r="AN726" i="2" s="1"/>
  <c r="AO726" i="2" s="1"/>
  <c r="Z1214" i="2"/>
  <c r="AN1214" i="2" s="1"/>
  <c r="AO1214" i="2" s="1"/>
  <c r="Z10" i="2"/>
  <c r="AN10" i="2" s="1"/>
  <c r="AO10" i="2" s="1"/>
  <c r="Z625" i="2"/>
  <c r="AN625" i="2" s="1"/>
  <c r="AO625" i="2" s="1"/>
  <c r="Z831" i="2"/>
  <c r="AN831" i="2" s="1"/>
  <c r="AO831" i="2" s="1"/>
  <c r="Z1117" i="2"/>
  <c r="AN1117" i="2" s="1"/>
  <c r="AO1117" i="2" s="1"/>
  <c r="Z1198" i="2"/>
  <c r="AN1198" i="2" s="1"/>
  <c r="AO1198" i="2" s="1"/>
  <c r="Z434" i="2"/>
  <c r="AN434" i="2" s="1"/>
  <c r="AO434" i="2" s="1"/>
  <c r="Z794" i="2"/>
  <c r="AN794" i="2" s="1"/>
  <c r="AO794" i="2" s="1"/>
  <c r="Z213" i="2"/>
  <c r="AN213" i="2" s="1"/>
  <c r="AO213" i="2" s="1"/>
  <c r="Z1021" i="2"/>
  <c r="AN1021" i="2" s="1"/>
  <c r="AO1021" i="2" s="1"/>
  <c r="Z1150" i="2"/>
  <c r="AN1150" i="2" s="1"/>
  <c r="AO1150" i="2" s="1"/>
  <c r="Z117" i="2"/>
  <c r="AN117" i="2" s="1"/>
  <c r="AO117" i="2" s="1"/>
  <c r="Z459" i="2"/>
  <c r="AN459" i="2" s="1"/>
  <c r="AO459" i="2" s="1"/>
  <c r="Z134" i="2"/>
  <c r="AN134" i="2" s="1"/>
  <c r="AO134" i="2" s="1"/>
  <c r="Z150" i="2"/>
  <c r="AN150" i="2" s="1"/>
  <c r="AO150" i="2" s="1"/>
  <c r="Z576" i="2"/>
  <c r="AN576" i="2" s="1"/>
  <c r="AO576" i="2" s="1"/>
  <c r="Z954" i="2"/>
  <c r="AN954" i="2" s="1"/>
  <c r="AO954" i="2" s="1"/>
  <c r="Z244" i="2"/>
  <c r="AN244" i="2" s="1"/>
  <c r="AO244" i="2" s="1"/>
  <c r="Z376" i="2"/>
  <c r="AN376" i="2" s="1"/>
  <c r="AO376" i="2" s="1"/>
  <c r="Z720" i="2"/>
  <c r="AN720" i="2" s="1"/>
  <c r="AO720" i="2" s="1"/>
  <c r="Z707" i="2"/>
  <c r="AN707" i="2" s="1"/>
  <c r="AO707" i="2" s="1"/>
  <c r="Z51" i="2"/>
  <c r="AN51" i="2" s="1"/>
  <c r="AO51" i="2" s="1"/>
  <c r="Z752" i="2"/>
  <c r="AN752" i="2" s="1"/>
  <c r="AO752" i="2" s="1"/>
  <c r="Z636" i="2"/>
  <c r="AN636" i="2" s="1"/>
  <c r="AO636" i="2" s="1"/>
  <c r="Z735" i="2"/>
  <c r="AN735" i="2" s="1"/>
  <c r="AO735" i="2" s="1"/>
  <c r="Z243" i="2"/>
  <c r="AN243" i="2" s="1"/>
  <c r="AO243" i="2" s="1"/>
  <c r="Z703" i="2"/>
  <c r="AN703" i="2" s="1"/>
  <c r="AO703" i="2" s="1"/>
  <c r="Z507" i="2"/>
  <c r="AN507" i="2" s="1"/>
  <c r="AO507" i="2" s="1"/>
  <c r="Z526" i="2"/>
  <c r="AN526" i="2" s="1"/>
  <c r="AO526" i="2" s="1"/>
  <c r="Z911" i="2"/>
  <c r="AN911" i="2" s="1"/>
  <c r="AO911" i="2" s="1"/>
  <c r="Z483" i="2"/>
  <c r="AN483" i="2" s="1"/>
  <c r="AO483" i="2" s="1"/>
  <c r="Z955" i="2"/>
  <c r="AN955" i="2" s="1"/>
  <c r="AO955" i="2" s="1"/>
  <c r="Z1151" i="2"/>
  <c r="AN1151" i="2" s="1"/>
  <c r="AO1151" i="2" s="1"/>
  <c r="Z1210" i="2"/>
  <c r="AN1210" i="2" s="1"/>
  <c r="AO1210" i="2" s="1"/>
  <c r="Z539" i="2"/>
  <c r="AN539" i="2" s="1"/>
  <c r="AO539" i="2" s="1"/>
  <c r="Z1064" i="2"/>
  <c r="AN1064" i="2" s="1"/>
  <c r="AO1064" i="2" s="1"/>
  <c r="Z255" i="2"/>
  <c r="AN255" i="2" s="1"/>
  <c r="AO255" i="2" s="1"/>
  <c r="Z135" i="2"/>
  <c r="AN135" i="2" s="1"/>
  <c r="AO135" i="2" s="1"/>
  <c r="Z408" i="2"/>
  <c r="AN408" i="2" s="1"/>
  <c r="AO408" i="2" s="1"/>
  <c r="Z201" i="2"/>
  <c r="AN201" i="2" s="1"/>
  <c r="AO201" i="2" s="1"/>
  <c r="Z715" i="2"/>
  <c r="AN715" i="2" s="1"/>
  <c r="AO715" i="2" s="1"/>
  <c r="Z20" i="2"/>
  <c r="AN20" i="2" s="1"/>
  <c r="AO20" i="2" s="1"/>
  <c r="Z1025" i="2"/>
  <c r="AN1025" i="2" s="1"/>
  <c r="AO1025" i="2" s="1"/>
  <c r="Z474" i="2"/>
  <c r="AN474" i="2" s="1"/>
  <c r="AO474" i="2" s="1"/>
  <c r="Z62" i="2"/>
  <c r="AN62" i="2" s="1"/>
  <c r="AO62" i="2" s="1"/>
  <c r="Z535" i="2"/>
  <c r="AN535" i="2" s="1"/>
  <c r="AO535" i="2" s="1"/>
  <c r="Z446" i="2"/>
  <c r="AN446" i="2" s="1"/>
  <c r="AO446" i="2" s="1"/>
  <c r="Z418" i="2"/>
  <c r="AN418" i="2" s="1"/>
  <c r="AO418" i="2" s="1"/>
  <c r="Z1223" i="2"/>
  <c r="AN1223" i="2" s="1"/>
  <c r="AO1223" i="2" s="1"/>
  <c r="Z672" i="2"/>
  <c r="AN672" i="2" s="1"/>
  <c r="AO672" i="2" s="1"/>
  <c r="Z156" i="2"/>
  <c r="AN156" i="2" s="1"/>
  <c r="AO156" i="2" s="1"/>
  <c r="Z1080" i="2"/>
  <c r="AN1080" i="2" s="1"/>
  <c r="AO1080" i="2" s="1"/>
  <c r="Z293" i="2"/>
  <c r="AN293" i="2" s="1"/>
  <c r="AO293" i="2" s="1"/>
  <c r="Z44" i="2"/>
  <c r="AN44" i="2" s="1"/>
  <c r="AO44" i="2" s="1"/>
  <c r="Z967" i="2"/>
  <c r="AN967" i="2" s="1"/>
  <c r="AO967" i="2" s="1"/>
  <c r="Z210" i="2"/>
  <c r="AN210" i="2" s="1"/>
  <c r="AO210" i="2" s="1"/>
  <c r="Z806" i="2"/>
  <c r="AN806" i="2" s="1"/>
  <c r="AO806" i="2" s="1"/>
  <c r="Z173" i="2"/>
  <c r="AN173" i="2" s="1"/>
  <c r="AO173" i="2" s="1"/>
  <c r="Z1189" i="2"/>
  <c r="AN1189" i="2" s="1"/>
  <c r="AO1189" i="2" s="1"/>
  <c r="Z959" i="2"/>
  <c r="AN959" i="2" s="1"/>
  <c r="AO959" i="2" s="1"/>
  <c r="Z1149" i="2"/>
  <c r="AN1149" i="2" s="1"/>
  <c r="AO1149" i="2" s="1"/>
  <c r="Z919" i="2"/>
  <c r="AN919" i="2" s="1"/>
  <c r="AO919" i="2" s="1"/>
  <c r="Z623" i="2"/>
  <c r="AN623" i="2" s="1"/>
  <c r="AO623" i="2" s="1"/>
  <c r="Z1022" i="2"/>
  <c r="AN1022" i="2" s="1"/>
  <c r="AO1022" i="2" s="1"/>
  <c r="Z790" i="2"/>
  <c r="AN790" i="2" s="1"/>
  <c r="AO790" i="2" s="1"/>
  <c r="Z643" i="2"/>
  <c r="AN643" i="2" s="1"/>
  <c r="AO643" i="2" s="1"/>
  <c r="Z456" i="2"/>
  <c r="AN456" i="2" s="1"/>
  <c r="AO456" i="2" s="1"/>
  <c r="Z1084" i="2"/>
  <c r="AN1084" i="2" s="1"/>
  <c r="AO1084" i="2" s="1"/>
  <c r="Z979" i="2"/>
  <c r="AN979" i="2" s="1"/>
  <c r="AO979" i="2" s="1"/>
  <c r="Z233" i="2"/>
  <c r="AN233" i="2" s="1"/>
  <c r="AO233" i="2" s="1"/>
  <c r="Z1075" i="2"/>
  <c r="AN1075" i="2" s="1"/>
  <c r="AO1075" i="2" s="1"/>
  <c r="Z721" i="2"/>
  <c r="AN721" i="2" s="1"/>
  <c r="AO721" i="2" s="1"/>
  <c r="Z329" i="2"/>
  <c r="AN329" i="2" s="1"/>
  <c r="AO329" i="2" s="1"/>
  <c r="Z982" i="2"/>
  <c r="AN982" i="2" s="1"/>
  <c r="AO982" i="2" s="1"/>
  <c r="Z129" i="2"/>
  <c r="AN129" i="2" s="1"/>
  <c r="AO129" i="2" s="1"/>
  <c r="Z910" i="2"/>
  <c r="AN910" i="2" s="1"/>
  <c r="AO910" i="2" s="1"/>
  <c r="Z1166" i="2"/>
  <c r="AN1166" i="2" s="1"/>
  <c r="AO1166" i="2" s="1"/>
  <c r="Z1209" i="2"/>
  <c r="AN1209" i="2" s="1"/>
  <c r="AO1209" i="2" s="1"/>
  <c r="Z509" i="2"/>
  <c r="AN509" i="2" s="1"/>
  <c r="AO509" i="2" s="1"/>
  <c r="Z181" i="2"/>
  <c r="AN181" i="2" s="1"/>
  <c r="AO181" i="2" s="1"/>
  <c r="Z655" i="2"/>
  <c r="AN655" i="2" s="1"/>
  <c r="AO655" i="2" s="1"/>
  <c r="Z214" i="2"/>
  <c r="AN214" i="2" s="1"/>
  <c r="AO214" i="2" s="1"/>
  <c r="Z1035" i="2"/>
  <c r="AN1035" i="2" s="1"/>
  <c r="AO1035" i="2" s="1"/>
  <c r="Z538" i="2"/>
  <c r="AN538" i="2" s="1"/>
  <c r="AO538" i="2" s="1"/>
  <c r="Z40" i="2"/>
  <c r="AN40" i="2" s="1"/>
  <c r="AO40" i="2" s="1"/>
  <c r="Z1181" i="2"/>
  <c r="AN1181" i="2" s="1"/>
  <c r="AO1181" i="2" s="1"/>
  <c r="Z700" i="2"/>
  <c r="AN700" i="2" s="1"/>
  <c r="AO700" i="2" s="1"/>
  <c r="Z124" i="2"/>
  <c r="AN124" i="2" s="1"/>
  <c r="AO124" i="2" s="1"/>
  <c r="Z1050" i="2"/>
  <c r="AN1050" i="2" s="1"/>
  <c r="AO1050" i="2" s="1"/>
  <c r="Z336" i="2"/>
  <c r="AN336" i="2" s="1"/>
  <c r="AO336" i="2" s="1"/>
  <c r="Z359" i="2"/>
  <c r="AN359" i="2" s="1"/>
  <c r="AO359" i="2" s="1"/>
  <c r="Z802" i="2"/>
  <c r="AN802" i="2" s="1"/>
  <c r="AO802" i="2" s="1"/>
  <c r="Z1053" i="2"/>
  <c r="AN1053" i="2" s="1"/>
  <c r="AO1053" i="2" s="1"/>
  <c r="Z202" i="2"/>
  <c r="AN202" i="2" s="1"/>
  <c r="AO202" i="2" s="1"/>
  <c r="Z457" i="2"/>
  <c r="AN457" i="2" s="1"/>
  <c r="AO457" i="2" s="1"/>
  <c r="Z482" i="2"/>
  <c r="AN482" i="2" s="1"/>
  <c r="AO482" i="2" s="1"/>
  <c r="Z706" i="2"/>
  <c r="AN706" i="2" s="1"/>
  <c r="AO706" i="2" s="1"/>
  <c r="Z184" i="2"/>
  <c r="AN184" i="2" s="1"/>
  <c r="AO184" i="2" s="1"/>
  <c r="Z830" i="2"/>
  <c r="AN830" i="2" s="1"/>
  <c r="AO830" i="2" s="1"/>
  <c r="Z999" i="2"/>
  <c r="AN999" i="2" s="1"/>
  <c r="AO999" i="2" s="1"/>
  <c r="Z1069" i="2"/>
  <c r="AN1069" i="2" s="1"/>
  <c r="AO1069" i="2" s="1"/>
  <c r="Z75" i="2"/>
  <c r="AN75" i="2" s="1"/>
  <c r="AO75" i="2" s="1"/>
  <c r="Z17" i="2"/>
  <c r="AN17" i="2" s="1"/>
  <c r="AO17" i="2" s="1"/>
  <c r="Z506" i="2"/>
  <c r="AN506" i="2" s="1"/>
  <c r="AO506" i="2" s="1"/>
  <c r="Z287" i="2"/>
  <c r="AN287" i="2" s="1"/>
  <c r="AO287" i="2" s="1"/>
  <c r="Z809" i="2"/>
  <c r="AN809" i="2" s="1"/>
  <c r="AO809" i="2" s="1"/>
  <c r="E3" i="4"/>
  <c r="C9" i="4"/>
  <c r="E4" i="4"/>
  <c r="H3" i="4"/>
  <c r="F9" i="4"/>
  <c r="D9" i="4"/>
  <c r="E5" i="4"/>
  <c r="H5" i="4"/>
  <c r="E7" i="4"/>
  <c r="G9" i="4"/>
  <c r="H8" i="4"/>
  <c r="E8" i="4"/>
  <c r="H4" i="4"/>
  <c r="E6" i="4"/>
  <c r="H6" i="4"/>
  <c r="H7" i="4"/>
  <c r="Z167" i="2"/>
  <c r="AN167" i="2" s="1"/>
  <c r="AO167" i="2" s="1"/>
  <c r="Z1118" i="2"/>
  <c r="AN1118" i="2" s="1"/>
  <c r="AO1118" i="2" s="1"/>
  <c r="Z1042" i="2"/>
  <c r="AN1042" i="2" s="1"/>
  <c r="AO1042" i="2" s="1"/>
  <c r="Z1178" i="2"/>
  <c r="AN1178" i="2" s="1"/>
  <c r="AO1178" i="2" s="1"/>
  <c r="Z297" i="2"/>
  <c r="AN297" i="2" s="1"/>
  <c r="AO297" i="2" s="1"/>
  <c r="Z597" i="2"/>
  <c r="AN597" i="2" s="1"/>
  <c r="AO597" i="2" s="1"/>
  <c r="Z702" i="2"/>
  <c r="AN702" i="2" s="1"/>
  <c r="AO702" i="2" s="1"/>
  <c r="Z411" i="2"/>
  <c r="AN411" i="2" s="1"/>
  <c r="AO411" i="2" s="1"/>
  <c r="O2" i="1" l="1"/>
  <c r="O3" i="1" s="1"/>
  <c r="E9" i="4"/>
  <c r="H9" i="4"/>
</calcChain>
</file>

<file path=xl/comments1.xml><?xml version="1.0" encoding="utf-8"?>
<comments xmlns="http://schemas.openxmlformats.org/spreadsheetml/2006/main">
  <authors>
    <author>John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 xml:space="preserve">John:
How many times does the team win, when (A) says it will win?
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How many times does (A) claim this team will win?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How many times does this team beat spread, when (A) says they will lose spread?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How many times has (A) said this team will lose the spread?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How many times does EV win, when it says the team will win?</t>
        </r>
      </text>
    </comment>
    <comment ref="R2" authorId="0" shapeId="0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How many times does EV say this team will win</t>
        </r>
      </text>
    </comment>
  </commentList>
</comments>
</file>

<file path=xl/connections.xml><?xml version="1.0" encoding="utf-8"?>
<connections xmlns="http://schemas.openxmlformats.org/spreadsheetml/2006/main">
  <connection id="1" name="nba ranking" type="6" refreshedVersion="6" background="1" saveData="1">
    <textPr sourceFile="C:\Users\John\Documents\nba ranking.csv" comma="1">
      <textFields count="1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<sst xmlns="http://schemas.openxmlformats.org/spreadsheetml/2006/main" count="2799" uniqueCount="160">
  <si>
    <t>Team</t>
  </si>
  <si>
    <t>ORtg/A</t>
  </si>
  <si>
    <t>DRtg/A</t>
  </si>
  <si>
    <t>NRtg/A</t>
  </si>
  <si>
    <t>Los Angeles Clippers</t>
  </si>
  <si>
    <t>P</t>
  </si>
  <si>
    <t>San Antonio Spurs</t>
  </si>
  <si>
    <t>SW</t>
  </si>
  <si>
    <t>Cleveland Cavaliers</t>
  </si>
  <si>
    <t>C</t>
  </si>
  <si>
    <t>Golden State Warriors</t>
  </si>
  <si>
    <t>Atlanta Hawks</t>
  </si>
  <si>
    <t>SE</t>
  </si>
  <si>
    <t>Chicago Bulls</t>
  </si>
  <si>
    <t>Toronto Raptors</t>
  </si>
  <si>
    <t>A</t>
  </si>
  <si>
    <t>Charlotte Hornets</t>
  </si>
  <si>
    <t>Houston Rockets</t>
  </si>
  <si>
    <t>Oklahoma City Thunder</t>
  </si>
  <si>
    <t>NW</t>
  </si>
  <si>
    <t>Utah Jazz</t>
  </si>
  <si>
    <t>Miami Heat</t>
  </si>
  <si>
    <t>Minnesota Timberwolves</t>
  </si>
  <si>
    <t>Memphis Grizzlies</t>
  </si>
  <si>
    <t>Los Angeles Lakers</t>
  </si>
  <si>
    <t>Detroit Pistons</t>
  </si>
  <si>
    <t>Boston Celtics</t>
  </si>
  <si>
    <t>Denver Nuggets</t>
  </si>
  <si>
    <t>Washington Wizards</t>
  </si>
  <si>
    <t>Sacramento Kings</t>
  </si>
  <si>
    <t>Milwaukee Bucks</t>
  </si>
  <si>
    <t>New York Knicks</t>
  </si>
  <si>
    <t>Portland Trail Blazers</t>
  </si>
  <si>
    <t>Indiana Pacers</t>
  </si>
  <si>
    <t>New Orleans Pelicans</t>
  </si>
  <si>
    <t>Brooklyn Nets</t>
  </si>
  <si>
    <t>Phoenix Suns</t>
  </si>
  <si>
    <t>Dallas Mavericks</t>
  </si>
  <si>
    <t>Orlando Magic</t>
  </si>
  <si>
    <t>Philadelphia 76ers</t>
  </si>
  <si>
    <t>Date</t>
  </si>
  <si>
    <t>Visitor/Neutral</t>
  </si>
  <si>
    <t>Home/Neutral</t>
  </si>
  <si>
    <t>Total</t>
  </si>
  <si>
    <t>Spread</t>
  </si>
  <si>
    <t>Home Edge</t>
  </si>
  <si>
    <t>(A) Err</t>
  </si>
  <si>
    <t>(A) Sqr Err</t>
  </si>
  <si>
    <t>SSE</t>
  </si>
  <si>
    <t>(A)</t>
  </si>
  <si>
    <t>Def Diff</t>
  </si>
  <si>
    <t>Pace</t>
  </si>
  <si>
    <t>Division</t>
  </si>
  <si>
    <t>Off Diff</t>
  </si>
  <si>
    <t>Divisional</t>
  </si>
  <si>
    <t>Home</t>
  </si>
  <si>
    <t>Away</t>
  </si>
  <si>
    <t>EV</t>
  </si>
  <si>
    <t>Side</t>
  </si>
  <si>
    <t>EV Err</t>
  </si>
  <si>
    <t>EV Sqr Err</t>
  </si>
  <si>
    <t>Winnings</t>
  </si>
  <si>
    <t>O/U</t>
  </si>
  <si>
    <t>ERR</t>
  </si>
  <si>
    <t>Under</t>
  </si>
  <si>
    <t>Over</t>
  </si>
  <si>
    <t>EV %</t>
  </si>
  <si>
    <t>NBA Wins</t>
  </si>
  <si>
    <t>NBA Bets</t>
  </si>
  <si>
    <t>NBA %</t>
  </si>
  <si>
    <t>NFL Wins</t>
  </si>
  <si>
    <t>NFL Bets</t>
  </si>
  <si>
    <t>NFL %</t>
  </si>
  <si>
    <t>EV/G</t>
  </si>
  <si>
    <t>EV/W</t>
  </si>
  <si>
    <t>A/G</t>
  </si>
  <si>
    <t>A/W</t>
  </si>
  <si>
    <t>A %</t>
  </si>
  <si>
    <t>Home/W</t>
  </si>
  <si>
    <t>Home/G</t>
  </si>
  <si>
    <t>Away/W</t>
  </si>
  <si>
    <t>Away/G</t>
  </si>
  <si>
    <t>H/W</t>
  </si>
  <si>
    <t>Row Labels</t>
  </si>
  <si>
    <t>Grand Total</t>
  </si>
  <si>
    <t>H/Pts</t>
  </si>
  <si>
    <t>A/Pts</t>
  </si>
  <si>
    <t>Total/V</t>
  </si>
  <si>
    <t>H/EV/Real</t>
  </si>
  <si>
    <t>H/EV</t>
  </si>
  <si>
    <t>A/EV/Real</t>
  </si>
  <si>
    <t>A/EV</t>
  </si>
  <si>
    <t>Total/W</t>
  </si>
  <si>
    <t>Total/EV</t>
  </si>
  <si>
    <t>H/Pace</t>
  </si>
  <si>
    <t>A/Pace</t>
  </si>
  <si>
    <t>Spread/V</t>
  </si>
  <si>
    <t>SRS/W</t>
  </si>
  <si>
    <t>SRS/Real</t>
  </si>
  <si>
    <t>SRS</t>
  </si>
  <si>
    <t>EV/Real</t>
  </si>
  <si>
    <t>SRS/Side</t>
  </si>
  <si>
    <t>EV/Side</t>
  </si>
  <si>
    <t>SRS/Disagree</t>
  </si>
  <si>
    <t>EV/Agree</t>
  </si>
  <si>
    <t>EV/Disagree</t>
  </si>
  <si>
    <t>SRS/Diff</t>
  </si>
  <si>
    <t>EV/Diff</t>
  </si>
  <si>
    <t>SRS/EV/Diff</t>
  </si>
  <si>
    <t>Hawks</t>
  </si>
  <si>
    <t>Celtics</t>
  </si>
  <si>
    <t>Nets</t>
  </si>
  <si>
    <t>Hornets</t>
  </si>
  <si>
    <t>Bulls</t>
  </si>
  <si>
    <t>Cavaliers</t>
  </si>
  <si>
    <t>Mavericks</t>
  </si>
  <si>
    <t>Nuggets</t>
  </si>
  <si>
    <t>Pistons</t>
  </si>
  <si>
    <t>Warriors</t>
  </si>
  <si>
    <t>Rockets</t>
  </si>
  <si>
    <t>Pacers</t>
  </si>
  <si>
    <t>Clippers</t>
  </si>
  <si>
    <t>Lakers</t>
  </si>
  <si>
    <t>Grizzlies</t>
  </si>
  <si>
    <t>Heat</t>
  </si>
  <si>
    <t>Bucks</t>
  </si>
  <si>
    <t>Timberwolves</t>
  </si>
  <si>
    <t>Pelicans</t>
  </si>
  <si>
    <t>Knicks</t>
  </si>
  <si>
    <t>Thunder</t>
  </si>
  <si>
    <t>Magic</t>
  </si>
  <si>
    <t>Suns</t>
  </si>
  <si>
    <t>Blazers</t>
  </si>
  <si>
    <t>Kings</t>
  </si>
  <si>
    <t>Spurs</t>
  </si>
  <si>
    <t>Raptors</t>
  </si>
  <si>
    <t>Jazz</t>
  </si>
  <si>
    <t>Wizards</t>
  </si>
  <si>
    <t>76ers</t>
  </si>
  <si>
    <t>SRS/G</t>
  </si>
  <si>
    <t>SRS/Avg</t>
  </si>
  <si>
    <t>EV/Avg</t>
  </si>
  <si>
    <t>Over %</t>
  </si>
  <si>
    <t>H/Edg</t>
  </si>
  <si>
    <t>(A)/W/W</t>
  </si>
  <si>
    <t>(A)/G/W</t>
  </si>
  <si>
    <t>(A)/W %</t>
  </si>
  <si>
    <t>(A)/W/L</t>
  </si>
  <si>
    <t>(A)/G/L</t>
  </si>
  <si>
    <t>(A)/L %</t>
  </si>
  <si>
    <t>EV/W/W</t>
  </si>
  <si>
    <t>EV/G/W</t>
  </si>
  <si>
    <t>EV/W %</t>
  </si>
  <si>
    <t>EV/W/L</t>
  </si>
  <si>
    <t>EV/G/L</t>
  </si>
  <si>
    <t>EV/L %</t>
  </si>
  <si>
    <t>Home/Wins</t>
  </si>
  <si>
    <t>Away/Win</t>
  </si>
  <si>
    <t>Avg Over/W</t>
  </si>
  <si>
    <t>5-Day/Avg/NBA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</si>
</sst>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164" formatCode="0.0"/>
    <numFmt numFmtId="165" formatCode="0.0%"/>
    <numFmt numFmtId="166" formatCode="&quot;$&quot;#,##0.00"/>
    <numFmt numFmtId="167" formatCode="[$-409]d\-mmm\-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gradientFill degree="180">
        <stop position="0">
          <color theme="5" tint="0.40000610370189521"/>
        </stop>
        <stop position="1">
          <color theme="8" tint="0.40000610370189521"/>
        </stop>
      </gradient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BC8FDD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medium">
        <color indexed="64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164" fontId="1" fillId="5" borderId="0"/>
    <xf numFmtId="164" fontId="1" fillId="4" borderId="0"/>
    <xf numFmtId="164" fontId="1" fillId="6" borderId="0"/>
    <xf numFmtId="165" fontId="1" fillId="10" borderId="0"/>
  </cellStyleXfs>
  <cellXfs count="12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Border="1"/>
    <xf numFmtId="2" fontId="0" fillId="0" borderId="0" xfId="0" applyNumberFormat="1" applyBorder="1"/>
    <xf numFmtId="0" fontId="0" fillId="0" borderId="3" xfId="0" applyBorder="1"/>
    <xf numFmtId="0" fontId="0" fillId="0" borderId="4" xfId="0" applyBorder="1"/>
    <xf numFmtId="164" fontId="0" fillId="0" borderId="1" xfId="0" applyNumberFormat="1" applyBorder="1"/>
    <xf numFmtId="164" fontId="0" fillId="0" borderId="0" xfId="0" applyNumberFormat="1" applyBorder="1"/>
    <xf numFmtId="165" fontId="0" fillId="0" borderId="0" xfId="2" applyNumberFormat="1" applyFont="1"/>
    <xf numFmtId="9" fontId="0" fillId="0" borderId="0" xfId="2" applyNumberFormat="1" applyFont="1"/>
    <xf numFmtId="165" fontId="0" fillId="0" borderId="0" xfId="0" applyNumberFormat="1" applyFont="1"/>
    <xf numFmtId="9" fontId="0" fillId="0" borderId="0" xfId="0" applyNumberFormat="1" applyFont="1"/>
    <xf numFmtId="0" fontId="0" fillId="0" borderId="0" xfId="0" applyNumberFormat="1"/>
    <xf numFmtId="0" fontId="0" fillId="0" borderId="1" xfId="0" applyNumberFormat="1" applyBorder="1"/>
    <xf numFmtId="0" fontId="0" fillId="0" borderId="6" xfId="0" applyNumberFormat="1" applyBorder="1"/>
    <xf numFmtId="2" fontId="0" fillId="0" borderId="3" xfId="0" applyNumberFormat="1" applyBorder="1"/>
    <xf numFmtId="2" fontId="0" fillId="0" borderId="4" xfId="0" applyNumberFormat="1" applyBorder="1"/>
    <xf numFmtId="2" fontId="0" fillId="0" borderId="5" xfId="0" applyNumberFormat="1" applyBorder="1"/>
    <xf numFmtId="1" fontId="0" fillId="0" borderId="0" xfId="0" applyNumberFormat="1"/>
    <xf numFmtId="1" fontId="0" fillId="0" borderId="1" xfId="0" applyNumberFormat="1" applyBorder="1"/>
    <xf numFmtId="1" fontId="0" fillId="0" borderId="0" xfId="0" applyNumberFormat="1" applyBorder="1"/>
    <xf numFmtId="1" fontId="0" fillId="0" borderId="2" xfId="0" applyNumberFormat="1" applyBorder="1"/>
    <xf numFmtId="164" fontId="0" fillId="0" borderId="6" xfId="0" applyNumberFormat="1" applyBorder="1"/>
    <xf numFmtId="0" fontId="0" fillId="0" borderId="0" xfId="0" applyNumberFormat="1" applyBorder="1"/>
    <xf numFmtId="164" fontId="0" fillId="0" borderId="3" xfId="0" applyNumberFormat="1" applyBorder="1"/>
    <xf numFmtId="164" fontId="1" fillId="5" borderId="0" xfId="5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166" fontId="0" fillId="0" borderId="0" xfId="1" applyNumberFormat="1" applyFont="1"/>
    <xf numFmtId="164" fontId="1" fillId="5" borderId="1" xfId="5" applyBorder="1"/>
    <xf numFmtId="0" fontId="0" fillId="0" borderId="1" xfId="0" applyFont="1" applyBorder="1"/>
    <xf numFmtId="0" fontId="0" fillId="0" borderId="4" xfId="0" applyFont="1" applyBorder="1"/>
    <xf numFmtId="1" fontId="0" fillId="0" borderId="1" xfId="0" applyNumberFormat="1" applyFont="1" applyBorder="1"/>
    <xf numFmtId="164" fontId="0" fillId="0" borderId="1" xfId="0" applyNumberFormat="1" applyFont="1" applyBorder="1"/>
    <xf numFmtId="0" fontId="0" fillId="0" borderId="4" xfId="0" applyFont="1" applyBorder="1" applyAlignment="1">
      <alignment horizontal="center"/>
    </xf>
    <xf numFmtId="0" fontId="0" fillId="0" borderId="1" xfId="0" applyNumberFormat="1" applyFont="1" applyBorder="1"/>
    <xf numFmtId="0" fontId="0" fillId="0" borderId="6" xfId="0" applyNumberFormat="1" applyFont="1" applyBorder="1"/>
    <xf numFmtId="2" fontId="0" fillId="0" borderId="4" xfId="0" applyNumberFormat="1" applyFont="1" applyBorder="1"/>
    <xf numFmtId="2" fontId="0" fillId="0" borderId="1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2" applyNumberFormat="1" applyFont="1"/>
    <xf numFmtId="0" fontId="2" fillId="2" borderId="0" xfId="3"/>
    <xf numFmtId="0" fontId="2" fillId="2" borderId="3" xfId="3" applyBorder="1"/>
    <xf numFmtId="1" fontId="2" fillId="2" borderId="0" xfId="3" applyNumberFormat="1"/>
    <xf numFmtId="0" fontId="2" fillId="2" borderId="0" xfId="3" applyBorder="1"/>
    <xf numFmtId="164" fontId="2" fillId="2" borderId="0" xfId="3" applyNumberFormat="1"/>
    <xf numFmtId="0" fontId="2" fillId="2" borderId="1" xfId="3" applyBorder="1"/>
    <xf numFmtId="0" fontId="2" fillId="2" borderId="4" xfId="3" applyBorder="1"/>
    <xf numFmtId="1" fontId="2" fillId="2" borderId="1" xfId="3" applyNumberFormat="1" applyBorder="1"/>
    <xf numFmtId="164" fontId="2" fillId="2" borderId="1" xfId="3" applyNumberFormat="1" applyBorder="1"/>
    <xf numFmtId="0" fontId="3" fillId="3" borderId="0" xfId="4"/>
    <xf numFmtId="0" fontId="3" fillId="3" borderId="3" xfId="4" applyBorder="1"/>
    <xf numFmtId="1" fontId="3" fillId="3" borderId="0" xfId="4" applyNumberFormat="1"/>
    <xf numFmtId="0" fontId="3" fillId="3" borderId="0" xfId="4" applyBorder="1"/>
    <xf numFmtId="164" fontId="3" fillId="3" borderId="0" xfId="4" applyNumberFormat="1"/>
    <xf numFmtId="2" fontId="0" fillId="0" borderId="0" xfId="0" applyNumberFormat="1" applyFont="1" applyBorder="1"/>
    <xf numFmtId="0" fontId="2" fillId="2" borderId="7" xfId="3" applyBorder="1"/>
    <xf numFmtId="166" fontId="0" fillId="0" borderId="0" xfId="0" applyNumberFormat="1" applyFont="1"/>
    <xf numFmtId="164" fontId="2" fillId="2" borderId="7" xfId="3" applyNumberFormat="1" applyBorder="1"/>
    <xf numFmtId="164" fontId="2" fillId="2" borderId="3" xfId="3" applyNumberFormat="1" applyBorder="1"/>
    <xf numFmtId="0" fontId="0" fillId="0" borderId="0" xfId="0" applyNumberFormat="1" applyFont="1"/>
    <xf numFmtId="1" fontId="2" fillId="2" borderId="0" xfId="3" applyNumberFormat="1" applyBorder="1"/>
    <xf numFmtId="9" fontId="0" fillId="0" borderId="0" xfId="2" applyFont="1"/>
    <xf numFmtId="9" fontId="0" fillId="0" borderId="0" xfId="0" applyNumberFormat="1"/>
    <xf numFmtId="0" fontId="2" fillId="2" borderId="0" xfId="3" applyNumberFormat="1" applyBorder="1"/>
    <xf numFmtId="0" fontId="2" fillId="2" borderId="1" xfId="3" applyNumberFormat="1" applyBorder="1"/>
    <xf numFmtId="0" fontId="3" fillId="3" borderId="0" xfId="4" applyNumberFormat="1" applyBorder="1"/>
    <xf numFmtId="0" fontId="2" fillId="2" borderId="0" xfId="3" applyNumberFormat="1"/>
    <xf numFmtId="0" fontId="3" fillId="3" borderId="0" xfId="4" applyNumberFormat="1"/>
    <xf numFmtId="14" fontId="2" fillId="2" borderId="0" xfId="3" applyNumberFormat="1"/>
    <xf numFmtId="166" fontId="2" fillId="2" borderId="0" xfId="3" applyNumberFormat="1"/>
    <xf numFmtId="9" fontId="2" fillId="2" borderId="0" xfId="3" applyNumberFormat="1"/>
    <xf numFmtId="0" fontId="4" fillId="7" borderId="0" xfId="0" applyFont="1" applyFill="1" applyBorder="1"/>
    <xf numFmtId="0" fontId="4" fillId="7" borderId="12" xfId="0" applyFont="1" applyFill="1" applyBorder="1"/>
    <xf numFmtId="0" fontId="0" fillId="8" borderId="13" xfId="0" applyFont="1" applyFill="1" applyBorder="1"/>
    <xf numFmtId="0" fontId="0" fillId="8" borderId="14" xfId="0" applyFont="1" applyFill="1" applyBorder="1"/>
    <xf numFmtId="0" fontId="0" fillId="8" borderId="11" xfId="0" applyFont="1" applyFill="1" applyBorder="1"/>
    <xf numFmtId="9" fontId="0" fillId="8" borderId="11" xfId="2" applyNumberFormat="1" applyFont="1" applyFill="1" applyBorder="1"/>
    <xf numFmtId="0" fontId="0" fillId="9" borderId="15" xfId="0" applyFont="1" applyFill="1" applyBorder="1"/>
    <xf numFmtId="0" fontId="0" fillId="9" borderId="16" xfId="0" applyFont="1" applyFill="1" applyBorder="1"/>
    <xf numFmtId="0" fontId="0" fillId="9" borderId="17" xfId="0" applyFont="1" applyFill="1" applyBorder="1"/>
    <xf numFmtId="9" fontId="0" fillId="9" borderId="17" xfId="2" applyNumberFormat="1" applyFont="1" applyFill="1" applyBorder="1"/>
    <xf numFmtId="165" fontId="0" fillId="0" borderId="0" xfId="0" applyNumberFormat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Border="1"/>
    <xf numFmtId="164" fontId="0" fillId="0" borderId="0" xfId="0" applyNumberFormat="1" applyFont="1" applyBorder="1"/>
    <xf numFmtId="1" fontId="0" fillId="0" borderId="0" xfId="0" applyNumberFormat="1" applyFont="1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1" xfId="0" applyNumberFormat="1" applyFont="1" applyBorder="1"/>
    <xf numFmtId="14" fontId="0" fillId="0" borderId="1" xfId="0" applyNumberFormat="1" applyBorder="1"/>
    <xf numFmtId="14" fontId="0" fillId="0" borderId="0" xfId="0" applyNumberFormat="1" applyBorder="1"/>
    <xf numFmtId="14" fontId="2" fillId="2" borderId="1" xfId="3" applyNumberFormat="1" applyBorder="1"/>
    <xf numFmtId="14" fontId="3" fillId="3" borderId="0" xfId="4" applyNumberFormat="1"/>
    <xf numFmtId="0" fontId="0" fillId="0" borderId="9" xfId="0" applyBorder="1"/>
    <xf numFmtId="0" fontId="0" fillId="0" borderId="9" xfId="0" applyFont="1" applyBorder="1"/>
    <xf numFmtId="164" fontId="0" fillId="0" borderId="9" xfId="0" applyNumberFormat="1" applyFont="1" applyBorder="1"/>
    <xf numFmtId="0" fontId="0" fillId="0" borderId="9" xfId="0" applyBorder="1" applyAlignment="1">
      <alignment horizontal="center"/>
    </xf>
    <xf numFmtId="167" fontId="0" fillId="0" borderId="0" xfId="0" applyNumberFormat="1"/>
    <xf numFmtId="0" fontId="3" fillId="3" borderId="1" xfId="4" applyBorder="1"/>
    <xf numFmtId="0" fontId="3" fillId="3" borderId="4" xfId="4" applyBorder="1"/>
    <xf numFmtId="1" fontId="3" fillId="3" borderId="1" xfId="4" applyNumberFormat="1" applyBorder="1"/>
    <xf numFmtId="0" fontId="3" fillId="3" borderId="1" xfId="4" applyNumberFormat="1" applyBorder="1"/>
    <xf numFmtId="164" fontId="3" fillId="3" borderId="1" xfId="4" applyNumberFormat="1" applyBorder="1"/>
    <xf numFmtId="165" fontId="1" fillId="10" borderId="0" xfId="8"/>
    <xf numFmtId="14" fontId="3" fillId="3" borderId="1" xfId="4" applyNumberFormat="1" applyBorder="1"/>
    <xf numFmtId="14" fontId="0" fillId="0" borderId="0" xfId="0" applyNumberFormat="1" applyAlignment="1">
      <alignment horizontal="left"/>
    </xf>
    <xf numFmtId="0" fontId="0" fillId="0" borderId="7" xfId="0" applyFont="1" applyBorder="1"/>
    <xf numFmtId="1" fontId="2" fillId="2" borderId="9" xfId="3" applyNumberFormat="1" applyBorder="1"/>
    <xf numFmtId="1" fontId="2" fillId="2" borderId="10" xfId="3" applyNumberFormat="1" applyBorder="1"/>
    <xf numFmtId="1" fontId="2" fillId="2" borderId="3" xfId="3" applyNumberFormat="1" applyBorder="1"/>
    <xf numFmtId="1" fontId="2" fillId="2" borderId="8" xfId="3" applyNumberFormat="1" applyBorder="1"/>
    <xf numFmtId="164" fontId="1" fillId="6" borderId="0" xfId="7"/>
    <xf numFmtId="0" fontId="0" fillId="11" borderId="0" xfId="0" applyFill="1" applyAlignment="1">
      <alignment horizontal="left"/>
    </xf>
    <xf numFmtId="0" fontId="0" fillId="11" borderId="0" xfId="0" applyNumberFormat="1" applyFill="1"/>
    <xf numFmtId="164" fontId="1" fillId="4" borderId="0" xfId="6"/>
  </cellXfs>
  <cellStyles count="9">
    <cellStyle name="Bad" xfId="4" builtinId="27"/>
    <cellStyle name="Check" xfId="8"/>
    <cellStyle name="Currency" xfId="1" builtinId="4"/>
    <cellStyle name="Good" xfId="3" builtinId="26"/>
    <cellStyle name="Injured" xfId="6"/>
    <cellStyle name="Normal" xfId="0" builtinId="0"/>
    <cellStyle name="Percent" xfId="2" builtinId="5"/>
    <cellStyle name="Tired" xfId="5"/>
    <cellStyle name="Tired/Injured" xfId="7"/>
  </cellStyles>
  <dxfs count="187">
    <dxf>
      <border diagonalUp="0" diagonalDown="0" outline="0">
        <left/>
        <right/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64" formatCode="0.0"/>
    </dxf>
    <dxf>
      <numFmt numFmtId="164" formatCode="0.0"/>
    </dxf>
    <dxf>
      <border diagonalUp="0" diagonalDown="0" outline="0">
        <left style="medium">
          <color indexed="64"/>
        </left>
        <right/>
        <top/>
        <bottom/>
      </border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64" formatCode="0.0"/>
      <border diagonalUp="0" diagonalDown="0" outline="0">
        <left style="medium">
          <color indexed="64"/>
        </left>
        <right/>
        <top/>
        <bottom/>
      </border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19" formatCode="m/d/yyyy"/>
    </dxf>
    <dxf>
      <numFmt numFmtId="2" formatCode="0.00"/>
    </dxf>
    <dxf>
      <numFmt numFmtId="2" formatCode="0.00"/>
    </dxf>
    <dxf>
      <numFmt numFmtId="1" formatCode="0"/>
    </dxf>
    <dxf>
      <numFmt numFmtId="2" formatCode="0.00"/>
      <border diagonalUp="0" diagonalDown="0" outline="0">
        <left style="medium">
          <color indexed="64"/>
        </left>
        <right/>
      </border>
    </dxf>
    <dxf>
      <numFmt numFmtId="164" formatCode="0.0"/>
    </dxf>
    <dxf>
      <numFmt numFmtId="164" formatCode="0.0"/>
    </dxf>
    <dxf>
      <numFmt numFmtId="0" formatCode="General"/>
      <border outline="0">
        <right style="medium">
          <color indexed="64"/>
        </right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</dxf>
    <dxf>
      <numFmt numFmtId="164" formatCode="0.0"/>
    </dxf>
    <dxf>
      <numFmt numFmtId="0" formatCode="General"/>
    </dxf>
    <dxf>
      <numFmt numFmtId="164" formatCode="0.0"/>
    </dxf>
    <dxf>
      <numFmt numFmtId="0" formatCode="General"/>
    </dxf>
    <dxf>
      <border diagonalUp="0" diagonalDown="0">
        <left style="medium">
          <color indexed="64"/>
        </left>
        <right/>
        <vertical/>
      </border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border diagonalUp="0" diagonalDown="0">
        <left style="medium">
          <color indexed="64"/>
        </left>
        <right/>
        <vertical/>
      </border>
    </dxf>
    <dxf>
      <numFmt numFmtId="0" formatCode="General"/>
    </dxf>
    <dxf>
      <numFmt numFmtId="0" formatCode="General"/>
    </dxf>
    <dxf>
      <numFmt numFmtId="19" formatCode="m/d/yyyy"/>
    </dxf>
    <dxf>
      <numFmt numFmtId="2" formatCode="0.0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$&quot;#,##0.00"/>
    </dxf>
    <dxf>
      <numFmt numFmtId="13" formatCode="0%"/>
    </dxf>
    <dxf>
      <numFmt numFmtId="13" formatCode="0%"/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numFmt numFmtId="2" formatCode="0.00"/>
      <alignment horizontal="center" vertical="bottom" textRotation="0" wrapText="0" indent="0" justifyLastLine="0" shrinkToFit="0" readingOrder="0"/>
    </dxf>
    <dxf>
      <numFmt numFmtId="164" formatCode="0.0"/>
    </dxf>
    <dxf>
      <numFmt numFmtId="2" formatCode="0.0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13" formatCode="0%"/>
    </dxf>
    <dxf>
      <numFmt numFmtId="166" formatCode="&quot;$&quot;#,##0.00"/>
    </dxf>
    <dxf>
      <numFmt numFmtId="19" formatCode="m/d/yyyy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0.0%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numFmt numFmtId="13" formatCode="0%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  <dxf>
      <fill>
        <patternFill patternType="solid">
          <bgColor theme="0" tint="-0.249977111117893"/>
        </patternFill>
      </fill>
    </dxf>
  </dxfs>
  <tableStyles count="0" defaultTableStyle="TableStyleMedium2" defaultPivotStyle="PivotStyleLight16"/>
  <colors>
    <mruColors>
      <color rgb="FFBC8F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hn" refreshedDate="42701.295055208335" createdVersion="6" refreshedVersion="6" minRefreshableVersion="3" recordCount="1230">
  <cacheSource type="worksheet">
    <worksheetSource name="Table2"/>
  </cacheSource>
  <cacheFields count="41">
    <cacheField name="Date" numFmtId="14">
      <sharedItems containsSemiMixedTypes="0" containsNonDate="0" containsDate="1" containsString="0" minDate="2016-10-25T00:00:00" maxDate="2017-04-14T00:00:00" count="161"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23T00:00:00"/>
        <d v="2017-02-24T00:00:00"/>
        <d v="2017-02-25T00:00:00"/>
        <d v="2017-02-26T00:00:00"/>
        <d v="2017-02-27T00:00:00"/>
        <d v="2017-02-28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</sharedItems>
    </cacheField>
    <cacheField name="Home/Neutral" numFmtId="0">
      <sharedItems count="30">
        <s v="Cavaliers"/>
        <s v="Warriors"/>
        <s v="Blazers"/>
        <s v="Celtics"/>
        <s v="Pacers"/>
        <s v="Lakers"/>
        <s v="Grizzlies"/>
        <s v="Bucks"/>
        <s v="Pelicans"/>
        <s v="Magic"/>
        <s v="76ers"/>
        <s v="Suns"/>
        <s v="Raptors"/>
        <s v="Hawks"/>
        <s v="Bulls"/>
        <s v="Kings"/>
        <s v="Nets"/>
        <s v="Mavericks"/>
        <s v="Pistons"/>
        <s v="Heat"/>
        <s v="Thunder"/>
        <s v="Jazz"/>
        <s v="Hornets"/>
        <s v="Nuggets"/>
        <s v="Knicks"/>
        <s v="Spurs"/>
        <s v="Rockets"/>
        <s v="Clippers"/>
        <s v="Timberwolves"/>
        <s v="Wizards"/>
      </sharedItems>
    </cacheField>
    <cacheField name="Visitor/Neutral" numFmtId="0">
      <sharedItems count="30">
        <s v="Knicks"/>
        <s v="Spurs"/>
        <s v="Jazz"/>
        <s v="Nets"/>
        <s v="Mavericks"/>
        <s v="Rockets"/>
        <s v="Timberwolves"/>
        <s v="Hornets"/>
        <s v="Nuggets"/>
        <s v="Heat"/>
        <s v="Thunder"/>
        <s v="Kings"/>
        <s v="Pistons"/>
        <s v="Wizards"/>
        <s v="Celtics"/>
        <s v="Clippers"/>
        <s v="Pacers"/>
        <s v="Magic"/>
        <s v="Warriors"/>
        <s v="Suns"/>
        <s v="Cavaliers"/>
        <s v="Lakers"/>
        <s v="Blazers"/>
        <s v="Grizzlies"/>
        <s v="Hawks"/>
        <s v="Pelicans"/>
        <s v="Bucks"/>
        <s v="Bulls"/>
        <s v="76ers"/>
        <s v="Raptors"/>
      </sharedItems>
    </cacheField>
    <cacheField name="H/W" numFmtId="0">
      <sharedItems containsString="0" containsBlank="1" containsNumber="1" containsInteger="1" minValue="0" maxValue="1"/>
    </cacheField>
    <cacheField name="H/Pts" numFmtId="0">
      <sharedItems containsString="0" containsBlank="1" containsNumber="1" containsInteger="1" minValue="64" maxValue="149"/>
    </cacheField>
    <cacheField name="A/W" numFmtId="0">
      <sharedItems containsString="0" containsBlank="1" containsNumber="1" containsInteger="1" minValue="0" maxValue="1"/>
    </cacheField>
    <cacheField name="A/Pts" numFmtId="0">
      <sharedItems containsString="0" containsBlank="1" containsNumber="1" containsInteger="1" minValue="68" maxValue="132"/>
    </cacheField>
    <cacheField name="Total" numFmtId="0">
      <sharedItems containsString="0" containsBlank="1" containsNumber="1" containsInteger="1" minValue="144" maxValue="262"/>
    </cacheField>
    <cacheField name="Over %" numFmtId="0">
      <sharedItems containsString="0" containsBlank="1" containsNumber="1" containsInteger="1" minValue="0" maxValue="1"/>
    </cacheField>
    <cacheField name="Total/V" numFmtId="0">
      <sharedItems containsString="0" containsBlank="1" containsNumber="1" minValue="179.5" maxValue="230.5"/>
    </cacheField>
    <cacheField name="H/EV/Real" numFmtId="0">
      <sharedItems containsString="0" containsBlank="1" containsNumber="1" containsInteger="1" minValue="92" maxValue="118"/>
    </cacheField>
    <cacheField name="H/EV" numFmtId="0">
      <sharedItems containsSemiMixedTypes="0" containsString="0" containsNumber="1" minValue="88.459700941007981" maxValue="121.15964150317565"/>
    </cacheField>
    <cacheField name="A/EV/Real" numFmtId="0">
      <sharedItems containsString="0" containsBlank="1" containsNumber="1" containsInteger="1" minValue="90" maxValue="124"/>
    </cacheField>
    <cacheField name="A/EV" numFmtId="0">
      <sharedItems containsSemiMixedTypes="0" containsString="0" containsNumber="1" minValue="85.779148000000035" maxValue="123.21719133333337"/>
    </cacheField>
    <cacheField name="Total/W" numFmtId="0">
      <sharedItems containsString="0" containsBlank="1" containsNumber="1" containsInteger="1" minValue="0" maxValue="1"/>
    </cacheField>
    <cacheField name="Total/EV" numFmtId="0">
      <sharedItems containsString="0" containsBlank="1" containsNumber="1" containsInteger="1" minValue="190" maxValue="236"/>
    </cacheField>
    <cacheField name="H/Pace" numFmtId="0">
      <sharedItems containsSemiMixedTypes="0" containsString="0" containsNumber="1" minValue="91.5" maxValue="102"/>
    </cacheField>
    <cacheField name="A/Pace" numFmtId="0">
      <sharedItems containsSemiMixedTypes="0" containsString="0" containsNumber="1" minValue="91.5" maxValue="102"/>
    </cacheField>
    <cacheField name="Spread" numFmtId="0">
      <sharedItems containsString="0" containsBlank="1" containsNumber="1" containsInteger="1" minValue="-43" maxValue="37"/>
    </cacheField>
    <cacheField name="Spread/V" numFmtId="0">
      <sharedItems containsString="0" containsBlank="1" containsNumber="1" minValue="-18.5" maxValue="13.5"/>
    </cacheField>
    <cacheField name="SRS/W" numFmtId="0">
      <sharedItems containsString="0" containsBlank="1" containsNumber="1" containsInteger="1" minValue="0" maxValue="1"/>
    </cacheField>
    <cacheField name="SRS/Real" numFmtId="0">
      <sharedItems containsString="0" containsBlank="1" containsNumber="1" minValue="-19.399999999999999" maxValue="19.3"/>
    </cacheField>
    <cacheField name="SRS" numFmtId="164">
      <sharedItems containsSemiMixedTypes="0" containsString="0" containsNumber="1" minValue="-25.178688524590164" maxValue="19.621311475409833"/>
    </cacheField>
    <cacheField name="EV/W" numFmtId="0">
      <sharedItems containsString="0" containsBlank="1" containsNumber="1" containsInteger="1" minValue="0" maxValue="1"/>
    </cacheField>
    <cacheField name="EV/Real" numFmtId="164">
      <sharedItems containsString="0" containsBlank="1" containsNumber="1" minValue="-21.4" maxValue="15.7"/>
    </cacheField>
    <cacheField name="EV" numFmtId="164">
      <sharedItems containsSemiMixedTypes="0" containsString="0" containsNumber="1" minValue="-25.641082390225549" maxValue="24.448330392325389"/>
    </cacheField>
    <cacheField name="SRS/Side" numFmtId="0">
      <sharedItems containsBlank="1"/>
    </cacheField>
    <cacheField name="EV/Side" numFmtId="0">
      <sharedItems containsBlank="1"/>
    </cacheField>
    <cacheField name="SRS/Disagree" numFmtId="0">
      <sharedItems containsString="0" containsBlank="1" containsNumber="1" containsInteger="1" minValue="0" maxValue="1"/>
    </cacheField>
    <cacheField name="EV/Agree" numFmtId="0">
      <sharedItems containsString="0" containsBlank="1" containsNumber="1" containsInteger="1" minValue="0" maxValue="1"/>
    </cacheField>
    <cacheField name="EV/Disagree" numFmtId="0">
      <sharedItems containsString="0" containsBlank="1" containsNumber="1" containsInteger="1" minValue="0" maxValue="1"/>
    </cacheField>
    <cacheField name="Divisional" numFmtId="0">
      <sharedItems/>
    </cacheField>
    <cacheField name="Division" numFmtId="0">
      <sharedItems/>
    </cacheField>
    <cacheField name="O/U" numFmtId="0">
      <sharedItems/>
    </cacheField>
    <cacheField name="SRS/Diff" numFmtId="0">
      <sharedItems containsString="0" containsBlank="1" containsNumber="1" minValue="-12.5" maxValue="9.3000000000000007"/>
    </cacheField>
    <cacheField name="EV/Diff" numFmtId="164">
      <sharedItems containsString="0" containsBlank="1" containsNumber="1" minValue="-12.5" maxValue="15"/>
    </cacheField>
    <cacheField name="SRS/EV/Diff" numFmtId="164">
      <sharedItems containsString="0" containsBlank="1" containsNumber="1" minValue="-8.1" maxValue="8.6000000000000014"/>
    </cacheField>
    <cacheField name="(A) Err" numFmtId="2">
      <sharedItems containsSemiMixedTypes="0" containsString="0" containsNumber="1" minValue="-35.748688524590165" maxValue="35.051311475409832"/>
    </cacheField>
    <cacheField name="(A) Sqr Err" numFmtId="1">
      <sharedItems containsSemiMixedTypes="0" containsString="0" containsNumber="1" minValue="7.549045955391544E-5" maxValue="1277.9687312281644"/>
    </cacheField>
    <cacheField name="EV Err" numFmtId="2">
      <sharedItems containsSemiMixedTypes="0" containsString="0" containsNumber="1" minValue="-38.435880980068745" maxValue="34.664399916236974"/>
    </cacheField>
    <cacheField name="EV Sqr Err" numFmtId="2">
      <sharedItems containsSemiMixedTypes="0" containsString="0" containsNumber="1" minValue="1.4784640125787608E-4" maxValue="1477.316946714010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0">
  <r>
    <x v="0"/>
    <x v="0"/>
    <x v="0"/>
    <n v="1"/>
    <n v="117"/>
    <n v="0"/>
    <n v="88"/>
    <n v="205"/>
    <n v="0"/>
    <n v="206"/>
    <m/>
    <n v="118.67998692672303"/>
    <m/>
    <n v="103.67538133333338"/>
    <m/>
    <m/>
    <n v="97.3"/>
    <n v="96.2"/>
    <n v="-29"/>
    <n v="-9.5"/>
    <m/>
    <m/>
    <n v="-13.148688524590167"/>
    <m/>
    <m/>
    <n v="-15.004605593389655"/>
    <m/>
    <m/>
    <m/>
    <m/>
    <m/>
    <b v="0"/>
    <s v="C"/>
    <s v="UNDER"/>
    <m/>
    <m/>
    <m/>
    <n v="15.851311475409833"/>
    <n v="251.26407549045948"/>
    <n v="13.995394406610345"/>
    <n v="195.87106459658011"/>
  </r>
  <r>
    <x v="0"/>
    <x v="1"/>
    <x v="1"/>
    <n v="0"/>
    <n v="100"/>
    <n v="1"/>
    <n v="129"/>
    <n v="229"/>
    <n v="1"/>
    <n v="212"/>
    <m/>
    <n v="113.46600298006877"/>
    <m/>
    <n v="104.03012200000002"/>
    <m/>
    <m/>
    <n v="100.7"/>
    <n v="93.3"/>
    <n v="29"/>
    <n v="-8"/>
    <m/>
    <m/>
    <n v="-6.7486885245901647"/>
    <m/>
    <m/>
    <n v="-9.4358809800687453"/>
    <m/>
    <m/>
    <m/>
    <m/>
    <m/>
    <b v="0"/>
    <s v="P"/>
    <s v="UNDER"/>
    <m/>
    <m/>
    <m/>
    <n v="-35.748688524590165"/>
    <n v="1277.9687312281644"/>
    <n v="-38.435880980068745"/>
    <n v="1477.3169467140103"/>
  </r>
  <r>
    <x v="0"/>
    <x v="2"/>
    <x v="2"/>
    <n v="1"/>
    <n v="113"/>
    <n v="0"/>
    <n v="104"/>
    <n v="217"/>
    <n v="1"/>
    <n v="192"/>
    <m/>
    <n v="104.32276413790987"/>
    <m/>
    <n v="102.51721000000003"/>
    <m/>
    <m/>
    <n v="99.3"/>
    <n v="91.5"/>
    <n v="-9"/>
    <n v="-6"/>
    <m/>
    <m/>
    <n v="3.9013114754098344"/>
    <m/>
    <m/>
    <n v="-1.8055541379098372"/>
    <m/>
    <m/>
    <m/>
    <m/>
    <m/>
    <b v="1"/>
    <s v="NW"/>
    <s v="UNDER"/>
    <m/>
    <m/>
    <m/>
    <n v="12.901311475409834"/>
    <n v="166.44383778554146"/>
    <n v="7.1944458620901628"/>
    <n v="51.760051262546263"/>
  </r>
  <r>
    <x v="1"/>
    <x v="3"/>
    <x v="3"/>
    <n v="0"/>
    <n v="122"/>
    <n v="1"/>
    <n v="117"/>
    <n v="239"/>
    <n v="1"/>
    <n v="212.5"/>
    <m/>
    <n v="109.60374124532323"/>
    <m/>
    <n v="95.483239333333358"/>
    <m/>
    <m/>
    <n v="99.5"/>
    <n v="92.9"/>
    <n v="-5"/>
    <n v="-11.5"/>
    <m/>
    <m/>
    <n v="-12.128688524590165"/>
    <m/>
    <m/>
    <n v="-14.120501911989876"/>
    <m/>
    <m/>
    <m/>
    <m/>
    <m/>
    <b v="1"/>
    <s v="A"/>
    <s v="UNDER"/>
    <m/>
    <m/>
    <m/>
    <n v="-7.1286885245901654"/>
    <n v="50.818200080623512"/>
    <n v="-9.1205019119898765"/>
    <n v="83.183555126610997"/>
  </r>
  <r>
    <x v="1"/>
    <x v="4"/>
    <x v="4"/>
    <n v="1"/>
    <n v="130"/>
    <n v="0"/>
    <n v="121"/>
    <n v="251"/>
    <n v="1"/>
    <n v="204.5"/>
    <m/>
    <n v="105.48232341452113"/>
    <m/>
    <n v="100.88888000000003"/>
    <m/>
    <m/>
    <n v="98.3"/>
    <n v="102"/>
    <n v="-9"/>
    <n v="-5.5"/>
    <m/>
    <m/>
    <n v="-6.8586885245901659"/>
    <m/>
    <m/>
    <n v="-4.5934434145211043"/>
    <m/>
    <m/>
    <m/>
    <m/>
    <m/>
    <b v="0"/>
    <s v="C"/>
    <s v="UNDER"/>
    <m/>
    <m/>
    <m/>
    <n v="2.1413114754098341"/>
    <n v="4.5852148347218407"/>
    <n v="4.4065565854788957"/>
    <n v="19.417740941027425"/>
  </r>
  <r>
    <x v="1"/>
    <x v="5"/>
    <x v="5"/>
    <n v="1"/>
    <n v="120"/>
    <n v="1"/>
    <n v="114"/>
    <n v="234"/>
    <n v="1"/>
    <n v="224.5"/>
    <m/>
    <n v="111.4943714170964"/>
    <m/>
    <n v="114.10039600000003"/>
    <m/>
    <m/>
    <n v="100.2"/>
    <n v="96.9"/>
    <n v="-6"/>
    <n v="-6"/>
    <m/>
    <m/>
    <n v="3.3413114754098343"/>
    <m/>
    <m/>
    <n v="2.606024582903629"/>
    <m/>
    <m/>
    <m/>
    <m/>
    <m/>
    <b v="0"/>
    <s v="P"/>
    <s v="UNDER"/>
    <m/>
    <m/>
    <m/>
    <n v="9.3413114754098352"/>
    <n v="87.260100080623474"/>
    <n v="8.606024582903629"/>
    <n v="74.063659121541576"/>
  </r>
  <r>
    <x v="1"/>
    <x v="6"/>
    <x v="6"/>
    <n v="1"/>
    <n v="102"/>
    <n v="0"/>
    <n v="98"/>
    <n v="200"/>
    <n v="1"/>
    <n v="199"/>
    <m/>
    <n v="103.6791147304164"/>
    <m/>
    <n v="99.709278666666677"/>
    <m/>
    <m/>
    <n v="96.2"/>
    <n v="95.8"/>
    <n v="-4"/>
    <n v="-1.5"/>
    <m/>
    <m/>
    <n v="-4.6086885245901659"/>
    <m/>
    <m/>
    <n v="-3.9698360637497245"/>
    <m/>
    <m/>
    <m/>
    <m/>
    <m/>
    <b v="0"/>
    <s v="SW"/>
    <s v="UNDER"/>
    <m/>
    <m/>
    <m/>
    <n v="-0.60868852459016587"/>
    <n v="0.37050171996775294"/>
    <n v="3.0163936250275469E-2"/>
    <n v="9.0986305011068254E-4"/>
  </r>
  <r>
    <x v="1"/>
    <x v="7"/>
    <x v="7"/>
    <n v="0"/>
    <n v="96"/>
    <n v="1"/>
    <n v="107"/>
    <n v="203"/>
    <n v="1"/>
    <n v="195.5"/>
    <m/>
    <n v="107.18286333230638"/>
    <m/>
    <n v="107.32254866666668"/>
    <m/>
    <m/>
    <n v="96.1"/>
    <n v="97.3"/>
    <n v="11"/>
    <n v="-1.5"/>
    <m/>
    <m/>
    <n v="1.6313114754098343"/>
    <m/>
    <m/>
    <n v="0.13968533436029418"/>
    <m/>
    <m/>
    <m/>
    <m/>
    <m/>
    <b v="0"/>
    <s v="C"/>
    <s v="UNDER"/>
    <m/>
    <m/>
    <m/>
    <n v="-9.3686885245901657"/>
    <n v="87.772324670787455"/>
    <n v="-10.860314665639706"/>
    <n v="117.94643463670887"/>
  </r>
  <r>
    <x v="1"/>
    <x v="8"/>
    <x v="8"/>
    <n v="0"/>
    <n v="102"/>
    <n v="1"/>
    <n v="107"/>
    <n v="209"/>
    <n v="1"/>
    <n v="206.5"/>
    <m/>
    <n v="103.30471327976011"/>
    <m/>
    <n v="104.11512066666668"/>
    <m/>
    <m/>
    <n v="98.8"/>
    <n v="99.1"/>
    <n v="5"/>
    <n v="-1.5"/>
    <m/>
    <m/>
    <n v="-0.75868852459016556"/>
    <m/>
    <m/>
    <n v="0.81040738690657577"/>
    <m/>
    <m/>
    <m/>
    <m/>
    <m/>
    <b v="0"/>
    <s v="SW"/>
    <s v="UNDER"/>
    <m/>
    <m/>
    <m/>
    <n v="-5.7586885245901653"/>
    <n v="33.162493523246454"/>
    <n v="-4.1895926130934242"/>
    <n v="17.552686263686986"/>
  </r>
  <r>
    <x v="1"/>
    <x v="9"/>
    <x v="9"/>
    <n v="0"/>
    <n v="96"/>
    <n v="1"/>
    <n v="108"/>
    <n v="204"/>
    <n v="1"/>
    <n v="199"/>
    <m/>
    <n v="94.079314056814653"/>
    <m/>
    <n v="95.741066000000032"/>
    <m/>
    <m/>
    <n v="94.2"/>
    <n v="93.9"/>
    <n v="12"/>
    <n v="-3"/>
    <m/>
    <m/>
    <n v="4.7113114754098344"/>
    <m/>
    <m/>
    <n v="1.6617519431853793"/>
    <m/>
    <m/>
    <m/>
    <m/>
    <m/>
    <b v="1"/>
    <s v="SE"/>
    <s v="UNDER"/>
    <m/>
    <m/>
    <m/>
    <n v="-7.2886885245901656"/>
    <n v="53.124980408492362"/>
    <n v="-10.338248056814621"/>
    <n v="106.87937288423127"/>
  </r>
  <r>
    <x v="1"/>
    <x v="10"/>
    <x v="10"/>
    <n v="0"/>
    <n v="97"/>
    <n v="1"/>
    <n v="103"/>
    <n v="200"/>
    <n v="0"/>
    <n v="209"/>
    <m/>
    <n v="97.232444198882519"/>
    <m/>
    <n v="99.378937333333354"/>
    <m/>
    <m/>
    <n v="97.5"/>
    <n v="92.6"/>
    <n v="6"/>
    <n v="-9"/>
    <m/>
    <m/>
    <n v="7.2713114754098349"/>
    <m/>
    <m/>
    <n v="2.1464931344508358"/>
    <m/>
    <m/>
    <m/>
    <m/>
    <m/>
    <b v="0"/>
    <s v="A"/>
    <s v="UNDER"/>
    <m/>
    <m/>
    <m/>
    <n v="1.2713114754098349"/>
    <n v="1.6162328675087312"/>
    <n v="-3.8535068655491642"/>
    <n v="14.849515162834544"/>
  </r>
  <r>
    <x v="1"/>
    <x v="11"/>
    <x v="11"/>
    <n v="0"/>
    <n v="94"/>
    <n v="1"/>
    <n v="113"/>
    <n v="207"/>
    <n v="0"/>
    <n v="211.5"/>
    <m/>
    <n v="98.853440941007989"/>
    <m/>
    <n v="102.81050800000003"/>
    <m/>
    <m/>
    <n v="101.7"/>
    <n v="94.2"/>
    <n v="19"/>
    <n v="-3"/>
    <m/>
    <m/>
    <n v="1.6213114754098341"/>
    <m/>
    <m/>
    <n v="3.9570670589920383"/>
    <m/>
    <m/>
    <m/>
    <m/>
    <m/>
    <b v="1"/>
    <s v="P"/>
    <s v="UNDER"/>
    <m/>
    <m/>
    <m/>
    <n v="-17.378688524590167"/>
    <n v="302.01881483472198"/>
    <n v="-15.042932941007962"/>
    <n v="226.28983146766245"/>
  </r>
  <r>
    <x v="1"/>
    <x v="12"/>
    <x v="12"/>
    <n v="1"/>
    <n v="109"/>
    <n v="0"/>
    <n v="91"/>
    <n v="200"/>
    <n v="1"/>
    <n v="196.5"/>
    <m/>
    <n v="105.14862369203996"/>
    <m/>
    <n v="99.428728000000021"/>
    <m/>
    <m/>
    <n v="95.4"/>
    <n v="94.2"/>
    <n v="-18"/>
    <n v="-6.5"/>
    <m/>
    <m/>
    <n v="-6.0286885245901658"/>
    <m/>
    <m/>
    <n v="-5.7198956920399411"/>
    <m/>
    <m/>
    <m/>
    <m/>
    <m/>
    <b v="0"/>
    <s v="A"/>
    <s v="UNDER"/>
    <m/>
    <m/>
    <m/>
    <n v="11.971311475409834"/>
    <n v="143.31229844127918"/>
    <n v="12.280104307960059"/>
    <n v="150.80096181437921"/>
  </r>
  <r>
    <x v="2"/>
    <x v="13"/>
    <x v="13"/>
    <n v="1"/>
    <n v="114"/>
    <n v="0"/>
    <n v="99"/>
    <n v="213"/>
    <n v="1"/>
    <n v="201.5"/>
    <m/>
    <n v="103.33227929291128"/>
    <m/>
    <n v="96.446600666666683"/>
    <m/>
    <m/>
    <n v="99.2"/>
    <n v="96.1"/>
    <n v="-15"/>
    <n v="-3.5"/>
    <m/>
    <m/>
    <n v="-7.8586885245901659"/>
    <m/>
    <m/>
    <n v="-6.8856786262445979"/>
    <m/>
    <m/>
    <m/>
    <m/>
    <m/>
    <b v="1"/>
    <s v="SE"/>
    <s v="UNDER"/>
    <m/>
    <m/>
    <m/>
    <n v="7.1413114754098341"/>
    <n v="50.998329588820184"/>
    <n v="8.1143213737554021"/>
    <n v="45.803947173774958"/>
  </r>
  <r>
    <x v="2"/>
    <x v="14"/>
    <x v="14"/>
    <n v="1"/>
    <n v="105"/>
    <n v="0"/>
    <n v="99"/>
    <n v="204"/>
    <n v="0"/>
    <n v="208.5"/>
    <m/>
    <n v="110.18362726701197"/>
    <m/>
    <n v="106.90346333333335"/>
    <m/>
    <m/>
    <n v="95.1"/>
    <n v="99.5"/>
    <n v="-6"/>
    <n v="-1"/>
    <m/>
    <m/>
    <n v="-6.8886885245901652"/>
    <m/>
    <m/>
    <n v="-3.2801639336786224"/>
    <m/>
    <m/>
    <m/>
    <m/>
    <m/>
    <b v="0"/>
    <s v="C"/>
    <s v="UNDER"/>
    <m/>
    <m/>
    <m/>
    <n v="-0.88868852459016523"/>
    <n v="0.78976729373824472"/>
    <n v="2.7198360663213776"/>
    <n v="7.397508227662545"/>
  </r>
  <r>
    <x v="2"/>
    <x v="2"/>
    <x v="15"/>
    <n v="0"/>
    <n v="106"/>
    <n v="1"/>
    <n v="114"/>
    <n v="220"/>
    <n v="1"/>
    <n v="210"/>
    <m/>
    <n v="104.66038413790987"/>
    <m/>
    <n v="116.4904026666667"/>
    <m/>
    <m/>
    <n v="99.3"/>
    <n v="96.4"/>
    <n v="8"/>
    <n v="-2.5"/>
    <m/>
    <m/>
    <n v="12.371311475409835"/>
    <m/>
    <m/>
    <n v="11.830018528756824"/>
    <m/>
    <m/>
    <m/>
    <m/>
    <m/>
    <b v="0"/>
    <s v="NW"/>
    <s v="UNDER"/>
    <m/>
    <m/>
    <m/>
    <n v="4.3713114754098346"/>
    <n v="19.108364015049705"/>
    <n v="3.830018528756824"/>
    <n v="14.669041930620587"/>
  </r>
  <r>
    <x v="2"/>
    <x v="15"/>
    <x v="1"/>
    <n v="0"/>
    <n v="94"/>
    <n v="1"/>
    <n v="102"/>
    <n v="196"/>
    <n v="0"/>
    <n v="203"/>
    <m/>
    <n v="105.63308010654767"/>
    <m/>
    <n v="108.16331200000002"/>
    <m/>
    <m/>
    <n v="94.2"/>
    <n v="93.3"/>
    <n v="8"/>
    <n v="-7.5"/>
    <m/>
    <m/>
    <n v="6.5113114754098351"/>
    <m/>
    <m/>
    <n v="2.5302318934523527"/>
    <m/>
    <m/>
    <m/>
    <m/>
    <m/>
    <b v="0"/>
    <s v="P"/>
    <s v="UNDER"/>
    <m/>
    <m/>
    <m/>
    <n v="-1.4886885245901649"/>
    <n v="2.2161935232464418"/>
    <n v="-5.4697681065476473"/>
    <n v="29.918363139405834"/>
  </r>
  <r>
    <x v="3"/>
    <x v="16"/>
    <x v="16"/>
    <n v="1"/>
    <n v="103"/>
    <n v="0"/>
    <n v="94"/>
    <n v="197"/>
    <n v="0"/>
    <n v="218.5"/>
    <m/>
    <n v="102.35556801271781"/>
    <m/>
    <n v="106.07618533333336"/>
    <m/>
    <m/>
    <n v="92.9"/>
    <n v="98.3"/>
    <n v="-9"/>
    <n v="-6"/>
    <m/>
    <m/>
    <n v="1.2213114754098342"/>
    <m/>
    <m/>
    <n v="3.7206173206155455"/>
    <m/>
    <m/>
    <m/>
    <m/>
    <m/>
    <b v="0"/>
    <s v="A"/>
    <s v="UNDER"/>
    <m/>
    <m/>
    <m/>
    <n v="10.221311475409834"/>
    <n v="104.47520827734476"/>
    <n v="12.720617320615546"/>
    <n v="161.81410501754422"/>
  </r>
  <r>
    <x v="3"/>
    <x v="17"/>
    <x v="5"/>
    <n v="0"/>
    <n v="98"/>
    <n v="1"/>
    <n v="106"/>
    <n v="204"/>
    <n v="0"/>
    <n v="218.5"/>
    <m/>
    <n v="98.709023578429097"/>
    <m/>
    <n v="108.93562600000003"/>
    <m/>
    <m/>
    <n v="102"/>
    <n v="96.9"/>
    <n v="8"/>
    <n v="-2"/>
    <m/>
    <m/>
    <n v="9.7713114754098349"/>
    <m/>
    <m/>
    <n v="10.226602421570931"/>
    <m/>
    <m/>
    <m/>
    <m/>
    <m/>
    <b v="1"/>
    <s v="SW"/>
    <s v="UNDER"/>
    <m/>
    <m/>
    <m/>
    <n v="1.7713114754098349"/>
    <n v="3.1375443429185661"/>
    <n v="2.2266024215709308"/>
    <n v="4.9577583437455335"/>
  </r>
  <r>
    <x v="3"/>
    <x v="18"/>
    <x v="17"/>
    <n v="1"/>
    <n v="108"/>
    <n v="0"/>
    <n v="82"/>
    <n v="190"/>
    <n v="0"/>
    <n v="195"/>
    <m/>
    <n v="110.68175833471561"/>
    <m/>
    <n v="87.766768000000027"/>
    <m/>
    <m/>
    <n v="94.2"/>
    <n v="94.2"/>
    <n v="-26"/>
    <n v="-4"/>
    <m/>
    <m/>
    <n v="-14.108688524590166"/>
    <m/>
    <m/>
    <n v="-22.914990334715583"/>
    <m/>
    <m/>
    <m/>
    <m/>
    <m/>
    <b v="0"/>
    <s v="C"/>
    <s v="UNDER"/>
    <m/>
    <m/>
    <m/>
    <n v="11.891311475409834"/>
    <n v="141.40328860521362"/>
    <n v="3.0850096652844172"/>
    <n v="9.5172846348982727"/>
  </r>
  <r>
    <x v="3"/>
    <x v="19"/>
    <x v="7"/>
    <n v="0"/>
    <n v="91"/>
    <n v="1"/>
    <n v="97"/>
    <n v="188"/>
    <n v="0"/>
    <n v="197"/>
    <m/>
    <n v="100.12150368238518"/>
    <m/>
    <n v="101.79590866666668"/>
    <m/>
    <m/>
    <n v="93.9"/>
    <n v="97.3"/>
    <n v="6"/>
    <n v="-1.5"/>
    <m/>
    <m/>
    <n v="0.32131147540983407"/>
    <m/>
    <m/>
    <n v="1.6744049842814945"/>
    <m/>
    <m/>
    <m/>
    <m/>
    <m/>
    <b v="1"/>
    <s v="SE"/>
    <s v="UNDER"/>
    <m/>
    <m/>
    <m/>
    <n v="-5.6786885245901662"/>
    <n v="32.247503359312041"/>
    <n v="-4.3255950157185055"/>
    <n v="18.710772240008776"/>
  </r>
  <r>
    <x v="3"/>
    <x v="8"/>
    <x v="18"/>
    <n v="0"/>
    <n v="114"/>
    <n v="1"/>
    <n v="122"/>
    <n v="236"/>
    <n v="1"/>
    <n v="223.5"/>
    <m/>
    <n v="101.90175327976011"/>
    <m/>
    <n v="116.36959133333337"/>
    <m/>
    <m/>
    <n v="98.8"/>
    <n v="100.7"/>
    <n v="8"/>
    <n v="-12.5"/>
    <m/>
    <m/>
    <n v="11.161311475409834"/>
    <m/>
    <m/>
    <n v="14.46783805357326"/>
    <m/>
    <m/>
    <m/>
    <m/>
    <m/>
    <b v="0"/>
    <s v="SW"/>
    <s v="UNDER"/>
    <m/>
    <m/>
    <m/>
    <n v="3.1613114754098337"/>
    <n v="9.9938902445578996"/>
    <n v="6.46783805357326"/>
    <n v="41.832929087250335"/>
  </r>
  <r>
    <x v="3"/>
    <x v="20"/>
    <x v="19"/>
    <n v="0"/>
    <n v="113"/>
    <n v="1"/>
    <n v="110"/>
    <n v="223"/>
    <n v="1"/>
    <n v="209"/>
    <m/>
    <n v="106.67663681965827"/>
    <m/>
    <n v="101.48710800000003"/>
    <m/>
    <m/>
    <n v="92.6"/>
    <n v="101.7"/>
    <n v="-3"/>
    <n v="-7.5"/>
    <m/>
    <m/>
    <n v="-9.5586885245901652"/>
    <m/>
    <m/>
    <n v="-5.1895288196582356"/>
    <m/>
    <m/>
    <m/>
    <m/>
    <m/>
    <b v="0"/>
    <s v="NW"/>
    <s v="UNDER"/>
    <m/>
    <m/>
    <m/>
    <n v="-6.5586885245901652"/>
    <n v="43.016395162590719"/>
    <n v="-2.1895288196582356"/>
    <n v="4.7940364521139864"/>
  </r>
  <r>
    <x v="3"/>
    <x v="12"/>
    <x v="20"/>
    <n v="0"/>
    <n v="91"/>
    <n v="1"/>
    <n v="94"/>
    <n v="185"/>
    <n v="0"/>
    <n v="205.5"/>
    <m/>
    <n v="109.09818369203997"/>
    <m/>
    <n v="112.60593866666669"/>
    <m/>
    <m/>
    <n v="95.4"/>
    <n v="97.3"/>
    <n v="3"/>
    <n v="-2.5"/>
    <m/>
    <m/>
    <n v="1.1311475409835126E-2"/>
    <m/>
    <m/>
    <n v="3.5077549746267209"/>
    <m/>
    <m/>
    <m/>
    <m/>
    <m/>
    <b v="0"/>
    <s v="A"/>
    <s v="UNDER"/>
    <m/>
    <m/>
    <m/>
    <n v="-2.9886885245901649"/>
    <n v="8.9322590970169369"/>
    <n v="0.50775497462672092"/>
    <n v="0.25781511425818199"/>
  </r>
  <r>
    <x v="3"/>
    <x v="21"/>
    <x v="21"/>
    <n v="0"/>
    <n v="96"/>
    <n v="1"/>
    <n v="89"/>
    <n v="185"/>
    <n v="0"/>
    <n v="202"/>
    <m/>
    <n v="110.79000584399452"/>
    <m/>
    <n v="104.69964800000001"/>
    <m/>
    <m/>
    <n v="91.5"/>
    <n v="100.2"/>
    <n v="-7"/>
    <n v="-9"/>
    <m/>
    <m/>
    <n v="-9.4586885245901655"/>
    <m/>
    <m/>
    <n v="-6.0903578439945107"/>
    <m/>
    <m/>
    <m/>
    <m/>
    <m/>
    <b v="0"/>
    <s v="NW"/>
    <s v="UNDER"/>
    <m/>
    <m/>
    <m/>
    <n v="-2.4586885245901655"/>
    <n v="6.0451492609513648"/>
    <n v="0.90964215600548926"/>
    <n v="0.82744885198231488"/>
  </r>
  <r>
    <x v="4"/>
    <x v="14"/>
    <x v="16"/>
    <n v="1"/>
    <n v="118"/>
    <n v="0"/>
    <n v="101"/>
    <n v="219"/>
    <n v="1"/>
    <n v="210"/>
    <m/>
    <n v="111.24874726701198"/>
    <m/>
    <n v="101.46591533333336"/>
    <m/>
    <m/>
    <n v="95.1"/>
    <n v="98.3"/>
    <n v="-17"/>
    <n v="-3.5"/>
    <m/>
    <m/>
    <n v="-12.238688524590167"/>
    <m/>
    <m/>
    <n v="-9.7828319336786222"/>
    <m/>
    <m/>
    <m/>
    <m/>
    <m/>
    <b v="1"/>
    <s v="C"/>
    <s v="UNDER"/>
    <m/>
    <m/>
    <m/>
    <n v="4.7613114754098333"/>
    <n v="22.670086965869363"/>
    <n v="7.2171680663213778"/>
    <n v="52.087514897529054"/>
  </r>
  <r>
    <x v="4"/>
    <x v="22"/>
    <x v="14"/>
    <n v="0"/>
    <n v="98"/>
    <n v="1"/>
    <n v="104"/>
    <n v="202"/>
    <n v="0"/>
    <n v="202.5"/>
    <m/>
    <n v="105.71218196997592"/>
    <m/>
    <n v="106.78406333333335"/>
    <m/>
    <m/>
    <n v="97.3"/>
    <n v="99.5"/>
    <n v="6"/>
    <n v="-3"/>
    <m/>
    <m/>
    <n v="-4.1986885245901657"/>
    <m/>
    <m/>
    <n v="1.0718813633574342"/>
    <m/>
    <m/>
    <m/>
    <m/>
    <m/>
    <b v="0"/>
    <s v="SE"/>
    <s v="UNDER"/>
    <m/>
    <m/>
    <m/>
    <n v="-10.198688524590166"/>
    <n v="104.01324762160714"/>
    <n v="-4.9281186366425658"/>
    <n v="24.28635329682378"/>
  </r>
  <r>
    <x v="4"/>
    <x v="0"/>
    <x v="17"/>
    <n v="0"/>
    <n v="105"/>
    <n v="1"/>
    <n v="99"/>
    <n v="204"/>
    <n v="0"/>
    <n v="205.5"/>
    <m/>
    <n v="115.31340692672303"/>
    <m/>
    <n v="91.666648000000023"/>
    <m/>
    <m/>
    <n v="97.3"/>
    <n v="94.2"/>
    <n v="-6"/>
    <n v="-11"/>
    <m/>
    <m/>
    <n v="-20.148688524590167"/>
    <m/>
    <m/>
    <n v="-23.64675892672301"/>
    <m/>
    <m/>
    <m/>
    <m/>
    <m/>
    <b v="0"/>
    <s v="C"/>
    <s v="UNDER"/>
    <m/>
    <m/>
    <m/>
    <n v="-14.148688524590167"/>
    <n v="200.18538696586947"/>
    <n v="-17.64675892672301"/>
    <n v="311.40810061787823"/>
  </r>
  <r>
    <x v="4"/>
    <x v="23"/>
    <x v="22"/>
    <n v="0"/>
    <n v="113"/>
    <n v="1"/>
    <n v="115"/>
    <n v="228"/>
    <n v="1"/>
    <n v="212.5"/>
    <m/>
    <n v="109.51396917909572"/>
    <m/>
    <n v="109.32996200000001"/>
    <m/>
    <m/>
    <n v="99.1"/>
    <n v="99.3"/>
    <n v="2"/>
    <n v="-1.5"/>
    <m/>
    <m/>
    <n v="-4.5386885245901656"/>
    <m/>
    <m/>
    <n v="-0.1840071790957154"/>
    <m/>
    <m/>
    <m/>
    <m/>
    <m/>
    <b v="1"/>
    <s v="NW"/>
    <s v="UNDER"/>
    <m/>
    <m/>
    <m/>
    <n v="-6.5386885245901656"/>
    <n v="42.754447621607113"/>
    <n v="-2.1840071790957154"/>
    <n v="4.7698873583416246"/>
  </r>
  <r>
    <x v="4"/>
    <x v="7"/>
    <x v="3"/>
    <n v="0"/>
    <n v="110"/>
    <n v="1"/>
    <n v="108"/>
    <n v="218"/>
    <n v="1"/>
    <n v="205.5"/>
    <m/>
    <n v="111.80527333230638"/>
    <m/>
    <n v="96.932479333333362"/>
    <m/>
    <m/>
    <n v="96.1"/>
    <n v="92.9"/>
    <n v="-2"/>
    <n v="-8"/>
    <m/>
    <m/>
    <n v="-9.1386885245901652"/>
    <m/>
    <m/>
    <n v="-14.872793998973023"/>
    <m/>
    <m/>
    <m/>
    <m/>
    <m/>
    <b v="0"/>
    <s v="C"/>
    <s v="UNDER"/>
    <m/>
    <m/>
    <m/>
    <n v="-7.1386885245901652"/>
    <n v="50.960873851115309"/>
    <n v="-12.872793998973023"/>
    <n v="165.70882533999588"/>
  </r>
  <r>
    <x v="4"/>
    <x v="24"/>
    <x v="23"/>
    <n v="1"/>
    <n v="111"/>
    <n v="0"/>
    <n v="104"/>
    <n v="215"/>
    <n v="1"/>
    <n v="199"/>
    <m/>
    <n v="104.35023945611427"/>
    <m/>
    <n v="101.81872133333337"/>
    <m/>
    <m/>
    <n v="96.2"/>
    <n v="96.2"/>
    <n v="-7"/>
    <n v="-3"/>
    <m/>
    <m/>
    <n v="-0.55868852459016594"/>
    <m/>
    <m/>
    <n v="-2.5315181227808949"/>
    <m/>
    <m/>
    <m/>
    <m/>
    <m/>
    <b v="0"/>
    <s v="A"/>
    <s v="UNDER"/>
    <m/>
    <m/>
    <m/>
    <n v="6.441311475409834"/>
    <n v="41.490493523246414"/>
    <n v="4.4684818772191051"/>
    <n v="19.967330287035576"/>
  </r>
  <r>
    <x v="4"/>
    <x v="10"/>
    <x v="24"/>
    <n v="0"/>
    <n v="72"/>
    <n v="1"/>
    <n v="104"/>
    <n v="176"/>
    <n v="0"/>
    <n v="202"/>
    <m/>
    <n v="92.094194198882519"/>
    <m/>
    <n v="103.16866133333336"/>
    <m/>
    <m/>
    <n v="97.5"/>
    <n v="99.2"/>
    <n v="32"/>
    <n v="-8"/>
    <m/>
    <m/>
    <n v="9.2213114754098342"/>
    <m/>
    <m/>
    <n v="11.074467134450842"/>
    <m/>
    <m/>
    <m/>
    <m/>
    <m/>
    <b v="0"/>
    <s v="A"/>
    <s v="UNDER"/>
    <m/>
    <m/>
    <m/>
    <n v="-22.778688524590166"/>
    <n v="518.86865090029573"/>
    <n v="-20.925532865549158"/>
    <n v="437.87792570717795"/>
  </r>
  <r>
    <x v="4"/>
    <x v="15"/>
    <x v="6"/>
    <n v="1"/>
    <n v="106"/>
    <n v="0"/>
    <n v="103"/>
    <n v="209"/>
    <n v="1"/>
    <n v="203"/>
    <m/>
    <n v="110.11700010654768"/>
    <m/>
    <n v="107.48823866666669"/>
    <m/>
    <m/>
    <n v="94.2"/>
    <n v="95.8"/>
    <n v="-3"/>
    <n v="0"/>
    <m/>
    <m/>
    <n v="-1.9786885245901658"/>
    <m/>
    <m/>
    <n v="-2.6287614398809893"/>
    <m/>
    <m/>
    <m/>
    <m/>
    <m/>
    <b v="0"/>
    <s v="P"/>
    <s v="UNDER"/>
    <m/>
    <m/>
    <m/>
    <n v="1.0213114754098342"/>
    <n v="1.0430771298038124"/>
    <n v="0.37123856011901069"/>
    <n v="0.13781806851923631"/>
  </r>
  <r>
    <x v="4"/>
    <x v="25"/>
    <x v="25"/>
    <n v="1"/>
    <n v="98"/>
    <n v="0"/>
    <n v="79"/>
    <n v="177"/>
    <n v="0"/>
    <n v="203.5"/>
    <m/>
    <n v="100.60379525149295"/>
    <m/>
    <n v="100.13445866666669"/>
    <m/>
    <m/>
    <n v="93.3"/>
    <n v="98.8"/>
    <n v="-19"/>
    <n v="-14"/>
    <m/>
    <m/>
    <n v="-12.748688524590166"/>
    <m/>
    <m/>
    <n v="-0.46933658482626583"/>
    <m/>
    <m/>
    <m/>
    <m/>
    <m/>
    <b v="1"/>
    <s v="SW"/>
    <s v="UNDER"/>
    <m/>
    <m/>
    <m/>
    <n v="6.2513114754098336"/>
    <n v="39.078895162590669"/>
    <n v="18.530663415173734"/>
    <n v="343.3854866064583"/>
  </r>
  <r>
    <x v="5"/>
    <x v="18"/>
    <x v="26"/>
    <n v="1"/>
    <n v="98"/>
    <n v="0"/>
    <n v="83"/>
    <n v="181"/>
    <n v="0"/>
    <n v="197.5"/>
    <m/>
    <n v="112.8766183347156"/>
    <m/>
    <n v="97.715120666666692"/>
    <m/>
    <m/>
    <n v="94.2"/>
    <n v="96.1"/>
    <n v="-15"/>
    <n v="-7"/>
    <m/>
    <m/>
    <n v="-7.9286885245901662"/>
    <m/>
    <m/>
    <n v="-15.161497668048909"/>
    <m/>
    <m/>
    <m/>
    <m/>
    <m/>
    <b v="1"/>
    <s v="C"/>
    <s v="UNDER"/>
    <m/>
    <m/>
    <m/>
    <n v="7.0713114754098338"/>
    <n v="50.003445982262804"/>
    <n v="-0.1614976680489093"/>
    <n v="2.6081496785235702E-2"/>
  </r>
  <r>
    <x v="5"/>
    <x v="26"/>
    <x v="4"/>
    <n v="0"/>
    <n v="93"/>
    <n v="1"/>
    <n v="92"/>
    <n v="185"/>
    <n v="0"/>
    <n v="213.5"/>
    <m/>
    <n v="109.51320549407401"/>
    <m/>
    <n v="101.85788000000004"/>
    <m/>
    <m/>
    <n v="96.9"/>
    <n v="102"/>
    <n v="-1"/>
    <n v="-6"/>
    <m/>
    <m/>
    <n v="-15.328688524590167"/>
    <m/>
    <m/>
    <n v="-7.6553254940739777"/>
    <m/>
    <m/>
    <m/>
    <m/>
    <m/>
    <b v="1"/>
    <s v="SW"/>
    <s v="UNDER"/>
    <m/>
    <m/>
    <m/>
    <n v="-14.328688524590167"/>
    <n v="205.31131483472191"/>
    <n v="-6.6553254940739777"/>
    <n v="44.293357432071033"/>
  </r>
  <r>
    <x v="5"/>
    <x v="27"/>
    <x v="2"/>
    <n v="1"/>
    <n v="88"/>
    <n v="0"/>
    <n v="75"/>
    <n v="163"/>
    <n v="0"/>
    <n v="189.5"/>
    <m/>
    <n v="108.38156172355892"/>
    <m/>
    <n v="93.724060000000037"/>
    <m/>
    <m/>
    <n v="96.4"/>
    <n v="91.5"/>
    <n v="-13"/>
    <n v="-7.5"/>
    <m/>
    <m/>
    <n v="-11.248688524590165"/>
    <m/>
    <m/>
    <n v="-14.65750172355888"/>
    <m/>
    <m/>
    <m/>
    <m/>
    <m/>
    <b v="0"/>
    <s v="P"/>
    <s v="UNDER"/>
    <m/>
    <m/>
    <m/>
    <n v="1.7513114754098353"/>
    <n v="3.0670918839021741"/>
    <n v="-1.6575017235588803"/>
    <n v="2.7473119636006587"/>
  </r>
  <r>
    <x v="5"/>
    <x v="6"/>
    <x v="13"/>
    <n v="1"/>
    <n v="112"/>
    <n v="0"/>
    <n v="103"/>
    <n v="215"/>
    <n v="1"/>
    <n v="204.5"/>
    <m/>
    <n v="103.6117747304164"/>
    <m/>
    <n v="98.464700666666673"/>
    <m/>
    <m/>
    <n v="96.2"/>
    <n v="96.1"/>
    <n v="-9"/>
    <n v="-3.5"/>
    <m/>
    <m/>
    <n v="-6.1586885245901657"/>
    <m/>
    <m/>
    <n v="-5.1470740637497272"/>
    <m/>
    <m/>
    <m/>
    <m/>
    <m/>
    <b v="0"/>
    <s v="SW"/>
    <s v="UNDER"/>
    <m/>
    <m/>
    <m/>
    <n v="2.8413114754098343"/>
    <n v="8.073050900295609"/>
    <n v="3.8529259362502728"/>
    <n v="14.845038270230042"/>
  </r>
  <r>
    <x v="5"/>
    <x v="19"/>
    <x v="1"/>
    <n v="0"/>
    <n v="99"/>
    <n v="1"/>
    <n v="106"/>
    <n v="205"/>
    <n v="1"/>
    <n v="194"/>
    <m/>
    <n v="99.370303682385185"/>
    <m/>
    <n v="101.80025200000001"/>
    <m/>
    <m/>
    <n v="93.9"/>
    <n v="93.3"/>
    <n v="7"/>
    <n v="-6.5"/>
    <m/>
    <m/>
    <n v="5.6113114754098348"/>
    <m/>
    <m/>
    <n v="2.42994831761483"/>
    <m/>
    <m/>
    <m/>
    <m/>
    <m/>
    <b v="0"/>
    <s v="SE"/>
    <s v="UNDER"/>
    <m/>
    <m/>
    <m/>
    <n v="-1.3886885245901652"/>
    <n v="1.92845581832841"/>
    <n v="-4.57005168238517"/>
    <n v="20.885372379671523"/>
  </r>
  <r>
    <x v="5"/>
    <x v="20"/>
    <x v="21"/>
    <n v="1"/>
    <n v="113"/>
    <n v="0"/>
    <n v="96"/>
    <n v="209"/>
    <n v="0"/>
    <n v="216"/>
    <m/>
    <n v="109.94541681965828"/>
    <m/>
    <n v="107.51526800000002"/>
    <m/>
    <m/>
    <n v="92.6"/>
    <n v="100.2"/>
    <n v="-17"/>
    <n v="-8.5"/>
    <m/>
    <m/>
    <n v="-5.5786885245901656"/>
    <m/>
    <m/>
    <n v="-2.4301488196582568"/>
    <m/>
    <m/>
    <m/>
    <m/>
    <m/>
    <b v="0"/>
    <s v="NW"/>
    <s v="UNDER"/>
    <m/>
    <m/>
    <m/>
    <n v="11.421311475409833"/>
    <n v="130.44635581832836"/>
    <n v="14.569851180341743"/>
    <n v="212.2805634173057"/>
  </r>
  <r>
    <x v="5"/>
    <x v="11"/>
    <x v="18"/>
    <n v="0"/>
    <n v="100"/>
    <n v="1"/>
    <n v="106"/>
    <n v="206"/>
    <n v="0"/>
    <n v="227"/>
    <m/>
    <n v="94.34813094100798"/>
    <m/>
    <n v="118.79646133333337"/>
    <m/>
    <m/>
    <n v="101.7"/>
    <n v="100.7"/>
    <n v="6"/>
    <n v="-11.5"/>
    <m/>
    <m/>
    <n v="14.881311475409834"/>
    <m/>
    <m/>
    <n v="24.448330392325389"/>
    <m/>
    <m/>
    <m/>
    <m/>
    <m/>
    <b v="1"/>
    <s v="P"/>
    <s v="UNDER"/>
    <m/>
    <m/>
    <m/>
    <n v="8.8813114754098343"/>
    <n v="78.877693523246407"/>
    <n v="18.448330392325389"/>
    <n v="340.34089426439664"/>
  </r>
  <r>
    <x v="6"/>
    <x v="13"/>
    <x v="11"/>
    <n v="1"/>
    <n v="106"/>
    <n v="0"/>
    <n v="95"/>
    <n v="201"/>
    <n v="0"/>
    <n v="203"/>
    <m/>
    <n v="103.34219929291129"/>
    <m/>
    <n v="95.255668000000028"/>
    <m/>
    <m/>
    <n v="99.2"/>
    <n v="94.2"/>
    <n v="-11"/>
    <n v="-7"/>
    <m/>
    <m/>
    <n v="-7.1086885245901659"/>
    <m/>
    <m/>
    <n v="-8.0865312929112605"/>
    <m/>
    <m/>
    <m/>
    <m/>
    <m/>
    <b v="0"/>
    <s v="SE"/>
    <s v="UNDER"/>
    <m/>
    <m/>
    <m/>
    <n v="3.8913114754098341"/>
    <n v="15.142304998656261"/>
    <n v="2.9134687070887395"/>
    <n v="8.4882999071853309"/>
  </r>
  <r>
    <x v="6"/>
    <x v="16"/>
    <x v="27"/>
    <n v="0"/>
    <n v="88"/>
    <n v="1"/>
    <n v="118"/>
    <n v="206"/>
    <n v="0"/>
    <n v="209.5"/>
    <m/>
    <n v="100.31176801271781"/>
    <m/>
    <n v="109.51779400000001"/>
    <m/>
    <m/>
    <n v="92.9"/>
    <n v="95.1"/>
    <n v="30"/>
    <n v="-6"/>
    <m/>
    <m/>
    <n v="10.681311475409835"/>
    <m/>
    <m/>
    <n v="9.206025987282203"/>
    <m/>
    <m/>
    <m/>
    <m/>
    <m/>
    <b v="0"/>
    <s v="A"/>
    <s v="UNDER"/>
    <m/>
    <m/>
    <m/>
    <n v="-19.318688524590165"/>
    <n v="373.21172631013172"/>
    <n v="-20.793974012717797"/>
    <n v="432.38935524158308"/>
  </r>
  <r>
    <x v="6"/>
    <x v="27"/>
    <x v="19"/>
    <n v="1"/>
    <n v="116"/>
    <n v="0"/>
    <n v="98"/>
    <n v="214"/>
    <n v="1"/>
    <n v="204.5"/>
    <m/>
    <n v="113.74140172355891"/>
    <m/>
    <n v="98.975118000000037"/>
    <m/>
    <m/>
    <n v="96.4"/>
    <n v="101.7"/>
    <n v="-18"/>
    <n v="-12.5"/>
    <m/>
    <m/>
    <n v="-21.908688524590165"/>
    <m/>
    <m/>
    <n v="-14.766283723558871"/>
    <m/>
    <m/>
    <m/>
    <m/>
    <m/>
    <b v="1"/>
    <s v="P"/>
    <s v="UNDER"/>
    <m/>
    <m/>
    <m/>
    <n v="-3.9086885245901648"/>
    <n v="15.277845982262839"/>
    <n v="3.2337162764411289"/>
    <n v="10.45692095652028"/>
  </r>
  <r>
    <x v="6"/>
    <x v="12"/>
    <x v="8"/>
    <n v="0"/>
    <n v="105"/>
    <n v="1"/>
    <n v="102"/>
    <n v="207"/>
    <n v="1"/>
    <n v="206.5"/>
    <m/>
    <n v="110.01402369203996"/>
    <m/>
    <n v="106.28541066666669"/>
    <m/>
    <m/>
    <n v="95.4"/>
    <n v="99.1"/>
    <n v="-3"/>
    <n v="-6.5"/>
    <m/>
    <m/>
    <n v="-9.4286885245901662"/>
    <m/>
    <m/>
    <n v="-3.7286130253732637"/>
    <m/>
    <m/>
    <m/>
    <m/>
    <m/>
    <b v="0"/>
    <s v="A"/>
    <s v="UNDER"/>
    <m/>
    <m/>
    <m/>
    <n v="-6.4286885245901662"/>
    <n v="41.328036146197284"/>
    <n v="-0.72861302537326367"/>
    <n v="0.53087694074358016"/>
  </r>
  <r>
    <x v="7"/>
    <x v="0"/>
    <x v="5"/>
    <n v="0"/>
    <n v="128"/>
    <n v="1"/>
    <n v="120"/>
    <n v="248"/>
    <n v="1"/>
    <n v="217.5"/>
    <m/>
    <n v="118.07672692672304"/>
    <m/>
    <n v="108.96469600000003"/>
    <m/>
    <m/>
    <n v="97.3"/>
    <n v="96.9"/>
    <n v="-8"/>
    <n v="-9.5"/>
    <m/>
    <m/>
    <n v="-7.8586885245901659"/>
    <m/>
    <m/>
    <n v="-9.1120309267230084"/>
    <m/>
    <m/>
    <m/>
    <m/>
    <m/>
    <b v="0"/>
    <s v="C"/>
    <s v="UNDER"/>
    <m/>
    <m/>
    <m/>
    <n v="0.14131147540983413"/>
    <n v="1.9968933082504157E-2"/>
    <n v="-1.1120309267230084"/>
    <n v="1.2366127819884329"/>
  </r>
  <r>
    <x v="7"/>
    <x v="18"/>
    <x v="0"/>
    <n v="1"/>
    <n v="102"/>
    <n v="0"/>
    <n v="89"/>
    <n v="191"/>
    <n v="0"/>
    <n v="202.5"/>
    <m/>
    <n v="113.9410783347156"/>
    <m/>
    <n v="99.692701333333375"/>
    <m/>
    <m/>
    <n v="94.2"/>
    <n v="96.2"/>
    <n v="-13"/>
    <n v="-3.5"/>
    <m/>
    <m/>
    <n v="-7.1086885245901659"/>
    <m/>
    <m/>
    <n v="-14.248377001382224"/>
    <m/>
    <m/>
    <m/>
    <m/>
    <m/>
    <b v="0"/>
    <s v="C"/>
    <s v="UNDER"/>
    <m/>
    <m/>
    <m/>
    <n v="5.8913114754098341"/>
    <n v="34.707550900295594"/>
    <n v="-1.2483770013822237"/>
    <n v="1.5584451375800727"/>
  </r>
  <r>
    <x v="7"/>
    <x v="4"/>
    <x v="21"/>
    <n v="0"/>
    <n v="115"/>
    <n v="1"/>
    <n v="108"/>
    <n v="223"/>
    <n v="1"/>
    <n v="213.5"/>
    <m/>
    <n v="110.72171341452113"/>
    <m/>
    <n v="110.89200800000002"/>
    <m/>
    <m/>
    <n v="98.3"/>
    <n v="100.2"/>
    <n v="-7"/>
    <n v="-9"/>
    <m/>
    <m/>
    <n v="-0.42868852459016571"/>
    <m/>
    <m/>
    <n v="0.1702945854788851"/>
    <m/>
    <m/>
    <m/>
    <m/>
    <m/>
    <b v="0"/>
    <s v="C"/>
    <s v="UNDER"/>
    <m/>
    <m/>
    <m/>
    <n v="6.5713114754098338"/>
    <n v="43.182134506852968"/>
    <n v="7.1702945854788851"/>
    <n v="51.413124442547819"/>
  </r>
  <r>
    <x v="7"/>
    <x v="19"/>
    <x v="11"/>
    <n v="1"/>
    <n v="108"/>
    <n v="0"/>
    <n v="96"/>
    <n v="204"/>
    <n v="1"/>
    <n v="199.5"/>
    <m/>
    <n v="103.78360368238519"/>
    <m/>
    <n v="98.458468000000025"/>
    <m/>
    <m/>
    <n v="93.9"/>
    <n v="94.2"/>
    <n v="-12"/>
    <n v="-3.5"/>
    <m/>
    <m/>
    <n v="-3.6786885245901662"/>
    <m/>
    <m/>
    <n v="-5.3251356823851665"/>
    <m/>
    <m/>
    <m/>
    <m/>
    <m/>
    <b v="0"/>
    <s v="SE"/>
    <s v="UNDER"/>
    <m/>
    <m/>
    <m/>
    <n v="8.3213114754098338"/>
    <n v="69.244224670787389"/>
    <n v="6.6748643176148335"/>
    <n v="44.553813658567734"/>
  </r>
  <r>
    <x v="7"/>
    <x v="28"/>
    <x v="23"/>
    <n v="1"/>
    <n v="116"/>
    <n v="0"/>
    <n v="80"/>
    <n v="196"/>
    <n v="0"/>
    <n v="197.5"/>
    <m/>
    <n v="111.28266150317565"/>
    <m/>
    <n v="101.88606133333337"/>
    <m/>
    <m/>
    <n v="95.8"/>
    <n v="96.2"/>
    <n v="-36"/>
    <n v="-7.5"/>
    <m/>
    <m/>
    <n v="-0.94868852459016584"/>
    <m/>
    <m/>
    <n v="-9.396600169842273"/>
    <m/>
    <m/>
    <m/>
    <m/>
    <m/>
    <b v="0"/>
    <s v="NW"/>
    <s v="UNDER"/>
    <m/>
    <m/>
    <m/>
    <n v="35.051311475409832"/>
    <n v="1228.594436146197"/>
    <n v="26.603399830157727"/>
    <n v="707.74088252323622"/>
  </r>
  <r>
    <x v="7"/>
    <x v="8"/>
    <x v="26"/>
    <n v="0"/>
    <n v="113"/>
    <n v="1"/>
    <n v="117"/>
    <n v="230"/>
    <n v="1"/>
    <n v="204.5"/>
    <m/>
    <n v="105.15227327976011"/>
    <m/>
    <n v="101.07862066666669"/>
    <m/>
    <m/>
    <n v="98.8"/>
    <n v="96.1"/>
    <n v="4"/>
    <n v="-3.5"/>
    <m/>
    <m/>
    <n v="-2.5086885245901658"/>
    <m/>
    <m/>
    <n v="-4.0736526130934152"/>
    <m/>
    <m/>
    <m/>
    <m/>
    <m/>
    <b v="0"/>
    <s v="SW"/>
    <s v="UNDER"/>
    <m/>
    <m/>
    <m/>
    <n v="-6.5086885245901662"/>
    <n v="42.363026310131715"/>
    <n v="-8.0736526130934152"/>
    <n v="65.183866516910129"/>
  </r>
  <r>
    <x v="7"/>
    <x v="10"/>
    <x v="17"/>
    <n v="0"/>
    <n v="101"/>
    <n v="1"/>
    <n v="103"/>
    <n v="204"/>
    <n v="1"/>
    <n v="198.5"/>
    <m/>
    <n v="98.675444198882516"/>
    <m/>
    <n v="94.040488000000025"/>
    <m/>
    <m/>
    <n v="97.5"/>
    <n v="94.2"/>
    <n v="2"/>
    <n v="-5"/>
    <m/>
    <m/>
    <n v="-1.6986885245901657"/>
    <m/>
    <m/>
    <n v="-4.6349561988824917"/>
    <m/>
    <m/>
    <m/>
    <m/>
    <m/>
    <b v="0"/>
    <s v="A"/>
    <s v="UNDER"/>
    <m/>
    <m/>
    <m/>
    <n v="-3.6986885245901657"/>
    <n v="13.680296801934977"/>
    <n v="-6.6349561988824917"/>
    <n v="44.022643761089199"/>
  </r>
  <r>
    <x v="7"/>
    <x v="2"/>
    <x v="18"/>
    <n v="0"/>
    <n v="104"/>
    <n v="1"/>
    <n v="127"/>
    <n v="231"/>
    <n v="1"/>
    <n v="226"/>
    <m/>
    <n v="107.62945413790986"/>
    <m/>
    <n v="123.21719133333337"/>
    <m/>
    <m/>
    <n v="99.3"/>
    <n v="100.7"/>
    <n v="23"/>
    <n v="-6"/>
    <m/>
    <m/>
    <n v="10.901311475409834"/>
    <m/>
    <m/>
    <n v="15.587737195423514"/>
    <m/>
    <m/>
    <m/>
    <m/>
    <m/>
    <b v="0"/>
    <s v="NW"/>
    <s v="UNDER"/>
    <m/>
    <m/>
    <m/>
    <n v="-12.098688524590166"/>
    <n v="146.37826401504978"/>
    <n v="-7.4122628045764856"/>
    <n v="54.941639884108071"/>
  </r>
  <r>
    <x v="7"/>
    <x v="25"/>
    <x v="2"/>
    <n v="0"/>
    <n v="91"/>
    <n v="1"/>
    <n v="106"/>
    <n v="197"/>
    <n v="1"/>
    <n v="186"/>
    <m/>
    <n v="97.664845251492949"/>
    <m/>
    <n v="96.212860000000035"/>
    <m/>
    <m/>
    <n v="93.3"/>
    <n v="91.5"/>
    <n v="15"/>
    <n v="-10"/>
    <m/>
    <m/>
    <n v="-5.808688524590166"/>
    <m/>
    <m/>
    <n v="-1.4519852514929141"/>
    <m/>
    <m/>
    <m/>
    <m/>
    <m/>
    <b v="0"/>
    <s v="SW"/>
    <s v="UNDER"/>
    <m/>
    <m/>
    <m/>
    <n v="-20.808688524590167"/>
    <n v="433.0015181134105"/>
    <n v="-16.451985251492914"/>
    <n v="270.66781871534039"/>
  </r>
  <r>
    <x v="8"/>
    <x v="13"/>
    <x v="21"/>
    <n v="0"/>
    <n v="116"/>
    <n v="1"/>
    <n v="123"/>
    <n v="239"/>
    <n v="1"/>
    <n v="205"/>
    <m/>
    <n v="104.66155929291129"/>
    <m/>
    <n v="102.23472800000002"/>
    <m/>
    <m/>
    <n v="99.2"/>
    <n v="100.2"/>
    <n v="7"/>
    <n v="-12"/>
    <m/>
    <m/>
    <n v="-7.5286885245901658"/>
    <m/>
    <m/>
    <n v="-2.4268312929112739"/>
    <m/>
    <m/>
    <m/>
    <m/>
    <m/>
    <b v="0"/>
    <s v="SE"/>
    <s v="UNDER"/>
    <m/>
    <m/>
    <m/>
    <n v="-14.528688524590166"/>
    <n v="211.08279024455797"/>
    <n v="-9.4268312929112739"/>
    <n v="88.865148225011239"/>
  </r>
  <r>
    <x v="8"/>
    <x v="3"/>
    <x v="27"/>
    <n v="1"/>
    <n v="107"/>
    <n v="0"/>
    <n v="100"/>
    <n v="207"/>
    <n v="1"/>
    <n v="207"/>
    <m/>
    <n v="104.93719124532325"/>
    <m/>
    <n v="106.08468400000001"/>
    <m/>
    <m/>
    <n v="99.5"/>
    <n v="95.1"/>
    <n v="-7"/>
    <n v="-3"/>
    <m/>
    <m/>
    <n v="1.3313114754098341"/>
    <m/>
    <m/>
    <n v="1.1474927546767617"/>
    <m/>
    <m/>
    <m/>
    <m/>
    <m/>
    <b v="0"/>
    <s v="A"/>
    <s v="UNDER"/>
    <m/>
    <m/>
    <m/>
    <n v="8.3313114754098336"/>
    <n v="69.410750900295582"/>
    <n v="8.1474927546767617"/>
    <n v="66.381638187510333"/>
  </r>
  <r>
    <x v="8"/>
    <x v="16"/>
    <x v="12"/>
    <n v="1"/>
    <n v="109"/>
    <n v="0"/>
    <n v="101"/>
    <n v="210"/>
    <n v="1"/>
    <n v="205"/>
    <m/>
    <n v="96.289198012717804"/>
    <m/>
    <n v="102.56558800000002"/>
    <m/>
    <m/>
    <n v="92.9"/>
    <n v="94.2"/>
    <n v="-8"/>
    <n v="-4"/>
    <m/>
    <m/>
    <n v="8.731311475409834"/>
    <m/>
    <m/>
    <n v="6.2763899872822151"/>
    <m/>
    <m/>
    <m/>
    <m/>
    <m/>
    <b v="0"/>
    <s v="A"/>
    <s v="UNDER"/>
    <m/>
    <m/>
    <m/>
    <n v="16.731311475409832"/>
    <n v="279.93678368718076"/>
    <n v="14.276389987282215"/>
    <n v="203.81531106897188"/>
  </r>
  <r>
    <x v="8"/>
    <x v="22"/>
    <x v="28"/>
    <n v="1"/>
    <n v="109"/>
    <n v="0"/>
    <n v="93"/>
    <n v="202"/>
    <n v="1"/>
    <n v="197"/>
    <m/>
    <n v="106.92843196997592"/>
    <m/>
    <n v="95.862650000000016"/>
    <m/>
    <m/>
    <n v="97.3"/>
    <n v="97.5"/>
    <n v="-16"/>
    <n v="-12.5"/>
    <m/>
    <m/>
    <n v="-14.448688524590166"/>
    <m/>
    <m/>
    <n v="-11.065781969975902"/>
    <m/>
    <m/>
    <m/>
    <m/>
    <m/>
    <b v="0"/>
    <s v="SE"/>
    <s v="UNDER"/>
    <m/>
    <m/>
    <m/>
    <n v="1.5513114754098343"/>
    <n v="2.4065672937382367"/>
    <n v="4.9342180300240983"/>
    <n v="24.346507567814893"/>
  </r>
  <r>
    <x v="8"/>
    <x v="27"/>
    <x v="10"/>
    <n v="0"/>
    <n v="83"/>
    <n v="1"/>
    <n v="85"/>
    <n v="168"/>
    <n v="0"/>
    <n v="209"/>
    <m/>
    <n v="111.09040172355891"/>
    <m/>
    <n v="93.85071733333335"/>
    <m/>
    <m/>
    <n v="96.4"/>
    <n v="92.6"/>
    <n v="2"/>
    <n v="-7"/>
    <m/>
    <m/>
    <n v="-15.128688524590165"/>
    <m/>
    <m/>
    <n v="-17.239684390225563"/>
    <m/>
    <m/>
    <m/>
    <m/>
    <m/>
    <b v="0"/>
    <s v="P"/>
    <s v="UNDER"/>
    <m/>
    <m/>
    <m/>
    <n v="-17.128688524590167"/>
    <n v="293.39197057242689"/>
    <n v="-19.239684390225563"/>
    <n v="370.16545543548915"/>
  </r>
  <r>
    <x v="8"/>
    <x v="6"/>
    <x v="25"/>
    <n v="1"/>
    <n v="89"/>
    <n v="0"/>
    <n v="83"/>
    <n v="172"/>
    <n v="0"/>
    <n v="207.5"/>
    <m/>
    <n v="99.186574730416396"/>
    <m/>
    <n v="96.755498666666682"/>
    <m/>
    <m/>
    <n v="96.2"/>
    <n v="98.8"/>
    <n v="-6"/>
    <n v="-5"/>
    <m/>
    <m/>
    <n v="-6.0886885245901663"/>
    <m/>
    <m/>
    <n v="-2.431076063749714"/>
    <m/>
    <m/>
    <m/>
    <m/>
    <m/>
    <b v="1"/>
    <s v="SW"/>
    <s v="UNDER"/>
    <m/>
    <m/>
    <m/>
    <n v="-8.8688524590166296E-2"/>
    <n v="7.8656543939805319E-3"/>
    <n v="3.568923936250286"/>
    <n v="12.737218062740236"/>
  </r>
  <r>
    <x v="8"/>
    <x v="24"/>
    <x v="5"/>
    <n v="0"/>
    <n v="99"/>
    <n v="1"/>
    <n v="118"/>
    <n v="217"/>
    <n v="0"/>
    <n v="219"/>
    <m/>
    <n v="111.55561945611427"/>
    <m/>
    <n v="112.80193600000003"/>
    <m/>
    <m/>
    <n v="96.2"/>
    <n v="96.9"/>
    <n v="19"/>
    <n v="-1"/>
    <m/>
    <m/>
    <n v="2.5113114754098342"/>
    <m/>
    <m/>
    <n v="1.2463165438857544"/>
    <m/>
    <m/>
    <m/>
    <m/>
    <m/>
    <b v="0"/>
    <s v="A"/>
    <s v="UNDER"/>
    <m/>
    <m/>
    <m/>
    <n v="-16.488688524590167"/>
    <n v="271.87684926095147"/>
    <n v="-17.753683456114246"/>
    <n v="315.19327625990468"/>
  </r>
  <r>
    <x v="8"/>
    <x v="11"/>
    <x v="22"/>
    <n v="1"/>
    <n v="118"/>
    <n v="0"/>
    <n v="115"/>
    <n v="233"/>
    <n v="1"/>
    <n v="216.5"/>
    <m/>
    <n v="101.08067094100798"/>
    <m/>
    <n v="110.13429200000002"/>
    <m/>
    <m/>
    <n v="101.7"/>
    <n v="99.3"/>
    <n v="-3"/>
    <n v="-2.5"/>
    <m/>
    <m/>
    <n v="1.2013114754098342"/>
    <m/>
    <m/>
    <n v="9.0536210589920358"/>
    <m/>
    <m/>
    <m/>
    <m/>
    <m/>
    <b v="0"/>
    <s v="P"/>
    <s v="UNDER"/>
    <m/>
    <m/>
    <m/>
    <n v="4.2013114754098346"/>
    <n v="17.651018113410363"/>
    <n v="12.053621058992036"/>
    <n v="145.28978063377627"/>
  </r>
  <r>
    <x v="8"/>
    <x v="21"/>
    <x v="4"/>
    <n v="1"/>
    <n v="97"/>
    <n v="0"/>
    <n v="81"/>
    <n v="178"/>
    <n v="0"/>
    <n v="186.5"/>
    <m/>
    <n v="105.91305584399453"/>
    <m/>
    <n v="94.585280000000026"/>
    <m/>
    <m/>
    <n v="91.5"/>
    <n v="102"/>
    <n v="-16"/>
    <n v="-3"/>
    <m/>
    <m/>
    <n v="-15.888688524590165"/>
    <m/>
    <m/>
    <n v="-11.327775843994502"/>
    <m/>
    <m/>
    <m/>
    <m/>
    <m/>
    <b v="0"/>
    <s v="NW"/>
    <s v="UNDER"/>
    <m/>
    <m/>
    <m/>
    <n v="0.11131147540983477"/>
    <n v="1.2390244557914251E-2"/>
    <n v="4.6722241560054982"/>
    <n v="21.829678563961291"/>
  </r>
  <r>
    <x v="8"/>
    <x v="29"/>
    <x v="29"/>
    <n v="0"/>
    <n v="103"/>
    <n v="1"/>
    <n v="113"/>
    <n v="216"/>
    <n v="1"/>
    <n v="205.5"/>
    <m/>
    <n v="110.17912029849835"/>
    <m/>
    <n v="111.51369600000002"/>
    <m/>
    <m/>
    <n v="96.1"/>
    <n v="95.4"/>
    <n v="10"/>
    <n v="-1.5"/>
    <m/>
    <m/>
    <n v="5.9613114754098344"/>
    <m/>
    <m/>
    <n v="1.3345757015016773"/>
    <m/>
    <m/>
    <m/>
    <m/>
    <m/>
    <b v="0"/>
    <s v="SE"/>
    <s v="UNDER"/>
    <m/>
    <m/>
    <m/>
    <n v="-4.0386885245901656"/>
    <n v="16.311004998656287"/>
    <n v="-8.6654242984983227"/>
    <n v="75.089578273005145"/>
  </r>
  <r>
    <x v="9"/>
    <x v="0"/>
    <x v="14"/>
    <n v="0"/>
    <n v="128"/>
    <n v="1"/>
    <n v="122"/>
    <n v="250"/>
    <n v="1"/>
    <n v="207"/>
    <m/>
    <n v="116.06261692672302"/>
    <m/>
    <n v="106.71441333333335"/>
    <m/>
    <m/>
    <n v="97.3"/>
    <n v="99.5"/>
    <n v="-6"/>
    <n v="-11"/>
    <m/>
    <m/>
    <n v="-10.978688524590167"/>
    <m/>
    <m/>
    <n v="-9.3482035933896697"/>
    <m/>
    <m/>
    <m/>
    <m/>
    <m/>
    <b v="0"/>
    <s v="C"/>
    <s v="UNDER"/>
    <m/>
    <m/>
    <m/>
    <n v="-4.9786885245901669"/>
    <n v="24.787339424885811"/>
    <n v="-3.3482035933896697"/>
    <n v="11.210467302787496"/>
  </r>
  <r>
    <x v="9"/>
    <x v="1"/>
    <x v="10"/>
    <n v="1"/>
    <n v="122"/>
    <n v="0"/>
    <n v="96"/>
    <n v="218"/>
    <n v="0"/>
    <n v="222.5"/>
    <m/>
    <n v="113.21425298006876"/>
    <m/>
    <n v="96.619457333333344"/>
    <m/>
    <m/>
    <n v="100.7"/>
    <n v="92.6"/>
    <n v="-26"/>
    <n v="-12.5"/>
    <m/>
    <m/>
    <n v="-13.658688524590165"/>
    <m/>
    <m/>
    <n v="-16.59479564673542"/>
    <m/>
    <m/>
    <m/>
    <m/>
    <m/>
    <b v="0"/>
    <s v="P"/>
    <s v="UNDER"/>
    <m/>
    <m/>
    <m/>
    <n v="12.341311475409835"/>
    <n v="152.30796893308249"/>
    <n v="9.4052043532645797"/>
    <n v="88.457868926667004"/>
  </r>
  <r>
    <x v="9"/>
    <x v="7"/>
    <x v="16"/>
    <n v="1"/>
    <n v="125"/>
    <n v="0"/>
    <n v="107"/>
    <n v="232"/>
    <n v="1"/>
    <n v="211"/>
    <m/>
    <n v="109.41238333230639"/>
    <m/>
    <n v="104.06103533333335"/>
    <m/>
    <m/>
    <n v="96.1"/>
    <n v="98.3"/>
    <n v="-18"/>
    <n v="-3"/>
    <m/>
    <m/>
    <n v="-5.1386885245901652"/>
    <m/>
    <m/>
    <n v="-5.3513479989730399"/>
    <m/>
    <m/>
    <m/>
    <m/>
    <m/>
    <b v="1"/>
    <s v="C"/>
    <s v="UNDER"/>
    <m/>
    <m/>
    <m/>
    <n v="12.861311475409835"/>
    <n v="165.4133328675087"/>
    <n v="12.64865200102696"/>
    <n v="159.98839744308333"/>
  </r>
  <r>
    <x v="9"/>
    <x v="28"/>
    <x v="8"/>
    <n v="0"/>
    <n v="99"/>
    <n v="1"/>
    <n v="102"/>
    <n v="201"/>
    <n v="0"/>
    <n v="204"/>
    <m/>
    <n v="116.17804150317565"/>
    <m/>
    <n v="108.74309066666669"/>
    <m/>
    <m/>
    <n v="95.8"/>
    <n v="99.1"/>
    <n v="3"/>
    <n v="-3.5"/>
    <m/>
    <m/>
    <n v="-2.2386885245901658"/>
    <m/>
    <m/>
    <n v="-7.4349508365089605"/>
    <m/>
    <m/>
    <m/>
    <m/>
    <m/>
    <b v="1"/>
    <s v="NW"/>
    <s v="UNDER"/>
    <m/>
    <m/>
    <m/>
    <n v="-5.2386885245901658"/>
    <n v="27.443857457672689"/>
    <n v="-10.43495083650896"/>
    <n v="108.88819896035905"/>
  </r>
  <r>
    <x v="9"/>
    <x v="9"/>
    <x v="11"/>
    <n v="1"/>
    <n v="102"/>
    <n v="0"/>
    <n v="94"/>
    <n v="196"/>
    <n v="0"/>
    <n v="199"/>
    <m/>
    <n v="100.50375405681466"/>
    <m/>
    <n v="101.61416800000003"/>
    <m/>
    <m/>
    <n v="94.2"/>
    <n v="94.2"/>
    <n v="-8"/>
    <n v="0"/>
    <m/>
    <m/>
    <n v="3.8113114754098345"/>
    <m/>
    <m/>
    <n v="1.1104139431853781"/>
    <m/>
    <m/>
    <m/>
    <m/>
    <m/>
    <b v="0"/>
    <s v="SE"/>
    <s v="UNDER"/>
    <m/>
    <m/>
    <m/>
    <n v="11.811311475409834"/>
    <n v="139.50707876914802"/>
    <n v="9.1104139431853781"/>
    <n v="82.999642216186544"/>
  </r>
  <r>
    <x v="10"/>
    <x v="16"/>
    <x v="7"/>
    <n v="0"/>
    <n v="95"/>
    <n v="1"/>
    <n v="99"/>
    <n v="194"/>
    <n v="0"/>
    <n v="203"/>
    <m/>
    <n v="100.20028801271781"/>
    <m/>
    <n v="109.31719866666668"/>
    <m/>
    <m/>
    <n v="92.9"/>
    <n v="97.3"/>
    <n v="4"/>
    <n v="-6.5"/>
    <m/>
    <m/>
    <n v="7.9913114754098338"/>
    <m/>
    <m/>
    <n v="9.116910653948878"/>
    <m/>
    <m/>
    <m/>
    <m/>
    <m/>
    <b v="0"/>
    <s v="A"/>
    <s v="UNDER"/>
    <m/>
    <m/>
    <m/>
    <n v="3.9913114754098338"/>
    <n v="15.930567293738225"/>
    <n v="5.116910653948878"/>
    <n v="26.182774640495534"/>
  </r>
  <r>
    <x v="10"/>
    <x v="14"/>
    <x v="0"/>
    <n v="0"/>
    <n v="104"/>
    <n v="1"/>
    <n v="117"/>
    <n v="221"/>
    <n v="1"/>
    <n v="210"/>
    <m/>
    <n v="112.74181726701197"/>
    <m/>
    <n v="103.85816133333337"/>
    <m/>
    <m/>
    <n v="95.1"/>
    <n v="96.2"/>
    <n v="13"/>
    <n v="-7.5"/>
    <m/>
    <m/>
    <n v="-9.0586885245901652"/>
    <m/>
    <m/>
    <n v="-8.8836559336785967"/>
    <m/>
    <m/>
    <m/>
    <m/>
    <m/>
    <b v="0"/>
    <s v="C"/>
    <s v="UNDER"/>
    <m/>
    <m/>
    <m/>
    <n v="-22.058688524590167"/>
    <n v="486.5857394248859"/>
    <n v="-21.883655933678597"/>
    <n v="478.89439702362648"/>
  </r>
  <r>
    <x v="10"/>
    <x v="17"/>
    <x v="22"/>
    <n v="0"/>
    <n v="95"/>
    <n v="1"/>
    <n v="105"/>
    <n v="200"/>
    <n v="0"/>
    <n v="208"/>
    <m/>
    <n v="101.58542357842909"/>
    <m/>
    <n v="108.34689200000003"/>
    <m/>
    <m/>
    <n v="102"/>
    <n v="99.3"/>
    <n v="10"/>
    <n v="-2.5"/>
    <m/>
    <m/>
    <n v="3.6513114754098344"/>
    <m/>
    <m/>
    <n v="6.7614684215709389"/>
    <m/>
    <m/>
    <m/>
    <m/>
    <m/>
    <b v="0"/>
    <s v="SW"/>
    <s v="UNDER"/>
    <m/>
    <m/>
    <m/>
    <n v="-6.3486885245901661"/>
    <n v="40.305845982262859"/>
    <n v="-3.2385315784290611"/>
    <n v="10.488086784482226"/>
  </r>
  <r>
    <x v="10"/>
    <x v="5"/>
    <x v="18"/>
    <n v="1"/>
    <n v="117"/>
    <n v="0"/>
    <n v="97"/>
    <n v="214"/>
    <n v="0"/>
    <n v="228.5"/>
    <m/>
    <n v="107.68677141709639"/>
    <m/>
    <n v="122.35117133333337"/>
    <m/>
    <m/>
    <n v="100.2"/>
    <n v="100.7"/>
    <n v="-20"/>
    <n v="-11.5"/>
    <m/>
    <m/>
    <n v="10.901311475409834"/>
    <m/>
    <m/>
    <n v="14.664399916236974"/>
    <m/>
    <m/>
    <m/>
    <m/>
    <m/>
    <b v="1"/>
    <s v="P"/>
    <s v="UNDER"/>
    <m/>
    <m/>
    <m/>
    <n v="30.901311475409834"/>
    <n v="954.89105090029545"/>
    <n v="34.664399916236974"/>
    <n v="1201.62062155281"/>
  </r>
  <r>
    <x v="10"/>
    <x v="6"/>
    <x v="15"/>
    <n v="0"/>
    <n v="88"/>
    <n v="1"/>
    <n v="99"/>
    <n v="187"/>
    <n v="0"/>
    <n v="197.5"/>
    <m/>
    <n v="96.483354730416394"/>
    <m/>
    <n v="106.5515626666667"/>
    <m/>
    <m/>
    <n v="96.2"/>
    <n v="96.4"/>
    <n v="11"/>
    <n v="-5.5"/>
    <m/>
    <m/>
    <n v="9.3213114754098338"/>
    <m/>
    <m/>
    <n v="10.068207936250303"/>
    <m/>
    <m/>
    <m/>
    <m/>
    <m/>
    <b v="0"/>
    <s v="SW"/>
    <s v="UNDER"/>
    <m/>
    <m/>
    <m/>
    <n v="-1.6786885245901662"/>
    <n v="2.8179951625907087"/>
    <n v="-0.93179206374969681"/>
    <n v="0.86823645006691907"/>
  </r>
  <r>
    <x v="10"/>
    <x v="8"/>
    <x v="19"/>
    <n v="0"/>
    <n v="111"/>
    <n v="1"/>
    <n v="112"/>
    <n v="223"/>
    <n v="1"/>
    <n v="210.5"/>
    <m/>
    <n v="104.10499327976011"/>
    <m/>
    <n v="101.83288800000004"/>
    <m/>
    <m/>
    <n v="98.8"/>
    <n v="101.7"/>
    <n v="1"/>
    <n v="-2.5"/>
    <m/>
    <m/>
    <n v="-6.4986885245901655"/>
    <m/>
    <m/>
    <n v="-2.2721052797600692"/>
    <m/>
    <m/>
    <m/>
    <m/>
    <m/>
    <b v="0"/>
    <s v="SW"/>
    <s v="UNDER"/>
    <m/>
    <m/>
    <m/>
    <n v="-7.4986885245901655"/>
    <n v="56.230329588820233"/>
    <n v="-3.2721052797600692"/>
    <n v="10.70667296183372"/>
  </r>
  <r>
    <x v="10"/>
    <x v="12"/>
    <x v="9"/>
    <n v="1"/>
    <n v="96"/>
    <n v="0"/>
    <n v="87"/>
    <n v="183"/>
    <n v="0"/>
    <n v="202"/>
    <m/>
    <n v="106.37928369203996"/>
    <m/>
    <n v="96.727016000000035"/>
    <m/>
    <m/>
    <n v="95.4"/>
    <n v="93.9"/>
    <n v="-9"/>
    <n v="-7"/>
    <m/>
    <m/>
    <n v="-9.8686885245901657"/>
    <m/>
    <m/>
    <n v="-9.6522676920399277"/>
    <m/>
    <m/>
    <m/>
    <m/>
    <m/>
    <b v="0"/>
    <s v="A"/>
    <s v="UNDER"/>
    <m/>
    <m/>
    <m/>
    <n v="-0.86868852459016566"/>
    <n v="0.75461975275463888"/>
    <n v="-0.65226769203992774"/>
    <n v="0.42545314207909402"/>
  </r>
  <r>
    <x v="10"/>
    <x v="21"/>
    <x v="1"/>
    <n v="0"/>
    <n v="86"/>
    <n v="1"/>
    <n v="100"/>
    <n v="186"/>
    <n v="1"/>
    <n v="183.5"/>
    <m/>
    <n v="105.27255584399452"/>
    <m/>
    <n v="100.92323200000001"/>
    <m/>
    <m/>
    <n v="91.5"/>
    <n v="93.3"/>
    <n v="14"/>
    <n v="-3.5"/>
    <m/>
    <m/>
    <n v="0.25131147540983445"/>
    <m/>
    <m/>
    <n v="-4.3493238439945117"/>
    <m/>
    <m/>
    <m/>
    <m/>
    <m/>
    <b v="0"/>
    <s v="NW"/>
    <s v="UNDER"/>
    <m/>
    <m/>
    <m/>
    <n v="-13.748688524590165"/>
    <n v="189.02643614619728"/>
    <n v="-18.349323843994512"/>
    <n v="336.69768553178551"/>
  </r>
  <r>
    <x v="10"/>
    <x v="29"/>
    <x v="24"/>
    <n v="1"/>
    <n v="95"/>
    <n v="0"/>
    <n v="92"/>
    <n v="187"/>
    <n v="0"/>
    <n v="205"/>
    <m/>
    <n v="102.68332029849834"/>
    <m/>
    <n v="104.59714133333335"/>
    <m/>
    <m/>
    <n v="96.1"/>
    <n v="99.2"/>
    <n v="-3"/>
    <n v="-1.5"/>
    <m/>
    <m/>
    <n v="2.3013114754098343"/>
    <m/>
    <m/>
    <n v="1.91382103483501"/>
    <m/>
    <m/>
    <m/>
    <m/>
    <m/>
    <b v="1"/>
    <s v="SE"/>
    <s v="UNDER"/>
    <m/>
    <m/>
    <m/>
    <n v="5.3013114754098343"/>
    <n v="28.103903359311992"/>
    <n v="4.91382103483501"/>
    <n v="24.145637162387008"/>
  </r>
  <r>
    <x v="11"/>
    <x v="13"/>
    <x v="5"/>
    <n v="1"/>
    <n v="112"/>
    <n v="0"/>
    <n v="97"/>
    <n v="209"/>
    <n v="0"/>
    <n v="218.5"/>
    <m/>
    <n v="102.71723929291129"/>
    <m/>
    <n v="102.90844600000003"/>
    <m/>
    <m/>
    <n v="99.2"/>
    <n v="96.9"/>
    <n v="-15"/>
    <n v="-3"/>
    <m/>
    <m/>
    <n v="-1.4086885245901652"/>
    <m/>
    <m/>
    <n v="0.19120670708873888"/>
    <m/>
    <m/>
    <m/>
    <m/>
    <m/>
    <b v="0"/>
    <s v="SE"/>
    <s v="UNDER"/>
    <m/>
    <m/>
    <m/>
    <n v="13.591311475409835"/>
    <n v="184.72374762160706"/>
    <n v="15.191206707088739"/>
    <n v="230.77276121749787"/>
  </r>
  <r>
    <x v="11"/>
    <x v="18"/>
    <x v="8"/>
    <n v="1"/>
    <n v="103"/>
    <n v="0"/>
    <n v="86"/>
    <n v="189"/>
    <n v="0"/>
    <n v="200"/>
    <m/>
    <n v="111.11507833471561"/>
    <m/>
    <n v="100.64662066666669"/>
    <m/>
    <m/>
    <n v="94.2"/>
    <n v="99.1"/>
    <n v="-17"/>
    <n v="-4.5"/>
    <m/>
    <m/>
    <n v="-6.1786885245901653"/>
    <m/>
    <m/>
    <n v="-10.468457668048913"/>
    <m/>
    <m/>
    <m/>
    <m/>
    <m/>
    <b v="0"/>
    <s v="C"/>
    <s v="UNDER"/>
    <m/>
    <m/>
    <m/>
    <n v="10.821311475409836"/>
    <n v="117.10078204783659"/>
    <n v="6.531542331951087"/>
    <n v="42.661045234069043"/>
  </r>
  <r>
    <x v="11"/>
    <x v="4"/>
    <x v="27"/>
    <n v="1"/>
    <n v="111"/>
    <n v="0"/>
    <n v="94"/>
    <n v="205"/>
    <n v="0"/>
    <n v="209.5"/>
    <m/>
    <n v="105.69858341452114"/>
    <m/>
    <n v="107.14980400000002"/>
    <m/>
    <m/>
    <n v="98.3"/>
    <n v="95.1"/>
    <n v="-17"/>
    <n v="-3.5"/>
    <m/>
    <m/>
    <n v="6.6813114754098342"/>
    <m/>
    <m/>
    <n v="1.4512205854788789"/>
    <m/>
    <m/>
    <m/>
    <m/>
    <m/>
    <b v="1"/>
    <s v="C"/>
    <s v="UNDER"/>
    <m/>
    <m/>
    <m/>
    <n v="23.681311475409835"/>
    <n v="560.80451319537758"/>
    <n v="18.451220585478879"/>
    <n v="340.44754109399952"/>
  </r>
  <r>
    <x v="11"/>
    <x v="7"/>
    <x v="11"/>
    <n v="1"/>
    <n v="117"/>
    <n v="0"/>
    <n v="91"/>
    <n v="208"/>
    <n v="1"/>
    <n v="202"/>
    <m/>
    <n v="110.93076333230638"/>
    <m/>
    <n v="103.80902800000003"/>
    <m/>
    <m/>
    <n v="96.1"/>
    <n v="94.2"/>
    <n v="-26"/>
    <n v="-3.5"/>
    <m/>
    <m/>
    <n v="-2.3686885245901657"/>
    <m/>
    <m/>
    <n v="-7.1217353323063577"/>
    <m/>
    <m/>
    <m/>
    <m/>
    <m/>
    <b v="0"/>
    <s v="C"/>
    <s v="UNDER"/>
    <m/>
    <m/>
    <m/>
    <n v="23.631311475409834"/>
    <n v="558.4388820478365"/>
    <n v="18.878264667693642"/>
    <n v="356.38887686349017"/>
  </r>
  <r>
    <x v="11"/>
    <x v="20"/>
    <x v="6"/>
    <n v="1"/>
    <n v="112"/>
    <n v="0"/>
    <n v="92"/>
    <n v="204"/>
    <n v="0"/>
    <n v="209.5"/>
    <m/>
    <n v="108.76939681965828"/>
    <m/>
    <n v="102.74613866666668"/>
    <m/>
    <m/>
    <n v="92.6"/>
    <n v="95.8"/>
    <n v="-20"/>
    <n v="-4.5"/>
    <m/>
    <m/>
    <n v="-4.3586885245901659"/>
    <m/>
    <m/>
    <n v="-6.0232581529916018"/>
    <m/>
    <m/>
    <m/>
    <m/>
    <m/>
    <b v="1"/>
    <s v="NW"/>
    <s v="UNDER"/>
    <m/>
    <m/>
    <m/>
    <n v="15.641311475409834"/>
    <n v="244.65062467078735"/>
    <n v="13.976741847008398"/>
    <n v="195.34931265791573"/>
  </r>
  <r>
    <x v="11"/>
    <x v="9"/>
    <x v="13"/>
    <n v="0"/>
    <n v="88"/>
    <n v="1"/>
    <n v="86"/>
    <n v="174"/>
    <n v="0"/>
    <n v="201"/>
    <m/>
    <n v="100.49433405681467"/>
    <m/>
    <n v="102.93335066666668"/>
    <m/>
    <m/>
    <n v="94.2"/>
    <n v="96.1"/>
    <n v="-2"/>
    <n v="-6.5"/>
    <m/>
    <m/>
    <n v="3.0613114754098345"/>
    <m/>
    <m/>
    <n v="2.4390166098520183"/>
    <m/>
    <m/>
    <m/>
    <m/>
    <m/>
    <b v="1"/>
    <s v="SE"/>
    <s v="UNDER"/>
    <m/>
    <m/>
    <m/>
    <n v="5.0613114754098341"/>
    <n v="25.616873851115272"/>
    <n v="4.4390166098520183"/>
    <n v="19.704868462542105"/>
  </r>
  <r>
    <x v="11"/>
    <x v="10"/>
    <x v="20"/>
    <n v="0"/>
    <n v="101"/>
    <n v="1"/>
    <n v="102"/>
    <n v="203"/>
    <n v="0"/>
    <n v="209.5"/>
    <m/>
    <n v="98.187944198882519"/>
    <m/>
    <n v="113.54974866666669"/>
    <m/>
    <m/>
    <n v="97.5"/>
    <n v="97.3"/>
    <n v="1"/>
    <n v="-12"/>
    <m/>
    <m/>
    <n v="15.671311475409835"/>
    <m/>
    <m/>
    <n v="15.361804467784168"/>
    <m/>
    <m/>
    <m/>
    <m/>
    <m/>
    <b v="0"/>
    <s v="A"/>
    <s v="UNDER"/>
    <m/>
    <m/>
    <m/>
    <n v="14.671311475409835"/>
    <n v="215.24738040849232"/>
    <n v="14.361804467784168"/>
    <n v="206.26142757086529"/>
  </r>
  <r>
    <x v="11"/>
    <x v="25"/>
    <x v="15"/>
    <n v="0"/>
    <n v="92"/>
    <n v="1"/>
    <n v="116"/>
    <n v="208"/>
    <n v="1"/>
    <n v="198"/>
    <m/>
    <n v="97.982065251492955"/>
    <m/>
    <n v="109.8484426666667"/>
    <m/>
    <m/>
    <n v="93.3"/>
    <n v="96.4"/>
    <n v="24"/>
    <n v="-4.5"/>
    <m/>
    <m/>
    <n v="2.6613114754098337"/>
    <m/>
    <m/>
    <n v="11.866377415173744"/>
    <m/>
    <m/>
    <m/>
    <m/>
    <m/>
    <b v="0"/>
    <s v="SW"/>
    <s v="UNDER"/>
    <m/>
    <m/>
    <m/>
    <n v="-21.338688524590168"/>
    <n v="455.3396279494761"/>
    <n v="-12.133622584826256"/>
    <n v="147.22479703100578"/>
  </r>
  <r>
    <x v="12"/>
    <x v="3"/>
    <x v="8"/>
    <n v="0"/>
    <n v="107"/>
    <n v="1"/>
    <n v="123"/>
    <n v="230"/>
    <n v="1"/>
    <n v="212.5"/>
    <m/>
    <n v="105.70334124532324"/>
    <m/>
    <n v="106.00793066666668"/>
    <m/>
    <m/>
    <n v="99.5"/>
    <n v="99.1"/>
    <n v="16"/>
    <n v="-7"/>
    <m/>
    <m/>
    <n v="-4.018688524590166"/>
    <m/>
    <m/>
    <n v="0.30458942134343658"/>
    <m/>
    <m/>
    <m/>
    <m/>
    <m/>
    <b v="0"/>
    <s v="A"/>
    <s v="UNDER"/>
    <m/>
    <m/>
    <m/>
    <n v="-20.018688524590168"/>
    <n v="400.74789024455805"/>
    <n v="-15.695410578656563"/>
    <n v="246.34591323260435"/>
  </r>
  <r>
    <x v="12"/>
    <x v="17"/>
    <x v="26"/>
    <n v="1"/>
    <n v="86"/>
    <n v="0"/>
    <n v="75"/>
    <n v="161"/>
    <n v="0"/>
    <n v="199"/>
    <m/>
    <n v="98.188823578429094"/>
    <m/>
    <n v="101.66483066666669"/>
    <m/>
    <m/>
    <n v="102"/>
    <n v="96.1"/>
    <n v="-11"/>
    <n v="-2.5"/>
    <m/>
    <m/>
    <n v="3.6613114754098341"/>
    <m/>
    <m/>
    <n v="3.4760070882375942"/>
    <m/>
    <m/>
    <m/>
    <m/>
    <m/>
    <b v="0"/>
    <s v="SW"/>
    <s v="UNDER"/>
    <m/>
    <m/>
    <m/>
    <n v="14.661311475409834"/>
    <n v="214.95405417898408"/>
    <n v="14.476007088237594"/>
    <n v="209.55478121870507"/>
  </r>
  <r>
    <x v="12"/>
    <x v="5"/>
    <x v="19"/>
    <n v="1"/>
    <n v="119"/>
    <n v="0"/>
    <n v="108"/>
    <n v="227"/>
    <n v="1"/>
    <n v="216.5"/>
    <m/>
    <n v="109.92123141709641"/>
    <m/>
    <n v="107.87386800000004"/>
    <m/>
    <m/>
    <n v="100.2"/>
    <n v="101.7"/>
    <n v="-11"/>
    <n v="-4"/>
    <m/>
    <m/>
    <n v="-6.7586885245901662"/>
    <m/>
    <m/>
    <n v="-2.0473634170963635"/>
    <m/>
    <m/>
    <m/>
    <m/>
    <m/>
    <b v="1"/>
    <s v="P"/>
    <s v="UNDER"/>
    <m/>
    <m/>
    <m/>
    <n v="4.2413114754098338"/>
    <n v="17.98872303144314"/>
    <n v="8.9526365829036365"/>
    <n v="80.149701785544508"/>
  </r>
  <r>
    <x v="12"/>
    <x v="6"/>
    <x v="22"/>
    <n v="0"/>
    <n v="94"/>
    <n v="1"/>
    <n v="100"/>
    <n v="194"/>
    <n v="0"/>
    <n v="204"/>
    <m/>
    <n v="105.7281747304164"/>
    <m/>
    <n v="104.25573200000002"/>
    <m/>
    <m/>
    <n v="96.2"/>
    <n v="99.3"/>
    <n v="6"/>
    <n v="-1"/>
    <m/>
    <m/>
    <n v="-5.8286885245901656"/>
    <m/>
    <m/>
    <n v="-1.4724427304163754"/>
    <m/>
    <m/>
    <m/>
    <m/>
    <m/>
    <b v="0"/>
    <s v="SW"/>
    <s v="UNDER"/>
    <m/>
    <m/>
    <m/>
    <n v="-11.828688524590167"/>
    <n v="139.91787221177108"/>
    <n v="-7.4724427304163754"/>
    <n v="55.837400359352536"/>
  </r>
  <r>
    <x v="12"/>
    <x v="24"/>
    <x v="2"/>
    <n v="0"/>
    <n v="109"/>
    <n v="1"/>
    <n v="114"/>
    <n v="223"/>
    <n v="1"/>
    <n v="193"/>
    <m/>
    <n v="104.69655945611427"/>
    <m/>
    <n v="100.50421000000003"/>
    <m/>
    <m/>
    <n v="96.2"/>
    <n v="91.5"/>
    <n v="5"/>
    <n v="-2.5"/>
    <m/>
    <m/>
    <n v="3.0713114754098343"/>
    <m/>
    <m/>
    <n v="-4.1923494561142434"/>
    <m/>
    <m/>
    <m/>
    <m/>
    <m/>
    <b v="0"/>
    <s v="A"/>
    <s v="UNDER"/>
    <m/>
    <m/>
    <m/>
    <n v="-1.9286885245901657"/>
    <n v="3.7198394248857904"/>
    <n v="-9.1923494561142434"/>
    <n v="84.499288523323827"/>
  </r>
  <r>
    <x v="12"/>
    <x v="12"/>
    <x v="11"/>
    <n v="0"/>
    <n v="91"/>
    <n v="1"/>
    <n v="96"/>
    <n v="187"/>
    <n v="0"/>
    <n v="197.5"/>
    <m/>
    <n v="112.88556369203997"/>
    <m/>
    <n v="102.60326800000003"/>
    <m/>
    <m/>
    <n v="95.4"/>
    <n v="94.2"/>
    <n v="5"/>
    <n v="-7"/>
    <m/>
    <m/>
    <n v="-10.768688524590166"/>
    <m/>
    <m/>
    <n v="-10.282295692039938"/>
    <m/>
    <m/>
    <m/>
    <m/>
    <m/>
    <b v="0"/>
    <s v="A"/>
    <s v="UNDER"/>
    <m/>
    <m/>
    <m/>
    <n v="-15.768688524590166"/>
    <n v="248.65153778554159"/>
    <n v="-15.282295692039938"/>
    <n v="233.54856161894244"/>
  </r>
  <r>
    <x v="13"/>
    <x v="14"/>
    <x v="17"/>
    <n v="1"/>
    <n v="112"/>
    <n v="0"/>
    <n v="80"/>
    <n v="192"/>
    <n v="0"/>
    <n v="198.5"/>
    <m/>
    <n v="109.45135726701199"/>
    <m/>
    <n v="91.845628000000033"/>
    <m/>
    <m/>
    <n v="95.1"/>
    <n v="94.2"/>
    <n v="-32"/>
    <n v="-7"/>
    <m/>
    <m/>
    <n v="-16.058688524590167"/>
    <m/>
    <m/>
    <n v="-17.605729267011952"/>
    <m/>
    <m/>
    <m/>
    <m/>
    <m/>
    <b v="0"/>
    <s v="C"/>
    <s v="UNDER"/>
    <m/>
    <m/>
    <m/>
    <n v="15.941311475409833"/>
    <n v="254.12541155603324"/>
    <n v="14.394270732988048"/>
    <n v="207.19502993455626"/>
  </r>
  <r>
    <x v="13"/>
    <x v="22"/>
    <x v="16"/>
    <n v="1"/>
    <n v="122"/>
    <n v="0"/>
    <n v="100"/>
    <n v="222"/>
    <n v="1"/>
    <n v="205"/>
    <m/>
    <n v="106.80194196997593"/>
    <m/>
    <n v="101.34795533333335"/>
    <m/>
    <m/>
    <n v="97.3"/>
    <n v="98.3"/>
    <n v="-22"/>
    <n v="-2.5"/>
    <m/>
    <m/>
    <n v="-9.5486885245901654"/>
    <m/>
    <m/>
    <n v="-5.4539866366425827"/>
    <m/>
    <m/>
    <m/>
    <m/>
    <m/>
    <b v="0"/>
    <s v="SE"/>
    <s v="UNDER"/>
    <m/>
    <m/>
    <m/>
    <n v="12.451311475409835"/>
    <n v="155.03515745767263"/>
    <n v="16.546013363357417"/>
    <n v="273.77055822040222"/>
  </r>
  <r>
    <x v="13"/>
    <x v="1"/>
    <x v="25"/>
    <n v="0"/>
    <n v="116"/>
    <n v="1"/>
    <n v="106"/>
    <n v="222"/>
    <n v="1"/>
    <n v="220.5"/>
    <m/>
    <n v="113.55663298006877"/>
    <m/>
    <n v="100.40121866666668"/>
    <m/>
    <m/>
    <n v="100.7"/>
    <n v="98.8"/>
    <n v="-10"/>
    <n v="-16.5"/>
    <m/>
    <m/>
    <n v="-16.718688524590164"/>
    <m/>
    <m/>
    <n v="-13.15541431340209"/>
    <m/>
    <m/>
    <m/>
    <m/>
    <m/>
    <b v="0"/>
    <s v="P"/>
    <s v="UNDER"/>
    <m/>
    <m/>
    <m/>
    <n v="-6.7186885245901635"/>
    <n v="45.140775490459546"/>
    <n v="-3.1554143134020904"/>
    <n v="9.9566394892227859"/>
  </r>
  <r>
    <x v="13"/>
    <x v="27"/>
    <x v="12"/>
    <n v="1"/>
    <n v="114"/>
    <n v="0"/>
    <n v="82"/>
    <n v="196"/>
    <n v="0"/>
    <n v="196.5"/>
    <m/>
    <n v="108.04416172355891"/>
    <m/>
    <n v="94.718728000000027"/>
    <m/>
    <m/>
    <n v="96.4"/>
    <n v="94.2"/>
    <n v="-32"/>
    <n v="-8"/>
    <m/>
    <m/>
    <n v="-12.768688524590166"/>
    <m/>
    <m/>
    <n v="-13.325433723558888"/>
    <m/>
    <m/>
    <m/>
    <m/>
    <m/>
    <b v="0"/>
    <s v="P"/>
    <s v="UNDER"/>
    <m/>
    <m/>
    <m/>
    <n v="19.231311475409832"/>
    <n v="369.84334106422989"/>
    <n v="18.674566276441112"/>
    <n v="348.73942561319166"/>
  </r>
  <r>
    <x v="13"/>
    <x v="20"/>
    <x v="9"/>
    <n v="1"/>
    <n v="97"/>
    <n v="0"/>
    <n v="85"/>
    <n v="182"/>
    <n v="0"/>
    <n v="203"/>
    <m/>
    <n v="102.39851681965827"/>
    <m/>
    <n v="94.351346000000035"/>
    <m/>
    <m/>
    <n v="92.6"/>
    <n v="93.9"/>
    <n v="-12"/>
    <n v="-5.5"/>
    <m/>
    <m/>
    <n v="-4.2586885245901653"/>
    <m/>
    <m/>
    <n v="-8.0471708196582341"/>
    <m/>
    <m/>
    <m/>
    <m/>
    <m/>
    <b v="0"/>
    <s v="NW"/>
    <s v="UNDER"/>
    <m/>
    <m/>
    <m/>
    <n v="7.7413114754098347"/>
    <n v="59.927903359311991"/>
    <n v="3.9528291803417659"/>
    <n v="15.624858528961356"/>
  </r>
  <r>
    <x v="13"/>
    <x v="10"/>
    <x v="2"/>
    <n v="0"/>
    <n v="84"/>
    <n v="1"/>
    <n v="109"/>
    <n v="193"/>
    <n v="1"/>
    <n v="189"/>
    <m/>
    <n v="94.492694198882518"/>
    <m/>
    <n v="99.18661000000003"/>
    <m/>
    <m/>
    <n v="97.5"/>
    <n v="91.5"/>
    <n v="25"/>
    <n v="-5"/>
    <m/>
    <m/>
    <n v="11.151311475409834"/>
    <m/>
    <m/>
    <n v="4.6939158011175124"/>
    <m/>
    <m/>
    <m/>
    <m/>
    <m/>
    <b v="0"/>
    <s v="A"/>
    <s v="UNDER"/>
    <m/>
    <m/>
    <m/>
    <n v="-13.848688524590166"/>
    <n v="191.78617385111536"/>
    <n v="-20.306084198882488"/>
    <n v="412.33705549210504"/>
  </r>
  <r>
    <x v="13"/>
    <x v="29"/>
    <x v="5"/>
    <n v="0"/>
    <n v="106"/>
    <n v="1"/>
    <n v="114"/>
    <n v="220"/>
    <n v="0"/>
    <n v="220.5"/>
    <m/>
    <n v="111.89931029849835"/>
    <m/>
    <n v="112.80193600000003"/>
    <m/>
    <m/>
    <n v="96.1"/>
    <n v="96.9"/>
    <n v="8"/>
    <n v="0"/>
    <m/>
    <m/>
    <n v="3.6713114754098344"/>
    <m/>
    <m/>
    <n v="0.90262570150167676"/>
    <m/>
    <m/>
    <m/>
    <m/>
    <m/>
    <b v="0"/>
    <s v="SE"/>
    <s v="UNDER"/>
    <m/>
    <m/>
    <m/>
    <n v="-4.3286885245901656"/>
    <n v="18.737544342918586"/>
    <n v="-7.0973742984983232"/>
    <n v="50.372721932984568"/>
  </r>
  <r>
    <x v="14"/>
    <x v="16"/>
    <x v="6"/>
    <n v="1"/>
    <n v="119"/>
    <n v="0"/>
    <n v="110"/>
    <n v="229"/>
    <n v="1"/>
    <n v="209.5"/>
    <m/>
    <n v="103.87912801271781"/>
    <m/>
    <n v="108.36001866666669"/>
    <m/>
    <m/>
    <n v="92.9"/>
    <n v="95.8"/>
    <n v="-9"/>
    <n v="-4"/>
    <m/>
    <m/>
    <n v="4.7913114754098345"/>
    <m/>
    <m/>
    <n v="4.480890653948876"/>
    <m/>
    <m/>
    <m/>
    <m/>
    <m/>
    <b v="0"/>
    <s v="A"/>
    <s v="UNDER"/>
    <m/>
    <m/>
    <m/>
    <n v="13.791311475409834"/>
    <n v="190.20027221177099"/>
    <n v="13.480890653948876"/>
    <n v="181.73441282372616"/>
  </r>
  <r>
    <x v="14"/>
    <x v="0"/>
    <x v="24"/>
    <n v="0"/>
    <n v="106"/>
    <n v="1"/>
    <n v="110"/>
    <n v="216"/>
    <n v="1"/>
    <n v="207.5"/>
    <m/>
    <n v="108.74565692672303"/>
    <m/>
    <n v="100.66882133333336"/>
    <m/>
    <m/>
    <n v="97.3"/>
    <n v="99.2"/>
    <n v="4"/>
    <n v="-7.5"/>
    <m/>
    <m/>
    <n v="-9.2286885245901669"/>
    <m/>
    <m/>
    <n v="-8.0768355933896743"/>
    <m/>
    <m/>
    <m/>
    <m/>
    <m/>
    <b v="0"/>
    <s v="C"/>
    <s v="UNDER"/>
    <m/>
    <m/>
    <m/>
    <n v="-13.228688524590167"/>
    <n v="174.99820008062358"/>
    <n v="-12.076835593389674"/>
    <n v="145.84995794976373"/>
  </r>
  <r>
    <x v="14"/>
    <x v="5"/>
    <x v="4"/>
    <n v="0"/>
    <n v="97"/>
    <n v="1"/>
    <n v="109"/>
    <n v="206"/>
    <n v="1"/>
    <n v="202.5"/>
    <m/>
    <n v="108.1176314170964"/>
    <m/>
    <n v="103.85708000000004"/>
    <m/>
    <m/>
    <n v="100.2"/>
    <n v="102"/>
    <n v="12"/>
    <n v="-4.5"/>
    <m/>
    <m/>
    <n v="-9.2086885245901655"/>
    <m/>
    <m/>
    <n v="-4.2605514170963659"/>
    <m/>
    <m/>
    <m/>
    <m/>
    <m/>
    <b v="0"/>
    <s v="P"/>
    <s v="UNDER"/>
    <m/>
    <m/>
    <m/>
    <n v="-21.208688524590166"/>
    <n v="449.80846893308257"/>
    <n v="-16.260551417096366"/>
    <n v="264.40553238803466"/>
  </r>
  <r>
    <x v="14"/>
    <x v="6"/>
    <x v="8"/>
    <n v="0"/>
    <n v="108"/>
    <n v="1"/>
    <n v="107"/>
    <n v="215"/>
    <n v="1"/>
    <n v="201.5"/>
    <m/>
    <n v="100.72577473041639"/>
    <m/>
    <n v="100.63671066666669"/>
    <m/>
    <m/>
    <n v="96.2"/>
    <n v="99.1"/>
    <n v="-1"/>
    <n v="-3.5"/>
    <m/>
    <m/>
    <n v="-4.0686885245901658"/>
    <m/>
    <m/>
    <n v="-8.9064063749702882E-2"/>
    <m/>
    <m/>
    <m/>
    <m/>
    <m/>
    <b v="0"/>
    <s v="SW"/>
    <s v="UNDER"/>
    <m/>
    <m/>
    <m/>
    <n v="-3.0686885245901658"/>
    <n v="9.4168492609513681"/>
    <n v="0.91093593625029712"/>
    <n v="0.8298042799522054"/>
  </r>
  <r>
    <x v="14"/>
    <x v="2"/>
    <x v="19"/>
    <n v="0"/>
    <n v="124"/>
    <n v="1"/>
    <n v="121"/>
    <n v="245"/>
    <n v="1"/>
    <n v="219"/>
    <m/>
    <n v="109.84384413790987"/>
    <m/>
    <n v="108.74848800000004"/>
    <m/>
    <m/>
    <n v="99.3"/>
    <n v="101.7"/>
    <n v="-3"/>
    <n v="-8.5"/>
    <m/>
    <m/>
    <n v="-6.7586885245901662"/>
    <m/>
    <m/>
    <n v="-1.0953561379098318"/>
    <m/>
    <m/>
    <m/>
    <m/>
    <m/>
    <b v="0"/>
    <s v="NW"/>
    <s v="UNDER"/>
    <m/>
    <m/>
    <m/>
    <n v="-3.7586885245901662"/>
    <n v="14.127739424885801"/>
    <n v="1.9046438620901682"/>
    <n v="3.6276682413977519"/>
  </r>
  <r>
    <x v="14"/>
    <x v="15"/>
    <x v="25"/>
    <n v="1"/>
    <n v="102"/>
    <n v="0"/>
    <n v="94"/>
    <n v="196"/>
    <n v="0"/>
    <n v="205"/>
    <m/>
    <n v="105.71786010654768"/>
    <m/>
    <n v="104.77805866666668"/>
    <m/>
    <m/>
    <n v="94.2"/>
    <n v="98.8"/>
    <n v="-8"/>
    <n v="-6.5"/>
    <m/>
    <m/>
    <n v="-3.458688524590166"/>
    <m/>
    <m/>
    <n v="-0.93980143988099485"/>
    <m/>
    <m/>
    <m/>
    <m/>
    <m/>
    <b v="0"/>
    <s v="P"/>
    <s v="UNDER"/>
    <m/>
    <m/>
    <m/>
    <n v="4.5413114754098345"/>
    <n v="20.623509916689049"/>
    <n v="7.0601985601190052"/>
    <n v="49.846403708306475"/>
  </r>
  <r>
    <x v="15"/>
    <x v="13"/>
    <x v="27"/>
    <n v="1"/>
    <n v="115"/>
    <n v="0"/>
    <n v="107"/>
    <n v="222"/>
    <n v="1"/>
    <n v="203"/>
    <m/>
    <n v="99.592439292911294"/>
    <m/>
    <n v="98.933164000000019"/>
    <m/>
    <m/>
    <n v="99.2"/>
    <n v="95.1"/>
    <n v="-8"/>
    <n v="-3.5"/>
    <m/>
    <m/>
    <n v="-0.41868852459016548"/>
    <m/>
    <m/>
    <n v="-0.65927529291127485"/>
    <m/>
    <m/>
    <m/>
    <m/>
    <m/>
    <b v="0"/>
    <s v="SE"/>
    <s v="UNDER"/>
    <m/>
    <m/>
    <m/>
    <n v="7.5813114754098345"/>
    <n v="57.476283687180839"/>
    <n v="7.3407247070887252"/>
    <n v="53.886239225262848"/>
  </r>
  <r>
    <x v="15"/>
    <x v="22"/>
    <x v="2"/>
    <n v="1"/>
    <n v="104"/>
    <n v="0"/>
    <n v="98"/>
    <n v="202"/>
    <n v="1"/>
    <n v="192.5"/>
    <m/>
    <n v="100.78880196997592"/>
    <m/>
    <n v="96.94486000000002"/>
    <m/>
    <m/>
    <n v="97.3"/>
    <n v="91.5"/>
    <n v="-6"/>
    <n v="-3"/>
    <m/>
    <m/>
    <n v="-0.51868852459016512"/>
    <m/>
    <m/>
    <n v="-3.8439419699759014"/>
    <m/>
    <m/>
    <m/>
    <m/>
    <m/>
    <b v="0"/>
    <s v="SE"/>
    <s v="UNDER"/>
    <m/>
    <m/>
    <m/>
    <n v="5.4813114754098349"/>
    <n v="30.044775490459539"/>
    <n v="2.1560580300240986"/>
    <n v="4.6485862288313964"/>
  </r>
  <r>
    <x v="15"/>
    <x v="1"/>
    <x v="4"/>
    <n v="1"/>
    <n v="116"/>
    <n v="0"/>
    <n v="95"/>
    <n v="211"/>
    <n v="1"/>
    <n v="206.5"/>
    <m/>
    <n v="114.17090298006876"/>
    <m/>
    <n v="97.981880000000032"/>
    <m/>
    <m/>
    <n v="100.7"/>
    <n v="102"/>
    <n v="-21"/>
    <n v="-18.5"/>
    <m/>
    <m/>
    <n v="-22.888688524590165"/>
    <m/>
    <m/>
    <n v="-16.189022980068728"/>
    <m/>
    <m/>
    <m/>
    <m/>
    <m/>
    <b v="0"/>
    <s v="P"/>
    <s v="UNDER"/>
    <m/>
    <m/>
    <m/>
    <n v="-1.8886885245901652"/>
    <n v="3.5671443429185752"/>
    <n v="4.810977019931272"/>
    <n v="23.145499886306784"/>
  </r>
  <r>
    <x v="15"/>
    <x v="4"/>
    <x v="28"/>
    <n v="0"/>
    <n v="122"/>
    <n v="1"/>
    <n v="115"/>
    <n v="237"/>
    <n v="1"/>
    <n v="212.5"/>
    <m/>
    <n v="107.98897341452113"/>
    <m/>
    <n v="98.124650000000017"/>
    <m/>
    <m/>
    <n v="98.3"/>
    <n v="97.5"/>
    <n v="-7"/>
    <n v="-11.5"/>
    <m/>
    <m/>
    <n v="-7.6786885245901662"/>
    <m/>
    <m/>
    <n v="-9.8643234145211096"/>
    <m/>
    <m/>
    <m/>
    <m/>
    <m/>
    <b v="0"/>
    <s v="C"/>
    <s v="UNDER"/>
    <m/>
    <m/>
    <m/>
    <n v="-0.67868852459016615"/>
    <n v="0.46061811341037656"/>
    <n v="-2.8643234145211096"/>
    <n v="8.2043486229738676"/>
  </r>
  <r>
    <x v="15"/>
    <x v="27"/>
    <x v="22"/>
    <n v="1"/>
    <n v="111"/>
    <n v="0"/>
    <n v="80"/>
    <n v="191"/>
    <n v="0"/>
    <n v="211"/>
    <m/>
    <n v="117.97336172355891"/>
    <m/>
    <n v="104.95083200000002"/>
    <m/>
    <m/>
    <n v="96.4"/>
    <n v="99.3"/>
    <n v="-31"/>
    <n v="-11.5"/>
    <m/>
    <m/>
    <n v="-17.928688524590164"/>
    <m/>
    <m/>
    <n v="-13.02252972355889"/>
    <m/>
    <m/>
    <m/>
    <m/>
    <m/>
    <b v="0"/>
    <s v="P"/>
    <s v="UNDER"/>
    <m/>
    <m/>
    <m/>
    <n v="13.071311475409836"/>
    <n v="170.85918368718086"/>
    <n v="17.97747027644111"/>
    <n v="323.18943754032364"/>
  </r>
  <r>
    <x v="15"/>
    <x v="24"/>
    <x v="3"/>
    <n v="1"/>
    <n v="110"/>
    <n v="0"/>
    <n v="96"/>
    <n v="206"/>
    <n v="0"/>
    <n v="214.5"/>
    <m/>
    <n v="113.03709945611428"/>
    <m/>
    <n v="97.982249333333357"/>
    <m/>
    <m/>
    <n v="96.2"/>
    <n v="92.9"/>
    <n v="-14"/>
    <n v="-8"/>
    <m/>
    <m/>
    <n v="-9.9586885245901655"/>
    <m/>
    <m/>
    <n v="-15.05485012278092"/>
    <m/>
    <m/>
    <m/>
    <m/>
    <m/>
    <b v="1"/>
    <s v="A"/>
    <s v="UNDER"/>
    <m/>
    <m/>
    <m/>
    <n v="4.0413114754098345"/>
    <n v="16.332198441279214"/>
    <n v="-1.0548501227809197"/>
    <n v="1.1127087815309213"/>
  </r>
  <r>
    <x v="15"/>
    <x v="20"/>
    <x v="29"/>
    <n v="0"/>
    <n v="102"/>
    <n v="1"/>
    <n v="112"/>
    <n v="214"/>
    <n v="0"/>
    <n v="230.5"/>
    <m/>
    <n v="106.47291681965828"/>
    <m/>
    <n v="106.80093600000004"/>
    <m/>
    <m/>
    <n v="92.6"/>
    <n v="95.4"/>
    <n v="10"/>
    <n v="-3.5"/>
    <m/>
    <m/>
    <n v="2.8313114754098341"/>
    <m/>
    <m/>
    <n v="0.32801918034175515"/>
    <m/>
    <m/>
    <m/>
    <m/>
    <m/>
    <b v="0"/>
    <s v="NW"/>
    <s v="UNDER"/>
    <m/>
    <m/>
    <m/>
    <n v="-7.1686885245901664"/>
    <n v="51.39009516259074"/>
    <n v="-9.6719808196582449"/>
    <n v="93.54721297583697"/>
  </r>
  <r>
    <x v="15"/>
    <x v="9"/>
    <x v="6"/>
    <n v="0"/>
    <n v="107"/>
    <n v="1"/>
    <n v="123"/>
    <n v="230"/>
    <n v="1"/>
    <n v="201"/>
    <m/>
    <n v="100.56027405681466"/>
    <m/>
    <n v="104.16397866666669"/>
    <m/>
    <m/>
    <n v="94.2"/>
    <n v="95.8"/>
    <n v="16"/>
    <n v="-2.5"/>
    <m/>
    <m/>
    <n v="4.6113114754098348"/>
    <m/>
    <m/>
    <n v="3.6037046098520307"/>
    <m/>
    <m/>
    <m/>
    <m/>
    <m/>
    <b v="0"/>
    <s v="SE"/>
    <s v="UNDER"/>
    <m/>
    <m/>
    <m/>
    <n v="-11.388688524590165"/>
    <n v="129.70222631013172"/>
    <n v="-12.396295390147969"/>
    <n v="153.66813939980381"/>
  </r>
  <r>
    <x v="15"/>
    <x v="11"/>
    <x v="12"/>
    <n v="1"/>
    <n v="107"/>
    <n v="0"/>
    <n v="100"/>
    <n v="207"/>
    <n v="1"/>
    <n v="206"/>
    <m/>
    <n v="90.605570941007983"/>
    <m/>
    <n v="99.63596800000002"/>
    <m/>
    <m/>
    <n v="101.7"/>
    <n v="94.2"/>
    <n v="-7"/>
    <n v="-4.5"/>
    <m/>
    <m/>
    <n v="6.3613114754098348"/>
    <m/>
    <m/>
    <n v="9.0303970589920368"/>
    <m/>
    <m/>
    <m/>
    <m/>
    <m/>
    <b v="0"/>
    <s v="P"/>
    <s v="UNDER"/>
    <m/>
    <m/>
    <m/>
    <n v="13.361311475409835"/>
    <n v="178.52464434291855"/>
    <n v="16.030397058992037"/>
    <n v="256.97362986894052"/>
  </r>
  <r>
    <x v="15"/>
    <x v="25"/>
    <x v="5"/>
    <n v="0"/>
    <n v="99"/>
    <n v="1"/>
    <n v="101"/>
    <n v="200"/>
    <n v="0"/>
    <n v="211.5"/>
    <m/>
    <n v="104.31713525149296"/>
    <m/>
    <n v="108.25732600000003"/>
    <m/>
    <m/>
    <n v="93.3"/>
    <n v="96.9"/>
    <n v="2"/>
    <n v="-8.5"/>
    <m/>
    <m/>
    <n v="-6.3686885245901657"/>
    <m/>
    <m/>
    <n v="3.940190748507078"/>
    <m/>
    <m/>
    <m/>
    <m/>
    <m/>
    <b v="1"/>
    <s v="SW"/>
    <s v="UNDER"/>
    <m/>
    <m/>
    <m/>
    <n v="-8.3686885245901657"/>
    <n v="70.034947621607117"/>
    <n v="1.940190748507078"/>
    <n v="3.7643401405924553"/>
  </r>
  <r>
    <x v="15"/>
    <x v="29"/>
    <x v="14"/>
    <n v="1"/>
    <n v="118"/>
    <n v="0"/>
    <n v="93"/>
    <n v="211"/>
    <n v="0"/>
    <n v="212"/>
    <m/>
    <n v="109.91004029849834"/>
    <m/>
    <n v="110.65461333333334"/>
    <m/>
    <m/>
    <n v="96.1"/>
    <n v="99.5"/>
    <n v="-25"/>
    <n v="-1.5"/>
    <m/>
    <m/>
    <n v="0.55131147540983427"/>
    <m/>
    <m/>
    <n v="0.7445730348349997"/>
    <m/>
    <m/>
    <m/>
    <m/>
    <m/>
    <b v="0"/>
    <s v="SE"/>
    <s v="UNDER"/>
    <m/>
    <m/>
    <m/>
    <n v="25.551311475409832"/>
    <n v="652.86951811341021"/>
    <n v="25.744573034835"/>
    <n v="662.78304074595337"/>
  </r>
  <r>
    <x v="16"/>
    <x v="23"/>
    <x v="18"/>
    <n v="0"/>
    <n v="101"/>
    <n v="1"/>
    <n v="125"/>
    <n v="226"/>
    <n v="1"/>
    <n v="223"/>
    <m/>
    <n v="102.95354917909572"/>
    <m/>
    <n v="117.98079133333337"/>
    <m/>
    <m/>
    <n v="99.1"/>
    <n v="100.7"/>
    <n v="24"/>
    <n v="-6.5"/>
    <m/>
    <m/>
    <n v="9.1413114754098324"/>
    <m/>
    <m/>
    <n v="15.027242154237655"/>
    <m/>
    <m/>
    <m/>
    <m/>
    <m/>
    <b v="0"/>
    <s v="NW"/>
    <s v="UNDER"/>
    <m/>
    <m/>
    <m/>
    <n v="-14.858688524590168"/>
    <n v="220.78062467078755"/>
    <n v="-8.9727578457623451"/>
    <n v="80.510383358689722"/>
  </r>
  <r>
    <x v="16"/>
    <x v="19"/>
    <x v="27"/>
    <n v="0"/>
    <n v="95"/>
    <n v="1"/>
    <n v="98"/>
    <n v="193"/>
    <n v="0"/>
    <n v="201"/>
    <m/>
    <n v="100.23418368238518"/>
    <m/>
    <n v="102.16656400000001"/>
    <m/>
    <m/>
    <n v="93.9"/>
    <n v="95.1"/>
    <n v="3"/>
    <n v="-1"/>
    <m/>
    <m/>
    <n v="3.0113114754098342"/>
    <m/>
    <m/>
    <n v="1.9323803176148289"/>
    <m/>
    <m/>
    <m/>
    <m/>
    <m/>
    <b v="0"/>
    <s v="SE"/>
    <s v="UNDER"/>
    <m/>
    <m/>
    <m/>
    <n v="1.1311475409834237E-2"/>
    <n v="1.2794947594728463E-4"/>
    <n v="-1.0676196823851711"/>
    <n v="1.1398117862162136"/>
  </r>
  <r>
    <x v="16"/>
    <x v="7"/>
    <x v="25"/>
    <n v="0"/>
    <n v="106"/>
    <n v="1"/>
    <n v="112"/>
    <n v="218"/>
    <n v="1"/>
    <n v="206.5"/>
    <m/>
    <n v="106.50055333230638"/>
    <m/>
    <n v="103.65173866666669"/>
    <m/>
    <m/>
    <n v="96.1"/>
    <n v="98.8"/>
    <n v="6"/>
    <n v="-5"/>
    <m/>
    <m/>
    <n v="-3.0486885245901658"/>
    <m/>
    <m/>
    <n v="-2.8488146656396935"/>
    <m/>
    <m/>
    <m/>
    <m/>
    <m/>
    <b v="0"/>
    <s v="C"/>
    <s v="UNDER"/>
    <m/>
    <m/>
    <m/>
    <n v="-9.0486885245901654"/>
    <n v="81.87876401504974"/>
    <n v="-8.8488146656396935"/>
    <n v="78.301520986840117"/>
  </r>
  <r>
    <x v="16"/>
    <x v="15"/>
    <x v="21"/>
    <n v="0"/>
    <n v="91"/>
    <n v="1"/>
    <n v="101"/>
    <n v="192"/>
    <n v="0"/>
    <n v="211"/>
    <m/>
    <n v="111.31334010654767"/>
    <m/>
    <n v="112.47516800000002"/>
    <m/>
    <m/>
    <n v="94.2"/>
    <n v="100.2"/>
    <n v="10"/>
    <n v="-5.5"/>
    <m/>
    <m/>
    <n v="-3.1986885245901657"/>
    <m/>
    <m/>
    <n v="1.1618278934523545"/>
    <m/>
    <m/>
    <m/>
    <m/>
    <m/>
    <b v="1"/>
    <s v="P"/>
    <s v="UNDER"/>
    <m/>
    <m/>
    <m/>
    <n v="-13.198688524590166"/>
    <n v="174.20537876914813"/>
    <n v="-8.8381721065476455"/>
    <n v="78.113286184956849"/>
  </r>
  <r>
    <x v="17"/>
    <x v="3"/>
    <x v="0"/>
    <n v="1"/>
    <n v="115"/>
    <n v="0"/>
    <n v="87"/>
    <n v="202"/>
    <n v="0"/>
    <n v="215"/>
    <m/>
    <n v="108.68834124532324"/>
    <m/>
    <n v="104.89712133333337"/>
    <m/>
    <m/>
    <n v="99.5"/>
    <n v="96.2"/>
    <n v="-28"/>
    <n v="-4.5"/>
    <m/>
    <m/>
    <n v="-4.9486885245901657"/>
    <m/>
    <m/>
    <n v="-3.7912199119898702"/>
    <m/>
    <m/>
    <m/>
    <m/>
    <m/>
    <b v="1"/>
    <s v="A"/>
    <s v="UNDER"/>
    <m/>
    <m/>
    <m/>
    <n v="23.051311475409832"/>
    <n v="531.36296073636106"/>
    <n v="24.20878008801013"/>
    <n v="586.06503334963577"/>
  </r>
  <r>
    <x v="17"/>
    <x v="22"/>
    <x v="29"/>
    <n v="0"/>
    <n v="111"/>
    <n v="1"/>
    <n v="113"/>
    <n v="224"/>
    <n v="1"/>
    <n v="203"/>
    <m/>
    <n v="105.98462196997592"/>
    <m/>
    <n v="107.80263600000004"/>
    <m/>
    <m/>
    <n v="97.3"/>
    <n v="95.4"/>
    <n v="2"/>
    <n v="0"/>
    <m/>
    <m/>
    <n v="1.2113114754098344"/>
    <m/>
    <m/>
    <n v="1.8180140300241163"/>
    <m/>
    <m/>
    <m/>
    <m/>
    <m/>
    <b v="0"/>
    <s v="SE"/>
    <s v="UNDER"/>
    <m/>
    <m/>
    <m/>
    <n v="-0.78868852459016558"/>
    <n v="0.6220295888202122"/>
    <n v="-0.18198596997588368"/>
    <n v="3.3118893268063235E-2"/>
  </r>
  <r>
    <x v="17"/>
    <x v="20"/>
    <x v="15"/>
    <n v="0"/>
    <n v="108"/>
    <n v="1"/>
    <n v="110"/>
    <n v="218"/>
    <n v="1"/>
    <n v="206"/>
    <m/>
    <n v="101.84291681965827"/>
    <m/>
    <n v="109.6074426666667"/>
    <m/>
    <m/>
    <n v="92.6"/>
    <n v="96.4"/>
    <n v="2"/>
    <n v="-5"/>
    <m/>
    <m/>
    <n v="9.5713114754098338"/>
    <m/>
    <m/>
    <n v="7.7645258470084286"/>
    <m/>
    <m/>
    <m/>
    <m/>
    <m/>
    <b v="0"/>
    <s v="NW"/>
    <s v="UNDER"/>
    <m/>
    <m/>
    <m/>
    <n v="7.5713114754098338"/>
    <n v="57.324757457672632"/>
    <n v="5.7645258470084286"/>
    <n v="33.229758240828239"/>
  </r>
  <r>
    <x v="17"/>
    <x v="9"/>
    <x v="2"/>
    <n v="0"/>
    <n v="74"/>
    <n v="1"/>
    <n v="87"/>
    <n v="161"/>
    <n v="0"/>
    <n v="190.5"/>
    <m/>
    <n v="93.193834056814651"/>
    <m/>
    <n v="97.338310000000035"/>
    <m/>
    <m/>
    <n v="94.2"/>
    <n v="91.5"/>
    <n v="13"/>
    <n v="-4.5"/>
    <m/>
    <m/>
    <n v="10.071311475409836"/>
    <m/>
    <m/>
    <n v="4.1444759431853839"/>
    <m/>
    <m/>
    <m/>
    <m/>
    <m/>
    <b v="0"/>
    <s v="SE"/>
    <s v="UNDER"/>
    <m/>
    <m/>
    <m/>
    <n v="-2.9286885245901644"/>
    <n v="8.5772164740661143"/>
    <n v="-8.8555240568146161"/>
    <n v="78.420306320822391"/>
  </r>
  <r>
    <x v="17"/>
    <x v="10"/>
    <x v="16"/>
    <n v="0"/>
    <n v="109"/>
    <n v="1"/>
    <n v="105"/>
    <n v="214"/>
    <n v="1"/>
    <n v="213"/>
    <m/>
    <n v="100.51819419888253"/>
    <m/>
    <n v="103.75630533333334"/>
    <m/>
    <m/>
    <n v="97.5"/>
    <n v="98.3"/>
    <n v="-4"/>
    <n v="-5.5"/>
    <m/>
    <m/>
    <n v="2.1213114754098346"/>
    <m/>
    <m/>
    <n v="3.2381111344508184"/>
    <m/>
    <m/>
    <m/>
    <m/>
    <m/>
    <b v="0"/>
    <s v="A"/>
    <s v="UNDER"/>
    <m/>
    <m/>
    <m/>
    <n v="6.1213114754098346"/>
    <n v="37.470454178984127"/>
    <n v="7.2381111344508184"/>
    <n v="52.390252794660917"/>
  </r>
  <r>
    <x v="17"/>
    <x v="2"/>
    <x v="11"/>
    <n v="0"/>
    <n v="122"/>
    <n v="1"/>
    <n v="120"/>
    <n v="242"/>
    <n v="1"/>
    <n v="208"/>
    <m/>
    <n v="112.02844413790987"/>
    <m/>
    <n v="106.94588800000002"/>
    <m/>
    <m/>
    <n v="99.3"/>
    <n v="94.2"/>
    <n v="-2"/>
    <n v="-7"/>
    <m/>
    <m/>
    <n v="-2.3586885245901659"/>
    <m/>
    <m/>
    <n v="-5.0825561379098474"/>
    <m/>
    <m/>
    <m/>
    <m/>
    <m/>
    <b v="0"/>
    <s v="NW"/>
    <s v="UNDER"/>
    <m/>
    <m/>
    <m/>
    <n v="-0.35868852459016587"/>
    <n v="0.12865745767267003"/>
    <n v="-3.0825561379098474"/>
    <n v="9.5021523433656743"/>
  </r>
  <r>
    <x v="17"/>
    <x v="25"/>
    <x v="12"/>
    <n v="1"/>
    <n v="96"/>
    <n v="0"/>
    <n v="86"/>
    <n v="182"/>
    <n v="0"/>
    <n v="194.5"/>
    <m/>
    <n v="97.338295251492966"/>
    <m/>
    <n v="97.28096800000003"/>
    <m/>
    <m/>
    <n v="93.3"/>
    <n v="94.2"/>
    <n v="-10"/>
    <n v="-8.5"/>
    <m/>
    <m/>
    <n v="-7.3286885245901665"/>
    <m/>
    <m/>
    <n v="-5.7327251492935716E-2"/>
    <m/>
    <m/>
    <m/>
    <m/>
    <m/>
    <b v="0"/>
    <s v="SW"/>
    <s v="UNDER"/>
    <m/>
    <m/>
    <m/>
    <n v="2.6713114754098335"/>
    <n v="7.1359049986562617"/>
    <n v="9.9426727485070643"/>
    <n v="98.856741383905018"/>
  </r>
  <r>
    <x v="17"/>
    <x v="29"/>
    <x v="20"/>
    <n v="0"/>
    <n v="94"/>
    <n v="1"/>
    <n v="105"/>
    <n v="199"/>
    <n v="0"/>
    <n v="211.5"/>
    <m/>
    <n v="108.68957029849834"/>
    <m/>
    <n v="114.95086866666668"/>
    <m/>
    <m/>
    <n v="96.1"/>
    <n v="97.3"/>
    <n v="11"/>
    <n v="-7.5"/>
    <m/>
    <m/>
    <n v="8.7513114754098353"/>
    <m/>
    <m/>
    <n v="6.2612983681683403"/>
    <m/>
    <m/>
    <m/>
    <m/>
    <m/>
    <b v="0"/>
    <s v="SE"/>
    <s v="UNDER"/>
    <m/>
    <m/>
    <m/>
    <n v="-2.2486885245901647"/>
    <n v="5.0566000806234914"/>
    <n v="-4.7387016318316597"/>
    <n v="22.455293155524036"/>
  </r>
  <r>
    <x v="18"/>
    <x v="13"/>
    <x v="28"/>
    <n v="1"/>
    <n v="117"/>
    <n v="0"/>
    <n v="96"/>
    <n v="213"/>
    <n v="1"/>
    <n v="207"/>
    <m/>
    <n v="101.90379929291129"/>
    <m/>
    <n v="89.700650000000024"/>
    <m/>
    <m/>
    <n v="99.2"/>
    <n v="97.5"/>
    <n v="-21"/>
    <n v="-15"/>
    <m/>
    <m/>
    <n v="-14.778688524590166"/>
    <m/>
    <m/>
    <n v="-12.203149292911263"/>
    <m/>
    <m/>
    <m/>
    <m/>
    <m/>
    <b v="0"/>
    <s v="SE"/>
    <s v="UNDER"/>
    <m/>
    <m/>
    <m/>
    <n v="6.2213114754098342"/>
    <n v="38.704716474066089"/>
    <n v="8.796850707088737"/>
    <n v="77.384582362807606"/>
  </r>
  <r>
    <x v="18"/>
    <x v="14"/>
    <x v="13"/>
    <n v="1"/>
    <n v="106"/>
    <n v="0"/>
    <n v="95"/>
    <n v="201"/>
    <n v="1"/>
    <n v="199.5"/>
    <m/>
    <n v="112.74181726701197"/>
    <m/>
    <n v="102.63544066666668"/>
    <m/>
    <m/>
    <n v="95.1"/>
    <n v="96.1"/>
    <n v="-11"/>
    <n v="-10"/>
    <m/>
    <m/>
    <n v="-10.218688524590165"/>
    <m/>
    <m/>
    <n v="-10.106376600345286"/>
    <m/>
    <m/>
    <m/>
    <m/>
    <m/>
    <b v="0"/>
    <s v="C"/>
    <s v="UNDER"/>
    <m/>
    <m/>
    <m/>
    <n v="0.7813114754098347"/>
    <n v="0.61044762160709276"/>
    <n v="0.89362339965471449"/>
    <n v="0.79856278041044959"/>
  </r>
  <r>
    <x v="18"/>
    <x v="23"/>
    <x v="12"/>
    <n v="0"/>
    <n v="95"/>
    <n v="1"/>
    <n v="106"/>
    <n v="201"/>
    <n v="0"/>
    <n v="203"/>
    <m/>
    <n v="99.306669179095721"/>
    <m/>
    <n v="98.872948000000022"/>
    <m/>
    <m/>
    <n v="99.1"/>
    <n v="94.2"/>
    <n v="11"/>
    <n v="-5.5"/>
    <m/>
    <m/>
    <n v="0.62131147540983411"/>
    <m/>
    <m/>
    <n v="-0.43372117909569852"/>
    <m/>
    <m/>
    <m/>
    <m/>
    <m/>
    <b v="0"/>
    <s v="NW"/>
    <s v="UNDER"/>
    <m/>
    <m/>
    <m/>
    <n v="-10.378688524590165"/>
    <n v="107.71717549045958"/>
    <n v="-11.433721179095699"/>
    <n v="130.72998000130153"/>
  </r>
  <r>
    <x v="18"/>
    <x v="26"/>
    <x v="1"/>
    <n v="0"/>
    <n v="100"/>
    <n v="1"/>
    <n v="106"/>
    <n v="206"/>
    <n v="0"/>
    <n v="208.5"/>
    <m/>
    <n v="108.83490549407401"/>
    <m/>
    <n v="107.57552200000002"/>
    <m/>
    <m/>
    <n v="96.9"/>
    <n v="93.3"/>
    <n v="6"/>
    <n v="-1.5"/>
    <m/>
    <m/>
    <n v="0.81131147540983406"/>
    <m/>
    <m/>
    <n v="-1.2593834940739868"/>
    <m/>
    <m/>
    <m/>
    <m/>
    <m/>
    <b v="1"/>
    <s v="SW"/>
    <s v="UNDER"/>
    <m/>
    <m/>
    <m/>
    <n v="-5.1886885245901659"/>
    <n v="26.922488605213672"/>
    <n v="-7.2593834940739868"/>
    <n v="52.698648714033844"/>
  </r>
  <r>
    <x v="18"/>
    <x v="4"/>
    <x v="14"/>
    <n v="0"/>
    <n v="99"/>
    <n v="1"/>
    <n v="105"/>
    <n v="204"/>
    <n v="0"/>
    <n v="212"/>
    <m/>
    <n v="106.76022341452114"/>
    <m/>
    <n v="109.09246333333336"/>
    <m/>
    <m/>
    <n v="98.3"/>
    <n v="99.5"/>
    <n v="6"/>
    <n v="-1.5"/>
    <m/>
    <m/>
    <n v="2.5713114754098343"/>
    <m/>
    <m/>
    <n v="2.3322399188122205"/>
    <m/>
    <m/>
    <m/>
    <m/>
    <m/>
    <b v="0"/>
    <s v="C"/>
    <s v="UNDER"/>
    <m/>
    <m/>
    <m/>
    <n v="-3.4286885245901657"/>
    <n v="11.755904998656288"/>
    <n v="-3.6677600811877795"/>
    <n v="13.452464013154588"/>
  </r>
  <r>
    <x v="18"/>
    <x v="19"/>
    <x v="2"/>
    <n v="0"/>
    <n v="91"/>
    <n v="1"/>
    <n v="102"/>
    <n v="193"/>
    <n v="1"/>
    <n v="186.5"/>
    <m/>
    <n v="96.496963682385186"/>
    <m/>
    <n v="94.273060000000029"/>
    <m/>
    <m/>
    <n v="93.9"/>
    <n v="91.5"/>
    <n v="11"/>
    <n v="-1"/>
    <m/>
    <m/>
    <n v="2.5813114754098345"/>
    <m/>
    <m/>
    <n v="-2.2239036823851563"/>
    <m/>
    <m/>
    <m/>
    <m/>
    <m/>
    <b v="0"/>
    <s v="SE"/>
    <s v="UNDER"/>
    <m/>
    <m/>
    <m/>
    <n v="-8.4186885245901664"/>
    <n v="70.874316474066148"/>
    <n v="-13.223903682385156"/>
    <n v="174.87162860099968"/>
  </r>
  <r>
    <x v="18"/>
    <x v="7"/>
    <x v="23"/>
    <n v="1"/>
    <n v="106"/>
    <n v="0"/>
    <n v="96"/>
    <n v="202"/>
    <n v="1"/>
    <n v="201.5"/>
    <m/>
    <n v="103.12744333230638"/>
    <m/>
    <n v="100.73166133333336"/>
    <m/>
    <m/>
    <n v="96.1"/>
    <n v="96.2"/>
    <n v="-10"/>
    <n v="-2.5"/>
    <m/>
    <m/>
    <n v="0.26131147540983435"/>
    <m/>
    <m/>
    <n v="-2.3957819989730211"/>
    <m/>
    <m/>
    <m/>
    <m/>
    <m/>
    <b v="0"/>
    <s v="C"/>
    <s v="UNDER"/>
    <m/>
    <m/>
    <m/>
    <n v="10.261311475409835"/>
    <n v="105.29451319537756"/>
    <n v="7.6042180010269789"/>
    <n v="57.824131407142744"/>
  </r>
  <r>
    <x v="18"/>
    <x v="28"/>
    <x v="15"/>
    <n v="0"/>
    <n v="105"/>
    <n v="1"/>
    <n v="119"/>
    <n v="224"/>
    <n v="1"/>
    <n v="209"/>
    <m/>
    <n v="111.95326150317565"/>
    <m/>
    <n v="114.43708266666671"/>
    <m/>
    <m/>
    <n v="95.8"/>
    <n v="96.4"/>
    <n v="14"/>
    <n v="-5.5"/>
    <m/>
    <m/>
    <n v="11.151311475409834"/>
    <m/>
    <m/>
    <n v="2.4838211634910579"/>
    <m/>
    <m/>
    <m/>
    <m/>
    <m/>
    <b v="0"/>
    <s v="NW"/>
    <s v="UNDER"/>
    <m/>
    <m/>
    <m/>
    <n v="-2.8486885245901661"/>
    <n v="8.1150263101316966"/>
    <n v="-11.516178836508942"/>
    <n v="132.62237499445646"/>
  </r>
  <r>
    <x v="18"/>
    <x v="8"/>
    <x v="21"/>
    <n v="0"/>
    <n v="99"/>
    <n v="1"/>
    <n v="126"/>
    <n v="225"/>
    <n v="1"/>
    <n v="217"/>
    <m/>
    <n v="107.59263327976012"/>
    <m/>
    <n v="107.85594800000003"/>
    <m/>
    <m/>
    <n v="98.8"/>
    <n v="100.2"/>
    <n v="27"/>
    <n v="-1"/>
    <m/>
    <m/>
    <n v="-2.5186885245901656"/>
    <m/>
    <m/>
    <n v="0.26331472023990443"/>
    <m/>
    <m/>
    <m/>
    <m/>
    <m/>
    <b v="0"/>
    <s v="SW"/>
    <s v="UNDER"/>
    <m/>
    <m/>
    <m/>
    <n v="-29.518688524590164"/>
    <n v="871.35297221177109"/>
    <n v="-26.736685279760096"/>
    <n v="714.8503397489402"/>
  </r>
  <r>
    <x v="18"/>
    <x v="11"/>
    <x v="3"/>
    <n v="0"/>
    <n v="104"/>
    <n v="1"/>
    <n v="122"/>
    <n v="226"/>
    <n v="1"/>
    <n v="218.5"/>
    <m/>
    <n v="99.778910941007979"/>
    <m/>
    <n v="95.947739333333359"/>
    <m/>
    <m/>
    <n v="101.7"/>
    <n v="92.9"/>
    <n v="18"/>
    <n v="-5"/>
    <m/>
    <m/>
    <n v="-5.1486885245901659"/>
    <m/>
    <m/>
    <n v="-3.8311716076746194"/>
    <m/>
    <m/>
    <m/>
    <m/>
    <m/>
    <b v="0"/>
    <s v="P"/>
    <s v="UNDER"/>
    <m/>
    <m/>
    <m/>
    <n v="-23.148688524590167"/>
    <n v="535.86178040849245"/>
    <n v="-21.831171607674619"/>
    <n v="476.6000537637384"/>
  </r>
  <r>
    <x v="18"/>
    <x v="12"/>
    <x v="0"/>
    <n v="1"/>
    <n v="118"/>
    <n v="0"/>
    <n v="107"/>
    <n v="225"/>
    <n v="1"/>
    <n v="208.5"/>
    <m/>
    <n v="112.87602369203996"/>
    <m/>
    <n v="105.16648133333337"/>
    <m/>
    <m/>
    <n v="95.4"/>
    <n v="96.2"/>
    <n v="-11"/>
    <n v="-7.5"/>
    <m/>
    <m/>
    <n v="-10.358688524590166"/>
    <m/>
    <m/>
    <n v="-7.7095423587065994"/>
    <m/>
    <m/>
    <m/>
    <m/>
    <m/>
    <b v="1"/>
    <s v="A"/>
    <s v="UNDER"/>
    <m/>
    <m/>
    <m/>
    <n v="0.64131147540983413"/>
    <n v="0.41128040849233827"/>
    <n v="3.2904576412934006"/>
    <n v="10.827111489146128"/>
  </r>
  <r>
    <x v="19"/>
    <x v="0"/>
    <x v="7"/>
    <n v="1"/>
    <n v="100"/>
    <n v="1"/>
    <n v="93"/>
    <n v="193"/>
    <n v="0"/>
    <n v="208"/>
    <m/>
    <n v="114.89501692672303"/>
    <m/>
    <n v="104.56895866666669"/>
    <m/>
    <m/>
    <n v="97.3"/>
    <n v="97.3"/>
    <n v="-7"/>
    <n v="-7"/>
    <m/>
    <m/>
    <n v="-9.5586885245901669"/>
    <m/>
    <m/>
    <n v="-10.326058260056342"/>
    <m/>
    <m/>
    <m/>
    <m/>
    <m/>
    <b v="0"/>
    <s v="C"/>
    <s v="UNDER"/>
    <m/>
    <m/>
    <m/>
    <n v="-2.5586885245901669"/>
    <n v="6.5468869658694056"/>
    <n v="-3.3260582600563424"/>
    <n v="11.062663549289024"/>
  </r>
  <r>
    <x v="19"/>
    <x v="1"/>
    <x v="19"/>
    <n v="0"/>
    <n v="133"/>
    <n v="1"/>
    <n v="120"/>
    <n v="253"/>
    <n v="1"/>
    <n v="226"/>
    <m/>
    <n v="115.98350298006876"/>
    <m/>
    <n v="102.01594800000004"/>
    <m/>
    <m/>
    <n v="100.7"/>
    <n v="101.7"/>
    <n v="-13"/>
    <n v="-16.5"/>
    <m/>
    <m/>
    <n v="-20.438688524590166"/>
    <m/>
    <m/>
    <n v="-13.967554980068726"/>
    <m/>
    <m/>
    <m/>
    <m/>
    <m/>
    <b v="1"/>
    <s v="P"/>
    <s v="UNDER"/>
    <m/>
    <m/>
    <m/>
    <n v="-7.4386885245901659"/>
    <n v="55.334086965869417"/>
    <n v="-0.96755498006872642"/>
    <n v="0.93616263945579359"/>
  </r>
  <r>
    <x v="19"/>
    <x v="28"/>
    <x v="21"/>
    <n v="1"/>
    <n v="125"/>
    <n v="0"/>
    <n v="99"/>
    <n v="224"/>
    <n v="1"/>
    <n v="213.5"/>
    <m/>
    <n v="120.33576150317566"/>
    <m/>
    <n v="112.53528800000002"/>
    <m/>
    <m/>
    <n v="95.8"/>
    <n v="100.2"/>
    <n v="-26"/>
    <n v="0"/>
    <m/>
    <m/>
    <n v="-3.9986885245901655"/>
    <m/>
    <m/>
    <n v="-7.8004735031756383"/>
    <m/>
    <m/>
    <m/>
    <m/>
    <m/>
    <b v="0"/>
    <s v="NW"/>
    <s v="UNDER"/>
    <m/>
    <m/>
    <m/>
    <n v="22.001311475409835"/>
    <n v="484.05770663800052"/>
    <n v="18.199526496824362"/>
    <n v="331.22276470861203"/>
  </r>
  <r>
    <x v="19"/>
    <x v="20"/>
    <x v="17"/>
    <n v="0"/>
    <n v="117"/>
    <n v="1"/>
    <n v="119"/>
    <n v="236"/>
    <n v="1"/>
    <n v="204"/>
    <m/>
    <n v="105.50061681965828"/>
    <m/>
    <n v="90.743488000000028"/>
    <m/>
    <m/>
    <n v="92.6"/>
    <n v="94.2"/>
    <n v="2"/>
    <n v="-9.5"/>
    <m/>
    <m/>
    <n v="-11.748688524590166"/>
    <m/>
    <m/>
    <n v="-14.757128819658249"/>
    <m/>
    <m/>
    <m/>
    <m/>
    <m/>
    <b v="0"/>
    <s v="NW"/>
    <s v="UNDER"/>
    <m/>
    <m/>
    <m/>
    <n v="-13.748688524590166"/>
    <n v="189.02643614619734"/>
    <n v="-16.757128819658249"/>
    <n v="280.80136627862106"/>
  </r>
  <r>
    <x v="19"/>
    <x v="2"/>
    <x v="8"/>
    <n v="0"/>
    <n v="112"/>
    <n v="1"/>
    <n v="105"/>
    <n v="217"/>
    <n v="1"/>
    <n v="216.5"/>
    <m/>
    <n v="109.03951413790986"/>
    <m/>
    <n v="110.85392066666668"/>
    <m/>
    <m/>
    <n v="99.3"/>
    <n v="99.1"/>
    <n v="-7"/>
    <n v="-7.5"/>
    <m/>
    <m/>
    <n v="-1.0186885245901658"/>
    <m/>
    <m/>
    <n v="1.8144065287568196"/>
    <m/>
    <m/>
    <m/>
    <m/>
    <m/>
    <b v="1"/>
    <s v="NW"/>
    <s v="UNDER"/>
    <m/>
    <m/>
    <m/>
    <n v="5.981311475409834"/>
    <n v="35.776086965869368"/>
    <n v="8.8144065287568196"/>
    <n v="77.693762454190846"/>
  </r>
  <r>
    <x v="20"/>
    <x v="18"/>
    <x v="10"/>
    <n v="1"/>
    <n v="104"/>
    <n v="0"/>
    <n v="88"/>
    <n v="192"/>
    <n v="0"/>
    <n v="203.5"/>
    <m/>
    <n v="109.28759833471561"/>
    <m/>
    <n v="93.211777333333359"/>
    <m/>
    <m/>
    <n v="94.2"/>
    <n v="92.6"/>
    <n v="-16"/>
    <n v="-1"/>
    <m/>
    <m/>
    <n v="-5.1386885245901652"/>
    <m/>
    <m/>
    <n v="-16.075821001382252"/>
    <m/>
    <m/>
    <m/>
    <m/>
    <m/>
    <b v="0"/>
    <s v="C"/>
    <s v="UNDER"/>
    <m/>
    <m/>
    <m/>
    <n v="10.861311475409835"/>
    <n v="117.96808696586936"/>
    <n v="-7.5821001382252007E-2"/>
    <n v="5.7488242506074606E-3"/>
  </r>
  <r>
    <x v="20"/>
    <x v="26"/>
    <x v="28"/>
    <n v="1"/>
    <n v="115"/>
    <n v="0"/>
    <n v="88"/>
    <n v="203"/>
    <n v="0"/>
    <n v="216"/>
    <m/>
    <n v="111.98415549407402"/>
    <m/>
    <n v="99.050900000000027"/>
    <m/>
    <m/>
    <n v="96.9"/>
    <n v="97.5"/>
    <n v="-27"/>
    <n v="-11"/>
    <m/>
    <m/>
    <n v="-16.148688524590167"/>
    <m/>
    <m/>
    <n v="-12.93325549407399"/>
    <m/>
    <m/>
    <m/>
    <m/>
    <m/>
    <b v="0"/>
    <s v="SW"/>
    <s v="UNDER"/>
    <m/>
    <m/>
    <m/>
    <n v="10.851311475409833"/>
    <n v="117.75096073636114"/>
    <n v="14.06674450592601"/>
    <n v="197.8733009949996"/>
  </r>
  <r>
    <x v="20"/>
    <x v="4"/>
    <x v="17"/>
    <n v="1"/>
    <n v="88"/>
    <n v="0"/>
    <n v="69"/>
    <n v="157"/>
    <n v="0"/>
    <n v="206.5"/>
    <m/>
    <n v="106.00331341452113"/>
    <m/>
    <n v="93.918028000000035"/>
    <m/>
    <m/>
    <n v="98.3"/>
    <n v="94.2"/>
    <n v="-19"/>
    <n v="-8"/>
    <m/>
    <m/>
    <n v="-6.5986885245901661"/>
    <m/>
    <m/>
    <n v="-12.085285414521096"/>
    <m/>
    <m/>
    <m/>
    <m/>
    <m/>
    <b v="0"/>
    <s v="C"/>
    <s v="UNDER"/>
    <m/>
    <m/>
    <m/>
    <n v="12.401311475409834"/>
    <n v="153.79252631013162"/>
    <n v="6.9147145854789045"/>
    <n v="47.813277798634701"/>
  </r>
  <r>
    <x v="20"/>
    <x v="27"/>
    <x v="3"/>
    <n v="1"/>
    <n v="127"/>
    <n v="0"/>
    <n v="95"/>
    <n v="222"/>
    <n v="1"/>
    <n v="212"/>
    <m/>
    <n v="116.73944172355891"/>
    <m/>
    <n v="91.098359333333363"/>
    <m/>
    <m/>
    <n v="96.4"/>
    <n v="92.9"/>
    <n v="-32"/>
    <n v="-16.5"/>
    <m/>
    <m/>
    <n v="-24.278688524590166"/>
    <m/>
    <m/>
    <n v="-25.641082390225549"/>
    <m/>
    <m/>
    <m/>
    <m/>
    <m/>
    <b v="0"/>
    <s v="P"/>
    <s v="UNDER"/>
    <m/>
    <m/>
    <m/>
    <n v="7.7213114754098342"/>
    <n v="59.618650900295592"/>
    <n v="6.3589176097744513"/>
    <n v="40.435833167899624"/>
  </r>
  <r>
    <x v="20"/>
    <x v="8"/>
    <x v="14"/>
    <n v="0"/>
    <n v="106"/>
    <n v="1"/>
    <n v="105"/>
    <n v="211"/>
    <n v="0"/>
    <n v="212"/>
    <m/>
    <n v="103.61099327976011"/>
    <m/>
    <n v="106.07761333333336"/>
    <m/>
    <m/>
    <n v="98.8"/>
    <n v="99.5"/>
    <n v="-1"/>
    <n v="-3.5"/>
    <m/>
    <m/>
    <n v="0.48131147540983443"/>
    <m/>
    <m/>
    <n v="2.4666200535732514"/>
    <m/>
    <m/>
    <m/>
    <m/>
    <m/>
    <b v="0"/>
    <s v="SW"/>
    <s v="UNDER"/>
    <m/>
    <m/>
    <m/>
    <n v="1.4813114754098344"/>
    <n v="2.1942836871808606"/>
    <n v="3.4666200535732514"/>
    <n v="12.017454595836213"/>
  </r>
  <r>
    <x v="20"/>
    <x v="24"/>
    <x v="4"/>
    <n v="1"/>
    <n v="93"/>
    <n v="0"/>
    <n v="77"/>
    <n v="170"/>
    <n v="0"/>
    <n v="202"/>
    <m/>
    <n v="108.31367945611427"/>
    <m/>
    <n v="102.49028000000003"/>
    <m/>
    <m/>
    <n v="96.2"/>
    <n v="102"/>
    <n v="-16"/>
    <n v="-4.5"/>
    <m/>
    <m/>
    <n v="-10.038688524590166"/>
    <m/>
    <m/>
    <n v="-5.8233994561142453"/>
    <m/>
    <m/>
    <m/>
    <m/>
    <m/>
    <b v="0"/>
    <s v="A"/>
    <s v="UNDER"/>
    <m/>
    <m/>
    <m/>
    <n v="5.9613114754098344"/>
    <n v="35.537234506852975"/>
    <n v="10.176600543885755"/>
    <n v="103.56319862981584"/>
  </r>
  <r>
    <x v="20"/>
    <x v="25"/>
    <x v="9"/>
    <n v="0"/>
    <n v="94"/>
    <n v="1"/>
    <n v="90"/>
    <n v="184"/>
    <n v="0"/>
    <n v="193.5"/>
    <m/>
    <n v="98.541865251492951"/>
    <m/>
    <n v="94.586096000000026"/>
    <m/>
    <m/>
    <n v="93.3"/>
    <n v="93.9"/>
    <n v="-4"/>
    <n v="-11"/>
    <m/>
    <m/>
    <n v="-11.168688524590166"/>
    <m/>
    <m/>
    <n v="-3.9557692514929244"/>
    <m/>
    <m/>
    <m/>
    <m/>
    <m/>
    <b v="0"/>
    <s v="SW"/>
    <s v="UNDER"/>
    <m/>
    <m/>
    <m/>
    <n v="-7.1686885245901664"/>
    <n v="51.39009516259074"/>
    <n v="4.4230748507075646E-2"/>
    <n v="1.9563591134961747E-3"/>
  </r>
  <r>
    <x v="20"/>
    <x v="21"/>
    <x v="23"/>
    <n v="0"/>
    <n v="96"/>
    <n v="1"/>
    <n v="102"/>
    <n v="198"/>
    <n v="1"/>
    <n v="189.5"/>
    <m/>
    <n v="102.14325584399452"/>
    <m/>
    <n v="94.363221333333371"/>
    <m/>
    <m/>
    <n v="91.5"/>
    <n v="96.2"/>
    <n v="6"/>
    <n v="-6"/>
    <m/>
    <m/>
    <n v="-6.4086885245901657"/>
    <m/>
    <m/>
    <n v="-7.780034510661153"/>
    <m/>
    <m/>
    <m/>
    <m/>
    <m/>
    <b v="0"/>
    <s v="NW"/>
    <s v="UNDER"/>
    <m/>
    <m/>
    <m/>
    <n v="-12.408688524590165"/>
    <n v="153.97555090029564"/>
    <n v="-13.780034510661153"/>
    <n v="189.88935111501237"/>
  </r>
  <r>
    <x v="21"/>
    <x v="0"/>
    <x v="29"/>
    <n v="0"/>
    <n v="121"/>
    <n v="1"/>
    <n v="117"/>
    <n v="238"/>
    <n v="1"/>
    <n v="210.5"/>
    <m/>
    <n v="116.33505692672303"/>
    <m/>
    <n v="107.73585600000004"/>
    <m/>
    <m/>
    <n v="97.3"/>
    <n v="95.4"/>
    <n v="-4"/>
    <n v="-6"/>
    <m/>
    <m/>
    <n v="-5.5686885245901667"/>
    <m/>
    <m/>
    <n v="-8.5992009267229861"/>
    <m/>
    <m/>
    <m/>
    <m/>
    <m/>
    <b v="0"/>
    <s v="C"/>
    <s v="UNDER"/>
    <m/>
    <m/>
    <m/>
    <n v="-1.5686885245901667"/>
    <n v="2.4607836871808741"/>
    <n v="-4.5992009267229861"/>
    <n v="21.152649164369574"/>
  </r>
  <r>
    <x v="21"/>
    <x v="5"/>
    <x v="3"/>
    <n v="1"/>
    <n v="125"/>
    <n v="1"/>
    <n v="118"/>
    <n v="243"/>
    <n v="1"/>
    <n v="219"/>
    <m/>
    <n v="113.03745141709641"/>
    <m/>
    <n v="99.22710933333336"/>
    <m/>
    <m/>
    <n v="100.2"/>
    <n v="92.9"/>
    <n v="-7"/>
    <n v="-7"/>
    <m/>
    <m/>
    <n v="-9.1286885245901654"/>
    <m/>
    <m/>
    <n v="-13.810342083763047"/>
    <m/>
    <m/>
    <m/>
    <m/>
    <m/>
    <b v="0"/>
    <s v="P"/>
    <s v="UNDER"/>
    <m/>
    <m/>
    <m/>
    <n v="-2.1286885245901654"/>
    <n v="4.5313148347218553"/>
    <n v="-6.8103420837630466"/>
    <n v="46.380759297873993"/>
  </r>
  <r>
    <x v="21"/>
    <x v="19"/>
    <x v="24"/>
    <n v="0"/>
    <n v="90"/>
    <n v="1"/>
    <n v="93"/>
    <n v="183"/>
    <n v="0"/>
    <n v="199"/>
    <m/>
    <n v="94.187023682385188"/>
    <m/>
    <n v="97.84162133333335"/>
    <m/>
    <m/>
    <n v="93.9"/>
    <n v="99.2"/>
    <n v="3"/>
    <n v="-6.5"/>
    <m/>
    <m/>
    <n v="0.65131147540983414"/>
    <m/>
    <m/>
    <n v="3.6545976509481619"/>
    <m/>
    <m/>
    <m/>
    <m/>
    <m/>
    <b v="1"/>
    <s v="SE"/>
    <s v="UNDER"/>
    <m/>
    <m/>
    <m/>
    <n v="-2.3486885245901661"/>
    <n v="5.5163377855415314"/>
    <n v="0.65459765094816191"/>
    <n v="0.42849808462685163"/>
  </r>
  <r>
    <x v="21"/>
    <x v="28"/>
    <x v="7"/>
    <n v="0"/>
    <n v="108"/>
    <n v="1"/>
    <n v="115"/>
    <n v="223"/>
    <n v="1"/>
    <n v="205.5"/>
    <m/>
    <n v="115.32542150317565"/>
    <m/>
    <n v="108.49014866666668"/>
    <m/>
    <m/>
    <n v="95.8"/>
    <n v="97.3"/>
    <n v="7"/>
    <n v="-1"/>
    <m/>
    <m/>
    <n v="0.42131147540983416"/>
    <m/>
    <m/>
    <n v="-6.8352728365089632"/>
    <m/>
    <m/>
    <m/>
    <m/>
    <m/>
    <b v="0"/>
    <s v="NW"/>
    <s v="UNDER"/>
    <m/>
    <m/>
    <m/>
    <n v="-6.5786885245901656"/>
    <n v="43.27914270357433"/>
    <n v="-13.835272836508963"/>
    <n v="191.41477446064278"/>
  </r>
  <r>
    <x v="21"/>
    <x v="2"/>
    <x v="27"/>
    <n v="0"/>
    <n v="88"/>
    <n v="1"/>
    <n v="113"/>
    <n v="201"/>
    <n v="0"/>
    <n v="210.5"/>
    <m/>
    <n v="108.27490413790987"/>
    <m/>
    <n v="110.73507400000001"/>
    <m/>
    <m/>
    <n v="99.3"/>
    <n v="95.1"/>
    <n v="25"/>
    <n v="-4"/>
    <m/>
    <m/>
    <n v="4.3313114754098336"/>
    <m/>
    <m/>
    <n v="2.4601698620901402"/>
    <m/>
    <m/>
    <m/>
    <m/>
    <m/>
    <b v="0"/>
    <s v="NW"/>
    <s v="UNDER"/>
    <m/>
    <m/>
    <m/>
    <n v="-20.668688524590166"/>
    <n v="427.19468532652525"/>
    <n v="-22.53983013790986"/>
    <n v="508.04394264582959"/>
  </r>
  <r>
    <x v="22"/>
    <x v="13"/>
    <x v="26"/>
    <n v="1"/>
    <n v="107"/>
    <n v="0"/>
    <n v="100"/>
    <n v="207"/>
    <n v="0"/>
    <n v="210.5"/>
    <m/>
    <n v="102.21131929291128"/>
    <m/>
    <n v="95.687410666666693"/>
    <m/>
    <m/>
    <n v="99.2"/>
    <n v="96.1"/>
    <n v="-7"/>
    <n v="-5.5"/>
    <m/>
    <m/>
    <n v="-7.518688524590166"/>
    <m/>
    <m/>
    <n v="-6.5239086262445909"/>
    <m/>
    <m/>
    <m/>
    <m/>
    <m/>
    <b v="0"/>
    <s v="SE"/>
    <s v="UNDER"/>
    <m/>
    <m/>
    <m/>
    <n v="-0.51868852459016601"/>
    <n v="0.26903778554152324"/>
    <n v="0.47609137375540911"/>
    <n v="0.22666299616431265"/>
  </r>
  <r>
    <x v="22"/>
    <x v="3"/>
    <x v="4"/>
    <n v="1"/>
    <n v="90"/>
    <n v="0"/>
    <n v="83"/>
    <n v="173"/>
    <n v="0"/>
    <n v="199"/>
    <m/>
    <n v="104.71829124532324"/>
    <m/>
    <n v="99.746480000000034"/>
    <m/>
    <m/>
    <n v="99.5"/>
    <n v="102"/>
    <n v="-7"/>
    <n v="-6.5"/>
    <m/>
    <m/>
    <n v="-12.208688524590166"/>
    <m/>
    <m/>
    <n v="-4.9718112453232095"/>
    <m/>
    <m/>
    <m/>
    <m/>
    <m/>
    <b v="0"/>
    <s v="A"/>
    <s v="UNDER"/>
    <m/>
    <m/>
    <m/>
    <n v="-5.2086885245901655"/>
    <n v="27.130436146197276"/>
    <n v="2.0281887546767905"/>
    <n v="4.1135496245973906"/>
  </r>
  <r>
    <x v="22"/>
    <x v="23"/>
    <x v="19"/>
    <n v="1"/>
    <n v="120"/>
    <n v="0"/>
    <n v="104"/>
    <n v="224"/>
    <n v="1"/>
    <n v="219.5"/>
    <m/>
    <n v="105.16347917909572"/>
    <m/>
    <n v="103.46008800000004"/>
    <m/>
    <m/>
    <n v="99.1"/>
    <n v="101.7"/>
    <n v="-16"/>
    <n v="-4.5"/>
    <m/>
    <m/>
    <n v="-8.518688524590166"/>
    <m/>
    <m/>
    <n v="-1.7033911790956751"/>
    <m/>
    <m/>
    <m/>
    <m/>
    <m/>
    <b v="0"/>
    <s v="NW"/>
    <s v="UNDER"/>
    <m/>
    <m/>
    <m/>
    <n v="7.481311475409834"/>
    <n v="55.970021392098865"/>
    <n v="14.296608820904325"/>
    <n v="204.39302377795934"/>
  </r>
  <r>
    <x v="22"/>
    <x v="4"/>
    <x v="20"/>
    <n v="1"/>
    <n v="103"/>
    <n v="0"/>
    <n v="93"/>
    <n v="196"/>
    <n v="0"/>
    <n v="208.5"/>
    <m/>
    <n v="105.51181341452114"/>
    <m/>
    <n v="113.4232586666667"/>
    <m/>
    <m/>
    <n v="98.3"/>
    <n v="97.3"/>
    <n v="-10"/>
    <n v="-3"/>
    <m/>
    <m/>
    <n v="10.771311475409835"/>
    <m/>
    <m/>
    <n v="7.9114452521455547"/>
    <m/>
    <m/>
    <m/>
    <m/>
    <m/>
    <b v="1"/>
    <s v="C"/>
    <s v="UNDER"/>
    <m/>
    <m/>
    <m/>
    <n v="20.771311475409835"/>
    <n v="431.44738040849228"/>
    <n v="17.911445252145555"/>
    <n v="320.81987102060754"/>
  </r>
  <r>
    <x v="22"/>
    <x v="27"/>
    <x v="23"/>
    <n v="0"/>
    <n v="107"/>
    <n v="1"/>
    <n v="111"/>
    <n v="218"/>
    <n v="1"/>
    <n v="201"/>
    <m/>
    <n v="108.03452172355891"/>
    <m/>
    <n v="94.690301333333366"/>
    <m/>
    <m/>
    <n v="96.4"/>
    <n v="96.2"/>
    <n v="4"/>
    <n v="-12.5"/>
    <m/>
    <m/>
    <n v="-14.878688524590165"/>
    <m/>
    <m/>
    <n v="-13.344220390225544"/>
    <m/>
    <m/>
    <m/>
    <m/>
    <m/>
    <b v="0"/>
    <s v="P"/>
    <s v="UNDER"/>
    <m/>
    <m/>
    <m/>
    <n v="-18.878688524590167"/>
    <n v="356.40488040849249"/>
    <n v="-17.344220390225544"/>
    <n v="300.82198094471551"/>
  </r>
  <r>
    <x v="22"/>
    <x v="24"/>
    <x v="12"/>
    <n v="1"/>
    <n v="105"/>
    <n v="0"/>
    <n v="102"/>
    <n v="207"/>
    <n v="1"/>
    <n v="200.5"/>
    <m/>
    <n v="104.35985945611428"/>
    <m/>
    <n v="101.69894800000002"/>
    <m/>
    <m/>
    <n v="96.2"/>
    <n v="94.2"/>
    <n v="-3"/>
    <n v="-1.5"/>
    <m/>
    <m/>
    <n v="1.5513114754098343"/>
    <m/>
    <m/>
    <n v="-2.6609114561142633"/>
    <m/>
    <m/>
    <m/>
    <m/>
    <m/>
    <b v="0"/>
    <s v="A"/>
    <s v="UNDER"/>
    <m/>
    <m/>
    <m/>
    <n v="4.5513114754098343"/>
    <n v="20.714436146197244"/>
    <n v="0.33908854388573673"/>
    <n v="0.11498104059454921"/>
  </r>
  <r>
    <x v="22"/>
    <x v="20"/>
    <x v="5"/>
    <n v="0"/>
    <n v="105"/>
    <n v="1"/>
    <n v="103"/>
    <n v="208"/>
    <n v="0"/>
    <n v="219.5"/>
    <m/>
    <n v="108.13045681965828"/>
    <m/>
    <n v="108.01507600000004"/>
    <m/>
    <m/>
    <n v="92.6"/>
    <n v="96.9"/>
    <n v="-2"/>
    <n v="-2.5"/>
    <m/>
    <m/>
    <n v="0.54131147540983449"/>
    <m/>
    <m/>
    <n v="-0.11538081965824176"/>
    <m/>
    <m/>
    <m/>
    <m/>
    <m/>
    <b v="0"/>
    <s v="NW"/>
    <s v="UNDER"/>
    <m/>
    <m/>
    <m/>
    <n v="2.5413114754098345"/>
    <n v="6.4582640150497097"/>
    <n v="1.8846191803417582"/>
    <n v="3.5517894549120408"/>
  </r>
  <r>
    <x v="22"/>
    <x v="9"/>
    <x v="25"/>
    <n v="1"/>
    <n v="89"/>
    <n v="1"/>
    <n v="82"/>
    <n v="171"/>
    <n v="0"/>
    <n v="199"/>
    <m/>
    <n v="96.16113405681466"/>
    <m/>
    <n v="101.34969866666668"/>
    <m/>
    <m/>
    <n v="94.2"/>
    <n v="98.8"/>
    <n v="-7"/>
    <n v="-7"/>
    <m/>
    <m/>
    <n v="3.1313114754098343"/>
    <m/>
    <m/>
    <n v="5.1885646098520226"/>
    <m/>
    <m/>
    <m/>
    <m/>
    <m/>
    <b v="0"/>
    <s v="SE"/>
    <s v="UNDER"/>
    <m/>
    <m/>
    <m/>
    <n v="10.131311475409834"/>
    <n v="102.643472211771"/>
    <n v="12.188564609852023"/>
    <n v="148.56110724853718"/>
  </r>
  <r>
    <x v="22"/>
    <x v="10"/>
    <x v="13"/>
    <n v="1"/>
    <n v="109"/>
    <n v="1"/>
    <n v="102"/>
    <n v="211"/>
    <n v="1"/>
    <n v="204"/>
    <m/>
    <n v="102.04894419888251"/>
    <m/>
    <n v="104.87457066666668"/>
    <m/>
    <m/>
    <n v="97.5"/>
    <n v="96.1"/>
    <n v="-7"/>
    <n v="-7"/>
    <m/>
    <m/>
    <n v="4.1413114754098341"/>
    <m/>
    <m/>
    <n v="2.8256264677841756"/>
    <m/>
    <m/>
    <m/>
    <m/>
    <m/>
    <b v="0"/>
    <s v="A"/>
    <s v="UNDER"/>
    <m/>
    <m/>
    <m/>
    <n v="11.141311475409834"/>
    <n v="124.12882139209886"/>
    <n v="9.8256264677841756"/>
    <n v="96.542935484420937"/>
  </r>
  <r>
    <x v="22"/>
    <x v="15"/>
    <x v="1"/>
    <n v="0"/>
    <n v="105"/>
    <n v="1"/>
    <n v="110"/>
    <n v="215"/>
    <n v="1"/>
    <n v="197.5"/>
    <m/>
    <n v="105.63308010654767"/>
    <m/>
    <n v="108.16331200000002"/>
    <m/>
    <m/>
    <n v="94.2"/>
    <n v="93.3"/>
    <n v="5"/>
    <n v="-5.5"/>
    <m/>
    <m/>
    <n v="6.5113114754098351"/>
    <m/>
    <m/>
    <n v="2.5302318934523527"/>
    <m/>
    <m/>
    <m/>
    <m/>
    <m/>
    <b v="0"/>
    <s v="P"/>
    <s v="UNDER"/>
    <m/>
    <m/>
    <m/>
    <n v="1.5113114754098351"/>
    <n v="2.2840623757054526"/>
    <n v="-2.4697681065476473"/>
    <n v="6.0997545001199507"/>
  </r>
  <r>
    <x v="22"/>
    <x v="12"/>
    <x v="18"/>
    <n v="0"/>
    <n v="121"/>
    <n v="1"/>
    <n v="127"/>
    <n v="248"/>
    <n v="1"/>
    <n v="223"/>
    <m/>
    <n v="108.65934369203995"/>
    <m/>
    <n v="118.57492133333336"/>
    <m/>
    <m/>
    <n v="95.4"/>
    <n v="100.7"/>
    <n v="6"/>
    <n v="-6"/>
    <m/>
    <m/>
    <n v="2.4913114754098338"/>
    <m/>
    <m/>
    <n v="9.9155776412934102"/>
    <m/>
    <m/>
    <m/>
    <m/>
    <m/>
    <b v="0"/>
    <s v="A"/>
    <s v="UNDER"/>
    <m/>
    <m/>
    <m/>
    <n v="-3.5086885245901662"/>
    <n v="12.310895162590718"/>
    <n v="3.9155776412934102"/>
    <n v="15.331748264996866"/>
  </r>
  <r>
    <x v="23"/>
    <x v="26"/>
    <x v="22"/>
    <n v="1"/>
    <n v="126"/>
    <n v="0"/>
    <n v="109"/>
    <n v="235"/>
    <n v="1"/>
    <n v="220.5"/>
    <m/>
    <n v="115.51131549407401"/>
    <m/>
    <n v="111.69330200000003"/>
    <m/>
    <m/>
    <n v="96.9"/>
    <n v="99.3"/>
    <n v="-17"/>
    <n v="-5"/>
    <m/>
    <m/>
    <n v="-8.8986885245901668"/>
    <m/>
    <m/>
    <n v="-3.8180134940739805"/>
    <m/>
    <m/>
    <m/>
    <m/>
    <m/>
    <b v="0"/>
    <s v="SW"/>
    <s v="UNDER"/>
    <m/>
    <m/>
    <m/>
    <n v="8.1013114754098332"/>
    <n v="65.631247621607045"/>
    <n v="13.18198650592602"/>
    <n v="173.76476824241567"/>
  </r>
  <r>
    <x v="23"/>
    <x v="19"/>
    <x v="26"/>
    <n v="1"/>
    <n v="96"/>
    <n v="0"/>
    <n v="73"/>
    <n v="169"/>
    <n v="0"/>
    <n v="202.5"/>
    <m/>
    <n v="102.71314368238518"/>
    <m/>
    <n v="98.954810666666688"/>
    <m/>
    <m/>
    <n v="93.9"/>
    <n v="96.1"/>
    <n v="-23"/>
    <n v="-4"/>
    <m/>
    <m/>
    <n v="-4.0886885245901663"/>
    <m/>
    <m/>
    <n v="-3.7583330157184918"/>
    <m/>
    <m/>
    <m/>
    <m/>
    <m/>
    <b v="0"/>
    <s v="SE"/>
    <s v="UNDER"/>
    <m/>
    <m/>
    <m/>
    <n v="18.911311475409832"/>
    <n v="357.63770171996759"/>
    <n v="19.241666984281508"/>
    <n v="370.24174833398905"/>
  </r>
  <r>
    <x v="23"/>
    <x v="28"/>
    <x v="28"/>
    <n v="1"/>
    <n v="110"/>
    <n v="0"/>
    <n v="86"/>
    <n v="196"/>
    <n v="0"/>
    <n v="212"/>
    <m/>
    <n v="117.67252150317566"/>
    <m/>
    <n v="99.723650000000021"/>
    <m/>
    <m/>
    <n v="95.8"/>
    <n v="97.5"/>
    <n v="-24"/>
    <n v="-11.5"/>
    <m/>
    <m/>
    <n v="-11.248688524590166"/>
    <m/>
    <m/>
    <n v="-17.948871503175639"/>
    <m/>
    <m/>
    <m/>
    <m/>
    <m/>
    <b v="0"/>
    <s v="NW"/>
    <s v="UNDER"/>
    <m/>
    <m/>
    <m/>
    <n v="12.751311475409834"/>
    <n v="162.5959443429185"/>
    <n v="6.0511284968243615"/>
    <n v="36.616156085079858"/>
  </r>
  <r>
    <x v="23"/>
    <x v="21"/>
    <x v="27"/>
    <n v="0"/>
    <n v="77"/>
    <n v="1"/>
    <n v="85"/>
    <n v="162"/>
    <n v="0"/>
    <n v="193"/>
    <m/>
    <n v="106.11435584399453"/>
    <m/>
    <n v="101.27262400000001"/>
    <m/>
    <m/>
    <n v="91.5"/>
    <n v="95.1"/>
    <n v="8"/>
    <n v="-2.5"/>
    <m/>
    <m/>
    <n v="-2.3486885245901661"/>
    <m/>
    <m/>
    <n v="-4.8417318439945234"/>
    <m/>
    <m/>
    <m/>
    <m/>
    <m/>
    <b v="0"/>
    <s v="NW"/>
    <s v="UNDER"/>
    <m/>
    <m/>
    <m/>
    <n v="-10.348688524590166"/>
    <n v="107.09535417898419"/>
    <n v="-12.841731843994523"/>
    <n v="164.91007675306298"/>
  </r>
  <r>
    <x v="23"/>
    <x v="29"/>
    <x v="0"/>
    <n v="1"/>
    <n v="119"/>
    <n v="0"/>
    <n v="112"/>
    <n v="231"/>
    <n v="1"/>
    <n v="208"/>
    <m/>
    <n v="112.49513029849834"/>
    <m/>
    <n v="107.48490133333337"/>
    <m/>
    <m/>
    <n v="96.1"/>
    <n v="96.2"/>
    <n v="-7"/>
    <n v="-5.5"/>
    <m/>
    <m/>
    <n v="-1.6186885245901657"/>
    <m/>
    <m/>
    <n v="-5.0102289651649698"/>
    <m/>
    <m/>
    <m/>
    <m/>
    <m/>
    <b v="0"/>
    <s v="SE"/>
    <s v="UNDER"/>
    <m/>
    <m/>
    <m/>
    <n v="5.3813114754098343"/>
    <n v="28.958513195377567"/>
    <n v="1.9897710348350302"/>
    <n v="3.9591887710684666"/>
  </r>
  <r>
    <x v="24"/>
    <x v="3"/>
    <x v="18"/>
    <n v="0"/>
    <n v="88"/>
    <n v="1"/>
    <n v="104"/>
    <n v="192"/>
    <n v="0"/>
    <n v="226"/>
    <m/>
    <n v="104.29044124532324"/>
    <m/>
    <n v="118.29296133333337"/>
    <m/>
    <m/>
    <n v="99.5"/>
    <n v="100.7"/>
    <n v="16"/>
    <n v="-8.5"/>
    <m/>
    <m/>
    <n v="7.9013114754098339"/>
    <m/>
    <m/>
    <n v="14.002520088010129"/>
    <m/>
    <m/>
    <m/>
    <m/>
    <m/>
    <b v="0"/>
    <s v="A"/>
    <s v="UNDER"/>
    <m/>
    <m/>
    <m/>
    <n v="-8.0986885245901661"/>
    <n v="65.588755818328437"/>
    <n v="-1.9974799119898705"/>
    <n v="3.9899259988030606"/>
  </r>
  <r>
    <x v="24"/>
    <x v="22"/>
    <x v="24"/>
    <n v="1"/>
    <n v="100"/>
    <n v="0"/>
    <n v="96"/>
    <n v="196"/>
    <n v="0"/>
    <n v="208"/>
    <m/>
    <n v="98.395221969975921"/>
    <m/>
    <n v="100.73826133333336"/>
    <m/>
    <m/>
    <n v="97.3"/>
    <n v="99.2"/>
    <n v="-4"/>
    <n v="-2"/>
    <m/>
    <m/>
    <n v="-2.4486885245901653"/>
    <m/>
    <m/>
    <n v="2.343039363357434"/>
    <m/>
    <m/>
    <m/>
    <m/>
    <m/>
    <b v="1"/>
    <s v="SE"/>
    <s v="UNDER"/>
    <m/>
    <m/>
    <m/>
    <n v="1.5513114754098347"/>
    <n v="2.4065672937382381"/>
    <n v="6.343039363357434"/>
    <n v="40.234148365101881"/>
  </r>
  <r>
    <x v="24"/>
    <x v="0"/>
    <x v="12"/>
    <n v="1"/>
    <n v="104"/>
    <n v="0"/>
    <n v="81"/>
    <n v="185"/>
    <n v="0"/>
    <n v="203"/>
    <m/>
    <n v="110.79868692672304"/>
    <m/>
    <n v="97.968628000000024"/>
    <m/>
    <m/>
    <n v="97.3"/>
    <n v="94.2"/>
    <n v="-23"/>
    <n v="-8.5"/>
    <m/>
    <m/>
    <n v="-8.8186885245901667"/>
    <m/>
    <m/>
    <n v="-12.830058926723012"/>
    <m/>
    <m/>
    <m/>
    <m/>
    <m/>
    <b v="1"/>
    <s v="C"/>
    <s v="UNDER"/>
    <m/>
    <m/>
    <m/>
    <n v="14.181311475409833"/>
    <n v="201.10959516259061"/>
    <n v="10.169941073276988"/>
    <n v="103.42770143392629"/>
  </r>
  <r>
    <x v="24"/>
    <x v="17"/>
    <x v="23"/>
    <n v="0"/>
    <n v="64"/>
    <n v="1"/>
    <n v="80"/>
    <n v="144"/>
    <n v="0"/>
    <n v="185.5"/>
    <m/>
    <n v="91.069223578429089"/>
    <m/>
    <n v="97.980341333333371"/>
    <m/>
    <m/>
    <n v="102"/>
    <n v="96.2"/>
    <n v="16"/>
    <n v="-3.5"/>
    <m/>
    <m/>
    <n v="6.7013114754098346"/>
    <m/>
    <m/>
    <n v="6.9111177549042822"/>
    <m/>
    <m/>
    <m/>
    <m/>
    <m/>
    <b v="1"/>
    <s v="SW"/>
    <s v="UNDER"/>
    <m/>
    <m/>
    <m/>
    <n v="-9.2986885245901654"/>
    <n v="86.465608277344828"/>
    <n v="-9.0888822450957178"/>
    <n v="82.60778046521618"/>
  </r>
  <r>
    <x v="24"/>
    <x v="23"/>
    <x v="29"/>
    <n v="0"/>
    <n v="111"/>
    <n v="1"/>
    <n v="113"/>
    <n v="224"/>
    <n v="1"/>
    <n v="213"/>
    <m/>
    <n v="104.94545917909572"/>
    <m/>
    <n v="108.65169600000003"/>
    <m/>
    <m/>
    <n v="99.1"/>
    <n v="95.4"/>
    <n v="2"/>
    <n v="-3.5"/>
    <m/>
    <m/>
    <n v="3.8713114754098337"/>
    <m/>
    <m/>
    <n v="3.7062368209043086"/>
    <m/>
    <m/>
    <m/>
    <m/>
    <m/>
    <b v="0"/>
    <s v="NW"/>
    <s v="UNDER"/>
    <m/>
    <m/>
    <m/>
    <n v="1.8713114754098337"/>
    <n v="3.5018066380005286"/>
    <n v="1.7062368209043086"/>
    <n v="2.9112440890096418"/>
  </r>
  <r>
    <x v="24"/>
    <x v="4"/>
    <x v="19"/>
    <n v="0"/>
    <n v="96"/>
    <n v="1"/>
    <n v="116"/>
    <n v="212"/>
    <n v="0"/>
    <n v="216.5"/>
    <m/>
    <n v="107.25172341452114"/>
    <m/>
    <n v="104.91439800000005"/>
    <m/>
    <m/>
    <n v="98.3"/>
    <n v="101.7"/>
    <n v="20"/>
    <n v="-4"/>
    <m/>
    <m/>
    <n v="-4.4086885245901657"/>
    <m/>
    <m/>
    <n v="-2.3373254145210893"/>
    <m/>
    <m/>
    <m/>
    <m/>
    <m/>
    <b v="0"/>
    <s v="C"/>
    <s v="UNDER"/>
    <m/>
    <m/>
    <m/>
    <n v="-24.408688524590165"/>
    <n v="595.7840754904596"/>
    <n v="-22.337325414521089"/>
    <n v="498.95610667420976"/>
  </r>
  <r>
    <x v="24"/>
    <x v="5"/>
    <x v="1"/>
    <n v="0"/>
    <n v="107"/>
    <n v="1"/>
    <n v="116"/>
    <n v="223"/>
    <n v="1"/>
    <n v="209"/>
    <m/>
    <n v="107.4162314170964"/>
    <m/>
    <n v="109.40420200000001"/>
    <m/>
    <m/>
    <n v="100.2"/>
    <n v="93.3"/>
    <n v="9"/>
    <n v="-7.5"/>
    <m/>
    <m/>
    <n v="6.9313114754098351"/>
    <m/>
    <m/>
    <n v="1.9879705829036141"/>
    <m/>
    <m/>
    <m/>
    <m/>
    <m/>
    <b v="0"/>
    <s v="P"/>
    <s v="UNDER"/>
    <m/>
    <m/>
    <m/>
    <n v="-2.0686885245901649"/>
    <n v="4.2794722117710338"/>
    <n v="-7.0120294170963859"/>
    <n v="49.168556546225084"/>
  </r>
  <r>
    <x v="24"/>
    <x v="8"/>
    <x v="22"/>
    <n v="1"/>
    <n v="113"/>
    <n v="0"/>
    <n v="101"/>
    <n v="214"/>
    <n v="1"/>
    <n v="213.5"/>
    <m/>
    <n v="108.44231327976011"/>
    <m/>
    <n v="107.74116200000002"/>
    <m/>
    <m/>
    <n v="98.8"/>
    <n v="99.3"/>
    <n v="-12"/>
    <n v="0"/>
    <m/>
    <m/>
    <n v="-2.5186885245901656"/>
    <m/>
    <m/>
    <n v="-0.70115127976009717"/>
    <m/>
    <m/>
    <m/>
    <m/>
    <m/>
    <b v="0"/>
    <s v="SW"/>
    <s v="UNDER"/>
    <m/>
    <m/>
    <m/>
    <n v="9.481311475409834"/>
    <n v="89.8952672937382"/>
    <n v="11.298848720239903"/>
    <n v="127.66398240286689"/>
  </r>
  <r>
    <x v="24"/>
    <x v="20"/>
    <x v="3"/>
    <n v="1"/>
    <n v="124"/>
    <n v="0"/>
    <n v="105"/>
    <n v="229"/>
    <n v="1"/>
    <n v="217"/>
    <m/>
    <n v="109.55649681965828"/>
    <m/>
    <n v="93.392989333333361"/>
    <m/>
    <m/>
    <n v="92.6"/>
    <n v="92.9"/>
    <n v="-19"/>
    <n v="-9.5"/>
    <m/>
    <m/>
    <n v="-11.928688524590166"/>
    <m/>
    <m/>
    <n v="-16.163507486324917"/>
    <m/>
    <m/>
    <m/>
    <m/>
    <m/>
    <b v="0"/>
    <s v="NW"/>
    <s v="UNDER"/>
    <m/>
    <m/>
    <m/>
    <n v="7.0713114754098338"/>
    <n v="50.003445982262804"/>
    <n v="2.8364925136750827"/>
    <n v="8.04568978013479"/>
  </r>
  <r>
    <x v="24"/>
    <x v="15"/>
    <x v="15"/>
    <n v="0"/>
    <n v="115"/>
    <n v="1"/>
    <n v="121"/>
    <n v="236"/>
    <n v="1"/>
    <n v="202.5"/>
    <m/>
    <n v="103.07084010654768"/>
    <m/>
    <n v="114.3792426666667"/>
    <m/>
    <m/>
    <n v="94.2"/>
    <n v="96.4"/>
    <n v="6"/>
    <n v="-8.5"/>
    <m/>
    <m/>
    <n v="11.951311475409835"/>
    <m/>
    <m/>
    <n v="11.308402560119021"/>
    <m/>
    <m/>
    <m/>
    <m/>
    <m/>
    <b v="1"/>
    <s v="P"/>
    <s v="UNDER"/>
    <m/>
    <m/>
    <m/>
    <n v="5.9513114754098346"/>
    <n v="35.418108277344786"/>
    <n v="5.3084025601190206"/>
    <n v="28.179137740278172"/>
  </r>
  <r>
    <x v="25"/>
    <x v="18"/>
    <x v="14"/>
    <n v="0"/>
    <n v="92"/>
    <n v="1"/>
    <n v="94"/>
    <n v="186"/>
    <n v="0"/>
    <n v="199.5"/>
    <m/>
    <n v="111.4070983347156"/>
    <m/>
    <n v="102.59511333333336"/>
    <m/>
    <m/>
    <n v="94.2"/>
    <n v="99.5"/>
    <n v="2"/>
    <n v="-1.5"/>
    <m/>
    <m/>
    <n v="-4.9386885245901659"/>
    <m/>
    <m/>
    <n v="-8.8119850013822401"/>
    <m/>
    <m/>
    <m/>
    <m/>
    <m/>
    <b v="0"/>
    <s v="C"/>
    <s v="UNDER"/>
    <m/>
    <m/>
    <m/>
    <n v="-6.9386885245901659"/>
    <n v="48.145398441279255"/>
    <n v="-10.81198500138224"/>
    <n v="116.89901967011451"/>
  </r>
  <r>
    <x v="25"/>
    <x v="26"/>
    <x v="2"/>
    <n v="1"/>
    <n v="111"/>
    <n v="0"/>
    <n v="102"/>
    <n v="213"/>
    <n v="1"/>
    <n v="200.5"/>
    <m/>
    <n v="105.86976549407402"/>
    <m/>
    <n v="99.93691000000004"/>
    <m/>
    <m/>
    <n v="96.9"/>
    <n v="91.5"/>
    <n v="-9"/>
    <n v="-6.5"/>
    <m/>
    <m/>
    <n v="-2.2186885245901662"/>
    <m/>
    <m/>
    <n v="-5.9328554940739764"/>
    <m/>
    <m/>
    <m/>
    <m/>
    <m/>
    <b v="0"/>
    <s v="SW"/>
    <s v="UNDER"/>
    <m/>
    <m/>
    <m/>
    <n v="6.7813114754098338"/>
    <n v="45.986185326525096"/>
    <n v="3.0671445059260236"/>
    <n v="9.4073754202321922"/>
  </r>
  <r>
    <x v="25"/>
    <x v="27"/>
    <x v="27"/>
    <n v="0"/>
    <n v="102"/>
    <n v="1"/>
    <n v="95"/>
    <n v="197"/>
    <n v="0"/>
    <n v="203.5"/>
    <m/>
    <n v="112.21828172355892"/>
    <m/>
    <n v="101.59596400000001"/>
    <m/>
    <m/>
    <n v="96.4"/>
    <n v="95.1"/>
    <n v="-7"/>
    <n v="-8"/>
    <m/>
    <m/>
    <n v="-10.818688524590165"/>
    <m/>
    <m/>
    <n v="-10.622317723558908"/>
    <m/>
    <m/>
    <m/>
    <m/>
    <m/>
    <b v="0"/>
    <s v="P"/>
    <s v="UNDER"/>
    <m/>
    <m/>
    <m/>
    <n v="-3.8186885245901649"/>
    <n v="14.58238204783661"/>
    <n v="-3.6223177235589077"/>
    <n v="13.121185690408987"/>
  </r>
  <r>
    <x v="25"/>
    <x v="6"/>
    <x v="6"/>
    <n v="1"/>
    <n v="93"/>
    <n v="0"/>
    <n v="71"/>
    <n v="164"/>
    <n v="0"/>
    <n v="200"/>
    <m/>
    <n v="103.6791147304164"/>
    <m/>
    <n v="99.709278666666677"/>
    <m/>
    <m/>
    <n v="96.2"/>
    <n v="95.8"/>
    <n v="-22"/>
    <n v="-1"/>
    <m/>
    <m/>
    <n v="-4.6086885245901659"/>
    <m/>
    <m/>
    <n v="-3.9698360637497245"/>
    <m/>
    <m/>
    <m/>
    <m/>
    <m/>
    <b v="0"/>
    <s v="SW"/>
    <s v="UNDER"/>
    <m/>
    <m/>
    <m/>
    <n v="17.391311475409836"/>
    <n v="302.45771483472186"/>
    <n v="18.030163936250275"/>
    <n v="325.08681156806"/>
  </r>
  <r>
    <x v="25"/>
    <x v="7"/>
    <x v="18"/>
    <n v="0"/>
    <n v="121"/>
    <n v="1"/>
    <n v="124"/>
    <n v="245"/>
    <n v="1"/>
    <n v="218.5"/>
    <m/>
    <n v="106.67353333230638"/>
    <m/>
    <n v="119.86388133333337"/>
    <m/>
    <m/>
    <n v="96.1"/>
    <n v="100.7"/>
    <n v="3"/>
    <n v="-9"/>
    <m/>
    <m/>
    <n v="10.891311475409834"/>
    <m/>
    <m/>
    <n v="13.19034800102699"/>
    <m/>
    <m/>
    <m/>
    <m/>
    <m/>
    <b v="0"/>
    <s v="C"/>
    <s v="UNDER"/>
    <m/>
    <m/>
    <m/>
    <n v="7.8913114754098341"/>
    <n v="62.27279680193493"/>
    <n v="10.19034800102699"/>
    <n v="103.84319238203477"/>
  </r>
  <r>
    <x v="25"/>
    <x v="8"/>
    <x v="7"/>
    <n v="1"/>
    <n v="121"/>
    <n v="0"/>
    <n v="116"/>
    <n v="237"/>
    <n v="1"/>
    <n v="205.5"/>
    <m/>
    <n v="102.42539327976012"/>
    <m/>
    <n v="103.94623866666669"/>
    <m/>
    <m/>
    <n v="98.8"/>
    <n v="97.3"/>
    <n v="-5"/>
    <n v="-1.5"/>
    <m/>
    <m/>
    <n v="1.9013114754098344"/>
    <m/>
    <m/>
    <n v="1.5208453869065721"/>
    <m/>
    <m/>
    <m/>
    <m/>
    <m/>
    <b v="0"/>
    <s v="SW"/>
    <s v="UNDER"/>
    <m/>
    <m/>
    <m/>
    <n v="6.9013114754098339"/>
    <n v="47.628100080623462"/>
    <n v="6.5208453869065721"/>
    <n v="42.521424559940719"/>
  </r>
  <r>
    <x v="25"/>
    <x v="9"/>
    <x v="4"/>
    <n v="1"/>
    <n v="95"/>
    <n v="0"/>
    <n v="87"/>
    <n v="182"/>
    <n v="1"/>
    <n v="179.5"/>
    <m/>
    <n v="96.735754056814656"/>
    <m/>
    <n v="98.961080000000038"/>
    <m/>
    <m/>
    <n v="94.2"/>
    <n v="102"/>
    <n v="-8"/>
    <n v="-7.5"/>
    <m/>
    <m/>
    <n v="-3.0386885245901656"/>
    <m/>
    <m/>
    <n v="2.225325943185382"/>
    <m/>
    <m/>
    <m/>
    <m/>
    <m/>
    <b v="0"/>
    <s v="SE"/>
    <s v="UNDER"/>
    <m/>
    <m/>
    <m/>
    <n v="4.9613114754098344"/>
    <n v="24.614611556033307"/>
    <n v="10.225325943185382"/>
    <n v="104.55729064438002"/>
  </r>
  <r>
    <x v="25"/>
    <x v="10"/>
    <x v="19"/>
    <n v="1"/>
    <n v="120"/>
    <n v="0"/>
    <n v="105"/>
    <n v="225"/>
    <n v="1"/>
    <n v="211"/>
    <m/>
    <n v="99.913694198882524"/>
    <m/>
    <n v="105.04660800000005"/>
    <m/>
    <m/>
    <n v="97.5"/>
    <n v="101.7"/>
    <n v="-15"/>
    <n v="-1.5"/>
    <m/>
    <m/>
    <n v="0.49131147540983466"/>
    <m/>
    <m/>
    <n v="5.1329138011175246"/>
    <m/>
    <m/>
    <m/>
    <m/>
    <m/>
    <b v="0"/>
    <s v="A"/>
    <s v="UNDER"/>
    <m/>
    <m/>
    <m/>
    <n v="15.491311475409834"/>
    <n v="239.98073122816439"/>
    <n v="20.132913801117525"/>
    <n v="405.33421812322848"/>
  </r>
  <r>
    <x v="25"/>
    <x v="29"/>
    <x v="9"/>
    <n v="0"/>
    <n v="111"/>
    <n v="1"/>
    <n v="114"/>
    <n v="225"/>
    <n v="1"/>
    <n v="199"/>
    <m/>
    <n v="105.95072029849834"/>
    <m/>
    <n v="98.990006000000022"/>
    <m/>
    <m/>
    <n v="96.1"/>
    <n v="93.9"/>
    <n v="3"/>
    <n v="-4.5"/>
    <m/>
    <m/>
    <n v="-1.1286885245901657"/>
    <m/>
    <m/>
    <n v="-6.960714298498317"/>
    <m/>
    <m/>
    <m/>
    <m/>
    <m/>
    <b v="1"/>
    <s v="SE"/>
    <s v="UNDER"/>
    <m/>
    <m/>
    <m/>
    <n v="-4.1286885245901654"/>
    <n v="17.046068933082516"/>
    <n v="-9.960714298498317"/>
    <n v="99.215829336308815"/>
  </r>
  <r>
    <x v="26"/>
    <x v="16"/>
    <x v="22"/>
    <n v="0"/>
    <n v="109"/>
    <n v="1"/>
    <n v="129"/>
    <n v="238"/>
    <n v="1"/>
    <n v="219.5"/>
    <m/>
    <n v="105.8578980127178"/>
    <m/>
    <n v="113.22252200000001"/>
    <m/>
    <m/>
    <n v="92.9"/>
    <n v="99.3"/>
    <n v="20"/>
    <n v="-4.5"/>
    <m/>
    <m/>
    <n v="3.5713114754098343"/>
    <m/>
    <m/>
    <n v="7.364623987282215"/>
    <m/>
    <m/>
    <m/>
    <m/>
    <m/>
    <b v="0"/>
    <s v="A"/>
    <s v="UNDER"/>
    <m/>
    <m/>
    <m/>
    <n v="-16.428688524590164"/>
    <n v="269.90180663800055"/>
    <n v="-12.635376012717785"/>
    <n v="159.65272698276399"/>
  </r>
  <r>
    <x v="26"/>
    <x v="23"/>
    <x v="2"/>
    <n v="1"/>
    <n v="105"/>
    <n v="0"/>
    <n v="91"/>
    <n v="196"/>
    <n v="0"/>
    <n v="198"/>
    <m/>
    <n v="99.653519179095724"/>
    <m/>
    <n v="97.759210000000024"/>
    <m/>
    <m/>
    <n v="99.1"/>
    <n v="91.5"/>
    <n v="-14"/>
    <n v="-4"/>
    <m/>
    <m/>
    <n v="2.1413114754098341"/>
    <m/>
    <m/>
    <n v="-1.8943091790956998"/>
    <m/>
    <m/>
    <m/>
    <m/>
    <m/>
    <b v="1"/>
    <s v="NW"/>
    <s v="UNDER"/>
    <m/>
    <m/>
    <m/>
    <n v="16.141311475409836"/>
    <n v="260.54193614619726"/>
    <n v="12.1056908209043"/>
    <n v="146.54775025132662"/>
  </r>
  <r>
    <x v="26"/>
    <x v="5"/>
    <x v="27"/>
    <n v="0"/>
    <n v="110"/>
    <n v="1"/>
    <n v="118"/>
    <n v="228"/>
    <n v="1"/>
    <n v="209.5"/>
    <m/>
    <n v="108.3380714170964"/>
    <m/>
    <n v="109.91721400000002"/>
    <m/>
    <m/>
    <n v="100.2"/>
    <n v="95.1"/>
    <n v="8"/>
    <n v="-2"/>
    <m/>
    <m/>
    <n v="4.3313114754098336"/>
    <m/>
    <m/>
    <n v="1.5791425829036143"/>
    <m/>
    <m/>
    <m/>
    <m/>
    <m/>
    <b v="0"/>
    <s v="P"/>
    <s v="UNDER"/>
    <m/>
    <m/>
    <m/>
    <n v="-3.6686885245901664"/>
    <n v="13.459275490459572"/>
    <n v="-6.4208574170963857"/>
    <n v="41.22740997068167"/>
  </r>
  <r>
    <x v="26"/>
    <x v="24"/>
    <x v="24"/>
    <n v="1"/>
    <n v="104"/>
    <n v="0"/>
    <n v="94"/>
    <n v="198"/>
    <n v="0"/>
    <n v="208"/>
    <m/>
    <n v="102.33003945611428"/>
    <m/>
    <n v="104.59714133333335"/>
    <m/>
    <m/>
    <n v="96.2"/>
    <n v="99.2"/>
    <n v="-10"/>
    <n v="-4.5"/>
    <m/>
    <m/>
    <n v="1.1413114754098341"/>
    <m/>
    <m/>
    <n v="2.2671018772190763"/>
    <m/>
    <m/>
    <m/>
    <m/>
    <m/>
    <b v="0"/>
    <s v="A"/>
    <s v="UNDER"/>
    <m/>
    <m/>
    <m/>
    <n v="11.141311475409834"/>
    <n v="124.12882139209886"/>
    <n v="12.267101877219076"/>
    <n v="150.48178846607178"/>
  </r>
  <r>
    <x v="26"/>
    <x v="20"/>
    <x v="16"/>
    <n v="0"/>
    <n v="111"/>
    <n v="1"/>
    <n v="115"/>
    <n v="226"/>
    <n v="1"/>
    <n v="211"/>
    <m/>
    <n v="107.25075681965828"/>
    <m/>
    <n v="100.31580533333334"/>
    <m/>
    <m/>
    <n v="92.6"/>
    <n v="98.3"/>
    <n v="4"/>
    <n v="-9.5"/>
    <m/>
    <m/>
    <n v="-7.9286885245901662"/>
    <m/>
    <m/>
    <n v="-6.934951486324934"/>
    <m/>
    <m/>
    <m/>
    <m/>
    <m/>
    <b v="0"/>
    <s v="NW"/>
    <s v="UNDER"/>
    <m/>
    <m/>
    <m/>
    <n v="-11.928688524590166"/>
    <n v="142.29360991668912"/>
    <n v="-10.934951486324934"/>
    <n v="119.57316400827989"/>
  </r>
  <r>
    <x v="26"/>
    <x v="15"/>
    <x v="29"/>
    <n v="0"/>
    <n v="102"/>
    <n v="1"/>
    <n v="99"/>
    <n v="201"/>
    <n v="0"/>
    <n v="211"/>
    <m/>
    <n v="107.78084010654767"/>
    <m/>
    <n v="111.52323600000004"/>
    <m/>
    <m/>
    <n v="94.2"/>
    <n v="95.4"/>
    <n v="-3"/>
    <n v="-4"/>
    <m/>
    <m/>
    <n v="5.2113114754098344"/>
    <m/>
    <m/>
    <n v="3.7423958934523682"/>
    <m/>
    <m/>
    <m/>
    <m/>
    <m/>
    <b v="0"/>
    <s v="P"/>
    <s v="UNDER"/>
    <m/>
    <m/>
    <m/>
    <n v="8.2113114754098344"/>
    <n v="67.425636146197235"/>
    <n v="6.7423958934523682"/>
    <n v="45.45990238404336"/>
  </r>
  <r>
    <x v="27"/>
    <x v="22"/>
    <x v="23"/>
    <n v="0"/>
    <n v="90"/>
    <n v="1"/>
    <n v="105"/>
    <n v="195"/>
    <n v="0"/>
    <n v="197.5"/>
    <m/>
    <n v="100.43852196997592"/>
    <m/>
    <n v="98.076541333333367"/>
    <m/>
    <m/>
    <n v="97.3"/>
    <n v="96.2"/>
    <n v="15"/>
    <n v="4.5"/>
    <n v="0"/>
    <n v="-6.3"/>
    <n v="-4.148688524590165"/>
    <m/>
    <m/>
    <n v="-2.3619806366425564"/>
    <s v="HOME"/>
    <m/>
    <m/>
    <m/>
    <m/>
    <b v="0"/>
    <s v="SE"/>
    <s v="UNDER"/>
    <n v="-10.8"/>
    <m/>
    <m/>
    <n v="-19.148688524590163"/>
    <n v="366.67227221177103"/>
    <n v="-17.361980636642556"/>
    <n v="301.43837162715107"/>
  </r>
  <r>
    <x v="27"/>
    <x v="18"/>
    <x v="5"/>
    <n v="0"/>
    <n v="96"/>
    <n v="1"/>
    <n v="99"/>
    <n v="195"/>
    <n v="0"/>
    <n v="209.5"/>
    <m/>
    <n v="113.35703833471561"/>
    <m/>
    <n v="104.95303600000003"/>
    <m/>
    <m/>
    <n v="94.2"/>
    <n v="96.9"/>
    <n v="3"/>
    <n v="2.5"/>
    <n v="0"/>
    <n v="1.2"/>
    <n v="-1.8186885245901654"/>
    <m/>
    <m/>
    <n v="-8.4040023347155852"/>
    <s v="HOME"/>
    <m/>
    <m/>
    <m/>
    <m/>
    <b v="0"/>
    <s v="C"/>
    <s v="UNDER"/>
    <n v="-1.3"/>
    <m/>
    <m/>
    <n v="-4.8186885245901649"/>
    <n v="23.21975909701694"/>
    <n v="-11.404002334715585"/>
    <n v="130.05126925019852"/>
  </r>
  <r>
    <x v="27"/>
    <x v="4"/>
    <x v="18"/>
    <n v="0"/>
    <n v="83"/>
    <n v="1"/>
    <n v="120"/>
    <n v="203"/>
    <n v="0"/>
    <n v="219"/>
    <m/>
    <n v="105.05963341452113"/>
    <m/>
    <n v="119.42080133333337"/>
    <m/>
    <m/>
    <n v="98.3"/>
    <n v="100.7"/>
    <n v="37"/>
    <n v="13"/>
    <n v="0"/>
    <n v="7.1"/>
    <n v="13.251311475409834"/>
    <m/>
    <m/>
    <n v="14.361167918812242"/>
    <s v="HOME"/>
    <m/>
    <m/>
    <m/>
    <m/>
    <b v="0"/>
    <s v="C"/>
    <s v="UNDER"/>
    <n v="-5.9"/>
    <m/>
    <m/>
    <n v="-23.748688524590165"/>
    <n v="564.00020663800058"/>
    <n v="-22.638832081187758"/>
    <n v="512.51671800021597"/>
  </r>
  <r>
    <x v="27"/>
    <x v="27"/>
    <x v="29"/>
    <n v="0"/>
    <n v="123"/>
    <n v="1"/>
    <n v="115"/>
    <n v="238"/>
    <n v="1"/>
    <n v="207"/>
    <m/>
    <n v="113.52932172355892"/>
    <m/>
    <n v="104.44455600000003"/>
    <m/>
    <m/>
    <n v="96.4"/>
    <n v="95.4"/>
    <n v="-8"/>
    <n v="-8.5"/>
    <n v="0"/>
    <n v="-12.8"/>
    <n v="-9.518688524590166"/>
    <m/>
    <m/>
    <n v="-9.0847657235588883"/>
    <s v="HOME"/>
    <m/>
    <m/>
    <m/>
    <m/>
    <b v="0"/>
    <s v="P"/>
    <s v="UNDER"/>
    <n v="-4.3000000000000007"/>
    <m/>
    <m/>
    <n v="-1.518688524590166"/>
    <n v="2.3064148347218554"/>
    <n v="-1.0847657235588883"/>
    <n v="1.1767166750082385"/>
  </r>
  <r>
    <x v="27"/>
    <x v="7"/>
    <x v="17"/>
    <n v="0"/>
    <n v="93"/>
    <n v="1"/>
    <n v="89"/>
    <n v="182"/>
    <n v="0"/>
    <n v="200.5"/>
    <m/>
    <n v="107.59609333230638"/>
    <m/>
    <n v="94.332508000000033"/>
    <m/>
    <m/>
    <n v="96.1"/>
    <n v="94.2"/>
    <n v="-4"/>
    <n v="-5"/>
    <n v="0"/>
    <n v="-9.5"/>
    <n v="-8.9586885245901655"/>
    <m/>
    <m/>
    <n v="-13.263585332306349"/>
    <s v="HOME"/>
    <m/>
    <m/>
    <m/>
    <m/>
    <b v="0"/>
    <s v="C"/>
    <s v="UNDER"/>
    <n v="-4.5"/>
    <m/>
    <m/>
    <n v="-4.9586885245901655"/>
    <n v="24.588591883902193"/>
    <n v="-9.2635853323063486"/>
    <n v="85.814013208921324"/>
  </r>
  <r>
    <x v="27"/>
    <x v="28"/>
    <x v="14"/>
    <n v="0"/>
    <n v="93"/>
    <n v="1"/>
    <n v="99"/>
    <n v="192"/>
    <n v="0"/>
    <n v="207.5"/>
    <m/>
    <n v="116.47502150317565"/>
    <m/>
    <n v="110.72426333333335"/>
    <m/>
    <m/>
    <n v="95.8"/>
    <n v="99.5"/>
    <n v="6"/>
    <n v="2"/>
    <n v="0"/>
    <n v="-5.2"/>
    <n v="-0.99868852459016577"/>
    <m/>
    <m/>
    <n v="-5.7507581698422996"/>
    <s v="HOME"/>
    <m/>
    <m/>
    <m/>
    <m/>
    <b v="0"/>
    <s v="NW"/>
    <s v="UNDER"/>
    <n v="-7.2"/>
    <m/>
    <m/>
    <n v="-6.9986885245901655"/>
    <n v="48.981641064230068"/>
    <n v="-11.7507581698423"/>
    <n v="138.08031756611555"/>
  </r>
  <r>
    <x v="27"/>
    <x v="10"/>
    <x v="9"/>
    <n v="1"/>
    <n v="101"/>
    <n v="0"/>
    <n v="94"/>
    <n v="195"/>
    <n v="0"/>
    <n v="201"/>
    <m/>
    <n v="95.409194198882517"/>
    <m/>
    <n v="97.637846000000025"/>
    <m/>
    <m/>
    <n v="97.5"/>
    <n v="93.9"/>
    <n v="-7"/>
    <n v="4.5"/>
    <n v="0"/>
    <n v="8.6999999999999993"/>
    <n v="5.7913114754098345"/>
    <m/>
    <m/>
    <n v="2.2286518011175076"/>
    <s v="AWAY"/>
    <m/>
    <m/>
    <m/>
    <m/>
    <b v="0"/>
    <s v="A"/>
    <s v="UNDER"/>
    <n v="4.1999999999999993"/>
    <m/>
    <m/>
    <n v="12.791311475409834"/>
    <n v="163.61764926095131"/>
    <n v="9.2286518011175076"/>
    <n v="85.168014066269421"/>
  </r>
  <r>
    <x v="27"/>
    <x v="25"/>
    <x v="4"/>
    <n v="0"/>
    <n v="96"/>
    <n v="1"/>
    <n v="91"/>
    <n v="187"/>
    <n v="1"/>
    <n v="187"/>
    <m/>
    <n v="101.17292525149296"/>
    <m/>
    <n v="97.706480000000028"/>
    <m/>
    <m/>
    <n v="93.3"/>
    <n v="102"/>
    <n v="-5"/>
    <n v="-15.5"/>
    <n v="0"/>
    <n v="-19.399999999999999"/>
    <n v="-18.918688524590166"/>
    <m/>
    <m/>
    <n v="-3.466445251492928"/>
    <s v="HOME"/>
    <m/>
    <m/>
    <m/>
    <m/>
    <b v="1"/>
    <s v="SW"/>
    <s v="UNDER"/>
    <n v="-3.8999999999999986"/>
    <m/>
    <m/>
    <n v="-13.918688524590166"/>
    <n v="193.72989024455799"/>
    <n v="1.533554748507072"/>
    <n v="2.3517901666685885"/>
  </r>
  <r>
    <x v="27"/>
    <x v="29"/>
    <x v="19"/>
    <n v="0"/>
    <n v="106"/>
    <n v="1"/>
    <n v="101"/>
    <n v="207"/>
    <n v="0"/>
    <n v="220.5"/>
    <m/>
    <n v="110.39054029849834"/>
    <m/>
    <n v="106.51108800000004"/>
    <m/>
    <m/>
    <n v="96.1"/>
    <n v="101.7"/>
    <n v="-5"/>
    <n v="-8"/>
    <n v="1"/>
    <n v="-7.5"/>
    <n v="-6.4286885245901662"/>
    <m/>
    <m/>
    <n v="-3.8794522984982933"/>
    <s v="AWAY"/>
    <m/>
    <m/>
    <m/>
    <m/>
    <b v="0"/>
    <s v="SE"/>
    <s v="UNDER"/>
    <n v="0.5"/>
    <m/>
    <m/>
    <n v="-1.4286885245901662"/>
    <n v="2.0411509002956256"/>
    <n v="1.1205477015017067"/>
    <n v="1.255627151340758"/>
  </r>
  <r>
    <x v="28"/>
    <x v="13"/>
    <x v="25"/>
    <n v="0"/>
    <n v="94"/>
    <n v="1"/>
    <n v="112"/>
    <n v="206"/>
    <n v="0"/>
    <n v="210"/>
    <n v="98"/>
    <n v="98.769079292911286"/>
    <n v="92"/>
    <n v="94.680698666666686"/>
    <n v="1"/>
    <n v="190"/>
    <n v="99.2"/>
    <n v="98.8"/>
    <n v="18"/>
    <n v="-8.5"/>
    <n v="0"/>
    <n v="-14.2"/>
    <n v="-7.7886885245901656"/>
    <n v="1"/>
    <n v="-6.15"/>
    <n v="-4.0883806262446001"/>
    <s v="HOME"/>
    <s v="AWAY"/>
    <n v="0"/>
    <m/>
    <n v="1"/>
    <b v="0"/>
    <s v="SE"/>
    <s v="UNDER"/>
    <n v="-5.6999999999999993"/>
    <n v="2.3499999999999996"/>
    <n v="-8.0499999999999989"/>
    <n v="-25.788688524590164"/>
    <n v="665.05645581832835"/>
    <n v="-22.0883806262446"/>
    <n v="487.89655868985778"/>
  </r>
  <r>
    <x v="28"/>
    <x v="23"/>
    <x v="27"/>
    <n v="1"/>
    <n v="110"/>
    <n v="0"/>
    <n v="107"/>
    <n v="217"/>
    <n v="1"/>
    <n v="208"/>
    <n v="104"/>
    <n v="103.59769917909573"/>
    <n v="105"/>
    <n v="105.78987400000001"/>
    <n v="1"/>
    <n v="209"/>
    <n v="99.1"/>
    <n v="95.1"/>
    <n v="-3"/>
    <n v="1.5"/>
    <n v="0"/>
    <n v="3.4"/>
    <n v="2.5713114754098338"/>
    <n v="1"/>
    <n v="0.87"/>
    <n v="2.1921748209042846"/>
    <s v="AWAY"/>
    <s v="HOME"/>
    <n v="0"/>
    <m/>
    <n v="1"/>
    <b v="0"/>
    <s v="NW"/>
    <s v="OVER"/>
    <n v="1.9"/>
    <n v="-0.63"/>
    <n v="2.5299999999999998"/>
    <n v="5.5713114754098338"/>
    <n v="31.0395115560333"/>
    <n v="5.1921748209042846"/>
    <n v="26.958679370832439"/>
  </r>
  <r>
    <x v="28"/>
    <x v="5"/>
    <x v="10"/>
    <n v="1"/>
    <n v="111"/>
    <n v="0"/>
    <n v="109"/>
    <n v="220"/>
    <n v="0"/>
    <n v="221"/>
    <n v="105"/>
    <n v="107.1657314170964"/>
    <n v="108"/>
    <n v="101.95321733333336"/>
    <n v="1"/>
    <n v="213"/>
    <n v="100.2"/>
    <n v="92.6"/>
    <n v="-2"/>
    <n v="3.5"/>
    <n v="1"/>
    <n v="-0.8"/>
    <n v="2.1311475409834191E-2"/>
    <n v="1"/>
    <n v="2.87"/>
    <n v="-5.2125140837630397"/>
    <s v="HOME"/>
    <s v="HOME"/>
    <m/>
    <n v="1"/>
    <m/>
    <b v="0"/>
    <s v="P"/>
    <s v="UNDER"/>
    <n v="-4.3"/>
    <n v="-0.62999999999999989"/>
    <n v="-3.67"/>
    <n v="2.021311475409834"/>
    <n v="4.0857000806234804"/>
    <n v="-3.2125140837630397"/>
    <n v="10.320246738375882"/>
  </r>
  <r>
    <x v="28"/>
    <x v="24"/>
    <x v="22"/>
    <n v="1"/>
    <n v="107"/>
    <n v="0"/>
    <n v="103"/>
    <n v="210"/>
    <n v="0"/>
    <n v="216.5"/>
    <n v="115"/>
    <n v="114.26845945611427"/>
    <n v="112"/>
    <n v="112.30896200000002"/>
    <n v="0"/>
    <n v="227"/>
    <n v="96.2"/>
    <n v="99.3"/>
    <n v="-4"/>
    <n v="-1.5"/>
    <n v="1"/>
    <n v="-3.5"/>
    <n v="-3.6086885245901659"/>
    <n v="1"/>
    <n v="-3.59"/>
    <n v="-1.9594974561142493"/>
    <s v="HOME"/>
    <s v="HOME"/>
    <m/>
    <n v="1"/>
    <m/>
    <b v="0"/>
    <s v="A"/>
    <s v="OVER"/>
    <n v="-2"/>
    <n v="-2.09"/>
    <n v="8.9999999999999858E-2"/>
    <n v="0.39131147540983413"/>
    <n v="0.15312467078742123"/>
    <n v="2.0405025438857507"/>
    <n v="4.1636506316042201"/>
  </r>
  <r>
    <x v="29"/>
    <x v="16"/>
    <x v="14"/>
    <n v="0"/>
    <n v="92"/>
    <n v="1"/>
    <n v="111"/>
    <n v="203"/>
    <n v="0"/>
    <n v="215"/>
    <n v="104"/>
    <n v="101.31508801271781"/>
    <n v="107"/>
    <n v="111.57001333333335"/>
    <n v="1"/>
    <n v="211"/>
    <n v="92.9"/>
    <n v="99.5"/>
    <n v="19"/>
    <n v="7.5"/>
    <n v="0"/>
    <n v="3.5"/>
    <n v="6.5713114754098338"/>
    <n v="0"/>
    <n v="3.4"/>
    <n v="10.254925320615541"/>
    <s v="HOME"/>
    <s v="HOME"/>
    <m/>
    <n v="0"/>
    <m/>
    <b v="1"/>
    <s v="A"/>
    <s v="UNDER"/>
    <n v="-4"/>
    <n v="-4.0999999999999996"/>
    <n v="9.9999999999999645E-2"/>
    <n v="-12.428688524590166"/>
    <n v="154.47229844127929"/>
    <n v="-8.7450746793844587"/>
    <n v="76.476331148011198"/>
  </r>
  <r>
    <x v="29"/>
    <x v="22"/>
    <x v="1"/>
    <n v="1"/>
    <n v="114"/>
    <n v="1"/>
    <n v="119"/>
    <n v="233"/>
    <n v="1"/>
    <n v="200.5"/>
    <n v="101"/>
    <n v="103.76618196997592"/>
    <n v="102"/>
    <n v="104.52461200000002"/>
    <n v="1"/>
    <n v="203"/>
    <n v="97.3"/>
    <n v="93.3"/>
    <n v="5"/>
    <n v="5"/>
    <n v="0"/>
    <n v="1.8"/>
    <n v="2.5113114754098351"/>
    <n v="1"/>
    <n v="0.5"/>
    <n v="0.75843003002410114"/>
    <s v="HOME"/>
    <s v="HOME"/>
    <m/>
    <n v="1"/>
    <m/>
    <b v="0"/>
    <s v="SE"/>
    <s v="OVER"/>
    <n v="-3.2"/>
    <n v="-4.5"/>
    <n v="1.2999999999999998"/>
    <n v="-2.4886885245901649"/>
    <n v="6.193570572426772"/>
    <n v="-4.2415699699758989"/>
    <n v="17.990915810201347"/>
  </r>
  <r>
    <x v="29"/>
    <x v="0"/>
    <x v="22"/>
    <n v="1"/>
    <n v="137"/>
    <n v="1"/>
    <n v="125"/>
    <n v="262"/>
    <n v="1"/>
    <n v="216.5"/>
    <n v="114"/>
    <n v="120.82058692672302"/>
    <n v="105"/>
    <n v="108.37668200000002"/>
    <n v="1"/>
    <n v="219"/>
    <n v="97.3"/>
    <n v="99.3"/>
    <n v="-12"/>
    <n v="-12"/>
    <n v="0"/>
    <n v="-12.2"/>
    <n v="-13.978688524590167"/>
    <n v="1"/>
    <n v="-9.4"/>
    <n v="-12.443904926723008"/>
    <s v="HOME"/>
    <s v="AWAY"/>
    <n v="0"/>
    <m/>
    <n v="1"/>
    <b v="0"/>
    <s v="C"/>
    <s v="OVER"/>
    <n v="-0.19999999999999929"/>
    <n v="2.5999999999999996"/>
    <n v="-2.7999999999999989"/>
    <n v="-1.9786885245901669"/>
    <n v="3.9152082773448114"/>
    <n v="-0.44390492672300752"/>
    <n v="0.19705158396895867"/>
  </r>
  <r>
    <x v="29"/>
    <x v="17"/>
    <x v="15"/>
    <n v="0"/>
    <n v="104"/>
    <n v="1"/>
    <n v="124"/>
    <n v="228"/>
    <n v="1"/>
    <n v="192.5"/>
    <n v="92"/>
    <n v="91.783223578429087"/>
    <n v="108"/>
    <n v="110.5232426666667"/>
    <n v="1"/>
    <n v="200"/>
    <n v="102"/>
    <n v="96.4"/>
    <n v="20"/>
    <n v="10"/>
    <n v="1"/>
    <n v="19.3"/>
    <n v="18.801311475409832"/>
    <n v="1"/>
    <n v="15.7"/>
    <n v="18.740019088237617"/>
    <s v="AWAY"/>
    <s v="AWAY"/>
    <m/>
    <n v="1"/>
    <m/>
    <b v="0"/>
    <s v="SW"/>
    <s v="OVER"/>
    <n v="9.3000000000000007"/>
    <n v="5.6999999999999993"/>
    <n v="3.6000000000000014"/>
    <n v="-1.1986885245901675"/>
    <n v="1.4368541789841527"/>
    <n v="-1.2599809117623835"/>
    <n v="1.5875518980055672"/>
  </r>
  <r>
    <x v="29"/>
    <x v="18"/>
    <x v="9"/>
    <n v="1"/>
    <n v="107"/>
    <n v="0"/>
    <n v="84"/>
    <n v="191"/>
    <n v="1"/>
    <n v="189"/>
    <n v="105"/>
    <n v="107.5260583347156"/>
    <n v="93"/>
    <n v="91.384106000000031"/>
    <n v="1"/>
    <n v="198"/>
    <n v="94.2"/>
    <n v="93.9"/>
    <n v="-23"/>
    <n v="-4.5"/>
    <n v="0"/>
    <n v="-3.2"/>
    <n v="-6.6186885245901657"/>
    <n v="1"/>
    <n v="-11.8"/>
    <n v="-16.141952334715569"/>
    <s v="AWAY"/>
    <s v="HOME"/>
    <n v="0"/>
    <m/>
    <n v="1"/>
    <b v="0"/>
    <s v="C"/>
    <s v="OVER"/>
    <n v="1.2999999999999998"/>
    <n v="-7.3000000000000007"/>
    <n v="8.6000000000000014"/>
    <n v="16.381311475409834"/>
    <n v="268.34736565439391"/>
    <n v="6.8580476652844311"/>
    <n v="47.032817779313234"/>
  </r>
  <r>
    <x v="29"/>
    <x v="1"/>
    <x v="21"/>
    <n v="1"/>
    <n v="149"/>
    <n v="0"/>
    <n v="106"/>
    <n v="255"/>
    <n v="1"/>
    <n v="228.5"/>
    <n v="115"/>
    <n v="119.53821298006876"/>
    <n v="112"/>
    <n v="108.03630800000002"/>
    <n v="0"/>
    <n v="227"/>
    <n v="100.7"/>
    <n v="100.2"/>
    <n v="-43"/>
    <n v="-18"/>
    <n v="0"/>
    <n v="-11.1"/>
    <n v="-16.458688524590166"/>
    <n v="0"/>
    <n v="-3"/>
    <n v="-11.501904980068744"/>
    <s v="AWAY"/>
    <s v="AWAY"/>
    <m/>
    <n v="0"/>
    <m/>
    <b v="1"/>
    <s v="P"/>
    <s v="UNDER"/>
    <n v="6.9"/>
    <n v="15"/>
    <n v="-8.1"/>
    <n v="26.541311475409834"/>
    <n v="704.44121483472179"/>
    <n v="31.498095019931256"/>
    <n v="992.12998988461823"/>
  </r>
  <r>
    <x v="29"/>
    <x v="26"/>
    <x v="29"/>
    <n v="0"/>
    <n v="102"/>
    <n v="1"/>
    <n v="115"/>
    <n v="217"/>
    <n v="1"/>
    <n v="216.5"/>
    <n v="113"/>
    <n v="111.04422549407401"/>
    <n v="112"/>
    <n v="110.92221600000003"/>
    <n v="1"/>
    <n v="225"/>
    <n v="96.9"/>
    <n v="95.4"/>
    <n v="13"/>
    <n v="-3.5"/>
    <n v="1"/>
    <n v="-1.7"/>
    <n v="-0.48868852459016665"/>
    <n v="1"/>
    <n v="-1"/>
    <n v="-0.12200949407397843"/>
    <s v="AWAY"/>
    <s v="AWAY"/>
    <m/>
    <n v="1"/>
    <m/>
    <b v="0"/>
    <s v="SW"/>
    <s v="OVER"/>
    <n v="1.8"/>
    <n v="2.5"/>
    <n v="-0.7"/>
    <n v="-13.488688524590167"/>
    <n v="181.94471811341046"/>
    <n v="-13.122009494073978"/>
    <n v="172.18713316256762"/>
  </r>
  <r>
    <x v="29"/>
    <x v="4"/>
    <x v="24"/>
    <n v="0"/>
    <n v="85"/>
    <n v="1"/>
    <n v="96"/>
    <n v="181"/>
    <n v="0"/>
    <n v="206"/>
    <n v="100"/>
    <n v="99.368063414521131"/>
    <n v="106"/>
    <n v="103.03970133333335"/>
    <n v="0"/>
    <n v="206"/>
    <n v="98.3"/>
    <n v="99.2"/>
    <n v="11"/>
    <n v="1.5"/>
    <n v="1"/>
    <n v="6.7"/>
    <n v="4.3213114754098338"/>
    <n v="1"/>
    <n v="6.4"/>
    <n v="3.6716379188122232"/>
    <s v="AWAY"/>
    <s v="AWAY"/>
    <m/>
    <n v="1"/>
    <m/>
    <b v="0"/>
    <s v="C"/>
    <s v="OVER"/>
    <n v="5.2"/>
    <n v="4.9000000000000004"/>
    <n v="0.29999999999999982"/>
    <n v="-6.6786885245901662"/>
    <n v="44.60488040849237"/>
    <n v="-7.3283620811877768"/>
    <n v="53.704890792990845"/>
  </r>
  <r>
    <x v="29"/>
    <x v="8"/>
    <x v="6"/>
    <n v="1"/>
    <n v="117"/>
    <n v="0"/>
    <n v="96"/>
    <n v="213"/>
    <n v="1"/>
    <n v="210.5"/>
    <n v="105"/>
    <n v="106.33787327976012"/>
    <n v="105"/>
    <n v="103.07185866666669"/>
    <n v="0"/>
    <n v="210"/>
    <n v="98.8"/>
    <n v="95.8"/>
    <n v="-21"/>
    <n v="1.5"/>
    <n v="1"/>
    <n v="1.2"/>
    <n v="-1.2986885245901656"/>
    <n v="1"/>
    <n v="-0.2"/>
    <n v="-3.2660146130934322"/>
    <s v="HOME"/>
    <s v="HOME"/>
    <m/>
    <n v="1"/>
    <m/>
    <b v="0"/>
    <s v="SW"/>
    <s v="UNDER"/>
    <n v="-0.30000000000000004"/>
    <n v="-1.7"/>
    <n v="1.4"/>
    <n v="19.701311475409835"/>
    <n v="388.14167385111523"/>
    <n v="17.733985386906568"/>
    <n v="314.4942377030157"/>
  </r>
  <r>
    <x v="29"/>
    <x v="9"/>
    <x v="19"/>
    <n v="0"/>
    <n v="87"/>
    <n v="1"/>
    <n v="92"/>
    <n v="179"/>
    <n v="0"/>
    <n v="208.5"/>
    <n v="101"/>
    <n v="98.431354056814655"/>
    <n v="106"/>
    <n v="102.99226800000005"/>
    <n v="1"/>
    <n v="207"/>
    <n v="94.2"/>
    <n v="101.7"/>
    <n v="5"/>
    <n v="-4"/>
    <n v="1"/>
    <n v="0"/>
    <n v="-0.58868852459016541"/>
    <n v="1"/>
    <n v="5.3"/>
    <n v="4.5609139431853976"/>
    <s v="AWAY"/>
    <s v="AWAY"/>
    <m/>
    <n v="1"/>
    <m/>
    <b v="0"/>
    <s v="SE"/>
    <s v="UNDER"/>
    <n v="4"/>
    <n v="9.3000000000000007"/>
    <n v="-5.3000000000000007"/>
    <n v="-5.5886885245901654"/>
    <n v="31.233439424885798"/>
    <n v="-0.43908605681460244"/>
    <n v="0.19279656528899627"/>
  </r>
  <r>
    <x v="29"/>
    <x v="10"/>
    <x v="23"/>
    <n v="1"/>
    <n v="99"/>
    <n v="0"/>
    <n v="104"/>
    <n v="203"/>
    <n v="1"/>
    <n v="196"/>
    <n v="97"/>
    <n v="94.141694198882519"/>
    <n v="100"/>
    <n v="100.43344133333336"/>
    <n v="1"/>
    <n v="197"/>
    <n v="97.5"/>
    <n v="96.2"/>
    <n v="5"/>
    <n v="6"/>
    <n v="0"/>
    <n v="9.6"/>
    <n v="7.5213114754098349"/>
    <n v="1"/>
    <n v="2.1"/>
    <n v="6.2917471344508442"/>
    <s v="AWAY"/>
    <s v="HOME"/>
    <n v="0"/>
    <m/>
    <n v="1"/>
    <b v="0"/>
    <s v="A"/>
    <s v="OVER"/>
    <n v="3.5999999999999996"/>
    <n v="-3.9"/>
    <n v="7.5"/>
    <n v="2.5213114754098349"/>
    <n v="6.3570115560333189"/>
    <n v="1.2917471344508442"/>
    <n v="1.6686106593619674"/>
  </r>
  <r>
    <x v="29"/>
    <x v="15"/>
    <x v="10"/>
    <n v="1"/>
    <n v="116"/>
    <n v="0"/>
    <n v="101"/>
    <n v="217"/>
    <n v="1"/>
    <n v="214"/>
    <n v="104"/>
    <n v="105.39758010654766"/>
    <n v="107"/>
    <n v="100.72163733333336"/>
    <n v="0"/>
    <n v="211"/>
    <n v="94.2"/>
    <n v="92.6"/>
    <n v="-15"/>
    <n v="-2.5"/>
    <n v="0"/>
    <n v="1.6"/>
    <n v="-0.39868852459016574"/>
    <n v="0"/>
    <n v="3"/>
    <n v="-4.6759427732143024"/>
    <s v="AWAY"/>
    <s v="AWAY"/>
    <m/>
    <n v="0"/>
    <m/>
    <b v="0"/>
    <s v="P"/>
    <s v="UNDER"/>
    <n v="4.0999999999999996"/>
    <n v="5.5"/>
    <n v="-1.4000000000000004"/>
    <n v="14.601311475409835"/>
    <n v="213.19829680193493"/>
    <n v="10.324057226785698"/>
    <n v="106.58615762194599"/>
  </r>
  <r>
    <x v="29"/>
    <x v="21"/>
    <x v="8"/>
    <n v="1"/>
    <n v="108"/>
    <n v="0"/>
    <n v="83"/>
    <n v="191"/>
    <n v="0"/>
    <n v="199"/>
    <n v="100"/>
    <n v="106.81890584399453"/>
    <n v="103"/>
    <n v="100.99347066666668"/>
    <n v="0"/>
    <n v="203"/>
    <n v="91.5"/>
    <n v="99.1"/>
    <n v="-25"/>
    <n v="-7"/>
    <n v="0"/>
    <n v="-4.2"/>
    <n v="-7.6986885245901657"/>
    <n v="0"/>
    <n v="3.6"/>
    <n v="-5.8254351773278472"/>
    <s v="AWAY"/>
    <s v="AWAY"/>
    <m/>
    <n v="0"/>
    <m/>
    <b v="1"/>
    <s v="NW"/>
    <s v="OVER"/>
    <n v="2.8"/>
    <n v="10.6"/>
    <n v="-7.8"/>
    <n v="17.301311475409832"/>
    <n v="299.33537876914795"/>
    <n v="19.174564822672153"/>
    <n v="367.66393613885634"/>
  </r>
  <r>
    <x v="30"/>
    <x v="3"/>
    <x v="1"/>
    <n v="0"/>
    <n v="103"/>
    <n v="1"/>
    <n v="109"/>
    <n v="212"/>
    <n v="1"/>
    <n v="201"/>
    <n v="105"/>
    <n v="104.02179124532324"/>
    <n v="105"/>
    <n v="105.64421200000002"/>
    <n v="1"/>
    <n v="210"/>
    <n v="99.5"/>
    <n v="93.3"/>
    <n v="6"/>
    <n v="4"/>
    <n v="0"/>
    <n v="3.8"/>
    <n v="3.9313114754098346"/>
    <n v="0"/>
    <n v="0.1"/>
    <n v="1.6224207546767815"/>
    <s v="HOME"/>
    <s v="HOME"/>
    <m/>
    <n v="0"/>
    <m/>
    <b v="0"/>
    <s v="A"/>
    <s v="OVER"/>
    <n v="-0.20000000000000018"/>
    <n v="-3.9"/>
    <n v="3.6999999999999997"/>
    <n v="-2.0686885245901654"/>
    <n v="4.2794722117710355"/>
    <n v="-4.3775792453232185"/>
    <n v="19.163200049084601"/>
  </r>
  <r>
    <x v="30"/>
    <x v="0"/>
    <x v="4"/>
    <n v="1"/>
    <n v="128"/>
    <n v="0"/>
    <n v="90"/>
    <n v="218"/>
    <n v="1"/>
    <n v="201"/>
    <n v="111"/>
    <n v="114.79771692672303"/>
    <n v="90"/>
    <n v="98.451080000000033"/>
    <n v="0"/>
    <n v="201"/>
    <n v="97.3"/>
    <n v="102"/>
    <n v="-38"/>
    <n v="-14"/>
    <n v="1"/>
    <n v="-17.2"/>
    <n v="-20.408688524590168"/>
    <n v="1"/>
    <n v="-21.4"/>
    <n v="-16.346636926722994"/>
    <s v="HOME"/>
    <s v="HOME"/>
    <m/>
    <n v="1"/>
    <m/>
    <b v="0"/>
    <s v="C"/>
    <s v="OVER"/>
    <n v="-3.1999999999999993"/>
    <n v="-7.3999999999999986"/>
    <n v="4.1999999999999993"/>
    <n v="17.591311475409832"/>
    <n v="309.4542394248856"/>
    <n v="21.653363073277006"/>
    <n v="468.86813238315625"/>
  </r>
  <r>
    <x v="30"/>
    <x v="23"/>
    <x v="10"/>
    <n v="0"/>
    <n v="129"/>
    <n v="1"/>
    <n v="132"/>
    <n v="261"/>
    <n v="1"/>
    <n v="213.5"/>
    <n v="101"/>
    <n v="102.43822917909571"/>
    <n v="103"/>
    <n v="97.934377333333359"/>
    <n v="0"/>
    <n v="204"/>
    <n v="99.1"/>
    <n v="92.6"/>
    <n v="3"/>
    <n v="2.5"/>
    <n v="0"/>
    <n v="-1.5"/>
    <n v="-1.738688524590166"/>
    <n v="0"/>
    <n v="2"/>
    <n v="-4.5038518457623553"/>
    <s v="HOME"/>
    <s v="HOME"/>
    <m/>
    <n v="0"/>
    <m/>
    <b v="1"/>
    <s v="NW"/>
    <s v="UNDER"/>
    <n v="-4"/>
    <n v="-0.5"/>
    <n v="-3.5"/>
    <n v="-4.7386885245901658"/>
    <n v="22.455168933082522"/>
    <n v="-7.5038518457623553"/>
    <n v="56.307792523151107"/>
  </r>
  <r>
    <x v="30"/>
    <x v="18"/>
    <x v="15"/>
    <n v="1"/>
    <n v="108"/>
    <n v="0"/>
    <n v="97"/>
    <n v="205"/>
    <n v="1"/>
    <n v="200"/>
    <n v="106"/>
    <n v="106.96085833471561"/>
    <n v="108"/>
    <n v="106.5612026666667"/>
    <n v="1"/>
    <n v="214"/>
    <n v="94.2"/>
    <n v="96.4"/>
    <n v="-11"/>
    <n v="6.5"/>
    <n v="0"/>
    <n v="10.1"/>
    <n v="7.2113114754098344"/>
    <n v="1"/>
    <n v="2"/>
    <n v="-0.39965566804890784"/>
    <s v="AWAY"/>
    <s v="HOME"/>
    <n v="0"/>
    <m/>
    <n v="1"/>
    <b v="0"/>
    <s v="C"/>
    <s v="OVER"/>
    <n v="3.5999999999999996"/>
    <n v="-4.5"/>
    <n v="8.1"/>
    <n v="18.211311475409836"/>
    <n v="331.65186565439399"/>
    <n v="10.600344331951092"/>
    <n v="112.36729995592765"/>
  </r>
  <r>
    <x v="30"/>
    <x v="4"/>
    <x v="3"/>
    <n v="1"/>
    <n v="118"/>
    <n v="0"/>
    <n v="97"/>
    <n v="215"/>
    <n v="0"/>
    <n v="216"/>
    <n v="108"/>
    <n v="110.30885341452114"/>
    <n v="106"/>
    <n v="96.523719333333361"/>
    <n v="1"/>
    <n v="214"/>
    <n v="98.3"/>
    <n v="92.9"/>
    <n v="-21"/>
    <n v="-8"/>
    <n v="0"/>
    <n v="-4.7"/>
    <n v="-6.7786885245901658"/>
    <n v="0"/>
    <n v="-1.3"/>
    <n v="-13.785134081187778"/>
    <s v="AWAY"/>
    <s v="AWAY"/>
    <m/>
    <n v="0"/>
    <m/>
    <b v="0"/>
    <s v="C"/>
    <s v="UNDER"/>
    <n v="3.3"/>
    <n v="6.7"/>
    <n v="-3.4000000000000004"/>
    <n v="14.221311475409834"/>
    <n v="202.24570008062344"/>
    <n v="7.2148659188122224"/>
    <n v="52.054290226438134"/>
  </r>
  <r>
    <x v="30"/>
    <x v="5"/>
    <x v="18"/>
    <n v="0"/>
    <n v="85"/>
    <n v="1"/>
    <n v="109"/>
    <n v="194"/>
    <n v="0"/>
    <n v="230"/>
    <n v="112"/>
    <n v="107.68677141709639"/>
    <n v="124"/>
    <n v="122.35117133333337"/>
    <n v="0"/>
    <n v="236"/>
    <n v="100.2"/>
    <n v="100.7"/>
    <n v="24"/>
    <n v="13.5"/>
    <n v="0"/>
    <n v="9.6999999999999993"/>
    <n v="10.901311475409834"/>
    <n v="0"/>
    <n v="11.7"/>
    <n v="14.664399916236974"/>
    <s v="HOME"/>
    <s v="HOME"/>
    <m/>
    <n v="0"/>
    <m/>
    <b v="1"/>
    <s v="P"/>
    <s v="OVER"/>
    <n v="-3.8000000000000007"/>
    <n v="-1.8000000000000007"/>
    <n v="-2"/>
    <n v="-13.098688524590166"/>
    <n v="171.5756410642301"/>
    <n v="-9.3356000837630262"/>
    <n v="87.153428923956227"/>
  </r>
  <r>
    <x v="30"/>
    <x v="6"/>
    <x v="9"/>
    <n v="0"/>
    <n v="81"/>
    <n v="1"/>
    <n v="90"/>
    <n v="171"/>
    <n v="0"/>
    <n v="188"/>
    <n v="99"/>
    <n v="97.060554730416385"/>
    <n v="91"/>
    <n v="91.374716000000035"/>
    <n v="0"/>
    <n v="190"/>
    <n v="96.2"/>
    <n v="93.9"/>
    <n v="9"/>
    <n v="-6.5"/>
    <n v="0"/>
    <n v="-6.5"/>
    <n v="-4.5086885245901653"/>
    <n v="0"/>
    <n v="-8.5"/>
    <n v="-5.68583873041635"/>
    <s v="HOME"/>
    <s v="HOME"/>
    <m/>
    <n v="0"/>
    <m/>
    <b v="0"/>
    <s v="SW"/>
    <s v="OVER"/>
    <n v="0"/>
    <n v="-2"/>
    <n v="2"/>
    <n v="-13.508688524590166"/>
    <n v="182.48466565439404"/>
    <n v="-14.68583873041635"/>
    <n v="215.67385921579691"/>
  </r>
  <r>
    <x v="30"/>
    <x v="7"/>
    <x v="29"/>
    <n v="0"/>
    <n v="99"/>
    <n v="1"/>
    <n v="105"/>
    <n v="204"/>
    <n v="0"/>
    <n v="210.5"/>
    <n v="110"/>
    <n v="108.60514333230638"/>
    <n v="110"/>
    <n v="110.43567600000003"/>
    <n v="0"/>
    <n v="220"/>
    <n v="96.1"/>
    <n v="95.4"/>
    <n v="6"/>
    <n v="3.5"/>
    <n v="1"/>
    <n v="5.0999999999999996"/>
    <n v="5.6213114754098346"/>
    <n v="0"/>
    <n v="-0.2"/>
    <n v="1.830532667693646"/>
    <s v="AWAY"/>
    <s v="HOME"/>
    <n v="1"/>
    <m/>
    <n v="0"/>
    <b v="0"/>
    <s v="C"/>
    <s v="OVER"/>
    <n v="1.5999999999999996"/>
    <n v="-3.7"/>
    <n v="5.3"/>
    <n v="-0.37868852459016544"/>
    <n v="0.14340499865627634"/>
    <n v="-4.169467332306354"/>
    <n v="17.384457835169865"/>
  </r>
  <r>
    <x v="30"/>
    <x v="24"/>
    <x v="7"/>
    <n v="1"/>
    <n v="113"/>
    <n v="0"/>
    <n v="111"/>
    <n v="224"/>
    <n v="1"/>
    <n v="210.5"/>
    <n v="109"/>
    <n v="108.40987945611427"/>
    <n v="109"/>
    <n v="108.42203866666668"/>
    <n v="1"/>
    <n v="218"/>
    <n v="96.2"/>
    <n v="97.3"/>
    <n v="-2"/>
    <n v="1.5"/>
    <n v="0"/>
    <n v="1.7"/>
    <n v="0.81131147540983406"/>
    <n v="1"/>
    <n v="0.8"/>
    <n v="1.2159210552411537E-2"/>
    <s v="AWAY"/>
    <s v="HOME"/>
    <n v="0"/>
    <m/>
    <n v="1"/>
    <b v="0"/>
    <s v="A"/>
    <s v="OVER"/>
    <n v="0.19999999999999996"/>
    <n v="-0.7"/>
    <n v="0.89999999999999991"/>
    <n v="2.8113114754098341"/>
    <n v="7.9034722117710183"/>
    <n v="2.0121592105524115"/>
    <n v="4.0487846886109038"/>
  </r>
  <r>
    <x v="30"/>
    <x v="9"/>
    <x v="13"/>
    <n v="0"/>
    <n v="91"/>
    <n v="1"/>
    <n v="94"/>
    <n v="185"/>
    <n v="0"/>
    <n v="199.5"/>
    <n v="100"/>
    <n v="100.49433405681467"/>
    <n v="104"/>
    <n v="102.93335066666668"/>
    <n v="0"/>
    <n v="204"/>
    <n v="94.2"/>
    <n v="96.1"/>
    <n v="3"/>
    <n v="2"/>
    <n v="1"/>
    <n v="3.6"/>
    <n v="3.0613114754098345"/>
    <n v="1"/>
    <n v="3.4"/>
    <n v="2.4390166098520183"/>
    <s v="AWAY"/>
    <s v="AWAY"/>
    <m/>
    <n v="1"/>
    <m/>
    <b v="1"/>
    <s v="SE"/>
    <s v="OVER"/>
    <n v="1.6"/>
    <n v="1.4"/>
    <n v="0.20000000000000018"/>
    <n v="6.1311475409834504E-2"/>
    <n v="3.759097016930741E-3"/>
    <n v="-0.56098339014798171"/>
    <n v="0.31470236402192264"/>
  </r>
  <r>
    <x v="30"/>
    <x v="10"/>
    <x v="27"/>
    <n v="0"/>
    <n v="89"/>
    <n v="1"/>
    <n v="105"/>
    <n v="194"/>
    <n v="0"/>
    <n v="204.5"/>
    <n v="101"/>
    <n v="98.373194198882516"/>
    <n v="108"/>
    <n v="107.27343400000001"/>
    <n v="0"/>
    <n v="209"/>
    <n v="97.5"/>
    <n v="95.1"/>
    <n v="16"/>
    <n v="9"/>
    <n v="1"/>
    <n v="11.3"/>
    <n v="11.581311475409834"/>
    <n v="0"/>
    <n v="7"/>
    <n v="8.9002398011174932"/>
    <s v="AWAY"/>
    <s v="HOME"/>
    <n v="1"/>
    <m/>
    <n v="0"/>
    <b v="0"/>
    <s v="A"/>
    <s v="OVER"/>
    <n v="2.3000000000000007"/>
    <n v="-2"/>
    <n v="4.3000000000000007"/>
    <n v="-4.4186885245901664"/>
    <n v="19.524808277344821"/>
    <n v="-7.0997601988825068"/>
    <n v="50.406594881636174"/>
  </r>
  <r>
    <x v="30"/>
    <x v="11"/>
    <x v="6"/>
    <n v="0"/>
    <n v="85"/>
    <n v="1"/>
    <n v="98"/>
    <n v="183"/>
    <n v="0"/>
    <n v="214"/>
    <n v="104"/>
    <n v="98.914460941007988"/>
    <n v="105"/>
    <n v="105.38063866666668"/>
    <n v="1"/>
    <n v="209"/>
    <n v="101.7"/>
    <n v="95.8"/>
    <n v="13"/>
    <n v="2.5"/>
    <n v="0"/>
    <n v="1.8"/>
    <n v="2.4213114754098344"/>
    <n v="0"/>
    <n v="1"/>
    <n v="6.4661777256586959"/>
    <s v="HOME"/>
    <s v="HOME"/>
    <m/>
    <n v="0"/>
    <m/>
    <b v="0"/>
    <s v="P"/>
    <s v="UNDER"/>
    <n v="-0.7"/>
    <n v="-1.5"/>
    <n v="0.8"/>
    <n v="-10.578688524590167"/>
    <n v="111.90865090029567"/>
    <n v="-6.5338222743413041"/>
    <n v="42.690833512678573"/>
  </r>
  <r>
    <x v="30"/>
    <x v="2"/>
    <x v="25"/>
    <n v="1"/>
    <n v="119"/>
    <n v="0"/>
    <n v="104"/>
    <n v="223"/>
    <n v="1"/>
    <n v="218"/>
    <n v="105"/>
    <n v="107.45071413790987"/>
    <n v="108"/>
    <n v="106.94177866666668"/>
    <n v="0"/>
    <n v="213"/>
    <n v="99.3"/>
    <n v="98.8"/>
    <n v="-15"/>
    <n v="-4.5"/>
    <n v="0"/>
    <n v="-1.3"/>
    <n v="-3.038688524590166"/>
    <n v="0"/>
    <n v="2.6"/>
    <n v="-0.50893547124319127"/>
    <s v="AWAY"/>
    <s v="AWAY"/>
    <m/>
    <n v="0"/>
    <m/>
    <b v="0"/>
    <s v="NW"/>
    <s v="UNDER"/>
    <n v="3.2"/>
    <n v="7.1"/>
    <n v="-3.8999999999999995"/>
    <n v="11.961311475409834"/>
    <n v="143.072972211771"/>
    <n v="14.491064528756809"/>
    <n v="209.9909511765938"/>
  </r>
  <r>
    <x v="30"/>
    <x v="15"/>
    <x v="5"/>
    <n v="0"/>
    <n v="104"/>
    <n v="1"/>
    <n v="117"/>
    <n v="221"/>
    <n v="1"/>
    <n v="216.5"/>
    <n v="112"/>
    <n v="109.46702010654768"/>
    <n v="112"/>
    <n v="112.81162600000003"/>
    <n v="1"/>
    <n v="224"/>
    <n v="94.2"/>
    <n v="96.9"/>
    <n v="13"/>
    <n v="3.5"/>
    <n v="0"/>
    <n v="1.6"/>
    <n v="2.9213114754098344"/>
    <n v="0"/>
    <n v="-0.2"/>
    <n v="3.3446058934523535"/>
    <s v="HOME"/>
    <s v="HOME"/>
    <m/>
    <n v="0"/>
    <m/>
    <b v="0"/>
    <s v="P"/>
    <s v="OVER"/>
    <n v="-1.9"/>
    <n v="-3.7"/>
    <n v="1.8000000000000003"/>
    <n v="-10.078688524590167"/>
    <n v="101.57996237570551"/>
    <n v="-9.6553941065476465"/>
    <n v="93.226635352755025"/>
  </r>
  <r>
    <x v="30"/>
    <x v="21"/>
    <x v="24"/>
    <n v="1"/>
    <n v="95"/>
    <n v="0"/>
    <n v="68"/>
    <n v="163"/>
    <n v="0"/>
    <n v="194.5"/>
    <n v="97"/>
    <n v="100.22175584399453"/>
    <n v="100"/>
    <n v="96.909141333333352"/>
    <n v="0"/>
    <n v="197"/>
    <n v="91.5"/>
    <n v="99.2"/>
    <n v="-27"/>
    <n v="-3.5"/>
    <n v="0"/>
    <n v="-1.5"/>
    <n v="-4.7086885245901655"/>
    <n v="0"/>
    <n v="3.7"/>
    <n v="-3.3126145106611773"/>
    <s v="AWAY"/>
    <s v="AWAY"/>
    <m/>
    <n v="0"/>
    <m/>
    <b v="0"/>
    <s v="NW"/>
    <s v="OVER"/>
    <n v="2"/>
    <n v="7.2"/>
    <n v="-5.2"/>
    <n v="22.291311475409834"/>
    <n v="496.90256729373817"/>
    <n v="23.687385489338823"/>
    <n v="561.09223132053944"/>
  </r>
  <r>
    <x v="31"/>
    <x v="22"/>
    <x v="0"/>
    <n v="0"/>
    <n v="107"/>
    <n v="1"/>
    <n v="102"/>
    <n v="209"/>
    <n v="1"/>
    <n v="205.5"/>
    <n v="108"/>
    <n v="108.32955196997592"/>
    <n v="104"/>
    <n v="103.74272133333336"/>
    <n v="1"/>
    <n v="212"/>
    <n v="97.3"/>
    <n v="96.2"/>
    <n v="-5"/>
    <n v="-6.5"/>
    <n v="1"/>
    <n v="-6.3"/>
    <n v="-6.3686885245901657"/>
    <n v="1"/>
    <n v="-4.5999999999999996"/>
    <n v="-4.58683063664256"/>
    <s v="AWAY"/>
    <s v="AWAY"/>
    <m/>
    <n v="1"/>
    <m/>
    <b v="0"/>
    <s v="SE"/>
    <s v="OVER"/>
    <n v="0.20000000000000018"/>
    <n v="1.9000000000000004"/>
    <n v="-1.7000000000000002"/>
    <n v="-1.3686885245901657"/>
    <n v="1.8733082773448044"/>
    <n v="0.41316936335744003"/>
    <n v="0.1707089228171923"/>
  </r>
  <r>
    <x v="31"/>
    <x v="1"/>
    <x v="6"/>
    <n v="0"/>
    <n v="115"/>
    <n v="1"/>
    <n v="102"/>
    <n v="217"/>
    <n v="0"/>
    <n v="220"/>
    <n v="118"/>
    <n v="118.25932298006877"/>
    <n v="103"/>
    <n v="103.24429866666668"/>
    <n v="0"/>
    <n v="221"/>
    <n v="100.7"/>
    <n v="95.8"/>
    <n v="-13"/>
    <n v="-14"/>
    <n v="0"/>
    <n v="-15.2"/>
    <n v="-15.238688524590165"/>
    <n v="0"/>
    <n v="-15"/>
    <n v="-15.015024313402094"/>
    <s v="HOME"/>
    <s v="HOME"/>
    <m/>
    <n v="0"/>
    <m/>
    <b v="0"/>
    <s v="P"/>
    <s v="OVER"/>
    <n v="-1.1999999999999993"/>
    <n v="-1"/>
    <n v="-0.19999999999999929"/>
    <n v="-2.2386885245901649"/>
    <n v="5.0117263101316896"/>
    <n v="-2.015024313402094"/>
    <n v="4.0603229836015799"/>
  </r>
  <r>
    <x v="31"/>
    <x v="19"/>
    <x v="23"/>
    <n v="0"/>
    <n v="107"/>
    <n v="1"/>
    <n v="110"/>
    <n v="217"/>
    <n v="1"/>
    <n v="183.5"/>
    <n v="96"/>
    <n v="96.158923682385179"/>
    <n v="95"/>
    <n v="95.267501333333357"/>
    <n v="1"/>
    <n v="191"/>
    <n v="93.9"/>
    <n v="96.2"/>
    <n v="3"/>
    <n v="-1.5"/>
    <n v="1"/>
    <n v="-1"/>
    <n v="-1.0486885245901658"/>
    <n v="1"/>
    <n v="-0.9"/>
    <n v="-0.89142234905182249"/>
    <s v="AWAY"/>
    <s v="AWAY"/>
    <m/>
    <n v="1"/>
    <m/>
    <b v="0"/>
    <s v="SE"/>
    <s v="OVER"/>
    <n v="0.5"/>
    <n v="0.6"/>
    <n v="-9.9999999999999978E-2"/>
    <n v="-4.0486885245901654"/>
    <n v="16.391878769148089"/>
    <n v="-3.8914223490518225"/>
    <n v="15.143167898700003"/>
  </r>
  <r>
    <x v="31"/>
    <x v="20"/>
    <x v="12"/>
    <n v="1"/>
    <n v="106"/>
    <n v="0"/>
    <n v="88"/>
    <n v="194"/>
    <n v="0"/>
    <n v="205.5"/>
    <n v="101"/>
    <n v="101.20397681965828"/>
    <n v="97"/>
    <n v="97.045468000000028"/>
    <n v="1"/>
    <n v="198"/>
    <n v="92.6"/>
    <n v="94.2"/>
    <n v="-18"/>
    <n v="-4"/>
    <n v="0"/>
    <n v="-0.4"/>
    <n v="-0.41868852459016548"/>
    <n v="1"/>
    <n v="-4.2"/>
    <n v="-4.1585088196582518"/>
    <s v="AWAY"/>
    <s v="HOME"/>
    <n v="0"/>
    <m/>
    <n v="1"/>
    <b v="0"/>
    <s v="NW"/>
    <s v="UNDER"/>
    <n v="3.6"/>
    <n v="-0.20000000000000018"/>
    <n v="3.8000000000000003"/>
    <n v="17.581311475409834"/>
    <n v="309.10251319537753"/>
    <n v="13.841491180341748"/>
    <n v="191.5868780954784"/>
  </r>
  <r>
    <x v="31"/>
    <x v="29"/>
    <x v="1"/>
    <n v="0"/>
    <n v="100"/>
    <n v="1"/>
    <n v="112"/>
    <n v="212"/>
    <n v="1"/>
    <n v="204"/>
    <n v="108"/>
    <n v="107.98804029849835"/>
    <n v="108"/>
    <n v="108.15398200000001"/>
    <n v="1"/>
    <n v="216"/>
    <n v="96.1"/>
    <n v="93.3"/>
    <n v="12"/>
    <n v="6"/>
    <n v="1"/>
    <n v="7.3"/>
    <n v="7.2613114754098351"/>
    <n v="0"/>
    <n v="0.2"/>
    <n v="0.16594170150166576"/>
    <s v="AWAY"/>
    <s v="HOME"/>
    <n v="1"/>
    <m/>
    <n v="0"/>
    <b v="0"/>
    <s v="SE"/>
    <s v="OVER"/>
    <n v="1.2999999999999998"/>
    <n v="-5.8"/>
    <n v="7.1"/>
    <n v="-4.7386885245901649"/>
    <n v="22.455168933082515"/>
    <n v="-11.834058298498334"/>
    <n v="140.04493581225728"/>
  </r>
  <r>
    <x v="32"/>
    <x v="16"/>
    <x v="11"/>
    <m/>
    <m/>
    <m/>
    <m/>
    <m/>
    <m/>
    <n v="217.5"/>
    <m/>
    <n v="103.8233880127178"/>
    <m/>
    <n v="105.74012800000003"/>
    <m/>
    <m/>
    <n v="92.9"/>
    <n v="94.2"/>
    <m/>
    <n v="4"/>
    <m/>
    <m/>
    <n v="3.9913114754098342"/>
    <m/>
    <m/>
    <n v="1.9167399872822273"/>
    <s v="HOME"/>
    <s v="HOME"/>
    <m/>
    <m/>
    <m/>
    <b v="0"/>
    <s v="A"/>
    <s v="UNDER"/>
    <n v="-4"/>
    <n v="-4"/>
    <n v="0"/>
    <n v="3.9913114754098342"/>
    <n v="15.930567293738228"/>
    <n v="1.9167399872822273"/>
    <n v="3.673892178846673"/>
  </r>
  <r>
    <x v="32"/>
    <x v="17"/>
    <x v="25"/>
    <m/>
    <m/>
    <m/>
    <m/>
    <m/>
    <m/>
    <n v="200"/>
    <m/>
    <n v="94.649423578429094"/>
    <m/>
    <n v="100.82605866666668"/>
    <m/>
    <m/>
    <n v="102"/>
    <n v="98.8"/>
    <m/>
    <n v="3.5"/>
    <m/>
    <n v="3.4"/>
    <n v="3.3913114754098341"/>
    <m/>
    <n v="6.2"/>
    <n v="6.1766350882375889"/>
    <s v="HOME"/>
    <s v="AWAY"/>
    <m/>
    <m/>
    <m/>
    <b v="1"/>
    <s v="SW"/>
    <s v="UNDER"/>
    <n v="-0.10000000000000009"/>
    <n v="2.7"/>
    <n v="-2.8000000000000003"/>
    <n v="3.3913114754098341"/>
    <n v="11.500993523246427"/>
    <n v="6.1766350882375889"/>
    <n v="38.150821013247764"/>
  </r>
  <r>
    <x v="32"/>
    <x v="4"/>
    <x v="15"/>
    <m/>
    <m/>
    <m/>
    <m/>
    <m/>
    <m/>
    <n v="209"/>
    <m/>
    <n v="102.12046341452114"/>
    <m/>
    <n v="112.85612266666671"/>
    <m/>
    <m/>
    <n v="98.3"/>
    <n v="96.4"/>
    <m/>
    <n v="10.5"/>
    <m/>
    <m/>
    <n v="14.721311475409834"/>
    <m/>
    <m/>
    <n v="10.735659252145567"/>
    <s v="HOME"/>
    <s v="HOME"/>
    <m/>
    <m/>
    <m/>
    <b v="0"/>
    <s v="C"/>
    <s v="UNDER"/>
    <n v="-10.5"/>
    <n v="-10.5"/>
    <n v="0"/>
    <n v="14.721311475409834"/>
    <n v="216.71701155603327"/>
    <n v="10.735659252145567"/>
    <n v="115.25437957817871"/>
  </r>
  <r>
    <x v="32"/>
    <x v="5"/>
    <x v="24"/>
    <m/>
    <m/>
    <m/>
    <m/>
    <m/>
    <m/>
    <m/>
    <m/>
    <n v="101.88519141709641"/>
    <m/>
    <n v="105.92642133333335"/>
    <m/>
    <m/>
    <n v="100.2"/>
    <n v="99.2"/>
    <m/>
    <m/>
    <m/>
    <m/>
    <n v="1.9713114754098342"/>
    <m/>
    <m/>
    <n v="4.0412299162369436"/>
    <s v="HOME"/>
    <s v="HOME"/>
    <m/>
    <m/>
    <m/>
    <b v="0"/>
    <s v="P"/>
    <s v="OVER"/>
    <n v="0"/>
    <n v="0"/>
    <n v="0"/>
    <n v="1.9713114754098342"/>
    <n v="3.8860689330824973"/>
    <n v="4.0412299162369436"/>
    <n v="16.331539235888453"/>
  </r>
  <r>
    <x v="32"/>
    <x v="9"/>
    <x v="26"/>
    <m/>
    <m/>
    <m/>
    <m/>
    <m/>
    <m/>
    <n v="195"/>
    <m/>
    <n v="99.429874056814668"/>
    <m/>
    <n v="102.17416066666669"/>
    <m/>
    <m/>
    <n v="94.2"/>
    <n v="96.1"/>
    <m/>
    <n v="1"/>
    <m/>
    <m/>
    <n v="3.4013114754098344"/>
    <m/>
    <m/>
    <n v="2.7442866098520255"/>
    <s v="HOME"/>
    <s v="HOME"/>
    <m/>
    <m/>
    <m/>
    <b v="0"/>
    <s v="SE"/>
    <s v="UNDER"/>
    <n v="-1"/>
    <n v="-1"/>
    <n v="0"/>
    <n v="3.4013114754098344"/>
    <n v="11.568919752754624"/>
    <n v="2.7442866098520255"/>
    <n v="7.5311089970131233"/>
  </r>
  <r>
    <x v="32"/>
    <x v="10"/>
    <x v="20"/>
    <m/>
    <m/>
    <m/>
    <m/>
    <m/>
    <m/>
    <n v="210"/>
    <m/>
    <n v="98.187944198882519"/>
    <m/>
    <n v="113.54974866666669"/>
    <m/>
    <m/>
    <n v="97.5"/>
    <n v="97.3"/>
    <m/>
    <n v="12.5"/>
    <m/>
    <m/>
    <n v="15.671311475409835"/>
    <m/>
    <m/>
    <n v="15.361804467784168"/>
    <s v="HOME"/>
    <s v="HOME"/>
    <m/>
    <m/>
    <m/>
    <b v="0"/>
    <s v="A"/>
    <s v="UNDER"/>
    <n v="-12.5"/>
    <n v="-12.5"/>
    <n v="0"/>
    <n v="15.671311475409835"/>
    <n v="245.59000335931199"/>
    <n v="15.361804467784168"/>
    <n v="235.98503650643363"/>
  </r>
  <r>
    <x v="32"/>
    <x v="11"/>
    <x v="8"/>
    <m/>
    <m/>
    <m/>
    <m/>
    <m/>
    <m/>
    <m/>
    <m/>
    <n v="95.792270941007985"/>
    <m/>
    <n v="106.50343066666669"/>
    <m/>
    <m/>
    <n v="101.7"/>
    <n v="99.1"/>
    <m/>
    <m/>
    <m/>
    <m/>
    <n v="2.9613114754098344"/>
    <m/>
    <m/>
    <n v="10.711159725658703"/>
    <s v="HOME"/>
    <s v="HOME"/>
    <m/>
    <m/>
    <m/>
    <b v="0"/>
    <s v="P"/>
    <s v="OVER"/>
    <n v="0"/>
    <n v="0"/>
    <n v="0"/>
    <n v="2.9613114754098344"/>
    <n v="8.7693656543939706"/>
    <n v="10.711159725658703"/>
    <n v="114.72894266857303"/>
  </r>
  <r>
    <x v="32"/>
    <x v="2"/>
    <x v="5"/>
    <m/>
    <m/>
    <m/>
    <m/>
    <m/>
    <m/>
    <n v="222.5"/>
    <m/>
    <n v="111.40285413790988"/>
    <m/>
    <n v="114.93373600000002"/>
    <m/>
    <m/>
    <n v="99.3"/>
    <n v="96.9"/>
    <m/>
    <n v="2.5"/>
    <m/>
    <m/>
    <n v="3.3413114754098343"/>
    <m/>
    <m/>
    <n v="3.5308818620901405"/>
    <s v="HOME"/>
    <s v="HOME"/>
    <m/>
    <m/>
    <m/>
    <b v="0"/>
    <s v="NW"/>
    <s v="UNDER"/>
    <n v="-2.5"/>
    <n v="-2.5"/>
    <n v="0"/>
    <n v="3.3413114754098343"/>
    <n v="11.164362375705444"/>
    <n v="3.5308818620901405"/>
    <n v="12.467126724037138"/>
  </r>
  <r>
    <x v="33"/>
    <x v="1"/>
    <x v="24"/>
    <m/>
    <m/>
    <m/>
    <m/>
    <m/>
    <m/>
    <m/>
    <m/>
    <n v="107.90736298006877"/>
    <m/>
    <n v="100.21250133333335"/>
    <m/>
    <m/>
    <n v="100.7"/>
    <n v="99.2"/>
    <m/>
    <m/>
    <m/>
    <m/>
    <n v="-11.708688524590166"/>
    <m/>
    <m/>
    <n v="-7.6948616467354185"/>
    <m/>
    <m/>
    <m/>
    <m/>
    <m/>
    <b v="0"/>
    <s v="P"/>
    <s v="OVER"/>
    <n v="0"/>
    <n v="0"/>
    <n v="0"/>
    <n v="-11.708688524590166"/>
    <n v="137.09338696586943"/>
    <n v="-7.6948616467354185"/>
    <n v="59.210895762399716"/>
  </r>
  <r>
    <x v="33"/>
    <x v="6"/>
    <x v="7"/>
    <m/>
    <m/>
    <m/>
    <m/>
    <m/>
    <m/>
    <m/>
    <m/>
    <n v="99.869594730416395"/>
    <m/>
    <n v="100.53100866666668"/>
    <m/>
    <m/>
    <n v="96.2"/>
    <n v="97.3"/>
    <m/>
    <m/>
    <m/>
    <m/>
    <n v="-1.4086885245901657"/>
    <m/>
    <m/>
    <n v="0.661413936250284"/>
    <m/>
    <m/>
    <m/>
    <m/>
    <m/>
    <b v="0"/>
    <s v="SW"/>
    <s v="OVER"/>
    <n v="0"/>
    <n v="0"/>
    <n v="0"/>
    <n v="-1.4086885245901657"/>
    <n v="1.9844033593120178"/>
    <n v="0.661413936250284"/>
    <n v="0.43746839506609475"/>
  </r>
  <r>
    <x v="33"/>
    <x v="19"/>
    <x v="14"/>
    <m/>
    <m/>
    <m/>
    <m/>
    <m/>
    <m/>
    <m/>
    <m/>
    <n v="101.24830368238518"/>
    <m/>
    <n v="103.87866333333335"/>
    <m/>
    <m/>
    <n v="93.9"/>
    <n v="99.5"/>
    <m/>
    <m/>
    <m/>
    <m/>
    <n v="-1.0986885245901659"/>
    <m/>
    <m/>
    <n v="2.630359650948165"/>
    <m/>
    <m/>
    <m/>
    <m/>
    <m/>
    <b v="0"/>
    <s v="SE"/>
    <s v="OVER"/>
    <n v="0"/>
    <n v="0"/>
    <n v="0"/>
    <n v="-1.0986885245901659"/>
    <n v="1.2071164740661156"/>
    <n v="2.630359650948165"/>
    <n v="6.9187918933361523"/>
  </r>
  <r>
    <x v="33"/>
    <x v="28"/>
    <x v="2"/>
    <m/>
    <m/>
    <m/>
    <m/>
    <m/>
    <m/>
    <m/>
    <m/>
    <n v="111.62754150317565"/>
    <m/>
    <n v="100.56826000000004"/>
    <m/>
    <m/>
    <n v="95.8"/>
    <n v="91.5"/>
    <m/>
    <m/>
    <m/>
    <m/>
    <n v="2.6813114754098342"/>
    <m/>
    <m/>
    <n v="-11.059281503175612"/>
    <m/>
    <m/>
    <m/>
    <m/>
    <m/>
    <b v="1"/>
    <s v="NW"/>
    <s v="OVER"/>
    <n v="0"/>
    <n v="0"/>
    <n v="0"/>
    <n v="2.6813114754098342"/>
    <n v="7.1894312281644615"/>
    <n v="-11.059281503175612"/>
    <n v="122.30770736648222"/>
  </r>
  <r>
    <x v="33"/>
    <x v="24"/>
    <x v="10"/>
    <m/>
    <m/>
    <m/>
    <m/>
    <m/>
    <m/>
    <m/>
    <m/>
    <n v="107.39977945611427"/>
    <m/>
    <n v="100.71237733333335"/>
    <m/>
    <m/>
    <n v="96.2"/>
    <n v="92.6"/>
    <m/>
    <m/>
    <m/>
    <m/>
    <n v="-0.80868852459016582"/>
    <m/>
    <m/>
    <n v="-6.6874021227809237"/>
    <m/>
    <m/>
    <m/>
    <m/>
    <m/>
    <b v="0"/>
    <s v="A"/>
    <s v="OVER"/>
    <n v="0"/>
    <n v="0"/>
    <n v="0"/>
    <n v="-0.80868852459016582"/>
    <n v="0.65397712980381928"/>
    <n v="-6.6874021227809237"/>
    <n v="44.721347151774808"/>
  </r>
  <r>
    <x v="33"/>
    <x v="12"/>
    <x v="28"/>
    <m/>
    <m/>
    <m/>
    <m/>
    <m/>
    <m/>
    <m/>
    <m/>
    <n v="111.50226369203996"/>
    <m/>
    <n v="97.305650000000014"/>
    <m/>
    <m/>
    <n v="95.4"/>
    <n v="97.5"/>
    <m/>
    <m/>
    <m/>
    <m/>
    <n v="-18.438688524590166"/>
    <m/>
    <m/>
    <n v="-14.196613692039946"/>
    <m/>
    <m/>
    <m/>
    <m/>
    <m/>
    <b v="1"/>
    <s v="A"/>
    <s v="OVER"/>
    <n v="0"/>
    <n v="0"/>
    <n v="0"/>
    <n v="-18.438688524590166"/>
    <n v="339.98523450685309"/>
    <n v="-14.196613692039946"/>
    <n v="201.54384032101609"/>
  </r>
  <r>
    <x v="33"/>
    <x v="29"/>
    <x v="11"/>
    <m/>
    <m/>
    <m/>
    <m/>
    <m/>
    <m/>
    <m/>
    <m/>
    <n v="112.50474029849835"/>
    <m/>
    <n v="104.87348800000002"/>
    <m/>
    <m/>
    <n v="96.1"/>
    <n v="94.2"/>
    <m/>
    <m/>
    <m/>
    <m/>
    <n v="-2.0286885245901658"/>
    <m/>
    <m/>
    <n v="-7.6312522984983246"/>
    <m/>
    <m/>
    <m/>
    <m/>
    <m/>
    <b v="0"/>
    <s v="SE"/>
    <s v="OVER"/>
    <n v="0"/>
    <n v="0"/>
    <n v="0"/>
    <n v="-2.0286885245901658"/>
    <n v="4.1155771298038237"/>
    <n v="-7.6312522984983246"/>
    <n v="58.236011643335964"/>
  </r>
  <r>
    <x v="34"/>
    <x v="16"/>
    <x v="15"/>
    <m/>
    <m/>
    <m/>
    <m/>
    <m/>
    <m/>
    <m/>
    <m/>
    <n v="96.930208012717799"/>
    <m/>
    <n v="115.2564826666667"/>
    <m/>
    <m/>
    <n v="92.9"/>
    <n v="96.4"/>
    <m/>
    <m/>
    <m/>
    <m/>
    <n v="18.721311475409834"/>
    <m/>
    <m/>
    <n v="18.3262746539489"/>
    <m/>
    <m/>
    <m/>
    <m/>
    <m/>
    <b v="0"/>
    <s v="A"/>
    <s v="OVER"/>
    <n v="0"/>
    <n v="0"/>
    <n v="0"/>
    <n v="18.721311475409834"/>
    <n v="350.48750335931192"/>
    <n v="18.3262746539489"/>
    <n v="335.85234269196985"/>
  </r>
  <r>
    <x v="34"/>
    <x v="22"/>
    <x v="12"/>
    <m/>
    <m/>
    <m/>
    <m/>
    <m/>
    <m/>
    <m/>
    <m/>
    <n v="100.44825196997593"/>
    <m/>
    <n v="98.034568000000021"/>
    <m/>
    <m/>
    <n v="97.3"/>
    <n v="94.2"/>
    <m/>
    <m/>
    <m/>
    <m/>
    <n v="-2.0386885245901651"/>
    <m/>
    <m/>
    <n v="-2.4136839699759065"/>
    <m/>
    <m/>
    <m/>
    <m/>
    <m/>
    <b v="0"/>
    <s v="SE"/>
    <s v="OVER"/>
    <n v="0"/>
    <n v="0"/>
    <n v="0"/>
    <n v="-2.0386885245901651"/>
    <n v="4.1562509002956247"/>
    <n v="-2.4136839699759065"/>
    <n v="5.8258703069186524"/>
  </r>
  <r>
    <x v="34"/>
    <x v="7"/>
    <x v="20"/>
    <m/>
    <m/>
    <m/>
    <m/>
    <m/>
    <m/>
    <m/>
    <m/>
    <n v="107.11559333230639"/>
    <m/>
    <n v="113.85137866666669"/>
    <m/>
    <m/>
    <n v="96.1"/>
    <n v="97.3"/>
    <m/>
    <m/>
    <m/>
    <m/>
    <n v="8.4113114754098355"/>
    <m/>
    <m/>
    <n v="6.7357853343603011"/>
    <m/>
    <m/>
    <m/>
    <m/>
    <m/>
    <b v="1"/>
    <s v="C"/>
    <s v="OVER"/>
    <n v="0"/>
    <n v="0"/>
    <n v="0"/>
    <n v="8.4113114754098355"/>
    <n v="70.750160736361181"/>
    <n v="6.7357853343603011"/>
    <n v="45.370804070583311"/>
  </r>
  <r>
    <x v="34"/>
    <x v="8"/>
    <x v="21"/>
    <m/>
    <m/>
    <m/>
    <m/>
    <m/>
    <m/>
    <m/>
    <m/>
    <n v="107.59263327976012"/>
    <m/>
    <n v="107.85594800000003"/>
    <m/>
    <m/>
    <n v="98.8"/>
    <n v="100.2"/>
    <m/>
    <m/>
    <m/>
    <m/>
    <n v="-2.5186885245901656"/>
    <m/>
    <m/>
    <n v="0.26331472023990443"/>
    <m/>
    <m/>
    <m/>
    <m/>
    <m/>
    <b v="0"/>
    <s v="SW"/>
    <s v="OVER"/>
    <n v="0"/>
    <n v="0"/>
    <n v="0"/>
    <n v="-2.5186885245901656"/>
    <n v="6.3437918839021847"/>
    <n v="0.26331472023990443"/>
    <n v="6.9334641895019131E-2"/>
  </r>
  <r>
    <x v="34"/>
    <x v="25"/>
    <x v="17"/>
    <m/>
    <m/>
    <m/>
    <m/>
    <m/>
    <m/>
    <m/>
    <m/>
    <n v="101.66741525149295"/>
    <m/>
    <n v="90.97898800000003"/>
    <m/>
    <m/>
    <n v="93.3"/>
    <n v="94.2"/>
    <m/>
    <m/>
    <m/>
    <m/>
    <n v="-18.658688524590168"/>
    <m/>
    <m/>
    <n v="-10.688427251492925"/>
    <m/>
    <m/>
    <m/>
    <m/>
    <m/>
    <b v="0"/>
    <s v="SW"/>
    <s v="OVER"/>
    <n v="0"/>
    <n v="0"/>
    <n v="0"/>
    <n v="-18.658688524590168"/>
    <n v="348.14665745767286"/>
    <n v="-10.688427251492925"/>
    <n v="114.2424771104566"/>
  </r>
  <r>
    <x v="34"/>
    <x v="21"/>
    <x v="5"/>
    <m/>
    <m/>
    <m/>
    <m/>
    <m/>
    <m/>
    <m/>
    <m/>
    <n v="108.99660584399453"/>
    <m/>
    <n v="105.29218600000003"/>
    <m/>
    <m/>
    <n v="91.5"/>
    <n v="96.9"/>
    <m/>
    <m/>
    <m/>
    <m/>
    <n v="-3.3386885245901659"/>
    <m/>
    <m/>
    <n v="-3.7044198439945006"/>
    <m/>
    <m/>
    <m/>
    <m/>
    <m/>
    <b v="0"/>
    <s v="NW"/>
    <s v="OVER"/>
    <n v="0"/>
    <n v="0"/>
    <n v="0"/>
    <n v="-3.3386885245901659"/>
    <n v="11.146841064230058"/>
    <n v="-3.7044198439945006"/>
    <n v="13.722726380580241"/>
  </r>
  <r>
    <x v="35"/>
    <x v="3"/>
    <x v="12"/>
    <m/>
    <m/>
    <m/>
    <m/>
    <m/>
    <m/>
    <m/>
    <m/>
    <n v="100.62884124532324"/>
    <m/>
    <n v="99.16496800000003"/>
    <m/>
    <m/>
    <n v="99.5"/>
    <n v="94.2"/>
    <m/>
    <m/>
    <m/>
    <m/>
    <n v="-0.61868852459016566"/>
    <m/>
    <m/>
    <n v="-1.4638732453232137"/>
    <m/>
    <m/>
    <m/>
    <m/>
    <m/>
    <b v="0"/>
    <s v="A"/>
    <s v="OVER"/>
    <n v="0"/>
    <n v="0"/>
    <n v="0"/>
    <n v="-0.61868852459016566"/>
    <n v="0.382775490459556"/>
    <n v="-1.4638732453232137"/>
    <n v="2.1429248783731181"/>
  </r>
  <r>
    <x v="35"/>
    <x v="14"/>
    <x v="21"/>
    <m/>
    <m/>
    <m/>
    <m/>
    <m/>
    <m/>
    <m/>
    <m/>
    <n v="114.01615726701198"/>
    <m/>
    <n v="108.68760800000003"/>
    <m/>
    <m/>
    <n v="95.1"/>
    <n v="100.2"/>
    <m/>
    <m/>
    <m/>
    <m/>
    <n v="-9.8886885245901652"/>
    <m/>
    <m/>
    <n v="-5.328549267011951"/>
    <m/>
    <m/>
    <m/>
    <m/>
    <m/>
    <b v="0"/>
    <s v="C"/>
    <s v="OVER"/>
    <n v="0"/>
    <n v="0"/>
    <n v="0"/>
    <n v="-9.8886885245901652"/>
    <n v="97.786160736361225"/>
    <n v="-5.328549267011951"/>
    <n v="28.393437290973601"/>
  </r>
  <r>
    <x v="35"/>
    <x v="17"/>
    <x v="1"/>
    <m/>
    <m/>
    <m/>
    <m/>
    <m/>
    <m/>
    <m/>
    <m/>
    <n v="94.557623578429087"/>
    <m/>
    <n v="104.43131200000002"/>
    <m/>
    <m/>
    <n v="102"/>
    <n v="93.3"/>
    <m/>
    <m/>
    <m/>
    <m/>
    <n v="13.361311475409835"/>
    <m/>
    <m/>
    <n v="9.8736884215709324"/>
    <m/>
    <m/>
    <m/>
    <m/>
    <m/>
    <b v="1"/>
    <s v="SW"/>
    <s v="OVER"/>
    <n v="0"/>
    <n v="0"/>
    <n v="0"/>
    <n v="13.361311475409835"/>
    <n v="178.52464434291855"/>
    <n v="9.8736884215709324"/>
    <n v="97.48972304626389"/>
  </r>
  <r>
    <x v="35"/>
    <x v="23"/>
    <x v="9"/>
    <m/>
    <m/>
    <m/>
    <m/>
    <m/>
    <m/>
    <m/>
    <m/>
    <n v="100.58505917909571"/>
    <m/>
    <n v="96.173006000000029"/>
    <m/>
    <m/>
    <n v="99.1"/>
    <n v="93.9"/>
    <m/>
    <m/>
    <m/>
    <m/>
    <n v="-3.2186885245901662"/>
    <m/>
    <m/>
    <n v="-4.412053179095679"/>
    <m/>
    <m/>
    <m/>
    <m/>
    <m/>
    <b v="0"/>
    <s v="NW"/>
    <s v="OVER"/>
    <n v="0"/>
    <n v="0"/>
    <n v="0"/>
    <n v="-3.2186885245901662"/>
    <n v="10.359955818328421"/>
    <n v="-4.412053179095679"/>
    <n v="19.466213255168288"/>
  </r>
  <r>
    <x v="35"/>
    <x v="28"/>
    <x v="0"/>
    <m/>
    <m/>
    <m/>
    <m/>
    <m/>
    <m/>
    <m/>
    <m/>
    <n v="119.05204150317566"/>
    <m/>
    <n v="107.55224133333337"/>
    <m/>
    <m/>
    <n v="95.8"/>
    <n v="96.2"/>
    <m/>
    <m/>
    <m/>
    <m/>
    <n v="-3.1686885245901655"/>
    <m/>
    <m/>
    <n v="-11.499800169842288"/>
    <m/>
    <m/>
    <m/>
    <m/>
    <m/>
    <b v="0"/>
    <s v="NW"/>
    <s v="OVER"/>
    <n v="0"/>
    <n v="0"/>
    <n v="0"/>
    <n v="-3.1686885245901655"/>
    <n v="10.0405869658694"/>
    <n v="-11.499800169842288"/>
    <n v="132.24540394630472"/>
  </r>
  <r>
    <x v="35"/>
    <x v="20"/>
    <x v="13"/>
    <m/>
    <m/>
    <m/>
    <m/>
    <m/>
    <m/>
    <m/>
    <m/>
    <n v="108.70457681965827"/>
    <m/>
    <n v="101.51107066666668"/>
    <m/>
    <m/>
    <n v="92.6"/>
    <n v="96.1"/>
    <m/>
    <m/>
    <m/>
    <m/>
    <n v="-5.9086885245901657"/>
    <m/>
    <m/>
    <n v="-7.1935061529915885"/>
    <m/>
    <m/>
    <m/>
    <m/>
    <m/>
    <b v="0"/>
    <s v="NW"/>
    <s v="OVER"/>
    <n v="0"/>
    <n v="0"/>
    <n v="0"/>
    <n v="-5.9086885245901657"/>
    <n v="34.912600080623513"/>
    <n v="-7.1935061529915885"/>
    <n v="51.746530773127844"/>
  </r>
  <r>
    <x v="35"/>
    <x v="10"/>
    <x v="11"/>
    <m/>
    <m/>
    <m/>
    <m/>
    <m/>
    <m/>
    <m/>
    <m/>
    <n v="102.05869419888252"/>
    <m/>
    <n v="103.51700800000003"/>
    <m/>
    <m/>
    <n v="97.5"/>
    <n v="94.2"/>
    <m/>
    <m/>
    <m/>
    <m/>
    <n v="4.8913114754098341"/>
    <m/>
    <m/>
    <n v="1.4583138011175123"/>
    <m/>
    <m/>
    <m/>
    <m/>
    <m/>
    <b v="0"/>
    <s v="A"/>
    <s v="OVER"/>
    <n v="0"/>
    <n v="0"/>
    <n v="0"/>
    <n v="4.8913114754098341"/>
    <n v="23.924927949475929"/>
    <n v="1.4583138011175123"/>
    <n v="2.1266791425298073"/>
  </r>
  <r>
    <x v="35"/>
    <x v="11"/>
    <x v="24"/>
    <m/>
    <m/>
    <m/>
    <m/>
    <m/>
    <m/>
    <m/>
    <m/>
    <n v="88.459700941007981"/>
    <m/>
    <n v="102.42466133333336"/>
    <m/>
    <m/>
    <n v="101.7"/>
    <n v="99.2"/>
    <m/>
    <m/>
    <m/>
    <m/>
    <n v="5.9513114754098346"/>
    <m/>
    <m/>
    <n v="13.964960392325381"/>
    <m/>
    <m/>
    <m/>
    <m/>
    <m/>
    <b v="0"/>
    <s v="P"/>
    <s v="OVER"/>
    <n v="0"/>
    <n v="0"/>
    <n v="0"/>
    <n v="5.9513114754098346"/>
    <n v="35.418108277344786"/>
    <n v="13.964960392325381"/>
    <n v="195.02011875921664"/>
  </r>
  <r>
    <x v="35"/>
    <x v="2"/>
    <x v="16"/>
    <m/>
    <m/>
    <m/>
    <m/>
    <m/>
    <m/>
    <m/>
    <m/>
    <n v="110.45950413790987"/>
    <m/>
    <n v="107.33442533333336"/>
    <m/>
    <m/>
    <n v="99.3"/>
    <n v="98.3"/>
    <m/>
    <m/>
    <m/>
    <m/>
    <n v="-5.1286885245901654"/>
    <m/>
    <m/>
    <n v="-3.1250788045765177"/>
    <m/>
    <m/>
    <m/>
    <m/>
    <m/>
    <b v="0"/>
    <s v="NW"/>
    <s v="OVER"/>
    <n v="0"/>
    <n v="0"/>
    <n v="0"/>
    <n v="-5.1286885245901654"/>
    <n v="26.303445982262847"/>
    <n v="-3.1250788045765177"/>
    <n v="9.7661175348133966"/>
  </r>
  <r>
    <x v="35"/>
    <x v="12"/>
    <x v="23"/>
    <m/>
    <m/>
    <m/>
    <m/>
    <m/>
    <m/>
    <m/>
    <m/>
    <n v="105.13908369203996"/>
    <m/>
    <n v="99.500301333333368"/>
    <m/>
    <m/>
    <n v="95.4"/>
    <n v="96.2"/>
    <m/>
    <m/>
    <m/>
    <m/>
    <n v="-8.1386885245901652"/>
    <m/>
    <m/>
    <n v="-5.6387823587065924"/>
    <m/>
    <m/>
    <m/>
    <m/>
    <m/>
    <b v="0"/>
    <s v="A"/>
    <s v="OVER"/>
    <n v="0"/>
    <n v="0"/>
    <n v="0"/>
    <n v="-8.1386885245901652"/>
    <n v="66.23825090029564"/>
    <n v="-5.6387823587065924"/>
    <n v="31.795866488860682"/>
  </r>
  <r>
    <x v="36"/>
    <x v="16"/>
    <x v="26"/>
    <m/>
    <m/>
    <m/>
    <m/>
    <m/>
    <m/>
    <m/>
    <m/>
    <n v="102.76432801271781"/>
    <m/>
    <n v="106.38334066666668"/>
    <m/>
    <m/>
    <n v="92.9"/>
    <n v="96.1"/>
    <m/>
    <m/>
    <m/>
    <m/>
    <n v="3.5813114754098341"/>
    <m/>
    <m/>
    <n v="3.6190126539488716"/>
    <m/>
    <m/>
    <m/>
    <m/>
    <m/>
    <b v="0"/>
    <s v="A"/>
    <s v="OVER"/>
    <n v="0"/>
    <n v="0"/>
    <n v="0"/>
    <n v="3.5813114754098341"/>
    <n v="12.825791883902163"/>
    <n v="3.6190126539488716"/>
    <n v="13.097252589442055"/>
  </r>
  <r>
    <x v="36"/>
    <x v="22"/>
    <x v="4"/>
    <m/>
    <m/>
    <m/>
    <m/>
    <m/>
    <m/>
    <m/>
    <m/>
    <n v="104.44728196997592"/>
    <m/>
    <n v="98.52248000000003"/>
    <m/>
    <m/>
    <n v="97.3"/>
    <n v="102"/>
    <m/>
    <m/>
    <m/>
    <m/>
    <n v="-13.628688524590165"/>
    <m/>
    <m/>
    <n v="-5.9248019699758885"/>
    <m/>
    <m/>
    <m/>
    <m/>
    <m/>
    <b v="0"/>
    <s v="SE"/>
    <s v="OVER"/>
    <n v="0"/>
    <n v="0"/>
    <n v="0"/>
    <n v="-13.628688524590165"/>
    <n v="185.74115090029565"/>
    <n v="-5.9248019699758885"/>
    <n v="35.103278383430172"/>
  </r>
  <r>
    <x v="36"/>
    <x v="0"/>
    <x v="15"/>
    <m/>
    <m/>
    <m/>
    <m/>
    <m/>
    <m/>
    <m/>
    <m/>
    <n v="111.47005692672303"/>
    <m/>
    <n v="110.5521626666667"/>
    <m/>
    <m/>
    <n v="97.3"/>
    <n v="96.4"/>
    <m/>
    <m/>
    <m/>
    <m/>
    <n v="1.1713114754098335"/>
    <m/>
    <m/>
    <n v="-0.9178942600563289"/>
    <m/>
    <m/>
    <m/>
    <m/>
    <m/>
    <b v="0"/>
    <s v="C"/>
    <s v="OVER"/>
    <n v="0"/>
    <n v="0"/>
    <n v="0"/>
    <n v="1.1713114754098335"/>
    <n v="1.371970572426761"/>
    <n v="-0.9178942600563289"/>
    <n v="0.84252987264435553"/>
  </r>
  <r>
    <x v="36"/>
    <x v="1"/>
    <x v="5"/>
    <m/>
    <m/>
    <m/>
    <m/>
    <m/>
    <m/>
    <m/>
    <m/>
    <n v="117.56449298006878"/>
    <m/>
    <n v="108.51895600000003"/>
    <m/>
    <m/>
    <n v="100.7"/>
    <n v="96.9"/>
    <m/>
    <m/>
    <m/>
    <m/>
    <n v="-10.338688524590165"/>
    <m/>
    <m/>
    <n v="-9.0455369800687464"/>
    <m/>
    <m/>
    <m/>
    <m/>
    <m/>
    <b v="0"/>
    <s v="P"/>
    <s v="OVER"/>
    <n v="0"/>
    <n v="0"/>
    <n v="0"/>
    <n v="-10.338688524590165"/>
    <n v="106.88848040849236"/>
    <n v="-9.0455369800687464"/>
    <n v="81.821739257791222"/>
  </r>
  <r>
    <x v="36"/>
    <x v="6"/>
    <x v="17"/>
    <m/>
    <m/>
    <m/>
    <m/>
    <m/>
    <m/>
    <m/>
    <m/>
    <n v="100.2832547304164"/>
    <m/>
    <n v="87.757348000000022"/>
    <m/>
    <m/>
    <n v="96.2"/>
    <n v="94.2"/>
    <m/>
    <m/>
    <m/>
    <m/>
    <n v="-11.998688524590166"/>
    <m/>
    <m/>
    <n v="-12.525906730416381"/>
    <m/>
    <m/>
    <m/>
    <m/>
    <m/>
    <b v="0"/>
    <s v="SW"/>
    <s v="OVER"/>
    <n v="0"/>
    <n v="0"/>
    <n v="0"/>
    <n v="-11.998688524590166"/>
    <n v="143.96852631013175"/>
    <n v="-12.525906730416381"/>
    <n v="156.89833941909038"/>
  </r>
  <r>
    <x v="36"/>
    <x v="21"/>
    <x v="9"/>
    <m/>
    <m/>
    <m/>
    <m/>
    <m/>
    <m/>
    <m/>
    <m/>
    <n v="103.33275584399452"/>
    <m/>
    <n v="91.712756000000027"/>
    <m/>
    <m/>
    <n v="91.5"/>
    <n v="93.9"/>
    <m/>
    <m/>
    <m/>
    <m/>
    <n v="-8.1386885245901652"/>
    <m/>
    <m/>
    <n v="-11.619999843994492"/>
    <m/>
    <m/>
    <m/>
    <m/>
    <m/>
    <b v="0"/>
    <s v="NW"/>
    <s v="OVER"/>
    <n v="0"/>
    <n v="0"/>
    <n v="0"/>
    <n v="-8.1386885245901652"/>
    <n v="66.23825090029564"/>
    <n v="-11.619999843994492"/>
    <n v="135.02439637443203"/>
  </r>
  <r>
    <x v="37"/>
    <x v="13"/>
    <x v="12"/>
    <m/>
    <m/>
    <m/>
    <m/>
    <m/>
    <m/>
    <m/>
    <m/>
    <n v="95.297079292911292"/>
    <m/>
    <n v="92.081128000000021"/>
    <m/>
    <m/>
    <n v="99.2"/>
    <n v="94.2"/>
    <m/>
    <m/>
    <m/>
    <m/>
    <n v="-2.3686885245901652"/>
    <m/>
    <m/>
    <n v="-3.2159512929112708"/>
    <m/>
    <m/>
    <m/>
    <m/>
    <m/>
    <b v="0"/>
    <s v="SE"/>
    <s v="OVER"/>
    <n v="0"/>
    <n v="0"/>
    <n v="0"/>
    <n v="-2.3686885245901652"/>
    <n v="5.6106853265251333"/>
    <n v="-3.2159512929112708"/>
    <n v="10.342342718377674"/>
  </r>
  <r>
    <x v="37"/>
    <x v="3"/>
    <x v="11"/>
    <m/>
    <m/>
    <m/>
    <m/>
    <m/>
    <m/>
    <m/>
    <m/>
    <n v="108.69829124532325"/>
    <m/>
    <n v="102.33950800000002"/>
    <m/>
    <m/>
    <n v="99.5"/>
    <n v="94.2"/>
    <m/>
    <m/>
    <m/>
    <m/>
    <n v="-5.3586885245901659"/>
    <m/>
    <m/>
    <n v="-6.3587832453232238"/>
    <m/>
    <m/>
    <m/>
    <m/>
    <m/>
    <b v="0"/>
    <s v="A"/>
    <s v="OVER"/>
    <n v="0"/>
    <n v="0"/>
    <n v="0"/>
    <n v="-5.3586885245901659"/>
    <n v="28.715542703574329"/>
    <n v="-6.3587832453232238"/>
    <n v="40.434124361003349"/>
  </r>
  <r>
    <x v="37"/>
    <x v="14"/>
    <x v="20"/>
    <m/>
    <m/>
    <m/>
    <m/>
    <m/>
    <m/>
    <m/>
    <m/>
    <n v="108.97585726701197"/>
    <m/>
    <n v="111.28265866666669"/>
    <m/>
    <m/>
    <n v="95.1"/>
    <n v="97.3"/>
    <m/>
    <m/>
    <m/>
    <m/>
    <n v="1.3113114754098349"/>
    <m/>
    <m/>
    <n v="2.3068013996547165"/>
    <m/>
    <m/>
    <m/>
    <m/>
    <m/>
    <b v="1"/>
    <s v="C"/>
    <s v="OVER"/>
    <n v="0"/>
    <n v="0"/>
    <n v="0"/>
    <n v="1.3113114754098349"/>
    <n v="1.7195377855415181"/>
    <n v="2.3068013996547165"/>
    <n v="5.321332697448959"/>
  </r>
  <r>
    <x v="37"/>
    <x v="23"/>
    <x v="5"/>
    <m/>
    <m/>
    <m/>
    <m/>
    <m/>
    <m/>
    <m/>
    <m/>
    <n v="106.71934917909573"/>
    <m/>
    <n v="109.89493600000003"/>
    <m/>
    <m/>
    <n v="99.1"/>
    <n v="96.9"/>
    <m/>
    <m/>
    <m/>
    <m/>
    <n v="1.5813114754098341"/>
    <m/>
    <m/>
    <n v="3.1755868209043001"/>
    <m/>
    <m/>
    <m/>
    <m/>
    <m/>
    <b v="0"/>
    <s v="NW"/>
    <s v="OVER"/>
    <n v="0"/>
    <n v="0"/>
    <n v="0"/>
    <n v="1.5813114754098341"/>
    <n v="2.5005459822628264"/>
    <n v="3.1755868209043001"/>
    <n v="10.084351657101079"/>
  </r>
  <r>
    <x v="37"/>
    <x v="8"/>
    <x v="15"/>
    <m/>
    <m/>
    <m/>
    <m/>
    <m/>
    <m/>
    <m/>
    <m/>
    <n v="98.947633279760112"/>
    <m/>
    <n v="109.9352026666667"/>
    <m/>
    <m/>
    <n v="98.8"/>
    <n v="96.4"/>
    <m/>
    <m/>
    <m/>
    <m/>
    <n v="12.631311475409834"/>
    <m/>
    <m/>
    <n v="10.987569386906586"/>
    <m/>
    <m/>
    <m/>
    <m/>
    <m/>
    <b v="0"/>
    <s v="SW"/>
    <s v="OVER"/>
    <n v="0"/>
    <n v="0"/>
    <n v="0"/>
    <n v="12.631311475409834"/>
    <n v="159.55002958882017"/>
    <n v="10.987569386906586"/>
    <n v="120.72668103208676"/>
  </r>
  <r>
    <x v="37"/>
    <x v="24"/>
    <x v="6"/>
    <m/>
    <m/>
    <m/>
    <m/>
    <m/>
    <m/>
    <m/>
    <m/>
    <n v="112.21939945611427"/>
    <m/>
    <n v="107.47865866666668"/>
    <m/>
    <m/>
    <n v="96.2"/>
    <n v="95.8"/>
    <m/>
    <m/>
    <m/>
    <m/>
    <n v="-2.3886885245901661"/>
    <m/>
    <m/>
    <n v="-4.7407407894475995"/>
    <m/>
    <m/>
    <m/>
    <m/>
    <m/>
    <b v="0"/>
    <s v="A"/>
    <s v="OVER"/>
    <n v="0"/>
    <n v="0"/>
    <n v="0"/>
    <n v="-2.3886885245901661"/>
    <n v="5.7058328675087449"/>
    <n v="-4.7407407894475995"/>
    <n v="22.474623232732249"/>
  </r>
  <r>
    <x v="37"/>
    <x v="10"/>
    <x v="17"/>
    <m/>
    <m/>
    <m/>
    <m/>
    <m/>
    <m/>
    <m/>
    <m/>
    <n v="98.675444198882516"/>
    <m/>
    <n v="94.040488000000025"/>
    <m/>
    <m/>
    <n v="97.5"/>
    <n v="94.2"/>
    <m/>
    <m/>
    <m/>
    <m/>
    <n v="-1.6986885245901657"/>
    <m/>
    <m/>
    <n v="-4.6349561988824917"/>
    <m/>
    <m/>
    <m/>
    <m/>
    <m/>
    <b v="0"/>
    <s v="A"/>
    <s v="OVER"/>
    <n v="0"/>
    <n v="0"/>
    <n v="0"/>
    <n v="-1.6986885245901657"/>
    <n v="2.885542703574314"/>
    <n v="-4.6349561988824917"/>
    <n v="21.482818965559236"/>
  </r>
  <r>
    <x v="37"/>
    <x v="25"/>
    <x v="13"/>
    <m/>
    <m/>
    <m/>
    <m/>
    <m/>
    <m/>
    <m/>
    <m/>
    <n v="104.89559525149295"/>
    <m/>
    <n v="101.75132066666669"/>
    <m/>
    <m/>
    <n v="93.3"/>
    <n v="96.1"/>
    <m/>
    <m/>
    <m/>
    <m/>
    <n v="-12.818688524590167"/>
    <m/>
    <m/>
    <n v="-3.1442745848262632"/>
    <m/>
    <m/>
    <m/>
    <m/>
    <m/>
    <b v="0"/>
    <s v="SW"/>
    <s v="OVER"/>
    <n v="0"/>
    <n v="0"/>
    <n v="0"/>
    <n v="-12.818688524590167"/>
    <n v="164.31877549045961"/>
    <n v="-3.1442745848262632"/>
    <n v="9.8864626647843696"/>
  </r>
  <r>
    <x v="37"/>
    <x v="12"/>
    <x v="21"/>
    <m/>
    <m/>
    <m/>
    <m/>
    <m/>
    <m/>
    <m/>
    <m/>
    <n v="114.15438369203997"/>
    <m/>
    <n v="110.05032800000002"/>
    <m/>
    <m/>
    <n v="95.4"/>
    <n v="100.2"/>
    <m/>
    <m/>
    <m/>
    <m/>
    <n v="-11.188688524590166"/>
    <m/>
    <m/>
    <n v="-4.1040556920399496"/>
    <m/>
    <m/>
    <m/>
    <m/>
    <m/>
    <b v="0"/>
    <s v="A"/>
    <s v="OVER"/>
    <n v="0"/>
    <n v="0"/>
    <n v="0"/>
    <n v="-11.188688524590166"/>
    <n v="125.18675090029566"/>
    <n v="-4.1040556920399496"/>
    <n v="16.84327312336551"/>
  </r>
  <r>
    <x v="38"/>
    <x v="22"/>
    <x v="6"/>
    <m/>
    <m/>
    <m/>
    <m/>
    <m/>
    <m/>
    <m/>
    <m/>
    <n v="108.39766196997593"/>
    <m/>
    <n v="103.75203866666668"/>
    <m/>
    <m/>
    <n v="97.3"/>
    <n v="95.8"/>
    <m/>
    <m/>
    <m/>
    <m/>
    <n v="-5.9786885245901651"/>
    <m/>
    <m/>
    <n v="-4.6456233033092502"/>
    <m/>
    <m/>
    <m/>
    <m/>
    <m/>
    <b v="0"/>
    <s v="SE"/>
    <s v="OVER"/>
    <n v="0"/>
    <n v="0"/>
    <n v="0"/>
    <n v="-5.9786885245901651"/>
    <n v="35.744716474066124"/>
    <n v="-4.6456233033092502"/>
    <n v="21.581815876249951"/>
  </r>
  <r>
    <x v="38"/>
    <x v="17"/>
    <x v="27"/>
    <m/>
    <m/>
    <m/>
    <m/>
    <m/>
    <m/>
    <m/>
    <m/>
    <n v="95.496023578429089"/>
    <m/>
    <n v="104.84838400000001"/>
    <m/>
    <m/>
    <n v="102"/>
    <n v="95.1"/>
    <m/>
    <m/>
    <m/>
    <m/>
    <n v="10.761311475409833"/>
    <m/>
    <m/>
    <n v="9.3523604215709213"/>
    <m/>
    <m/>
    <m/>
    <m/>
    <m/>
    <b v="0"/>
    <s v="SW"/>
    <s v="OVER"/>
    <n v="0"/>
    <n v="0"/>
    <n v="0"/>
    <n v="10.761311475409833"/>
    <n v="115.80582467078736"/>
    <n v="9.3523604215709213"/>
    <n v="87.466645454966226"/>
  </r>
  <r>
    <x v="38"/>
    <x v="1"/>
    <x v="19"/>
    <m/>
    <m/>
    <m/>
    <m/>
    <m/>
    <m/>
    <m/>
    <m/>
    <n v="115.98350298006876"/>
    <m/>
    <n v="102.01594800000004"/>
    <m/>
    <m/>
    <n v="100.7"/>
    <n v="101.7"/>
    <m/>
    <m/>
    <m/>
    <m/>
    <n v="-20.438688524590166"/>
    <m/>
    <m/>
    <n v="-13.967554980068726"/>
    <m/>
    <m/>
    <m/>
    <m/>
    <m/>
    <b v="1"/>
    <s v="P"/>
    <s v="OVER"/>
    <n v="0"/>
    <n v="0"/>
    <n v="0"/>
    <n v="-20.438688524590166"/>
    <n v="417.73998860521374"/>
    <n v="-13.967554980068726"/>
    <n v="195.09259212124269"/>
  </r>
  <r>
    <x v="38"/>
    <x v="6"/>
    <x v="21"/>
    <m/>
    <m/>
    <m/>
    <m/>
    <m/>
    <m/>
    <m/>
    <m/>
    <n v="104.9008547304164"/>
    <m/>
    <n v="104.33892800000002"/>
    <m/>
    <m/>
    <n v="96.2"/>
    <n v="100.2"/>
    <m/>
    <m/>
    <m/>
    <m/>
    <n v="-5.8286885245901656"/>
    <m/>
    <m/>
    <n v="-0.5619267304163742"/>
    <m/>
    <m/>
    <m/>
    <m/>
    <m/>
    <b v="0"/>
    <s v="SW"/>
    <s v="OVER"/>
    <n v="0"/>
    <n v="0"/>
    <n v="0"/>
    <n v="-5.8286885245901656"/>
    <n v="33.973609916689085"/>
    <n v="-0.5619267304163742"/>
    <n v="0.3157616503564365"/>
  </r>
  <r>
    <x v="38"/>
    <x v="7"/>
    <x v="3"/>
    <m/>
    <m/>
    <m/>
    <m/>
    <m/>
    <m/>
    <m/>
    <m/>
    <n v="111.80527333230638"/>
    <m/>
    <n v="96.932479333333362"/>
    <m/>
    <m/>
    <n v="96.1"/>
    <n v="92.9"/>
    <m/>
    <m/>
    <m/>
    <m/>
    <n v="-9.1386885245901652"/>
    <m/>
    <m/>
    <n v="-14.872793998973023"/>
    <m/>
    <m/>
    <m/>
    <m/>
    <m/>
    <b v="0"/>
    <s v="C"/>
    <s v="OVER"/>
    <n v="0"/>
    <n v="0"/>
    <n v="0"/>
    <n v="-9.1386885245901652"/>
    <n v="83.51562794947597"/>
    <n v="-14.872793998973023"/>
    <n v="221.20000133588798"/>
  </r>
  <r>
    <x v="38"/>
    <x v="10"/>
    <x v="14"/>
    <m/>
    <m/>
    <m/>
    <m/>
    <m/>
    <m/>
    <m/>
    <m/>
    <n v="99.426194198882513"/>
    <m/>
    <n v="109.22181333333334"/>
    <m/>
    <m/>
    <n v="97.5"/>
    <n v="99.5"/>
    <m/>
    <m/>
    <m/>
    <m/>
    <n v="7.4713114754098342"/>
    <m/>
    <m/>
    <n v="9.7956191344508312"/>
    <m/>
    <m/>
    <m/>
    <m/>
    <m/>
    <b v="1"/>
    <s v="A"/>
    <s v="OVER"/>
    <n v="0"/>
    <n v="0"/>
    <n v="0"/>
    <n v="7.4713114754098342"/>
    <n v="55.820495162590674"/>
    <n v="9.7956191344508312"/>
    <n v="95.954154227219249"/>
  </r>
  <r>
    <x v="38"/>
    <x v="2"/>
    <x v="9"/>
    <m/>
    <m/>
    <m/>
    <m/>
    <m/>
    <m/>
    <m/>
    <m/>
    <n v="105.25618413790987"/>
    <m/>
    <n v="101.05580600000003"/>
    <m/>
    <m/>
    <n v="99.3"/>
    <n v="93.9"/>
    <m/>
    <m/>
    <m/>
    <m/>
    <n v="-1.4586885245901657"/>
    <m/>
    <m/>
    <n v="-4.2003781379098371"/>
    <m/>
    <m/>
    <m/>
    <m/>
    <m/>
    <b v="0"/>
    <s v="NW"/>
    <s v="OVER"/>
    <n v="0"/>
    <n v="0"/>
    <n v="0"/>
    <n v="-1.4586885245901657"/>
    <n v="2.1277722117710347"/>
    <n v="-4.2003781379098371"/>
    <n v="17.643176501430911"/>
  </r>
  <r>
    <x v="38"/>
    <x v="12"/>
    <x v="24"/>
    <m/>
    <m/>
    <m/>
    <m/>
    <m/>
    <m/>
    <m/>
    <m/>
    <n v="103.13568369203996"/>
    <m/>
    <n v="102.20642133333335"/>
    <m/>
    <m/>
    <n v="95.4"/>
    <n v="99.2"/>
    <m/>
    <m/>
    <m/>
    <m/>
    <n v="-6.4386885245901659"/>
    <m/>
    <m/>
    <n v="-0.92926235870660889"/>
    <m/>
    <m/>
    <m/>
    <m/>
    <m/>
    <b v="0"/>
    <s v="A"/>
    <s v="OVER"/>
    <n v="0"/>
    <n v="0"/>
    <n v="0"/>
    <n v="-6.4386885245901659"/>
    <n v="41.456709916689086"/>
    <n v="-0.92926235870660889"/>
    <n v="0.86352853130897023"/>
  </r>
  <r>
    <x v="38"/>
    <x v="21"/>
    <x v="8"/>
    <m/>
    <m/>
    <m/>
    <m/>
    <m/>
    <m/>
    <m/>
    <m/>
    <n v="106.81890584399453"/>
    <m/>
    <n v="100.99347066666668"/>
    <m/>
    <m/>
    <n v="91.5"/>
    <n v="99.1"/>
    <m/>
    <m/>
    <m/>
    <m/>
    <n v="-7.6986885245901657"/>
    <m/>
    <m/>
    <n v="-5.8254351773278472"/>
    <m/>
    <m/>
    <m/>
    <m/>
    <m/>
    <b v="1"/>
    <s v="NW"/>
    <s v="OVER"/>
    <n v="0"/>
    <n v="0"/>
    <n v="0"/>
    <n v="-7.6986885245901657"/>
    <n v="59.269804998656305"/>
    <n v="-5.8254351773278472"/>
    <n v="33.935695005248725"/>
  </r>
  <r>
    <x v="39"/>
    <x v="18"/>
    <x v="17"/>
    <m/>
    <m/>
    <m/>
    <m/>
    <m/>
    <m/>
    <m/>
    <m/>
    <n v="110.68175833471561"/>
    <m/>
    <n v="87.766768000000027"/>
    <m/>
    <m/>
    <n v="94.2"/>
    <n v="94.2"/>
    <m/>
    <m/>
    <m/>
    <m/>
    <n v="-14.108688524590166"/>
    <m/>
    <m/>
    <n v="-22.914990334715583"/>
    <m/>
    <m/>
    <m/>
    <m/>
    <m/>
    <b v="0"/>
    <s v="C"/>
    <s v="OVER"/>
    <n v="0"/>
    <n v="0"/>
    <n v="0"/>
    <n v="-14.108688524590166"/>
    <n v="199.05509188390224"/>
    <n v="-22.914990334715583"/>
    <n v="525.09678204010856"/>
  </r>
  <r>
    <x v="39"/>
    <x v="27"/>
    <x v="16"/>
    <m/>
    <m/>
    <m/>
    <m/>
    <m/>
    <m/>
    <m/>
    <m/>
    <n v="114.33908172355892"/>
    <m/>
    <n v="97.887795333333358"/>
    <m/>
    <m/>
    <n v="96.4"/>
    <n v="98.3"/>
    <m/>
    <m/>
    <m/>
    <m/>
    <n v="-20.278688524590166"/>
    <m/>
    <m/>
    <n v="-16.451286390225562"/>
    <m/>
    <m/>
    <m/>
    <m/>
    <m/>
    <b v="0"/>
    <s v="P"/>
    <s v="OVER"/>
    <n v="0"/>
    <n v="0"/>
    <n v="0"/>
    <n v="-20.278688524590166"/>
    <n v="411.22520827734485"/>
    <n v="-16.451286390225562"/>
    <n v="270.6448238932208"/>
  </r>
  <r>
    <x v="39"/>
    <x v="24"/>
    <x v="11"/>
    <m/>
    <m/>
    <m/>
    <m/>
    <m/>
    <m/>
    <m/>
    <m/>
    <n v="112.16167945611427"/>
    <m/>
    <n v="104.87348800000002"/>
    <m/>
    <m/>
    <n v="96.2"/>
    <n v="94.2"/>
    <m/>
    <m/>
    <m/>
    <m/>
    <n v="-3.1886885245901659"/>
    <m/>
    <m/>
    <n v="-7.288191456114248"/>
    <m/>
    <m/>
    <m/>
    <m/>
    <m/>
    <b v="0"/>
    <s v="A"/>
    <s v="OVER"/>
    <n v="0"/>
    <n v="0"/>
    <n v="0"/>
    <n v="-3.1886885245901659"/>
    <n v="10.167734506853009"/>
    <n v="-7.288191456114248"/>
    <n v="53.117734700976726"/>
  </r>
  <r>
    <x v="39"/>
    <x v="20"/>
    <x v="25"/>
    <m/>
    <m/>
    <m/>
    <m/>
    <m/>
    <m/>
    <m/>
    <m/>
    <n v="104.44497681965828"/>
    <m/>
    <n v="99.887458666666689"/>
    <m/>
    <m/>
    <n v="92.6"/>
    <n v="98.8"/>
    <m/>
    <m/>
    <m/>
    <m/>
    <n v="-5.8386885245901663"/>
    <m/>
    <m/>
    <n v="-4.5575181529915909"/>
    <m/>
    <m/>
    <m/>
    <m/>
    <m/>
    <b v="0"/>
    <s v="NW"/>
    <s v="OVER"/>
    <n v="0"/>
    <n v="0"/>
    <n v="0"/>
    <n v="-5.8386885245901663"/>
    <n v="34.090283687180893"/>
    <n v="-4.5575181529915909"/>
    <n v="20.770971714847882"/>
  </r>
  <r>
    <x v="40"/>
    <x v="13"/>
    <x v="10"/>
    <m/>
    <m/>
    <m/>
    <m/>
    <m/>
    <m/>
    <m/>
    <m/>
    <n v="98.431799292911293"/>
    <m/>
    <n v="91.257917333333353"/>
    <m/>
    <m/>
    <n v="99.2"/>
    <n v="92.6"/>
    <m/>
    <m/>
    <m/>
    <m/>
    <n v="-4.7286885245901651"/>
    <m/>
    <m/>
    <n v="-7.1738819595779404"/>
    <m/>
    <m/>
    <m/>
    <m/>
    <m/>
    <b v="0"/>
    <s v="SE"/>
    <s v="OVER"/>
    <n v="0"/>
    <n v="0"/>
    <n v="0"/>
    <n v="-4.7286885245901651"/>
    <n v="22.360495162590713"/>
    <n v="-7.1738819595779404"/>
    <n v="51.464582369957832"/>
  </r>
  <r>
    <x v="40"/>
    <x v="16"/>
    <x v="13"/>
    <m/>
    <m/>
    <m/>
    <m/>
    <m/>
    <m/>
    <m/>
    <m/>
    <n v="103.81409801271781"/>
    <m/>
    <n v="107.14253066666667"/>
    <m/>
    <m/>
    <n v="92.9"/>
    <n v="96.1"/>
    <m/>
    <m/>
    <m/>
    <m/>
    <n v="3.2413114754098342"/>
    <m/>
    <m/>
    <n v="3.328432653948866"/>
    <m/>
    <m/>
    <m/>
    <m/>
    <m/>
    <b v="0"/>
    <s v="A"/>
    <s v="OVER"/>
    <n v="0"/>
    <n v="0"/>
    <n v="0"/>
    <n v="3.2413114754098342"/>
    <n v="10.506100080623476"/>
    <n v="3.328432653948866"/>
    <n v="11.078463931873092"/>
  </r>
  <r>
    <x v="40"/>
    <x v="14"/>
    <x v="22"/>
    <m/>
    <m/>
    <m/>
    <m/>
    <m/>
    <m/>
    <m/>
    <m/>
    <n v="114.83401726701197"/>
    <m/>
    <n v="108.56535200000002"/>
    <m/>
    <m/>
    <n v="95.1"/>
    <n v="99.3"/>
    <m/>
    <m/>
    <m/>
    <m/>
    <n v="-9.8886885245901652"/>
    <m/>
    <m/>
    <n v="-6.2686652670119543"/>
    <m/>
    <m/>
    <m/>
    <m/>
    <m/>
    <b v="0"/>
    <s v="C"/>
    <s v="OVER"/>
    <n v="0"/>
    <n v="0"/>
    <n v="0"/>
    <n v="-9.8886885245901652"/>
    <n v="97.786160736361225"/>
    <n v="-6.2686652670119543"/>
    <n v="39.296164229842056"/>
  </r>
  <r>
    <x v="40"/>
    <x v="17"/>
    <x v="7"/>
    <m/>
    <m/>
    <m/>
    <m/>
    <m/>
    <m/>
    <m/>
    <m/>
    <n v="95.373623578429076"/>
    <m/>
    <n v="104.53976866666669"/>
    <m/>
    <m/>
    <n v="102"/>
    <n v="97.3"/>
    <m/>
    <m/>
    <m/>
    <m/>
    <n v="8.0713114754098338"/>
    <m/>
    <m/>
    <n v="9.166145088237613"/>
    <m/>
    <m/>
    <m/>
    <m/>
    <m/>
    <b v="0"/>
    <s v="SW"/>
    <s v="OVER"/>
    <n v="0"/>
    <n v="0"/>
    <n v="0"/>
    <n v="8.0713114754098338"/>
    <n v="65.146068933082475"/>
    <n v="9.166145088237613"/>
    <n v="84.018215778622519"/>
  </r>
  <r>
    <x v="40"/>
    <x v="1"/>
    <x v="16"/>
    <m/>
    <m/>
    <m/>
    <m/>
    <m/>
    <m/>
    <m/>
    <m/>
    <n v="116.60784298006877"/>
    <m/>
    <n v="100.82696533333335"/>
    <m/>
    <m/>
    <n v="100.7"/>
    <n v="98.3"/>
    <m/>
    <m/>
    <m/>
    <m/>
    <n v="-18.808688524590167"/>
    <m/>
    <m/>
    <n v="-15.780877646735419"/>
    <m/>
    <m/>
    <m/>
    <m/>
    <m/>
    <b v="0"/>
    <s v="P"/>
    <s v="OVER"/>
    <n v="0"/>
    <n v="0"/>
    <n v="0"/>
    <n v="-18.808688524590167"/>
    <n v="353.76676401504983"/>
    <n v="-15.780877646735419"/>
    <n v="249.03609930123363"/>
  </r>
  <r>
    <x v="40"/>
    <x v="26"/>
    <x v="14"/>
    <m/>
    <m/>
    <m/>
    <m/>
    <m/>
    <m/>
    <m/>
    <m/>
    <n v="110.77290549407401"/>
    <m/>
    <n v="110.03771333333336"/>
    <m/>
    <m/>
    <n v="96.9"/>
    <n v="99.5"/>
    <m/>
    <m/>
    <m/>
    <m/>
    <n v="-5.8986885245901668"/>
    <m/>
    <m/>
    <n v="-0.73519216074065241"/>
    <m/>
    <m/>
    <m/>
    <m/>
    <m/>
    <b v="0"/>
    <s v="SW"/>
    <s v="OVER"/>
    <n v="0"/>
    <n v="0"/>
    <n v="0"/>
    <n v="-5.8986885245901668"/>
    <n v="34.794526310131715"/>
    <n v="-0.73519216074065241"/>
    <n v="0.54050751321450929"/>
  </r>
  <r>
    <x v="40"/>
    <x v="5"/>
    <x v="2"/>
    <m/>
    <m/>
    <m/>
    <m/>
    <m/>
    <m/>
    <m/>
    <m/>
    <n v="104.3501114170964"/>
    <m/>
    <n v="101.73031000000003"/>
    <m/>
    <m/>
    <n v="100.2"/>
    <n v="91.5"/>
    <m/>
    <m/>
    <m/>
    <m/>
    <n v="3.9013114754098344"/>
    <m/>
    <m/>
    <n v="-2.6198014170963688"/>
    <m/>
    <m/>
    <m/>
    <m/>
    <m/>
    <b v="0"/>
    <s v="P"/>
    <s v="OVER"/>
    <n v="0"/>
    <n v="0"/>
    <n v="0"/>
    <n v="3.9013114754098344"/>
    <n v="15.220231228164458"/>
    <n v="-2.6198014170963688"/>
    <n v="6.8633594650201424"/>
  </r>
  <r>
    <x v="40"/>
    <x v="7"/>
    <x v="1"/>
    <m/>
    <m/>
    <m/>
    <m/>
    <m/>
    <m/>
    <m/>
    <m/>
    <n v="106.41406333230638"/>
    <m/>
    <n v="107.09969200000002"/>
    <m/>
    <m/>
    <n v="96.1"/>
    <n v="93.3"/>
    <m/>
    <m/>
    <m/>
    <m/>
    <n v="6.9213114754098353"/>
    <m/>
    <m/>
    <n v="0.68562866769363495"/>
    <m/>
    <m/>
    <m/>
    <m/>
    <m/>
    <b v="0"/>
    <s v="C"/>
    <s v="OVER"/>
    <n v="0"/>
    <n v="0"/>
    <n v="0"/>
    <n v="6.9213114754098353"/>
    <n v="47.904552539639873"/>
    <n v="0.68562866769363495"/>
    <n v="0.47008666996334891"/>
  </r>
  <r>
    <x v="40"/>
    <x v="8"/>
    <x v="23"/>
    <m/>
    <m/>
    <m/>
    <m/>
    <m/>
    <m/>
    <m/>
    <m/>
    <n v="98.256033279760118"/>
    <m/>
    <n v="97.393521333333368"/>
    <m/>
    <m/>
    <n v="98.8"/>
    <n v="96.2"/>
    <m/>
    <m/>
    <m/>
    <m/>
    <n v="0.53131147540983437"/>
    <m/>
    <m/>
    <n v="-0.86251194642674989"/>
    <m/>
    <m/>
    <m/>
    <m/>
    <m/>
    <b v="1"/>
    <s v="SW"/>
    <s v="OVER"/>
    <n v="0"/>
    <n v="0"/>
    <n v="0"/>
    <n v="0.53131147540983437"/>
    <n v="0.28229188390217502"/>
    <n v="-0.86251194642674989"/>
    <n v="0.74392685772886069"/>
  </r>
  <r>
    <x v="40"/>
    <x v="10"/>
    <x v="8"/>
    <m/>
    <m/>
    <m/>
    <m/>
    <m/>
    <m/>
    <m/>
    <m/>
    <n v="99.123944198882512"/>
    <m/>
    <n v="107.24668066666669"/>
    <m/>
    <m/>
    <n v="97.5"/>
    <n v="99.1"/>
    <m/>
    <m/>
    <m/>
    <m/>
    <n v="6.2313114754098349"/>
    <m/>
    <m/>
    <n v="8.1227364677841791"/>
    <m/>
    <m/>
    <m/>
    <m/>
    <m/>
    <b v="0"/>
    <s v="A"/>
    <s v="OVER"/>
    <n v="0"/>
    <n v="0"/>
    <n v="0"/>
    <n v="6.2313114754098349"/>
    <n v="38.829242703574295"/>
    <n v="8.1227364677841791"/>
    <n v="65.978847725071006"/>
  </r>
  <r>
    <x v="40"/>
    <x v="12"/>
    <x v="20"/>
    <m/>
    <m/>
    <m/>
    <m/>
    <m/>
    <m/>
    <m/>
    <m/>
    <n v="109.09818369203997"/>
    <m/>
    <n v="112.60593866666669"/>
    <m/>
    <m/>
    <n v="95.4"/>
    <n v="97.3"/>
    <m/>
    <m/>
    <m/>
    <m/>
    <n v="1.1311475409835126E-2"/>
    <m/>
    <m/>
    <n v="3.5077549746267209"/>
    <m/>
    <m/>
    <m/>
    <m/>
    <m/>
    <b v="0"/>
    <s v="A"/>
    <s v="OVER"/>
    <n v="0"/>
    <n v="0"/>
    <n v="0"/>
    <n v="1.1311475409835126E-2"/>
    <n v="1.2794947594730471E-4"/>
    <n v="3.5077549746267209"/>
    <n v="12.304344962018508"/>
  </r>
  <r>
    <x v="41"/>
    <x v="18"/>
    <x v="27"/>
    <m/>
    <m/>
    <m/>
    <m/>
    <m/>
    <m/>
    <m/>
    <m/>
    <n v="110.3897383347156"/>
    <m/>
    <n v="100.93977400000001"/>
    <m/>
    <m/>
    <n v="94.2"/>
    <n v="95.1"/>
    <m/>
    <m/>
    <m/>
    <m/>
    <n v="-0.82868852459016562"/>
    <m/>
    <m/>
    <n v="-9.4499643347155882"/>
    <m/>
    <m/>
    <m/>
    <m/>
    <m/>
    <b v="1"/>
    <s v="C"/>
    <s v="OVER"/>
    <n v="0"/>
    <n v="0"/>
    <n v="0"/>
    <n v="-0.82868852459016562"/>
    <n v="0.6867246707874255"/>
    <n v="-9.4499643347155882"/>
    <n v="89.301825927396635"/>
  </r>
  <r>
    <x v="41"/>
    <x v="6"/>
    <x v="28"/>
    <m/>
    <m/>
    <m/>
    <m/>
    <m/>
    <m/>
    <m/>
    <m/>
    <n v="102.22649473041639"/>
    <m/>
    <n v="91.74815000000001"/>
    <m/>
    <m/>
    <n v="96.2"/>
    <n v="97.5"/>
    <m/>
    <m/>
    <m/>
    <m/>
    <n v="-13.078688524590167"/>
    <m/>
    <m/>
    <n v="-10.478344730416381"/>
    <m/>
    <m/>
    <m/>
    <m/>
    <m/>
    <b v="0"/>
    <s v="SW"/>
    <s v="OVER"/>
    <n v="0"/>
    <n v="0"/>
    <n v="0"/>
    <n v="-13.078688524590167"/>
    <n v="171.0520935232465"/>
    <n v="-10.478344730416381"/>
    <n v="109.79570828944475"/>
  </r>
  <r>
    <x v="41"/>
    <x v="19"/>
    <x v="0"/>
    <m/>
    <m/>
    <m/>
    <m/>
    <m/>
    <m/>
    <m/>
    <m/>
    <n v="103.77421368238518"/>
    <m/>
    <n v="100.93368133333337"/>
    <m/>
    <m/>
    <n v="93.9"/>
    <n v="96.2"/>
    <m/>
    <m/>
    <m/>
    <m/>
    <n v="-3.268688524590166"/>
    <m/>
    <m/>
    <n v="-2.8405323490518128"/>
    <m/>
    <m/>
    <m/>
    <m/>
    <m/>
    <b v="0"/>
    <s v="SE"/>
    <s v="OVER"/>
    <n v="0"/>
    <n v="0"/>
    <n v="0"/>
    <n v="-3.268688524590166"/>
    <n v="10.684324670787436"/>
    <n v="-2.8405323490518128"/>
    <n v="8.0686240260098092"/>
  </r>
  <r>
    <x v="41"/>
    <x v="28"/>
    <x v="1"/>
    <m/>
    <m/>
    <m/>
    <m/>
    <m/>
    <m/>
    <m/>
    <m/>
    <n v="114.55902150317566"/>
    <m/>
    <n v="108.21929200000002"/>
    <m/>
    <m/>
    <n v="95.8"/>
    <n v="93.3"/>
    <m/>
    <m/>
    <m/>
    <m/>
    <n v="5.7113114754098344"/>
    <m/>
    <m/>
    <n v="-6.3397295031756329"/>
    <m/>
    <m/>
    <m/>
    <m/>
    <m/>
    <b v="0"/>
    <s v="NW"/>
    <s v="OVER"/>
    <n v="0"/>
    <n v="0"/>
    <n v="0"/>
    <n v="5.7113114754098344"/>
    <n v="32.619078769148061"/>
    <n v="-6.3397295031756329"/>
    <n v="40.192170173435557"/>
  </r>
  <r>
    <x v="41"/>
    <x v="21"/>
    <x v="19"/>
    <m/>
    <m/>
    <m/>
    <m/>
    <m/>
    <m/>
    <m/>
    <m/>
    <n v="107.56005584399453"/>
    <m/>
    <n v="98.629338000000033"/>
    <m/>
    <m/>
    <n v="91.5"/>
    <n v="101.7"/>
    <m/>
    <m/>
    <m/>
    <m/>
    <n v="-13.438688524590166"/>
    <m/>
    <m/>
    <n v="-8.9307178439945005"/>
    <m/>
    <m/>
    <m/>
    <m/>
    <m/>
    <b v="0"/>
    <s v="NW"/>
    <s v="OVER"/>
    <n v="0"/>
    <n v="0"/>
    <n v="0"/>
    <n v="-13.438688524590166"/>
    <n v="180.59834926095141"/>
    <n v="-8.9307178439945005"/>
    <n v="79.757721209041776"/>
  </r>
  <r>
    <x v="41"/>
    <x v="29"/>
    <x v="17"/>
    <m/>
    <m/>
    <m/>
    <m/>
    <m/>
    <m/>
    <m/>
    <m/>
    <n v="109.17007029849835"/>
    <m/>
    <n v="95.39696800000003"/>
    <m/>
    <m/>
    <n v="96.1"/>
    <n v="94.2"/>
    <m/>
    <m/>
    <m/>
    <m/>
    <n v="-8.6186885245901657"/>
    <m/>
    <m/>
    <n v="-13.773102298498316"/>
    <m/>
    <m/>
    <m/>
    <m/>
    <m/>
    <b v="1"/>
    <s v="SE"/>
    <s v="OVER"/>
    <n v="0"/>
    <n v="0"/>
    <n v="0"/>
    <n v="-8.6186885245901657"/>
    <n v="74.281791883902201"/>
    <n v="-13.773102298498316"/>
    <n v="189.6983469248996"/>
  </r>
  <r>
    <x v="42"/>
    <x v="13"/>
    <x v="9"/>
    <m/>
    <m/>
    <m/>
    <m/>
    <m/>
    <m/>
    <m/>
    <m/>
    <n v="96.576759292911277"/>
    <m/>
    <n v="89.40281600000003"/>
    <m/>
    <m/>
    <n v="99.2"/>
    <n v="93.9"/>
    <m/>
    <m/>
    <m/>
    <m/>
    <n v="-6.2086885245901655"/>
    <m/>
    <m/>
    <n v="-7.1739432929112468"/>
    <m/>
    <m/>
    <m/>
    <m/>
    <m/>
    <b v="1"/>
    <s v="SE"/>
    <s v="OVER"/>
    <n v="0"/>
    <n v="0"/>
    <n v="0"/>
    <n v="-6.2086885245901655"/>
    <n v="38.547813195377607"/>
    <n v="-7.1739432929112468"/>
    <n v="51.465462369906263"/>
  </r>
  <r>
    <x v="42"/>
    <x v="16"/>
    <x v="8"/>
    <m/>
    <m/>
    <m/>
    <m/>
    <m/>
    <m/>
    <m/>
    <m/>
    <n v="101.0270980127178"/>
    <m/>
    <n v="109.58544066666668"/>
    <m/>
    <m/>
    <n v="92.9"/>
    <n v="99.1"/>
    <m/>
    <m/>
    <m/>
    <m/>
    <n v="5.3313114754098345"/>
    <m/>
    <m/>
    <n v="8.558342653948884"/>
    <m/>
    <m/>
    <m/>
    <m/>
    <m/>
    <b v="0"/>
    <s v="A"/>
    <s v="OVER"/>
    <n v="0"/>
    <n v="0"/>
    <n v="0"/>
    <n v="5.3313114754098345"/>
    <n v="28.422882047836588"/>
    <n v="8.558342653948884"/>
    <n v="73.245228982400832"/>
  </r>
  <r>
    <x v="42"/>
    <x v="22"/>
    <x v="12"/>
    <m/>
    <m/>
    <m/>
    <m/>
    <m/>
    <m/>
    <m/>
    <m/>
    <n v="100.44825196997593"/>
    <m/>
    <n v="98.034568000000021"/>
    <m/>
    <m/>
    <n v="97.3"/>
    <n v="94.2"/>
    <m/>
    <m/>
    <m/>
    <m/>
    <n v="-2.0386885245901651"/>
    <m/>
    <m/>
    <n v="-2.4136839699759065"/>
    <m/>
    <m/>
    <m/>
    <m/>
    <m/>
    <b v="0"/>
    <s v="SE"/>
    <s v="OVER"/>
    <n v="0"/>
    <n v="0"/>
    <n v="0"/>
    <n v="-2.0386885245901651"/>
    <n v="4.1562509002956247"/>
    <n v="-2.4136839699759065"/>
    <n v="5.8258703069186524"/>
  </r>
  <r>
    <x v="42"/>
    <x v="17"/>
    <x v="11"/>
    <m/>
    <m/>
    <m/>
    <m/>
    <m/>
    <m/>
    <m/>
    <m/>
    <n v="99.351623578429084"/>
    <m/>
    <n v="101.11490800000003"/>
    <m/>
    <m/>
    <n v="102"/>
    <n v="94.2"/>
    <m/>
    <m/>
    <m/>
    <m/>
    <n v="4.0713114754098338"/>
    <m/>
    <m/>
    <n v="1.763284421570944"/>
    <m/>
    <m/>
    <m/>
    <m/>
    <m/>
    <b v="0"/>
    <s v="SW"/>
    <s v="OVER"/>
    <n v="0"/>
    <n v="0"/>
    <n v="0"/>
    <n v="4.0713114754098338"/>
    <n v="16.575577129803797"/>
    <n v="1.763284421570944"/>
    <n v="3.1091719513547784"/>
  </r>
  <r>
    <x v="42"/>
    <x v="26"/>
    <x v="21"/>
    <m/>
    <m/>
    <m/>
    <m/>
    <m/>
    <m/>
    <m/>
    <m/>
    <n v="114.67797549407402"/>
    <m/>
    <n v="111.84390800000003"/>
    <m/>
    <m/>
    <n v="96.9"/>
    <n v="100.2"/>
    <m/>
    <m/>
    <m/>
    <m/>
    <n v="-8.8986885245901668"/>
    <m/>
    <m/>
    <n v="-2.8340674940739916"/>
    <m/>
    <m/>
    <m/>
    <m/>
    <m/>
    <b v="0"/>
    <s v="SW"/>
    <s v="OVER"/>
    <n v="0"/>
    <n v="0"/>
    <n v="0"/>
    <n v="-8.8986885245901668"/>
    <n v="79.186657457672723"/>
    <n v="-2.8340674940739916"/>
    <n v="8.0319385609668341"/>
  </r>
  <r>
    <x v="42"/>
    <x v="27"/>
    <x v="18"/>
    <m/>
    <m/>
    <m/>
    <m/>
    <m/>
    <m/>
    <m/>
    <m/>
    <n v="111.59168172355891"/>
    <m/>
    <n v="113.53992133333337"/>
    <m/>
    <m/>
    <n v="96.4"/>
    <n v="100.7"/>
    <m/>
    <m/>
    <m/>
    <m/>
    <n v="-4.2486885245901664"/>
    <m/>
    <m/>
    <n v="1.9482396097744612"/>
    <m/>
    <m/>
    <m/>
    <m/>
    <m/>
    <b v="1"/>
    <s v="P"/>
    <s v="OVER"/>
    <n v="0"/>
    <n v="0"/>
    <n v="0"/>
    <n v="-4.2486885245901664"/>
    <n v="18.051354178984166"/>
    <n v="1.9482396097744612"/>
    <n v="3.7956375770941451"/>
  </r>
  <r>
    <x v="42"/>
    <x v="7"/>
    <x v="22"/>
    <m/>
    <m/>
    <m/>
    <m/>
    <m/>
    <m/>
    <m/>
    <m/>
    <n v="113.03535333230639"/>
    <m/>
    <n v="111.18687200000002"/>
    <m/>
    <m/>
    <n v="96.1"/>
    <n v="99.3"/>
    <m/>
    <m/>
    <m/>
    <m/>
    <n v="-2.7886885245901656"/>
    <m/>
    <m/>
    <n v="-1.8484813323063634"/>
    <m/>
    <m/>
    <m/>
    <m/>
    <m/>
    <b v="0"/>
    <s v="C"/>
    <s v="OVER"/>
    <n v="0"/>
    <n v="0"/>
    <n v="0"/>
    <n v="-2.7886885245901656"/>
    <n v="7.7767836871808749"/>
    <n v="-1.8484813323063634"/>
    <n v="3.4168832358851082"/>
  </r>
  <r>
    <x v="42"/>
    <x v="24"/>
    <x v="20"/>
    <m/>
    <m/>
    <m/>
    <m/>
    <m/>
    <m/>
    <m/>
    <m/>
    <n v="108.34253945611427"/>
    <m/>
    <n v="114.95086866666668"/>
    <m/>
    <m/>
    <n v="96.2"/>
    <n v="97.3"/>
    <m/>
    <m/>
    <m/>
    <m/>
    <n v="7.5913114754098352"/>
    <m/>
    <m/>
    <n v="6.6083292105524123"/>
    <m/>
    <m/>
    <m/>
    <m/>
    <m/>
    <b v="0"/>
    <s v="A"/>
    <s v="OVER"/>
    <n v="0"/>
    <n v="0"/>
    <n v="0"/>
    <n v="7.5913114754098352"/>
    <n v="57.628009916689052"/>
    <n v="6.6083292105524123"/>
    <n v="43.670014955040266"/>
  </r>
  <r>
    <x v="42"/>
    <x v="9"/>
    <x v="14"/>
    <m/>
    <m/>
    <m/>
    <m/>
    <m/>
    <m/>
    <m/>
    <m/>
    <n v="97.960354056814666"/>
    <m/>
    <n v="107.21191333333336"/>
    <m/>
    <m/>
    <n v="94.2"/>
    <n v="99.5"/>
    <m/>
    <m/>
    <m/>
    <m/>
    <n v="6.3913114754098341"/>
    <m/>
    <m/>
    <n v="9.2515592765186909"/>
    <m/>
    <m/>
    <m/>
    <m/>
    <m/>
    <b v="0"/>
    <s v="SE"/>
    <s v="OVER"/>
    <n v="0"/>
    <n v="0"/>
    <n v="0"/>
    <n v="6.3913114754098341"/>
    <n v="40.84886237570543"/>
    <n v="9.2515592765186909"/>
    <n v="85.591349046939044"/>
  </r>
  <r>
    <x v="42"/>
    <x v="11"/>
    <x v="16"/>
    <m/>
    <m/>
    <m/>
    <m/>
    <m/>
    <m/>
    <m/>
    <m/>
    <n v="97.246580941007991"/>
    <m/>
    <n v="103.01905533333336"/>
    <m/>
    <m/>
    <n v="101.7"/>
    <n v="98.3"/>
    <m/>
    <m/>
    <m/>
    <m/>
    <n v="-1.1486885245901659"/>
    <m/>
    <m/>
    <n v="5.7724743923253641"/>
    <m/>
    <m/>
    <m/>
    <m/>
    <m/>
    <b v="0"/>
    <s v="P"/>
    <s v="OVER"/>
    <n v="0"/>
    <n v="0"/>
    <n v="0"/>
    <n v="-1.1486885245901659"/>
    <n v="1.3194853265251323"/>
    <n v="5.7724743923253641"/>
    <n v="33.321460610052078"/>
  </r>
  <r>
    <x v="43"/>
    <x v="14"/>
    <x v="1"/>
    <m/>
    <m/>
    <m/>
    <m/>
    <m/>
    <m/>
    <m/>
    <m/>
    <n v="108.28162726701197"/>
    <m/>
    <n v="104.63657200000002"/>
    <m/>
    <m/>
    <n v="95.1"/>
    <n v="93.3"/>
    <m/>
    <m/>
    <m/>
    <m/>
    <n v="-0.17868852459016527"/>
    <m/>
    <m/>
    <n v="-3.6450552670119549"/>
    <m/>
    <m/>
    <m/>
    <m/>
    <m/>
    <b v="0"/>
    <s v="C"/>
    <s v="OVER"/>
    <n v="0"/>
    <n v="0"/>
    <n v="0"/>
    <n v="-0.17868852459016527"/>
    <n v="3.1929588820210096E-2"/>
    <n v="-3.6450552670119549"/>
    <n v="13.286427899571594"/>
  </r>
  <r>
    <x v="43"/>
    <x v="6"/>
    <x v="22"/>
    <m/>
    <m/>
    <m/>
    <m/>
    <m/>
    <m/>
    <m/>
    <m/>
    <n v="105.7281747304164"/>
    <m/>
    <n v="104.25573200000002"/>
    <m/>
    <m/>
    <n v="96.2"/>
    <n v="99.3"/>
    <m/>
    <m/>
    <m/>
    <m/>
    <n v="-5.8286885245901656"/>
    <m/>
    <m/>
    <n v="-1.4724427304163754"/>
    <m/>
    <m/>
    <m/>
    <m/>
    <m/>
    <b v="0"/>
    <s v="SW"/>
    <s v="OVER"/>
    <n v="0"/>
    <n v="0"/>
    <n v="0"/>
    <n v="-5.8286885245901656"/>
    <n v="33.973609916689085"/>
    <n v="-1.4724427304163754"/>
    <n v="2.1680875943560309"/>
  </r>
  <r>
    <x v="43"/>
    <x v="8"/>
    <x v="28"/>
    <m/>
    <m/>
    <m/>
    <m/>
    <m/>
    <m/>
    <m/>
    <m/>
    <n v="104.84599327976011"/>
    <m/>
    <n v="95.170400000000015"/>
    <m/>
    <m/>
    <n v="98.8"/>
    <n v="97.5"/>
    <m/>
    <m/>
    <m/>
    <m/>
    <n v="-9.768688524590166"/>
    <m/>
    <m/>
    <n v="-9.6755932797600934"/>
    <m/>
    <m/>
    <m/>
    <m/>
    <m/>
    <b v="0"/>
    <s v="SW"/>
    <s v="OVER"/>
    <n v="0"/>
    <n v="0"/>
    <n v="0"/>
    <n v="-9.768688524590166"/>
    <n v="95.427275490459593"/>
    <n v="-9.6755932797600934"/>
    <n v="93.617105315338677"/>
  </r>
  <r>
    <x v="43"/>
    <x v="12"/>
    <x v="6"/>
    <m/>
    <m/>
    <m/>
    <m/>
    <m/>
    <m/>
    <m/>
    <m/>
    <n v="112.94280369203997"/>
    <m/>
    <n v="105.16987866666669"/>
    <m/>
    <m/>
    <n v="95.4"/>
    <n v="95.8"/>
    <m/>
    <m/>
    <m/>
    <m/>
    <n v="-9.9686885245901653"/>
    <m/>
    <m/>
    <n v="-7.7729250253732829"/>
    <m/>
    <m/>
    <m/>
    <m/>
    <m/>
    <b v="0"/>
    <s v="A"/>
    <s v="OVER"/>
    <n v="0"/>
    <n v="0"/>
    <n v="0"/>
    <n v="-9.9686885245901653"/>
    <n v="99.374750900295652"/>
    <n v="-7.7729250253732829"/>
    <n v="60.418363450074253"/>
  </r>
  <r>
    <x v="43"/>
    <x v="21"/>
    <x v="18"/>
    <m/>
    <m/>
    <m/>
    <m/>
    <m/>
    <m/>
    <m/>
    <m/>
    <n v="105.51960584399453"/>
    <m/>
    <n v="113.19754133333336"/>
    <m/>
    <m/>
    <n v="91.5"/>
    <n v="100.7"/>
    <m/>
    <m/>
    <m/>
    <m/>
    <n v="4.2213114754098333"/>
    <m/>
    <m/>
    <n v="7.6779354893388359"/>
    <m/>
    <m/>
    <m/>
    <m/>
    <m/>
    <b v="0"/>
    <s v="NW"/>
    <s v="OVER"/>
    <n v="0"/>
    <n v="0"/>
    <n v="0"/>
    <n v="4.2213114754098333"/>
    <n v="17.819470572426745"/>
    <n v="7.6779354893388359"/>
    <n v="58.95069337844879"/>
  </r>
  <r>
    <x v="43"/>
    <x v="29"/>
    <x v="8"/>
    <m/>
    <m/>
    <m/>
    <m/>
    <m/>
    <m/>
    <m/>
    <m/>
    <n v="109.61213029849834"/>
    <m/>
    <n v="108.67372066666668"/>
    <m/>
    <m/>
    <n v="96.1"/>
    <n v="99.1"/>
    <m/>
    <m/>
    <m/>
    <m/>
    <n v="-0.68868852459016572"/>
    <m/>
    <m/>
    <n v="-0.93840963183166082"/>
    <m/>
    <m/>
    <m/>
    <m/>
    <m/>
    <b v="0"/>
    <s v="SE"/>
    <s v="OVER"/>
    <n v="0"/>
    <n v="0"/>
    <n v="0"/>
    <n v="-0.68868852459016572"/>
    <n v="0.4742918839021793"/>
    <n v="-0.93840963183166082"/>
    <n v="0.88061263711443316"/>
  </r>
  <r>
    <x v="44"/>
    <x v="3"/>
    <x v="29"/>
    <m/>
    <m/>
    <m/>
    <m/>
    <m/>
    <m/>
    <m/>
    <m/>
    <n v="106.29039124532324"/>
    <m/>
    <n v="108.94743600000004"/>
    <m/>
    <m/>
    <n v="99.5"/>
    <n v="95.4"/>
    <m/>
    <m/>
    <m/>
    <m/>
    <n v="2.6313114754098339"/>
    <m/>
    <m/>
    <n v="2.6570447546768037"/>
    <m/>
    <m/>
    <m/>
    <m/>
    <m/>
    <b v="1"/>
    <s v="A"/>
    <s v="OVER"/>
    <n v="0"/>
    <n v="0"/>
    <n v="0"/>
    <n v="2.6313114754098339"/>
    <n v="6.9238000806234767"/>
    <n v="2.6570447546768037"/>
    <n v="7.0598868283555154"/>
  </r>
  <r>
    <x v="44"/>
    <x v="22"/>
    <x v="17"/>
    <m/>
    <m/>
    <m/>
    <m/>
    <m/>
    <m/>
    <m/>
    <m/>
    <n v="104.96297196997592"/>
    <m/>
    <n v="91.732588000000021"/>
    <m/>
    <m/>
    <n v="97.3"/>
    <n v="94.2"/>
    <m/>
    <m/>
    <m/>
    <m/>
    <n v="-13.368688524590166"/>
    <m/>
    <m/>
    <n v="-13.230383969975904"/>
    <m/>
    <m/>
    <m/>
    <m/>
    <m/>
    <b v="1"/>
    <s v="SE"/>
    <s v="OVER"/>
    <n v="0"/>
    <n v="0"/>
    <n v="0"/>
    <n v="-13.368688524590166"/>
    <n v="178.72183286750877"/>
    <n v="-13.230383969975904"/>
    <n v="175.04305999299535"/>
  </r>
  <r>
    <x v="44"/>
    <x v="0"/>
    <x v="9"/>
    <m/>
    <m/>
    <m/>
    <m/>
    <m/>
    <m/>
    <m/>
    <m/>
    <n v="112.05385692672303"/>
    <m/>
    <n v="95.271566000000036"/>
    <m/>
    <m/>
    <n v="97.3"/>
    <n v="93.9"/>
    <m/>
    <m/>
    <m/>
    <m/>
    <n v="-12.658688524590167"/>
    <m/>
    <m/>
    <n v="-16.782290926722993"/>
    <m/>
    <m/>
    <m/>
    <m/>
    <m/>
    <b v="0"/>
    <s v="C"/>
    <s v="OVER"/>
    <n v="0"/>
    <n v="0"/>
    <n v="0"/>
    <n v="-12.658688524590167"/>
    <n v="160.24239516259078"/>
    <n v="-16.782290926722993"/>
    <n v="281.64528874916891"/>
  </r>
  <r>
    <x v="44"/>
    <x v="17"/>
    <x v="16"/>
    <m/>
    <m/>
    <m/>
    <m/>
    <m/>
    <m/>
    <m/>
    <m/>
    <n v="97.740023578429089"/>
    <m/>
    <n v="101.24965533333335"/>
    <m/>
    <m/>
    <n v="102"/>
    <n v="98.3"/>
    <m/>
    <m/>
    <m/>
    <m/>
    <n v="1.3013114754098343"/>
    <m/>
    <m/>
    <n v="3.5096317549042624"/>
    <m/>
    <m/>
    <m/>
    <m/>
    <m/>
    <b v="0"/>
    <s v="SW"/>
    <s v="OVER"/>
    <n v="0"/>
    <n v="0"/>
    <n v="0"/>
    <n v="1.3013114754098343"/>
    <n v="1.6934115560333196"/>
    <n v="3.5096317549042624"/>
    <n v="12.317515055032372"/>
  </r>
  <r>
    <x v="44"/>
    <x v="5"/>
    <x v="19"/>
    <m/>
    <m/>
    <m/>
    <m/>
    <m/>
    <m/>
    <m/>
    <m/>
    <n v="109.92123141709641"/>
    <m/>
    <n v="107.87386800000004"/>
    <m/>
    <m/>
    <n v="100.2"/>
    <n v="101.7"/>
    <m/>
    <m/>
    <m/>
    <m/>
    <n v="-6.7586885245901662"/>
    <m/>
    <m/>
    <n v="-2.0473634170963635"/>
    <m/>
    <m/>
    <m/>
    <m/>
    <m/>
    <b v="1"/>
    <s v="P"/>
    <s v="OVER"/>
    <n v="0"/>
    <n v="0"/>
    <n v="0"/>
    <n v="-6.7586885245901662"/>
    <n v="45.6798705724268"/>
    <n v="-2.0473634170963635"/>
    <n v="4.1916969616644977"/>
  </r>
  <r>
    <x v="44"/>
    <x v="7"/>
    <x v="24"/>
    <m/>
    <m/>
    <m/>
    <m/>
    <m/>
    <m/>
    <m/>
    <m/>
    <n v="101.10934333230638"/>
    <m/>
    <n v="103.47618133333336"/>
    <m/>
    <m/>
    <n v="96.1"/>
    <n v="99.2"/>
    <m/>
    <m/>
    <m/>
    <m/>
    <n v="1.9613114754098344"/>
    <m/>
    <m/>
    <n v="2.3668380010269772"/>
    <m/>
    <m/>
    <m/>
    <m/>
    <m/>
    <b v="0"/>
    <s v="C"/>
    <s v="OVER"/>
    <n v="0"/>
    <n v="0"/>
    <n v="0"/>
    <n v="1.9613114754098344"/>
    <n v="3.8467427035743014"/>
    <n v="2.3668380010269772"/>
    <n v="5.6019221231053775"/>
  </r>
  <r>
    <x v="44"/>
    <x v="28"/>
    <x v="12"/>
    <m/>
    <m/>
    <m/>
    <m/>
    <m/>
    <m/>
    <m/>
    <m/>
    <n v="111.29224150317566"/>
    <m/>
    <n v="101.76488800000003"/>
    <m/>
    <m/>
    <n v="95.8"/>
    <n v="94.2"/>
    <m/>
    <m/>
    <m/>
    <m/>
    <n v="1.1613114754098344"/>
    <m/>
    <m/>
    <n v="-9.5273535031756325"/>
    <m/>
    <m/>
    <m/>
    <m/>
    <m/>
    <b v="0"/>
    <s v="NW"/>
    <s v="OVER"/>
    <n v="0"/>
    <n v="0"/>
    <n v="0"/>
    <n v="1.1613114754098344"/>
    <n v="1.3486443429185664"/>
    <n v="-9.5273535031756325"/>
    <n v="90.770464774472998"/>
  </r>
  <r>
    <x v="44"/>
    <x v="20"/>
    <x v="5"/>
    <m/>
    <m/>
    <m/>
    <m/>
    <m/>
    <m/>
    <m/>
    <m/>
    <n v="108.13045681965828"/>
    <m/>
    <n v="108.01507600000004"/>
    <m/>
    <m/>
    <n v="92.6"/>
    <n v="96.9"/>
    <m/>
    <m/>
    <m/>
    <m/>
    <n v="0.54131147540983449"/>
    <m/>
    <m/>
    <n v="-0.11538081965824176"/>
    <m/>
    <m/>
    <m/>
    <m/>
    <m/>
    <b v="0"/>
    <s v="NW"/>
    <s v="OVER"/>
    <n v="0"/>
    <n v="0"/>
    <n v="0"/>
    <n v="0.54131147540983449"/>
    <n v="0.29301811341037187"/>
    <n v="-0.11538081965824176"/>
    <n v="1.3312733545007709E-2"/>
  </r>
  <r>
    <x v="44"/>
    <x v="15"/>
    <x v="0"/>
    <m/>
    <m/>
    <m/>
    <m/>
    <m/>
    <m/>
    <m/>
    <m/>
    <n v="110.05106010654767"/>
    <m/>
    <n v="107.49452133333337"/>
    <m/>
    <m/>
    <n v="94.2"/>
    <n v="96.2"/>
    <m/>
    <m/>
    <m/>
    <m/>
    <n v="-2.3686885245901657"/>
    <m/>
    <m/>
    <n v="-2.5565387732142995"/>
    <m/>
    <m/>
    <m/>
    <m/>
    <m/>
    <b v="0"/>
    <s v="P"/>
    <s v="OVER"/>
    <n v="0"/>
    <n v="0"/>
    <n v="0"/>
    <n v="-2.3686885245901657"/>
    <n v="5.610685326525136"/>
    <n v="-2.5565387732142995"/>
    <n v="6.5358904989480751"/>
  </r>
  <r>
    <x v="45"/>
    <x v="14"/>
    <x v="9"/>
    <m/>
    <m/>
    <m/>
    <m/>
    <m/>
    <m/>
    <m/>
    <m/>
    <n v="106.26550726701197"/>
    <m/>
    <n v="95.449976000000035"/>
    <m/>
    <m/>
    <n v="95.1"/>
    <n v="93.9"/>
    <m/>
    <m/>
    <m/>
    <m/>
    <n v="-8.5686885245901649"/>
    <m/>
    <m/>
    <n v="-10.815531267011934"/>
    <m/>
    <m/>
    <m/>
    <m/>
    <m/>
    <b v="0"/>
    <s v="C"/>
    <s v="OVER"/>
    <n v="0"/>
    <n v="0"/>
    <n v="0"/>
    <n v="-8.5686885245901649"/>
    <n v="73.422423031443174"/>
    <n v="-10.815531267011934"/>
    <n v="116.97571658771278"/>
  </r>
  <r>
    <x v="45"/>
    <x v="0"/>
    <x v="7"/>
    <m/>
    <m/>
    <m/>
    <m/>
    <m/>
    <m/>
    <m/>
    <m/>
    <n v="114.89501692672303"/>
    <m/>
    <n v="104.56895866666669"/>
    <m/>
    <m/>
    <n v="97.3"/>
    <n v="97.3"/>
    <m/>
    <m/>
    <m/>
    <m/>
    <n v="-9.5586885245901669"/>
    <m/>
    <m/>
    <n v="-10.326058260056342"/>
    <m/>
    <m/>
    <m/>
    <m/>
    <m/>
    <b v="0"/>
    <s v="C"/>
    <s v="OVER"/>
    <n v="0"/>
    <n v="0"/>
    <n v="0"/>
    <n v="-9.5586885245901669"/>
    <n v="91.368526310131742"/>
    <n v="-10.326058260056342"/>
    <n v="106.62747919007782"/>
  </r>
  <r>
    <x v="45"/>
    <x v="26"/>
    <x v="4"/>
    <m/>
    <m/>
    <m/>
    <m/>
    <m/>
    <m/>
    <m/>
    <m/>
    <n v="109.51320549407401"/>
    <m/>
    <n v="101.85788000000004"/>
    <m/>
    <m/>
    <n v="96.9"/>
    <n v="102"/>
    <m/>
    <m/>
    <m/>
    <m/>
    <n v="-15.328688524590167"/>
    <m/>
    <m/>
    <n v="-7.6553254940739777"/>
    <m/>
    <m/>
    <m/>
    <m/>
    <m/>
    <b v="1"/>
    <s v="SW"/>
    <s v="OVER"/>
    <n v="0"/>
    <n v="0"/>
    <n v="0"/>
    <n v="-15.328688524590167"/>
    <n v="234.96869188390227"/>
    <n v="-7.6553254940739777"/>
    <n v="58.604008420218989"/>
  </r>
  <r>
    <x v="45"/>
    <x v="4"/>
    <x v="22"/>
    <m/>
    <m/>
    <m/>
    <m/>
    <m/>
    <m/>
    <m/>
    <m/>
    <n v="111.56709341452114"/>
    <m/>
    <n v="110.74995200000002"/>
    <m/>
    <m/>
    <n v="98.3"/>
    <n v="99.3"/>
    <m/>
    <m/>
    <m/>
    <m/>
    <n v="-0.42868852459016571"/>
    <m/>
    <m/>
    <n v="-0.81714141452111733"/>
    <m/>
    <m/>
    <m/>
    <m/>
    <m/>
    <b v="0"/>
    <s v="C"/>
    <s v="OVER"/>
    <n v="0"/>
    <n v="0"/>
    <n v="0"/>
    <n v="-0.42868852459016571"/>
    <n v="0.1837738511152931"/>
    <n v="-0.81714141452111733"/>
    <n v="0.66772009132557253"/>
  </r>
  <r>
    <x v="45"/>
    <x v="27"/>
    <x v="25"/>
    <m/>
    <m/>
    <m/>
    <m/>
    <m/>
    <m/>
    <m/>
    <m/>
    <n v="111.41816172355892"/>
    <m/>
    <n v="97.447098666666676"/>
    <m/>
    <m/>
    <n v="96.4"/>
    <n v="98.8"/>
    <m/>
    <m/>
    <m/>
    <m/>
    <n v="-18.188688524590166"/>
    <m/>
    <m/>
    <n v="-13.971063056892248"/>
    <m/>
    <m/>
    <m/>
    <m/>
    <m/>
    <b v="0"/>
    <s v="P"/>
    <s v="OVER"/>
    <n v="0"/>
    <n v="0"/>
    <n v="0"/>
    <n v="-18.188688524590166"/>
    <n v="330.82839024455797"/>
    <n v="-13.971063056892248"/>
    <n v="195.19060293965939"/>
  </r>
  <r>
    <x v="45"/>
    <x v="6"/>
    <x v="18"/>
    <m/>
    <m/>
    <m/>
    <m/>
    <m/>
    <m/>
    <m/>
    <m/>
    <n v="99.359734730416392"/>
    <m/>
    <n v="112.83502133333337"/>
    <m/>
    <m/>
    <n v="96.2"/>
    <n v="100.7"/>
    <m/>
    <m/>
    <m/>
    <m/>
    <n v="7.8513114754098332"/>
    <m/>
    <m/>
    <n v="13.475286602916981"/>
    <m/>
    <m/>
    <m/>
    <m/>
    <m/>
    <b v="0"/>
    <s v="SW"/>
    <s v="OVER"/>
    <n v="0"/>
    <n v="0"/>
    <n v="0"/>
    <n v="7.8513114754098332"/>
    <n v="61.64309188390213"/>
    <n v="13.475286602916981"/>
    <n v="181.58334903075388"/>
  </r>
  <r>
    <x v="45"/>
    <x v="9"/>
    <x v="8"/>
    <m/>
    <m/>
    <m/>
    <m/>
    <m/>
    <m/>
    <m/>
    <m/>
    <n v="97.668334056814658"/>
    <m/>
    <n v="105.2448606666667"/>
    <m/>
    <m/>
    <n v="94.2"/>
    <n v="99.1"/>
    <m/>
    <m/>
    <m/>
    <m/>
    <n v="5.1513114754098348"/>
    <m/>
    <m/>
    <n v="7.5765266098520385"/>
    <m/>
    <m/>
    <m/>
    <m/>
    <m/>
    <b v="0"/>
    <s v="SE"/>
    <s v="OVER"/>
    <n v="0"/>
    <n v="0"/>
    <n v="0"/>
    <n v="5.1513114754098348"/>
    <n v="26.53600991668905"/>
    <n v="7.5765266098520385"/>
    <n v="57.403755469796025"/>
  </r>
  <r>
    <x v="45"/>
    <x v="25"/>
    <x v="3"/>
    <m/>
    <m/>
    <m/>
    <m/>
    <m/>
    <m/>
    <m/>
    <m/>
    <n v="105.75395525149295"/>
    <m/>
    <n v="93.625239333333354"/>
    <m/>
    <m/>
    <n v="93.3"/>
    <n v="92.9"/>
    <m/>
    <m/>
    <m/>
    <m/>
    <n v="-18.838688524590168"/>
    <m/>
    <m/>
    <n v="-12.1287159181596"/>
    <m/>
    <m/>
    <m/>
    <m/>
    <m/>
    <b v="0"/>
    <s v="SW"/>
    <s v="OVER"/>
    <n v="0"/>
    <n v="0"/>
    <n v="0"/>
    <n v="-18.838688524590168"/>
    <n v="354.89618532652526"/>
    <n v="-12.1287159181596"/>
    <n v="147.10574982341805"/>
  </r>
  <r>
    <x v="45"/>
    <x v="21"/>
    <x v="11"/>
    <m/>
    <m/>
    <m/>
    <m/>
    <m/>
    <m/>
    <m/>
    <m/>
    <n v="109.57305584399452"/>
    <m/>
    <n v="97.572988000000024"/>
    <m/>
    <m/>
    <n v="91.5"/>
    <n v="94.2"/>
    <m/>
    <m/>
    <m/>
    <m/>
    <n v="-9.0386885245901656"/>
    <m/>
    <m/>
    <n v="-12.000067843994501"/>
    <m/>
    <m/>
    <m/>
    <m/>
    <m/>
    <b v="0"/>
    <s v="NW"/>
    <s v="OVER"/>
    <n v="0"/>
    <n v="0"/>
    <n v="0"/>
    <n v="-9.0386885245901656"/>
    <n v="81.697890244557939"/>
    <n v="-12.000067843994501"/>
    <n v="144.00162826047082"/>
  </r>
  <r>
    <x v="45"/>
    <x v="29"/>
    <x v="26"/>
    <m/>
    <m/>
    <m/>
    <m/>
    <m/>
    <m/>
    <m/>
    <m/>
    <n v="111.40920029849835"/>
    <m/>
    <n v="105.49922066666669"/>
    <m/>
    <m/>
    <n v="96.1"/>
    <n v="96.1"/>
    <m/>
    <m/>
    <m/>
    <m/>
    <n v="-2.4386885245901659"/>
    <m/>
    <m/>
    <n v="-5.9099796318316606"/>
    <m/>
    <m/>
    <m/>
    <m/>
    <m/>
    <b v="0"/>
    <s v="SE"/>
    <s v="OVER"/>
    <n v="0"/>
    <n v="0"/>
    <n v="0"/>
    <n v="-2.4386885245901659"/>
    <n v="5.9472017199677607"/>
    <n v="-5.9099796318316606"/>
    <n v="34.927859248665094"/>
  </r>
  <r>
    <x v="46"/>
    <x v="18"/>
    <x v="28"/>
    <m/>
    <m/>
    <m/>
    <m/>
    <m/>
    <m/>
    <m/>
    <m/>
    <n v="112.58459833471561"/>
    <m/>
    <n v="91.757900000000021"/>
    <m/>
    <m/>
    <n v="94.2"/>
    <n v="97.5"/>
    <m/>
    <m/>
    <m/>
    <m/>
    <n v="-15.188688524590166"/>
    <m/>
    <m/>
    <n v="-20.826698334715587"/>
    <m/>
    <m/>
    <m/>
    <m/>
    <m/>
    <b v="0"/>
    <s v="C"/>
    <s v="OVER"/>
    <n v="0"/>
    <n v="0"/>
    <n v="0"/>
    <n v="-15.188688524590166"/>
    <n v="230.69625909701699"/>
    <n v="-20.826698334715587"/>
    <n v="433.75136352524504"/>
  </r>
  <r>
    <x v="46"/>
    <x v="5"/>
    <x v="0"/>
    <m/>
    <m/>
    <m/>
    <m/>
    <m/>
    <m/>
    <m/>
    <m/>
    <n v="112.1156114170964"/>
    <m/>
    <n v="108.77398133333337"/>
    <m/>
    <m/>
    <n v="100.2"/>
    <n v="96.2"/>
    <m/>
    <m/>
    <m/>
    <m/>
    <n v="-1.9486885245901657"/>
    <m/>
    <m/>
    <n v="-3.3416300837630359"/>
    <m/>
    <m/>
    <m/>
    <m/>
    <m/>
    <b v="0"/>
    <s v="P"/>
    <s v="OVER"/>
    <n v="0"/>
    <n v="0"/>
    <n v="0"/>
    <n v="-1.9486885245901657"/>
    <n v="3.7973869658693968"/>
    <n v="-3.3416300837630359"/>
    <n v="11.166491616710154"/>
  </r>
  <r>
    <x v="46"/>
    <x v="28"/>
    <x v="18"/>
    <m/>
    <m/>
    <m/>
    <m/>
    <m/>
    <m/>
    <m/>
    <m/>
    <n v="114.81768150317565"/>
    <m/>
    <n v="121.07228133333338"/>
    <m/>
    <m/>
    <n v="95.8"/>
    <n v="100.7"/>
    <m/>
    <m/>
    <m/>
    <m/>
    <n v="9.6813114754098333"/>
    <m/>
    <m/>
    <n v="6.2545998301577299"/>
    <m/>
    <m/>
    <m/>
    <m/>
    <m/>
    <b v="0"/>
    <s v="NW"/>
    <s v="OVER"/>
    <n v="0"/>
    <n v="0"/>
    <n v="0"/>
    <n v="9.6813114754098333"/>
    <n v="93.727791883902128"/>
    <n v="6.2545998301577299"/>
    <n v="39.120019035409101"/>
  </r>
  <r>
    <x v="46"/>
    <x v="20"/>
    <x v="14"/>
    <m/>
    <m/>
    <m/>
    <m/>
    <m/>
    <m/>
    <m/>
    <m/>
    <n v="106.21363681965828"/>
    <m/>
    <n v="105.73931333333336"/>
    <m/>
    <m/>
    <n v="92.6"/>
    <n v="99.5"/>
    <m/>
    <m/>
    <m/>
    <m/>
    <n v="-2.5786885245901656"/>
    <m/>
    <m/>
    <n v="-0.47432348632491994"/>
    <m/>
    <m/>
    <m/>
    <m/>
    <m/>
    <b v="0"/>
    <s v="NW"/>
    <s v="OVER"/>
    <n v="0"/>
    <n v="0"/>
    <n v="0"/>
    <n v="-2.5786885245901656"/>
    <n v="6.6496345068530056"/>
    <n v="-0.47432348632491994"/>
    <n v="0.22498276967942651"/>
  </r>
  <r>
    <x v="46"/>
    <x v="11"/>
    <x v="25"/>
    <m/>
    <m/>
    <m/>
    <m/>
    <m/>
    <m/>
    <m/>
    <m/>
    <n v="94.165070941007983"/>
    <m/>
    <n v="102.60445866666669"/>
    <m/>
    <m/>
    <n v="101.7"/>
    <n v="98.8"/>
    <m/>
    <m/>
    <m/>
    <m/>
    <n v="0.94131147540983395"/>
    <m/>
    <m/>
    <n v="8.4393877256587047"/>
    <m/>
    <m/>
    <m/>
    <m/>
    <m/>
    <b v="0"/>
    <s v="P"/>
    <s v="OVER"/>
    <n v="0"/>
    <n v="0"/>
    <n v="0"/>
    <n v="0.94131147540983395"/>
    <n v="0.88606729373823845"/>
    <n v="8.4393877256587047"/>
    <n v="71.223265183998805"/>
  </r>
  <r>
    <x v="47"/>
    <x v="17"/>
    <x v="8"/>
    <m/>
    <m/>
    <m/>
    <m/>
    <m/>
    <m/>
    <m/>
    <m/>
    <n v="96.281423578429084"/>
    <m/>
    <n v="104.71963066666669"/>
    <m/>
    <m/>
    <n v="102"/>
    <n v="99.1"/>
    <m/>
    <m/>
    <m/>
    <m/>
    <n v="5.4113114754098346"/>
    <m/>
    <m/>
    <n v="8.4382070882376041"/>
    <m/>
    <m/>
    <m/>
    <m/>
    <m/>
    <b v="0"/>
    <s v="SW"/>
    <s v="OVER"/>
    <n v="0"/>
    <n v="0"/>
    <n v="0"/>
    <n v="5.4113114754098346"/>
    <n v="29.282291883902161"/>
    <n v="8.4382070882376041"/>
    <n v="71.203338863983348"/>
  </r>
  <r>
    <x v="47"/>
    <x v="26"/>
    <x v="3"/>
    <m/>
    <m/>
    <m/>
    <m/>
    <m/>
    <m/>
    <m/>
    <m/>
    <n v="114.27099549407401"/>
    <m/>
    <n v="97.40626933333337"/>
    <m/>
    <m/>
    <n v="96.9"/>
    <n v="92.9"/>
    <m/>
    <m/>
    <m/>
    <m/>
    <n v="-15.248688524590166"/>
    <m/>
    <m/>
    <n v="-16.864726160740645"/>
    <m/>
    <m/>
    <m/>
    <m/>
    <m/>
    <b v="0"/>
    <s v="SW"/>
    <s v="OVER"/>
    <n v="0"/>
    <n v="0"/>
    <n v="0"/>
    <n v="-15.248688524590166"/>
    <n v="232.52250171996783"/>
    <n v="-16.864726160740645"/>
    <n v="284.41898847676987"/>
  </r>
  <r>
    <x v="47"/>
    <x v="4"/>
    <x v="7"/>
    <m/>
    <m/>
    <m/>
    <m/>
    <m/>
    <m/>
    <m/>
    <m/>
    <n v="105.58062341452113"/>
    <m/>
    <n v="106.89442866666668"/>
    <m/>
    <m/>
    <n v="98.3"/>
    <n v="97.3"/>
    <m/>
    <m/>
    <m/>
    <m/>
    <n v="3.9913114754098342"/>
    <m/>
    <m/>
    <n v="1.3138052521455563"/>
    <m/>
    <m/>
    <m/>
    <m/>
    <m/>
    <b v="0"/>
    <s v="C"/>
    <s v="OVER"/>
    <n v="0"/>
    <n v="0"/>
    <n v="0"/>
    <n v="3.9913114754098342"/>
    <n v="15.930567293738228"/>
    <n v="1.3138052521455563"/>
    <n v="1.7260842405652488"/>
  </r>
  <r>
    <x v="47"/>
    <x v="27"/>
    <x v="22"/>
    <m/>
    <m/>
    <m/>
    <m/>
    <m/>
    <m/>
    <m/>
    <m/>
    <n v="117.97336172355891"/>
    <m/>
    <n v="104.95083200000002"/>
    <m/>
    <m/>
    <n v="96.4"/>
    <n v="99.3"/>
    <m/>
    <m/>
    <m/>
    <m/>
    <n v="-17.928688524590164"/>
    <m/>
    <m/>
    <n v="-13.02252972355889"/>
    <m/>
    <m/>
    <m/>
    <m/>
    <m/>
    <b v="0"/>
    <s v="P"/>
    <s v="OVER"/>
    <n v="0"/>
    <n v="0"/>
    <n v="0"/>
    <n v="-17.928688524590164"/>
    <n v="321.43787221177104"/>
    <n v="-13.02252972355889"/>
    <n v="169.58628040097477"/>
  </r>
  <r>
    <x v="47"/>
    <x v="19"/>
    <x v="13"/>
    <m/>
    <m/>
    <m/>
    <m/>
    <m/>
    <m/>
    <m/>
    <m/>
    <n v="103.77421368238518"/>
    <m/>
    <n v="99.714000666666678"/>
    <m/>
    <m/>
    <n v="93.9"/>
    <n v="96.1"/>
    <m/>
    <m/>
    <m/>
    <m/>
    <n v="-4.4286885245901662"/>
    <m/>
    <m/>
    <n v="-4.060213015718503"/>
    <m/>
    <m/>
    <m/>
    <m/>
    <m/>
    <b v="1"/>
    <s v="SE"/>
    <s v="OVER"/>
    <n v="0"/>
    <n v="0"/>
    <n v="0"/>
    <n v="-4.4286885245901662"/>
    <n v="19.613282047836623"/>
    <n v="-4.060213015718503"/>
    <n v="16.485329733009941"/>
  </r>
  <r>
    <x v="47"/>
    <x v="15"/>
    <x v="21"/>
    <m/>
    <m/>
    <m/>
    <m/>
    <m/>
    <m/>
    <m/>
    <m/>
    <n v="111.31334010654767"/>
    <m/>
    <n v="112.47516800000002"/>
    <m/>
    <m/>
    <n v="94.2"/>
    <n v="100.2"/>
    <m/>
    <m/>
    <m/>
    <m/>
    <n v="-3.1986885245901657"/>
    <m/>
    <m/>
    <n v="1.1618278934523545"/>
    <m/>
    <m/>
    <m/>
    <m/>
    <m/>
    <b v="1"/>
    <s v="P"/>
    <s v="OVER"/>
    <n v="0"/>
    <n v="0"/>
    <n v="0"/>
    <n v="-3.1986885245901657"/>
    <n v="10.231608277344812"/>
    <n v="1.1618278934523545"/>
    <n v="1.3498440540039356"/>
  </r>
  <r>
    <x v="47"/>
    <x v="12"/>
    <x v="26"/>
    <m/>
    <m/>
    <m/>
    <m/>
    <m/>
    <m/>
    <m/>
    <m/>
    <n v="111.79800369203997"/>
    <m/>
    <n v="103.18321066666668"/>
    <m/>
    <m/>
    <n v="95.4"/>
    <n v="96.1"/>
    <m/>
    <m/>
    <m/>
    <m/>
    <n v="-11.178688524590166"/>
    <m/>
    <m/>
    <n v="-8.6147930253732881"/>
    <m/>
    <m/>
    <m/>
    <m/>
    <m/>
    <b v="0"/>
    <s v="A"/>
    <s v="OVER"/>
    <n v="0"/>
    <n v="0"/>
    <n v="0"/>
    <n v="-11.178688524590166"/>
    <n v="124.96307712980386"/>
    <n v="-8.6147930253732881"/>
    <n v="74.214658870020244"/>
  </r>
  <r>
    <x v="48"/>
    <x v="13"/>
    <x v="17"/>
    <m/>
    <m/>
    <m/>
    <m/>
    <m/>
    <m/>
    <m/>
    <m/>
    <n v="99.899959292911291"/>
    <m/>
    <n v="85.779148000000035"/>
    <m/>
    <m/>
    <n v="99.2"/>
    <n v="94.2"/>
    <m/>
    <m/>
    <m/>
    <m/>
    <n v="-13.698688524590166"/>
    <m/>
    <m/>
    <n v="-14.120811292911256"/>
    <m/>
    <m/>
    <m/>
    <m/>
    <m/>
    <b v="1"/>
    <s v="SE"/>
    <s v="OVER"/>
    <n v="0"/>
    <n v="0"/>
    <n v="0"/>
    <n v="-13.698688524590166"/>
    <n v="187.65406729373828"/>
    <n v="-14.120811292911256"/>
    <n v="199.39731157001006"/>
  </r>
  <r>
    <x v="48"/>
    <x v="14"/>
    <x v="6"/>
    <m/>
    <m/>
    <m/>
    <m/>
    <m/>
    <m/>
    <m/>
    <m/>
    <n v="112.80838726701198"/>
    <m/>
    <n v="103.86699866666669"/>
    <m/>
    <m/>
    <n v="95.1"/>
    <n v="95.8"/>
    <m/>
    <m/>
    <m/>
    <m/>
    <n v="-8.6686885245901664"/>
    <m/>
    <m/>
    <n v="-8.9413886003452916"/>
    <m/>
    <m/>
    <m/>
    <m/>
    <m/>
    <b v="0"/>
    <s v="C"/>
    <s v="OVER"/>
    <n v="0"/>
    <n v="0"/>
    <n v="0"/>
    <n v="-8.6686885245901664"/>
    <n v="75.146160736361239"/>
    <n v="-8.9413886003452916"/>
    <n v="79.948430102384734"/>
  </r>
  <r>
    <x v="48"/>
    <x v="0"/>
    <x v="23"/>
    <m/>
    <m/>
    <m/>
    <m/>
    <m/>
    <m/>
    <m/>
    <m/>
    <n v="110.78895692672303"/>
    <m/>
    <n v="98.009201333333365"/>
    <m/>
    <m/>
    <n v="97.3"/>
    <n v="96.2"/>
    <m/>
    <m/>
    <m/>
    <m/>
    <n v="-10.928688524590166"/>
    <m/>
    <m/>
    <n v="-12.779755593389666"/>
    <m/>
    <m/>
    <m/>
    <m/>
    <m/>
    <b v="0"/>
    <s v="C"/>
    <s v="OVER"/>
    <n v="0"/>
    <n v="0"/>
    <n v="0"/>
    <n v="-10.928688524590166"/>
    <n v="119.43623286750878"/>
    <n v="-12.779755593389666"/>
    <n v="163.32215302677446"/>
  </r>
  <r>
    <x v="48"/>
    <x v="8"/>
    <x v="18"/>
    <m/>
    <m/>
    <m/>
    <m/>
    <m/>
    <m/>
    <m/>
    <m/>
    <n v="101.90175327976011"/>
    <m/>
    <n v="116.36959133333337"/>
    <m/>
    <m/>
    <n v="98.8"/>
    <n v="100.7"/>
    <m/>
    <m/>
    <m/>
    <m/>
    <n v="11.161311475409834"/>
    <m/>
    <m/>
    <n v="14.46783805357326"/>
    <m/>
    <m/>
    <m/>
    <m/>
    <m/>
    <b v="0"/>
    <s v="SW"/>
    <s v="OVER"/>
    <n v="0"/>
    <n v="0"/>
    <n v="0"/>
    <n v="11.161311475409834"/>
    <n v="124.57487385111524"/>
    <n v="14.46783805357326"/>
    <n v="209.3183379444225"/>
  </r>
  <r>
    <x v="48"/>
    <x v="11"/>
    <x v="0"/>
    <m/>
    <m/>
    <m/>
    <m/>
    <m/>
    <m/>
    <m/>
    <m/>
    <n v="98.843270941007987"/>
    <m/>
    <n v="105.37812133333337"/>
    <m/>
    <m/>
    <n v="101.7"/>
    <n v="96.2"/>
    <m/>
    <m/>
    <m/>
    <m/>
    <n v="2.0313114754098343"/>
    <m/>
    <m/>
    <n v="6.5348503923253816"/>
    <m/>
    <m/>
    <m/>
    <m/>
    <m/>
    <b v="0"/>
    <s v="P"/>
    <s v="OVER"/>
    <n v="0"/>
    <n v="0"/>
    <n v="0"/>
    <n v="2.0313114754098343"/>
    <n v="4.1262263101316776"/>
    <n v="6.5348503923253816"/>
    <n v="42.70426965007519"/>
  </r>
  <r>
    <x v="48"/>
    <x v="2"/>
    <x v="10"/>
    <m/>
    <m/>
    <m/>
    <m/>
    <m/>
    <m/>
    <m/>
    <m/>
    <n v="107.11309413790987"/>
    <m/>
    <n v="102.74957733333335"/>
    <m/>
    <m/>
    <n v="99.3"/>
    <n v="92.6"/>
    <m/>
    <m/>
    <m/>
    <m/>
    <n v="2.1311475409834191E-2"/>
    <m/>
    <m/>
    <n v="-4.3635168045765198"/>
    <m/>
    <m/>
    <m/>
    <m/>
    <m/>
    <b v="1"/>
    <s v="NW"/>
    <s v="OVER"/>
    <n v="0"/>
    <n v="0"/>
    <n v="0"/>
    <n v="2.1311475409834191E-2"/>
    <n v="4.541789841439674E-4"/>
    <n v="-4.3635168045765198"/>
    <n v="19.040278903821683"/>
  </r>
  <r>
    <x v="49"/>
    <x v="16"/>
    <x v="21"/>
    <m/>
    <m/>
    <m/>
    <m/>
    <m/>
    <m/>
    <m/>
    <m/>
    <n v="105.05895801271781"/>
    <m/>
    <n v="113.38698800000002"/>
    <m/>
    <m/>
    <n v="92.9"/>
    <n v="100.2"/>
    <m/>
    <m/>
    <m/>
    <m/>
    <n v="3.5713114754098343"/>
    <m/>
    <m/>
    <n v="8.328029987282207"/>
    <m/>
    <m/>
    <m/>
    <m/>
    <m/>
    <b v="0"/>
    <s v="A"/>
    <s v="OVER"/>
    <n v="0"/>
    <n v="0"/>
    <n v="0"/>
    <n v="3.5713114754098343"/>
    <n v="12.754265654393967"/>
    <n v="8.328029987282207"/>
    <n v="69.356083469071677"/>
  </r>
  <r>
    <x v="49"/>
    <x v="17"/>
    <x v="12"/>
    <m/>
    <m/>
    <m/>
    <m/>
    <m/>
    <m/>
    <m/>
    <m/>
    <n v="91.079423578429086"/>
    <m/>
    <n v="97.940368000000021"/>
    <m/>
    <m/>
    <n v="102"/>
    <n v="94.2"/>
    <m/>
    <m/>
    <m/>
    <m/>
    <n v="8.8113114754098341"/>
    <m/>
    <m/>
    <n v="6.8609444215709345"/>
    <m/>
    <m/>
    <m/>
    <m/>
    <m/>
    <b v="0"/>
    <s v="SW"/>
    <s v="OVER"/>
    <n v="0"/>
    <n v="0"/>
    <n v="0"/>
    <n v="8.8113114754098341"/>
    <n v="77.639209916689026"/>
    <n v="6.8609444215709345"/>
    <n v="47.072558355885327"/>
  </r>
  <r>
    <x v="49"/>
    <x v="26"/>
    <x v="11"/>
    <m/>
    <m/>
    <m/>
    <m/>
    <m/>
    <m/>
    <m/>
    <m/>
    <n v="113.38920549407402"/>
    <m/>
    <n v="104.28944800000004"/>
    <m/>
    <m/>
    <n v="96.9"/>
    <n v="94.2"/>
    <m/>
    <m/>
    <m/>
    <m/>
    <n v="-8.4786885245901669"/>
    <m/>
    <m/>
    <n v="-9.0997574940739838"/>
    <m/>
    <m/>
    <m/>
    <m/>
    <m/>
    <b v="0"/>
    <s v="SW"/>
    <s v="OVER"/>
    <n v="0"/>
    <n v="0"/>
    <n v="0"/>
    <n v="-8.4786885245901669"/>
    <n v="71.888159097016981"/>
    <n v="-9.0997574940739838"/>
    <n v="82.80558645095563"/>
  </r>
  <r>
    <x v="49"/>
    <x v="6"/>
    <x v="20"/>
    <m/>
    <m/>
    <m/>
    <m/>
    <m/>
    <m/>
    <m/>
    <m/>
    <n v="99.802254730416394"/>
    <m/>
    <n v="107.05983866666669"/>
    <m/>
    <m/>
    <n v="96.2"/>
    <n v="97.3"/>
    <m/>
    <m/>
    <m/>
    <m/>
    <n v="5.3713114754098346"/>
    <m/>
    <m/>
    <n v="7.257583936250299"/>
    <m/>
    <m/>
    <m/>
    <m/>
    <m/>
    <b v="0"/>
    <s v="SW"/>
    <s v="OVER"/>
    <n v="0"/>
    <n v="0"/>
    <n v="0"/>
    <n v="5.3713114754098346"/>
    <n v="28.850986965869375"/>
    <n v="7.257583936250299"/>
    <n v="52.672524591718386"/>
  </r>
  <r>
    <x v="49"/>
    <x v="19"/>
    <x v="16"/>
    <m/>
    <m/>
    <m/>
    <m/>
    <m/>
    <m/>
    <m/>
    <m/>
    <n v="102.29998368238519"/>
    <m/>
    <n v="98.47759533333334"/>
    <m/>
    <m/>
    <n v="93.9"/>
    <n v="98.3"/>
    <m/>
    <m/>
    <m/>
    <m/>
    <n v="-6.4486885245901657"/>
    <m/>
    <m/>
    <n v="-3.8223883490518489"/>
    <m/>
    <m/>
    <m/>
    <m/>
    <m/>
    <b v="0"/>
    <s v="SE"/>
    <s v="OVER"/>
    <n v="0"/>
    <n v="0"/>
    <n v="0"/>
    <n v="-6.4486885245901657"/>
    <n v="41.585583687180886"/>
    <n v="-3.8223883490518489"/>
    <n v="14.610652690967319"/>
  </r>
  <r>
    <x v="49"/>
    <x v="9"/>
    <x v="15"/>
    <m/>
    <m/>
    <m/>
    <m/>
    <m/>
    <m/>
    <m/>
    <m/>
    <n v="93.514114056814662"/>
    <m/>
    <n v="111.0341626666667"/>
    <m/>
    <m/>
    <n v="94.2"/>
    <n v="96.4"/>
    <m/>
    <m/>
    <m/>
    <m/>
    <n v="18.541311475409834"/>
    <m/>
    <m/>
    <n v="17.52004860985204"/>
    <m/>
    <m/>
    <m/>
    <m/>
    <m/>
    <b v="0"/>
    <s v="SE"/>
    <s v="OVER"/>
    <n v="0"/>
    <n v="0"/>
    <n v="0"/>
    <n v="18.541311475409834"/>
    <n v="343.78023122816444"/>
    <n v="17.52004860985204"/>
    <n v="306.9521032915784"/>
  </r>
  <r>
    <x v="49"/>
    <x v="10"/>
    <x v="29"/>
    <m/>
    <m/>
    <m/>
    <m/>
    <m/>
    <m/>
    <m/>
    <m/>
    <n v="99.699194198882523"/>
    <m/>
    <n v="110.13993600000003"/>
    <m/>
    <m/>
    <n v="97.5"/>
    <n v="95.4"/>
    <m/>
    <m/>
    <m/>
    <m/>
    <n v="12.881311475409834"/>
    <m/>
    <m/>
    <n v="10.440741801117511"/>
    <m/>
    <m/>
    <m/>
    <m/>
    <m/>
    <b v="1"/>
    <s v="A"/>
    <s v="OVER"/>
    <n v="0"/>
    <n v="0"/>
    <n v="0"/>
    <n v="12.881311475409834"/>
    <n v="165.9281853265251"/>
    <n v="10.440741801117511"/>
    <n v="109.00908935760253"/>
  </r>
  <r>
    <x v="49"/>
    <x v="25"/>
    <x v="14"/>
    <m/>
    <m/>
    <m/>
    <m/>
    <m/>
    <m/>
    <m/>
    <m/>
    <n v="102.38582525149296"/>
    <m/>
    <n v="105.98806333333336"/>
    <m/>
    <m/>
    <n v="93.3"/>
    <n v="99.5"/>
    <m/>
    <m/>
    <m/>
    <m/>
    <n v="-9.4886885245901667"/>
    <m/>
    <m/>
    <n v="3.6022380818403974"/>
    <m/>
    <m/>
    <m/>
    <m/>
    <m/>
    <b v="0"/>
    <s v="SW"/>
    <s v="OVER"/>
    <n v="0"/>
    <n v="0"/>
    <n v="0"/>
    <n v="-9.4886885245901667"/>
    <n v="90.035209916689112"/>
    <n v="3.6022380818403974"/>
    <n v="12.976119198261186"/>
  </r>
  <r>
    <x v="49"/>
    <x v="21"/>
    <x v="10"/>
    <m/>
    <m/>
    <m/>
    <m/>
    <m/>
    <m/>
    <m/>
    <m/>
    <n v="105.04380584399453"/>
    <m/>
    <n v="93.535877333333346"/>
    <m/>
    <m/>
    <n v="91.5"/>
    <n v="92.6"/>
    <m/>
    <m/>
    <m/>
    <m/>
    <n v="-6.6586885245901657"/>
    <m/>
    <m/>
    <n v="-11.507928510661188"/>
    <m/>
    <m/>
    <m/>
    <m/>
    <m/>
    <b v="1"/>
    <s v="NW"/>
    <s v="OVER"/>
    <n v="0"/>
    <n v="0"/>
    <n v="0"/>
    <n v="-6.6586885245901657"/>
    <n v="44.338132867508754"/>
    <n v="-11.507928510661188"/>
    <n v="132.43241860648862"/>
  </r>
  <r>
    <x v="49"/>
    <x v="29"/>
    <x v="7"/>
    <m/>
    <m/>
    <m/>
    <m/>
    <m/>
    <m/>
    <m/>
    <m/>
    <n v="108.75684029849833"/>
    <m/>
    <n v="108.42203866666668"/>
    <m/>
    <m/>
    <n v="96.1"/>
    <n v="97.3"/>
    <m/>
    <m/>
    <m/>
    <m/>
    <n v="1.9713114754098342"/>
    <m/>
    <m/>
    <n v="-0.33480163183165246"/>
    <m/>
    <m/>
    <m/>
    <m/>
    <m/>
    <b v="1"/>
    <s v="SE"/>
    <s v="OVER"/>
    <n v="0"/>
    <n v="0"/>
    <n v="0"/>
    <n v="1.9713114754098342"/>
    <n v="3.8860689330824973"/>
    <n v="-0.33480163183165246"/>
    <n v="0.11209213267713736"/>
  </r>
  <r>
    <x v="50"/>
    <x v="23"/>
    <x v="22"/>
    <m/>
    <m/>
    <m/>
    <m/>
    <m/>
    <m/>
    <m/>
    <m/>
    <n v="109.51396917909572"/>
    <m/>
    <n v="109.32996200000001"/>
    <m/>
    <m/>
    <n v="99.1"/>
    <n v="99.3"/>
    <m/>
    <m/>
    <m/>
    <m/>
    <n v="-4.5386885245901656"/>
    <m/>
    <m/>
    <n v="-0.1840071790957154"/>
    <m/>
    <m/>
    <m/>
    <m/>
    <m/>
    <b v="1"/>
    <s v="NW"/>
    <s v="OVER"/>
    <n v="0"/>
    <n v="0"/>
    <n v="0"/>
    <n v="-4.5386885245901656"/>
    <n v="20.599693523246454"/>
    <n v="-0.1840071790957154"/>
    <n v="3.3858641958762682E-2"/>
  </r>
  <r>
    <x v="50"/>
    <x v="1"/>
    <x v="0"/>
    <m/>
    <m/>
    <m/>
    <m/>
    <m/>
    <m/>
    <m/>
    <m/>
    <n v="118.18883298006877"/>
    <m/>
    <n v="103.23286133333336"/>
    <m/>
    <m/>
    <n v="100.7"/>
    <n v="96.2"/>
    <m/>
    <m/>
    <m/>
    <m/>
    <n v="-15.628688524590165"/>
    <m/>
    <m/>
    <n v="-14.955971646735406"/>
    <m/>
    <m/>
    <m/>
    <m/>
    <m/>
    <b v="0"/>
    <s v="P"/>
    <s v="OVER"/>
    <n v="0"/>
    <n v="0"/>
    <n v="0"/>
    <n v="-15.628688524590165"/>
    <n v="244.25590499865632"/>
    <n v="-14.955971646735406"/>
    <n v="223.68108789795338"/>
  </r>
  <r>
    <x v="50"/>
    <x v="7"/>
    <x v="27"/>
    <m/>
    <m/>
    <m/>
    <m/>
    <m/>
    <m/>
    <m/>
    <m/>
    <n v="107.29818333230638"/>
    <m/>
    <n v="107.56824400000002"/>
    <m/>
    <m/>
    <n v="96.1"/>
    <n v="95.1"/>
    <m/>
    <m/>
    <m/>
    <m/>
    <n v="4.3213114754098338"/>
    <m/>
    <m/>
    <n v="0.27006066769364168"/>
    <m/>
    <m/>
    <m/>
    <m/>
    <m/>
    <b v="1"/>
    <s v="C"/>
    <s v="OVER"/>
    <n v="0"/>
    <n v="0"/>
    <n v="0"/>
    <n v="4.3213114754098338"/>
    <n v="18.673732867508715"/>
    <n v="0.27006066769364168"/>
    <n v="7.2932764235135561E-2"/>
  </r>
  <r>
    <x v="50"/>
    <x v="8"/>
    <x v="16"/>
    <m/>
    <m/>
    <m/>
    <m/>
    <m/>
    <m/>
    <m/>
    <m/>
    <n v="104.71755327976012"/>
    <m/>
    <n v="100.65002533333336"/>
    <m/>
    <m/>
    <n v="98.8"/>
    <n v="98.3"/>
    <m/>
    <m/>
    <m/>
    <m/>
    <n v="-4.8686885245901657"/>
    <m/>
    <m/>
    <n v="-4.0675279464267646"/>
    <m/>
    <m/>
    <m/>
    <m/>
    <m/>
    <b v="0"/>
    <s v="SW"/>
    <s v="OVER"/>
    <n v="0"/>
    <n v="0"/>
    <n v="0"/>
    <n v="-4.8686885245901657"/>
    <n v="23.704127949475964"/>
    <n v="-4.0675279464267646"/>
    <n v="16.544783594962734"/>
  </r>
  <r>
    <x v="50"/>
    <x v="11"/>
    <x v="1"/>
    <m/>
    <m/>
    <m/>
    <m/>
    <m/>
    <m/>
    <m/>
    <m/>
    <n v="94.073540941007977"/>
    <m/>
    <n v="106.11071200000002"/>
    <m/>
    <m/>
    <n v="101.7"/>
    <n v="93.3"/>
    <m/>
    <m/>
    <m/>
    <m/>
    <n v="10.911311475409835"/>
    <m/>
    <m/>
    <n v="12.037171058992044"/>
    <m/>
    <m/>
    <m/>
    <m/>
    <m/>
    <b v="0"/>
    <s v="P"/>
    <s v="OVER"/>
    <n v="0"/>
    <n v="0"/>
    <n v="0"/>
    <n v="10.911311475409835"/>
    <n v="119.05671811341035"/>
    <n v="12.037171058992044"/>
    <n v="144.89348710343563"/>
  </r>
  <r>
    <x v="51"/>
    <x v="3"/>
    <x v="7"/>
    <m/>
    <m/>
    <m/>
    <m/>
    <m/>
    <m/>
    <m/>
    <m/>
    <n v="104.81779124532324"/>
    <m/>
    <n v="105.80466866666669"/>
    <m/>
    <m/>
    <n v="99.5"/>
    <n v="97.3"/>
    <m/>
    <m/>
    <m/>
    <m/>
    <n v="-1.3586885245901659"/>
    <m/>
    <m/>
    <n v="0.98687742134345058"/>
    <m/>
    <m/>
    <m/>
    <m/>
    <m/>
    <b v="0"/>
    <s v="A"/>
    <s v="OVER"/>
    <n v="0"/>
    <n v="0"/>
    <n v="0"/>
    <n v="-1.3586885245901659"/>
    <n v="1.8460345068530017"/>
    <n v="0.98687742134345058"/>
    <n v="0.97392704475749847"/>
  </r>
  <r>
    <x v="51"/>
    <x v="14"/>
    <x v="26"/>
    <m/>
    <m/>
    <m/>
    <m/>
    <m/>
    <m/>
    <m/>
    <m/>
    <n v="111.66718726701198"/>
    <m/>
    <n v="101.87625066666669"/>
    <m/>
    <m/>
    <n v="95.1"/>
    <n v="96.1"/>
    <m/>
    <m/>
    <m/>
    <m/>
    <n v="-9.8786885245901654"/>
    <m/>
    <m/>
    <n v="-9.7909366003452902"/>
    <m/>
    <m/>
    <m/>
    <m/>
    <m/>
    <b v="1"/>
    <s v="C"/>
    <s v="OVER"/>
    <n v="0"/>
    <n v="0"/>
    <n v="0"/>
    <n v="-9.8786885245901654"/>
    <n v="97.588486965869421"/>
    <n v="-9.7909366003452902"/>
    <n v="95.862439511980995"/>
  </r>
  <r>
    <x v="51"/>
    <x v="26"/>
    <x v="25"/>
    <m/>
    <m/>
    <m/>
    <m/>
    <m/>
    <m/>
    <m/>
    <m/>
    <n v="108.92211549407402"/>
    <m/>
    <n v="104.15561866666668"/>
    <m/>
    <m/>
    <n v="96.9"/>
    <n v="98.8"/>
    <m/>
    <m/>
    <m/>
    <m/>
    <n v="-9.1586885245901666"/>
    <m/>
    <m/>
    <n v="-4.7664968274073374"/>
    <m/>
    <m/>
    <m/>
    <m/>
    <m/>
    <b v="1"/>
    <s v="SW"/>
    <s v="OVER"/>
    <n v="0"/>
    <n v="0"/>
    <n v="0"/>
    <n v="-9.1586885245901666"/>
    <n v="83.881575490459596"/>
    <n v="-4.7664968274073374"/>
    <n v="22.719492005684213"/>
  </r>
  <r>
    <x v="51"/>
    <x v="6"/>
    <x v="11"/>
    <m/>
    <m/>
    <m/>
    <m/>
    <m/>
    <m/>
    <m/>
    <m/>
    <n v="103.6213947304164"/>
    <m/>
    <n v="97.233868000000029"/>
    <m/>
    <m/>
    <n v="96.2"/>
    <n v="94.2"/>
    <m/>
    <m/>
    <m/>
    <m/>
    <n v="-5.4086885245901657"/>
    <m/>
    <m/>
    <n v="-6.3875267304163685"/>
    <m/>
    <m/>
    <m/>
    <m/>
    <m/>
    <b v="0"/>
    <s v="SW"/>
    <s v="OVER"/>
    <n v="0"/>
    <n v="0"/>
    <n v="0"/>
    <n v="-5.4086885245901657"/>
    <n v="29.253911556033344"/>
    <n v="-6.3875267304163685"/>
    <n v="40.800497731783622"/>
  </r>
  <r>
    <x v="51"/>
    <x v="19"/>
    <x v="15"/>
    <m/>
    <m/>
    <m/>
    <m/>
    <m/>
    <m/>
    <m/>
    <m/>
    <n v="96.816223682385186"/>
    <m/>
    <n v="107.80476266666669"/>
    <m/>
    <m/>
    <n v="93.9"/>
    <n v="96.4"/>
    <m/>
    <m/>
    <m/>
    <m/>
    <n v="11.051311475409834"/>
    <m/>
    <m/>
    <n v="10.988538984281504"/>
    <m/>
    <m/>
    <m/>
    <m/>
    <m/>
    <b v="0"/>
    <s v="SE"/>
    <s v="OVER"/>
    <n v="0"/>
    <n v="0"/>
    <n v="0"/>
    <n v="11.051311475409834"/>
    <n v="122.13148532652509"/>
    <n v="10.988538984281504"/>
    <n v="120.7479890090744"/>
  </r>
  <r>
    <x v="51"/>
    <x v="9"/>
    <x v="3"/>
    <m/>
    <m/>
    <m/>
    <m/>
    <m/>
    <m/>
    <m/>
    <m/>
    <n v="101.36097405681465"/>
    <m/>
    <n v="94.767909333333364"/>
    <m/>
    <m/>
    <n v="94.2"/>
    <n v="92.9"/>
    <m/>
    <m/>
    <m/>
    <m/>
    <n v="-2.9586885245901655"/>
    <m/>
    <m/>
    <n v="-6.5930647234812909"/>
    <m/>
    <m/>
    <m/>
    <m/>
    <m/>
    <b v="0"/>
    <s v="SE"/>
    <s v="OVER"/>
    <n v="0"/>
    <n v="0"/>
    <n v="0"/>
    <n v="-2.9586885245901655"/>
    <n v="8.7538377855415312"/>
    <n v="-6.5930647234812909"/>
    <n v="43.468502448013432"/>
  </r>
  <r>
    <x v="51"/>
    <x v="10"/>
    <x v="21"/>
    <m/>
    <m/>
    <m/>
    <m/>
    <m/>
    <m/>
    <m/>
    <m/>
    <n v="103.35544419888252"/>
    <m/>
    <n v="111.02226800000003"/>
    <m/>
    <m/>
    <n v="97.5"/>
    <n v="100.2"/>
    <m/>
    <m/>
    <m/>
    <m/>
    <n v="4.4713114754098342"/>
    <m/>
    <m/>
    <n v="7.6668238011175021"/>
    <m/>
    <m/>
    <m/>
    <m/>
    <m/>
    <b v="0"/>
    <s v="A"/>
    <s v="OVER"/>
    <n v="0"/>
    <n v="0"/>
    <n v="0"/>
    <n v="4.4713114754098342"/>
    <n v="19.992626310131669"/>
    <n v="7.6668238011175021"/>
    <n v="58.780187197381821"/>
  </r>
  <r>
    <x v="51"/>
    <x v="12"/>
    <x v="24"/>
    <m/>
    <m/>
    <m/>
    <m/>
    <m/>
    <m/>
    <m/>
    <m/>
    <n v="103.13568369203996"/>
    <m/>
    <n v="102.20642133333335"/>
    <m/>
    <m/>
    <n v="95.4"/>
    <n v="99.2"/>
    <m/>
    <m/>
    <m/>
    <m/>
    <n v="-6.4386885245901659"/>
    <m/>
    <m/>
    <n v="-0.92926235870660889"/>
    <m/>
    <m/>
    <m/>
    <m/>
    <m/>
    <b v="0"/>
    <s v="A"/>
    <s v="OVER"/>
    <n v="0"/>
    <n v="0"/>
    <n v="0"/>
    <n v="-6.4386885245901659"/>
    <n v="41.456709916689086"/>
    <n v="-0.92926235870660889"/>
    <n v="0.86352853130897023"/>
  </r>
  <r>
    <x v="51"/>
    <x v="21"/>
    <x v="4"/>
    <m/>
    <m/>
    <m/>
    <m/>
    <m/>
    <m/>
    <m/>
    <m/>
    <n v="105.91305584399453"/>
    <m/>
    <n v="94.585280000000026"/>
    <m/>
    <m/>
    <n v="91.5"/>
    <n v="102"/>
    <m/>
    <m/>
    <m/>
    <m/>
    <n v="-15.888688524590165"/>
    <m/>
    <m/>
    <n v="-11.327775843994502"/>
    <m/>
    <m/>
    <m/>
    <m/>
    <m/>
    <b v="0"/>
    <s v="NW"/>
    <s v="OVER"/>
    <n v="0"/>
    <n v="0"/>
    <n v="0"/>
    <n v="-15.888688524590165"/>
    <n v="252.45042303144319"/>
    <n v="-11.327775843994502"/>
    <n v="128.31850557178535"/>
  </r>
  <r>
    <x v="51"/>
    <x v="29"/>
    <x v="12"/>
    <m/>
    <m/>
    <m/>
    <m/>
    <m/>
    <m/>
    <m/>
    <m/>
    <n v="104.71103029849834"/>
    <m/>
    <n v="101.69894800000002"/>
    <m/>
    <m/>
    <n v="96.1"/>
    <n v="94.2"/>
    <m/>
    <m/>
    <m/>
    <m/>
    <n v="2.7113114754098344"/>
    <m/>
    <m/>
    <n v="-3.0120822984983278"/>
    <m/>
    <m/>
    <m/>
    <m/>
    <m/>
    <b v="0"/>
    <s v="SE"/>
    <s v="OVER"/>
    <n v="0"/>
    <n v="0"/>
    <n v="0"/>
    <n v="2.7113114754098344"/>
    <n v="7.3512099166890534"/>
    <n v="-3.0120822984983278"/>
    <n v="9.0726397729269692"/>
  </r>
  <r>
    <x v="52"/>
    <x v="13"/>
    <x v="7"/>
    <m/>
    <m/>
    <m/>
    <m/>
    <m/>
    <m/>
    <m/>
    <m/>
    <n v="99.473399292911282"/>
    <m/>
    <n v="98.487708666666691"/>
    <m/>
    <m/>
    <n v="99.2"/>
    <n v="97.3"/>
    <m/>
    <m/>
    <m/>
    <m/>
    <n v="-3.1086885245901654"/>
    <m/>
    <m/>
    <n v="-0.98569062624459036"/>
    <m/>
    <m/>
    <m/>
    <m/>
    <m/>
    <b v="1"/>
    <s v="SE"/>
    <s v="OVER"/>
    <n v="0"/>
    <n v="0"/>
    <n v="0"/>
    <n v="-3.1086885245901654"/>
    <n v="9.6639443429185796"/>
    <n v="-0.98569062624459036"/>
    <n v="0.97158601066645278"/>
  </r>
  <r>
    <x v="52"/>
    <x v="0"/>
    <x v="21"/>
    <m/>
    <m/>
    <m/>
    <m/>
    <m/>
    <m/>
    <m/>
    <m/>
    <n v="119.98380692672303"/>
    <m/>
    <n v="108.49722800000002"/>
    <m/>
    <m/>
    <n v="97.3"/>
    <n v="100.2"/>
    <m/>
    <m/>
    <m/>
    <m/>
    <n v="-13.978688524590167"/>
    <m/>
    <m/>
    <n v="-11.486578926723013"/>
    <m/>
    <m/>
    <m/>
    <m/>
    <m/>
    <b v="0"/>
    <s v="C"/>
    <s v="OVER"/>
    <n v="0"/>
    <n v="0"/>
    <n v="0"/>
    <n v="-13.978688524590167"/>
    <n v="195.40373286750881"/>
    <n v="-11.486578926723013"/>
    <n v="131.94149543983721"/>
  </r>
  <r>
    <x v="52"/>
    <x v="23"/>
    <x v="0"/>
    <m/>
    <m/>
    <m/>
    <m/>
    <m/>
    <m/>
    <m/>
    <m/>
    <n v="107.33376917909571"/>
    <m/>
    <n v="104.59890133333337"/>
    <m/>
    <m/>
    <n v="99.1"/>
    <n v="96.2"/>
    <m/>
    <m/>
    <m/>
    <m/>
    <n v="-3.708688524590166"/>
    <m/>
    <m/>
    <n v="-2.7348678457623379"/>
    <m/>
    <m/>
    <m/>
    <m/>
    <m/>
    <b v="0"/>
    <s v="NW"/>
    <s v="OVER"/>
    <n v="0"/>
    <n v="0"/>
    <n v="0"/>
    <n v="-3.708688524590166"/>
    <n v="13.754370572426781"/>
    <n v="-2.7348678457623379"/>
    <n v="7.4795021337847309"/>
  </r>
  <r>
    <x v="52"/>
    <x v="18"/>
    <x v="16"/>
    <m/>
    <m/>
    <m/>
    <m/>
    <m/>
    <m/>
    <m/>
    <m/>
    <n v="112.4621383347156"/>
    <m/>
    <n v="97.20952533333336"/>
    <m/>
    <m/>
    <n v="94.2"/>
    <n v="98.3"/>
    <m/>
    <m/>
    <m/>
    <m/>
    <n v="-10.288688524590166"/>
    <m/>
    <m/>
    <n v="-15.252613001382244"/>
    <m/>
    <m/>
    <m/>
    <m/>
    <m/>
    <b v="1"/>
    <s v="C"/>
    <s v="OVER"/>
    <n v="0"/>
    <n v="0"/>
    <n v="0"/>
    <n v="-10.288688524590166"/>
    <n v="105.85711155603336"/>
    <n v="-15.252613001382244"/>
    <n v="232.64220336993466"/>
  </r>
  <r>
    <x v="52"/>
    <x v="1"/>
    <x v="22"/>
    <m/>
    <m/>
    <m/>
    <m/>
    <m/>
    <m/>
    <m/>
    <m/>
    <n v="120.40423298006877"/>
    <m/>
    <n v="107.91990200000001"/>
    <m/>
    <m/>
    <n v="100.7"/>
    <n v="99.3"/>
    <m/>
    <m/>
    <m/>
    <m/>
    <n v="-16.458688524590166"/>
    <m/>
    <m/>
    <n v="-12.484330980068762"/>
    <m/>
    <m/>
    <m/>
    <m/>
    <m/>
    <b v="0"/>
    <s v="P"/>
    <s v="OVER"/>
    <n v="0"/>
    <n v="0"/>
    <n v="0"/>
    <n v="-16.458688524590166"/>
    <n v="270.88842794947601"/>
    <n v="-12.484330980068762"/>
    <n v="155.85852001990466"/>
  </r>
  <r>
    <x v="52"/>
    <x v="28"/>
    <x v="5"/>
    <m/>
    <m/>
    <m/>
    <m/>
    <m/>
    <m/>
    <m/>
    <m/>
    <n v="118.45808150317566"/>
    <m/>
    <n v="112.86976600000004"/>
    <m/>
    <m/>
    <n v="95.8"/>
    <n v="96.9"/>
    <m/>
    <m/>
    <m/>
    <m/>
    <n v="2.1213114754098346"/>
    <m/>
    <m/>
    <n v="-5.5883155031756218"/>
    <m/>
    <m/>
    <m/>
    <m/>
    <m/>
    <b v="0"/>
    <s v="NW"/>
    <s v="OVER"/>
    <n v="0"/>
    <n v="0"/>
    <n v="0"/>
    <n v="2.1213114754098346"/>
    <n v="4.499962375705449"/>
    <n v="-5.5883155031756218"/>
    <n v="31.229270163033004"/>
  </r>
  <r>
    <x v="52"/>
    <x v="20"/>
    <x v="19"/>
    <m/>
    <m/>
    <m/>
    <m/>
    <m/>
    <m/>
    <m/>
    <m/>
    <n v="106.67663681965827"/>
    <m/>
    <n v="101.48710800000003"/>
    <m/>
    <m/>
    <n v="92.6"/>
    <n v="101.7"/>
    <m/>
    <m/>
    <m/>
    <m/>
    <n v="-9.5586885245901652"/>
    <m/>
    <m/>
    <n v="-5.1895288196582356"/>
    <m/>
    <m/>
    <m/>
    <m/>
    <m/>
    <b v="0"/>
    <s v="NW"/>
    <s v="OVER"/>
    <n v="0"/>
    <n v="0"/>
    <n v="0"/>
    <n v="-9.5586885245901652"/>
    <n v="91.368526310131713"/>
    <n v="-5.1895288196582356"/>
    <n v="26.931209370063399"/>
  </r>
  <r>
    <x v="53"/>
    <x v="17"/>
    <x v="11"/>
    <m/>
    <m/>
    <m/>
    <m/>
    <m/>
    <m/>
    <m/>
    <m/>
    <n v="99.351623578429084"/>
    <m/>
    <n v="101.11490800000003"/>
    <m/>
    <m/>
    <n v="102"/>
    <n v="94.2"/>
    <m/>
    <m/>
    <m/>
    <m/>
    <n v="4.0713114754098338"/>
    <m/>
    <m/>
    <n v="1.763284421570944"/>
    <m/>
    <m/>
    <m/>
    <m/>
    <m/>
    <b v="0"/>
    <s v="SW"/>
    <s v="OVER"/>
    <n v="0"/>
    <n v="0"/>
    <n v="0"/>
    <n v="4.0713114754098338"/>
    <n v="16.575577129803797"/>
    <n v="1.763284421570944"/>
    <n v="3.1091719513547784"/>
  </r>
  <r>
    <x v="53"/>
    <x v="6"/>
    <x v="2"/>
    <m/>
    <m/>
    <m/>
    <m/>
    <m/>
    <m/>
    <m/>
    <m/>
    <n v="96.156274730416399"/>
    <m/>
    <n v="93.083560000000034"/>
    <m/>
    <m/>
    <n v="96.2"/>
    <n v="91.5"/>
    <m/>
    <m/>
    <m/>
    <m/>
    <n v="0.85131147540983454"/>
    <m/>
    <m/>
    <n v="-3.0727147304163651"/>
    <m/>
    <m/>
    <m/>
    <m/>
    <m/>
    <b v="0"/>
    <s v="SW"/>
    <s v="OVER"/>
    <n v="0"/>
    <n v="0"/>
    <n v="0"/>
    <n v="0.85131147540983454"/>
    <n v="0.72473122816446933"/>
    <n v="-3.0727147304163651"/>
    <n v="9.4415758145177158"/>
  </r>
  <r>
    <x v="53"/>
    <x v="19"/>
    <x v="14"/>
    <m/>
    <m/>
    <m/>
    <m/>
    <m/>
    <m/>
    <m/>
    <m/>
    <n v="101.24830368238518"/>
    <m/>
    <n v="103.87866333333335"/>
    <m/>
    <m/>
    <n v="93.9"/>
    <n v="99.5"/>
    <m/>
    <m/>
    <m/>
    <m/>
    <n v="-1.0986885245901659"/>
    <m/>
    <m/>
    <n v="2.630359650948165"/>
    <m/>
    <m/>
    <m/>
    <m/>
    <m/>
    <b v="0"/>
    <s v="SE"/>
    <s v="OVER"/>
    <n v="0"/>
    <n v="0"/>
    <n v="0"/>
    <n v="-1.0986885245901659"/>
    <n v="1.2071164740661156"/>
    <n v="2.630359650948165"/>
    <n v="6.9187918933361523"/>
  </r>
  <r>
    <x v="53"/>
    <x v="9"/>
    <x v="29"/>
    <m/>
    <m/>
    <m/>
    <m/>
    <m/>
    <m/>
    <m/>
    <m/>
    <n v="98.224114056814656"/>
    <m/>
    <n v="108.21285600000003"/>
    <m/>
    <m/>
    <n v="94.2"/>
    <n v="95.4"/>
    <m/>
    <m/>
    <m/>
    <m/>
    <n v="11.801311475409834"/>
    <m/>
    <m/>
    <n v="9.9887419431853743"/>
    <m/>
    <m/>
    <m/>
    <m/>
    <m/>
    <b v="0"/>
    <s v="SE"/>
    <s v="OVER"/>
    <n v="0"/>
    <n v="0"/>
    <n v="0"/>
    <n v="11.801311475409834"/>
    <n v="139.27095253963984"/>
    <n v="9.9887419431853743"/>
    <n v="99.774965607550726"/>
  </r>
  <r>
    <x v="53"/>
    <x v="10"/>
    <x v="3"/>
    <m/>
    <m/>
    <m/>
    <m/>
    <m/>
    <m/>
    <m/>
    <m/>
    <n v="102.94594419888251"/>
    <m/>
    <n v="96.644489333333354"/>
    <m/>
    <m/>
    <n v="97.5"/>
    <n v="92.9"/>
    <m/>
    <m/>
    <m/>
    <m/>
    <n v="-1.8786885245901654"/>
    <m/>
    <m/>
    <n v="-6.3014548655491609"/>
    <m/>
    <m/>
    <m/>
    <m/>
    <m/>
    <b v="1"/>
    <s v="A"/>
    <s v="OVER"/>
    <n v="0"/>
    <n v="0"/>
    <n v="0"/>
    <n v="-1.8786885245901654"/>
    <n v="3.5294705724267725"/>
    <n v="-6.3014548655491609"/>
    <n v="39.708333422553196"/>
  </r>
  <r>
    <x v="53"/>
    <x v="25"/>
    <x v="25"/>
    <m/>
    <m/>
    <m/>
    <m/>
    <m/>
    <m/>
    <m/>
    <m/>
    <n v="100.60379525149295"/>
    <m/>
    <n v="100.13445866666669"/>
    <m/>
    <m/>
    <n v="93.3"/>
    <n v="98.8"/>
    <m/>
    <m/>
    <m/>
    <m/>
    <n v="-12.748688524590166"/>
    <m/>
    <m/>
    <n v="-0.46933658482626583"/>
    <m/>
    <m/>
    <m/>
    <m/>
    <m/>
    <b v="1"/>
    <s v="SW"/>
    <s v="OVER"/>
    <n v="0"/>
    <n v="0"/>
    <n v="0"/>
    <n v="-12.748688524590166"/>
    <n v="162.52905909701698"/>
    <n v="-0.46933658482626583"/>
    <n v="0.22027682985638264"/>
  </r>
  <r>
    <x v="53"/>
    <x v="29"/>
    <x v="15"/>
    <m/>
    <m/>
    <m/>
    <m/>
    <m/>
    <m/>
    <m/>
    <m/>
    <n v="105.37412029849834"/>
    <m/>
    <n v="114.36960266666669"/>
    <m/>
    <m/>
    <n v="96.1"/>
    <n v="96.4"/>
    <m/>
    <m/>
    <m/>
    <m/>
    <n v="12.701311475409835"/>
    <m/>
    <m/>
    <n v="8.9954823681683536"/>
    <m/>
    <m/>
    <m/>
    <m/>
    <m/>
    <b v="0"/>
    <s v="SE"/>
    <s v="OVER"/>
    <n v="0"/>
    <n v="0"/>
    <n v="0"/>
    <n v="12.701311475409835"/>
    <n v="161.32331319537755"/>
    <n v="8.9954823681683536"/>
    <n v="80.918703036027736"/>
  </r>
  <r>
    <x v="54"/>
    <x v="14"/>
    <x v="12"/>
    <m/>
    <m/>
    <m/>
    <m/>
    <m/>
    <m/>
    <m/>
    <m/>
    <n v="105.03871726701198"/>
    <m/>
    <n v="98.14760800000002"/>
    <m/>
    <m/>
    <n v="95.1"/>
    <n v="94.2"/>
    <m/>
    <m/>
    <m/>
    <m/>
    <n v="-4.7286885245901651"/>
    <m/>
    <m/>
    <n v="-6.8911092670119558"/>
    <m/>
    <m/>
    <m/>
    <m/>
    <m/>
    <b v="1"/>
    <s v="C"/>
    <s v="OVER"/>
    <n v="0"/>
    <n v="0"/>
    <n v="0"/>
    <n v="-4.7286885245901651"/>
    <n v="22.360495162590713"/>
    <n v="-6.8911092670119558"/>
    <n v="47.487386929898058"/>
  </r>
  <r>
    <x v="54"/>
    <x v="23"/>
    <x v="4"/>
    <m/>
    <m/>
    <m/>
    <m/>
    <m/>
    <m/>
    <m/>
    <m/>
    <n v="103.37967917909572"/>
    <m/>
    <n v="99.430280000000025"/>
    <m/>
    <m/>
    <n v="99.1"/>
    <n v="102"/>
    <m/>
    <m/>
    <m/>
    <m/>
    <n v="-10.968688524590167"/>
    <m/>
    <m/>
    <n v="-3.9493991790956926"/>
    <m/>
    <m/>
    <m/>
    <m/>
    <m/>
    <b v="0"/>
    <s v="NW"/>
    <s v="OVER"/>
    <n v="0"/>
    <n v="0"/>
    <n v="0"/>
    <n v="-10.968688524590167"/>
    <n v="120.31212794947602"/>
    <n v="-3.9493991790956926"/>
    <n v="15.597753875841731"/>
  </r>
  <r>
    <x v="54"/>
    <x v="4"/>
    <x v="13"/>
    <m/>
    <m/>
    <m/>
    <m/>
    <m/>
    <m/>
    <m/>
    <m/>
    <n v="109.40449341452113"/>
    <m/>
    <n v="104.74964066666668"/>
    <m/>
    <m/>
    <n v="98.3"/>
    <n v="96.1"/>
    <m/>
    <m/>
    <m/>
    <m/>
    <n v="-0.75868852459016578"/>
    <m/>
    <m/>
    <n v="-4.6548527478544486"/>
    <m/>
    <m/>
    <m/>
    <m/>
    <m/>
    <b v="0"/>
    <s v="C"/>
    <s v="OVER"/>
    <n v="0"/>
    <n v="0"/>
    <n v="0"/>
    <n v="-0.75868852459016578"/>
    <n v="0.57560827734480258"/>
    <n v="-4.6548527478544486"/>
    <n v="21.667654104208111"/>
  </r>
  <r>
    <x v="54"/>
    <x v="28"/>
    <x v="19"/>
    <m/>
    <m/>
    <m/>
    <m/>
    <m/>
    <m/>
    <m/>
    <m/>
    <n v="116.95402150317565"/>
    <m/>
    <n v="106.58227800000004"/>
    <m/>
    <m/>
    <n v="95.8"/>
    <n v="101.7"/>
    <m/>
    <m/>
    <m/>
    <m/>
    <n v="-7.978688524590166"/>
    <m/>
    <m/>
    <n v="-10.371743503175608"/>
    <m/>
    <m/>
    <m/>
    <m/>
    <m/>
    <b v="0"/>
    <s v="NW"/>
    <s v="OVER"/>
    <n v="0"/>
    <n v="0"/>
    <n v="0"/>
    <n v="-7.978688524590166"/>
    <n v="63.659470572426798"/>
    <n v="-10.371743503175608"/>
    <n v="107.57306329566543"/>
  </r>
  <r>
    <x v="54"/>
    <x v="20"/>
    <x v="24"/>
    <m/>
    <m/>
    <m/>
    <m/>
    <m/>
    <m/>
    <m/>
    <m/>
    <n v="99.250116819658274"/>
    <m/>
    <n v="99.696661333333353"/>
    <m/>
    <m/>
    <n v="92.6"/>
    <n v="99.2"/>
    <m/>
    <m/>
    <m/>
    <m/>
    <n v="-0.82868852459016562"/>
    <m/>
    <m/>
    <n v="0.44654451367507875"/>
    <m/>
    <m/>
    <m/>
    <m/>
    <m/>
    <b v="0"/>
    <s v="NW"/>
    <s v="OVER"/>
    <n v="0"/>
    <n v="0"/>
    <n v="0"/>
    <n v="-0.82868852459016562"/>
    <n v="0.6867246707874255"/>
    <n v="0.44654451367507875"/>
    <n v="0.1994020026933126"/>
  </r>
  <r>
    <x v="55"/>
    <x v="22"/>
    <x v="21"/>
    <m/>
    <m/>
    <m/>
    <m/>
    <m/>
    <m/>
    <m/>
    <m/>
    <n v="109.63337196997593"/>
    <m/>
    <n v="108.56736800000002"/>
    <m/>
    <m/>
    <n v="97.3"/>
    <n v="100.2"/>
    <m/>
    <m/>
    <m/>
    <m/>
    <n v="-7.1986885245901657"/>
    <m/>
    <m/>
    <n v="-1.0660039699759096"/>
    <m/>
    <m/>
    <m/>
    <m/>
    <m/>
    <b v="0"/>
    <s v="SE"/>
    <s v="OVER"/>
    <n v="0"/>
    <n v="0"/>
    <n v="0"/>
    <n v="-7.1986885245901657"/>
    <n v="51.821116474066137"/>
    <n v="-1.0660039699759096"/>
    <n v="1.1363644640043999"/>
  </r>
  <r>
    <x v="55"/>
    <x v="1"/>
    <x v="2"/>
    <m/>
    <m/>
    <m/>
    <m/>
    <m/>
    <m/>
    <m/>
    <m/>
    <n v="110.38458298006876"/>
    <m/>
    <n v="96.459910000000022"/>
    <m/>
    <m/>
    <n v="100.7"/>
    <n v="91.5"/>
    <m/>
    <m/>
    <m/>
    <m/>
    <n v="-9.7786885245901658"/>
    <m/>
    <m/>
    <n v="-13.924672980068735"/>
    <m/>
    <m/>
    <m/>
    <m/>
    <m/>
    <b v="0"/>
    <s v="P"/>
    <s v="OVER"/>
    <n v="0"/>
    <n v="0"/>
    <n v="0"/>
    <n v="-9.7786885245901658"/>
    <n v="95.622749260951394"/>
    <n v="-13.924672980068735"/>
    <n v="193.89651760185629"/>
  </r>
  <r>
    <x v="55"/>
    <x v="26"/>
    <x v="1"/>
    <m/>
    <m/>
    <m/>
    <m/>
    <m/>
    <m/>
    <m/>
    <m/>
    <n v="108.83490549407401"/>
    <m/>
    <n v="107.57552200000002"/>
    <m/>
    <m/>
    <n v="96.9"/>
    <n v="93.3"/>
    <m/>
    <m/>
    <m/>
    <m/>
    <n v="0.81131147540983406"/>
    <m/>
    <m/>
    <n v="-1.2593834940739868"/>
    <m/>
    <m/>
    <m/>
    <m/>
    <m/>
    <b v="1"/>
    <s v="SW"/>
    <s v="OVER"/>
    <n v="0"/>
    <n v="0"/>
    <n v="0"/>
    <n v="0.81131147540983406"/>
    <n v="0.65822631013168176"/>
    <n v="-1.2593834940739868"/>
    <n v="1.5860467851460034"/>
  </r>
  <r>
    <x v="55"/>
    <x v="27"/>
    <x v="8"/>
    <m/>
    <m/>
    <m/>
    <m/>
    <m/>
    <m/>
    <m/>
    <m/>
    <n v="112.96056172355891"/>
    <m/>
    <n v="101.33041066666669"/>
    <m/>
    <m/>
    <n v="96.4"/>
    <n v="99.1"/>
    <m/>
    <m/>
    <m/>
    <m/>
    <n v="-16.168688524590166"/>
    <m/>
    <m/>
    <n v="-11.630151056892217"/>
    <m/>
    <m/>
    <m/>
    <m/>
    <m/>
    <b v="0"/>
    <s v="P"/>
    <s v="OVER"/>
    <n v="0"/>
    <n v="0"/>
    <n v="0"/>
    <n v="-16.168688524590166"/>
    <n v="261.42648860521371"/>
    <n v="-11.630151056892217"/>
    <n v="135.26041360613115"/>
  </r>
  <r>
    <x v="55"/>
    <x v="6"/>
    <x v="14"/>
    <m/>
    <m/>
    <m/>
    <m/>
    <m/>
    <m/>
    <m/>
    <m/>
    <n v="101.02399473041639"/>
    <m/>
    <n v="102.58516333333336"/>
    <m/>
    <m/>
    <n v="96.2"/>
    <n v="99.5"/>
    <m/>
    <m/>
    <m/>
    <m/>
    <n v="-2.8286885245901656"/>
    <m/>
    <m/>
    <n v="1.5611686029169647"/>
    <m/>
    <m/>
    <m/>
    <m/>
    <m/>
    <b v="0"/>
    <s v="SW"/>
    <s v="OVER"/>
    <n v="0"/>
    <n v="0"/>
    <n v="0"/>
    <n v="-2.8286885245901656"/>
    <n v="8.001478769148088"/>
    <n v="1.5611686029169647"/>
    <n v="2.4372474067337073"/>
  </r>
  <r>
    <x v="55"/>
    <x v="19"/>
    <x v="17"/>
    <m/>
    <m/>
    <m/>
    <m/>
    <m/>
    <m/>
    <m/>
    <m/>
    <n v="100.52527368238519"/>
    <m/>
    <n v="88.981948000000017"/>
    <m/>
    <m/>
    <n v="93.9"/>
    <n v="94.2"/>
    <m/>
    <m/>
    <m/>
    <m/>
    <n v="-10.268688524590166"/>
    <m/>
    <m/>
    <n v="-11.543325682385174"/>
    <m/>
    <m/>
    <m/>
    <m/>
    <m/>
    <b v="1"/>
    <s v="SE"/>
    <s v="OVER"/>
    <n v="0"/>
    <n v="0"/>
    <n v="0"/>
    <n v="-10.268688524590166"/>
    <n v="105.44596401504975"/>
    <n v="-11.543325682385174"/>
    <n v="133.24836780961314"/>
  </r>
  <r>
    <x v="55"/>
    <x v="7"/>
    <x v="20"/>
    <m/>
    <m/>
    <m/>
    <m/>
    <m/>
    <m/>
    <m/>
    <m/>
    <n v="107.11559333230639"/>
    <m/>
    <n v="113.85137866666669"/>
    <m/>
    <m/>
    <n v="96.1"/>
    <n v="97.3"/>
    <m/>
    <m/>
    <m/>
    <m/>
    <n v="8.4113114754098355"/>
    <m/>
    <m/>
    <n v="6.7357853343603011"/>
    <m/>
    <m/>
    <m/>
    <m/>
    <m/>
    <b v="1"/>
    <s v="C"/>
    <s v="OVER"/>
    <n v="0"/>
    <n v="0"/>
    <n v="0"/>
    <n v="8.4113114754098355"/>
    <n v="70.750160736361181"/>
    <n v="6.7357853343603011"/>
    <n v="45.370804070583311"/>
  </r>
  <r>
    <x v="55"/>
    <x v="24"/>
    <x v="16"/>
    <m/>
    <m/>
    <m/>
    <m/>
    <m/>
    <m/>
    <m/>
    <m/>
    <n v="110.64171945611427"/>
    <m/>
    <n v="105.17182533333335"/>
    <m/>
    <m/>
    <n v="96.2"/>
    <n v="98.3"/>
    <m/>
    <m/>
    <m/>
    <m/>
    <n v="-5.9586885245901655"/>
    <m/>
    <m/>
    <n v="-5.4698941227809286"/>
    <m/>
    <m/>
    <m/>
    <m/>
    <m/>
    <b v="0"/>
    <s v="A"/>
    <s v="OVER"/>
    <n v="0"/>
    <n v="0"/>
    <n v="0"/>
    <n v="-5.9586885245901655"/>
    <n v="35.505968933082521"/>
    <n v="-5.4698941227809286"/>
    <n v="29.919741714433343"/>
  </r>
  <r>
    <x v="55"/>
    <x v="10"/>
    <x v="25"/>
    <m/>
    <m/>
    <m/>
    <m/>
    <m/>
    <m/>
    <m/>
    <m/>
    <n v="97.563944198882524"/>
    <m/>
    <n v="103.34545866666669"/>
    <m/>
    <m/>
    <n v="97.5"/>
    <n v="98.8"/>
    <m/>
    <m/>
    <m/>
    <m/>
    <n v="4.2113114754098344"/>
    <m/>
    <m/>
    <n v="5.781514467784163"/>
    <m/>
    <m/>
    <m/>
    <m/>
    <m/>
    <b v="0"/>
    <s v="A"/>
    <s v="OVER"/>
    <n v="0"/>
    <n v="0"/>
    <n v="0"/>
    <n v="4.2113114754098344"/>
    <n v="17.735144342918556"/>
    <n v="5.781514467784163"/>
    <n v="33.425909541197591"/>
  </r>
  <r>
    <x v="55"/>
    <x v="15"/>
    <x v="22"/>
    <m/>
    <m/>
    <m/>
    <m/>
    <m/>
    <m/>
    <m/>
    <m/>
    <n v="112.12346010654767"/>
    <m/>
    <n v="112.31889200000002"/>
    <m/>
    <m/>
    <n v="94.2"/>
    <n v="99.3"/>
    <m/>
    <m/>
    <m/>
    <m/>
    <n v="-3.1986885245901657"/>
    <m/>
    <m/>
    <n v="0.19543189345235135"/>
    <m/>
    <m/>
    <m/>
    <m/>
    <m/>
    <b v="0"/>
    <s v="P"/>
    <s v="OVER"/>
    <n v="0"/>
    <n v="0"/>
    <n v="0"/>
    <n v="-3.1986885245901657"/>
    <n v="10.231608277344812"/>
    <n v="0.19543189345235135"/>
    <n v="3.8193624978371206E-2"/>
  </r>
  <r>
    <x v="55"/>
    <x v="12"/>
    <x v="3"/>
    <m/>
    <m/>
    <m/>
    <m/>
    <m/>
    <m/>
    <m/>
    <m/>
    <n v="113.75370369203996"/>
    <m/>
    <n v="95.743359333333359"/>
    <m/>
    <m/>
    <n v="95.4"/>
    <n v="92.9"/>
    <m/>
    <m/>
    <m/>
    <m/>
    <n v="-17.538688524590164"/>
    <m/>
    <m/>
    <n v="-18.010344358706604"/>
    <m/>
    <m/>
    <m/>
    <m/>
    <m/>
    <b v="1"/>
    <s v="A"/>
    <s v="OVER"/>
    <n v="0"/>
    <n v="0"/>
    <n v="0"/>
    <n v="-17.538688524590164"/>
    <n v="307.6055951625907"/>
    <n v="-18.010344358706604"/>
    <n v="324.3725039191948"/>
  </r>
  <r>
    <x v="56"/>
    <x v="13"/>
    <x v="6"/>
    <m/>
    <m/>
    <m/>
    <m/>
    <m/>
    <m/>
    <m/>
    <m/>
    <n v="103.4017192929113"/>
    <m/>
    <n v="97.697478666666683"/>
    <m/>
    <m/>
    <n v="99.2"/>
    <n v="95.8"/>
    <m/>
    <m/>
    <m/>
    <m/>
    <n v="-6.3086885245901652"/>
    <m/>
    <m/>
    <n v="-5.7042406262446121"/>
    <m/>
    <m/>
    <m/>
    <m/>
    <m/>
    <b v="0"/>
    <s v="SE"/>
    <s v="OVER"/>
    <n v="0"/>
    <n v="0"/>
    <n v="0"/>
    <n v="-6.3086885245901652"/>
    <n v="39.799550900295635"/>
    <n v="-5.7042406262446121"/>
    <n v="32.538361122099523"/>
  </r>
  <r>
    <x v="56"/>
    <x v="14"/>
    <x v="13"/>
    <m/>
    <m/>
    <m/>
    <m/>
    <m/>
    <m/>
    <m/>
    <m/>
    <n v="112.74181726701197"/>
    <m/>
    <n v="102.63544066666668"/>
    <m/>
    <m/>
    <n v="95.1"/>
    <n v="96.1"/>
    <m/>
    <m/>
    <m/>
    <m/>
    <n v="-10.218688524590165"/>
    <m/>
    <m/>
    <n v="-10.106376600345286"/>
    <m/>
    <m/>
    <m/>
    <m/>
    <m/>
    <b v="0"/>
    <s v="C"/>
    <s v="OVER"/>
    <n v="0"/>
    <n v="0"/>
    <n v="0"/>
    <n v="-10.218688524590165"/>
    <n v="104.42159516259073"/>
    <n v="-10.106376600345286"/>
    <n v="102.13884798800673"/>
  </r>
  <r>
    <x v="56"/>
    <x v="0"/>
    <x v="26"/>
    <m/>
    <m/>
    <m/>
    <m/>
    <m/>
    <m/>
    <m/>
    <m/>
    <n v="117.58049692672303"/>
    <m/>
    <n v="101.69366066666669"/>
    <m/>
    <m/>
    <n v="97.3"/>
    <n v="96.1"/>
    <m/>
    <m/>
    <m/>
    <m/>
    <n v="-13.968688524590167"/>
    <m/>
    <m/>
    <n v="-15.886836260056342"/>
    <m/>
    <m/>
    <m/>
    <m/>
    <m/>
    <b v="1"/>
    <s v="C"/>
    <s v="OVER"/>
    <n v="0"/>
    <n v="0"/>
    <n v="0"/>
    <n v="-13.968688524590167"/>
    <n v="195.12425909701702"/>
    <n v="-15.886836260056342"/>
    <n v="252.39156635384097"/>
  </r>
  <r>
    <x v="56"/>
    <x v="18"/>
    <x v="23"/>
    <m/>
    <m/>
    <m/>
    <m/>
    <m/>
    <m/>
    <m/>
    <m/>
    <n v="106.3014583347156"/>
    <m/>
    <n v="94.026521333333378"/>
    <m/>
    <m/>
    <n v="94.2"/>
    <n v="96.2"/>
    <m/>
    <m/>
    <m/>
    <m/>
    <n v="-4.8886885245901652"/>
    <m/>
    <m/>
    <n v="-12.274937001382227"/>
    <m/>
    <m/>
    <m/>
    <m/>
    <m/>
    <b v="0"/>
    <s v="C"/>
    <s v="OVER"/>
    <n v="0"/>
    <n v="0"/>
    <n v="0"/>
    <n v="-4.8886885245901652"/>
    <n v="23.899275490459566"/>
    <n v="-12.274937001382227"/>
    <n v="150.67407838790251"/>
  </r>
  <r>
    <x v="56"/>
    <x v="8"/>
    <x v="10"/>
    <m/>
    <m/>
    <m/>
    <m/>
    <m/>
    <m/>
    <m/>
    <m/>
    <n v="101.38799327976011"/>
    <m/>
    <n v="96.452777333333358"/>
    <m/>
    <m/>
    <n v="98.8"/>
    <n v="92.6"/>
    <m/>
    <m/>
    <m/>
    <m/>
    <n v="0.28131147540983442"/>
    <m/>
    <m/>
    <n v="-4.9352159464267515"/>
    <m/>
    <m/>
    <m/>
    <m/>
    <m/>
    <b v="0"/>
    <s v="SW"/>
    <s v="OVER"/>
    <n v="0"/>
    <n v="0"/>
    <n v="0"/>
    <n v="0.28131147540983442"/>
    <n v="7.9136146197257881E-2"/>
    <n v="-4.9352159464267515"/>
    <n v="24.356356437864896"/>
  </r>
  <r>
    <x v="56"/>
    <x v="11"/>
    <x v="5"/>
    <m/>
    <m/>
    <m/>
    <m/>
    <m/>
    <m/>
    <m/>
    <m/>
    <n v="98.21273094100799"/>
    <m/>
    <n v="110.67982600000003"/>
    <m/>
    <m/>
    <n v="101.7"/>
    <n v="96.9"/>
    <m/>
    <m/>
    <m/>
    <m/>
    <n v="7.3213114754098338"/>
    <m/>
    <m/>
    <n v="12.467095058992044"/>
    <m/>
    <m/>
    <m/>
    <m/>
    <m/>
    <b v="0"/>
    <s v="P"/>
    <s v="OVER"/>
    <n v="0"/>
    <n v="0"/>
    <n v="0"/>
    <n v="7.3213114754098338"/>
    <n v="53.601601719967718"/>
    <n v="12.467095058992044"/>
    <n v="155.42845920994384"/>
  </r>
  <r>
    <x v="56"/>
    <x v="2"/>
    <x v="4"/>
    <m/>
    <m/>
    <m/>
    <m/>
    <m/>
    <m/>
    <m/>
    <m/>
    <n v="108.05644413790988"/>
    <m/>
    <n v="104.73428000000003"/>
    <m/>
    <m/>
    <n v="99.3"/>
    <n v="102"/>
    <m/>
    <m/>
    <m/>
    <m/>
    <n v="-9.2086885245901655"/>
    <m/>
    <m/>
    <n v="-3.3221641379098514"/>
    <m/>
    <m/>
    <m/>
    <m/>
    <m/>
    <b v="0"/>
    <s v="NW"/>
    <s v="OVER"/>
    <n v="0"/>
    <n v="0"/>
    <n v="0"/>
    <n v="-9.2086885245901655"/>
    <n v="84.799944342918593"/>
    <n v="-3.3221641379098514"/>
    <n v="11.036774559214306"/>
  </r>
  <r>
    <x v="56"/>
    <x v="21"/>
    <x v="11"/>
    <m/>
    <m/>
    <m/>
    <m/>
    <m/>
    <m/>
    <m/>
    <m/>
    <n v="109.57305584399452"/>
    <m/>
    <n v="97.572988000000024"/>
    <m/>
    <m/>
    <n v="91.5"/>
    <n v="94.2"/>
    <m/>
    <m/>
    <m/>
    <m/>
    <n v="-9.0386885245901656"/>
    <m/>
    <m/>
    <n v="-12.000067843994501"/>
    <m/>
    <m/>
    <m/>
    <m/>
    <m/>
    <b v="0"/>
    <s v="NW"/>
    <s v="OVER"/>
    <n v="0"/>
    <n v="0"/>
    <n v="0"/>
    <n v="-9.0386885245901656"/>
    <n v="81.697890244557939"/>
    <n v="-12.000067843994501"/>
    <n v="144.00162826047082"/>
  </r>
  <r>
    <x v="57"/>
    <x v="16"/>
    <x v="18"/>
    <m/>
    <m/>
    <m/>
    <m/>
    <m/>
    <m/>
    <m/>
    <m/>
    <n v="99.707918012717798"/>
    <m/>
    <n v="121.92823133333337"/>
    <m/>
    <m/>
    <n v="92.9"/>
    <n v="100.7"/>
    <m/>
    <m/>
    <m/>
    <m/>
    <n v="17.251311475409835"/>
    <m/>
    <m/>
    <n v="22.220313320615574"/>
    <m/>
    <m/>
    <m/>
    <m/>
    <m/>
    <b v="0"/>
    <s v="A"/>
    <s v="OVER"/>
    <n v="0"/>
    <n v="0"/>
    <n v="0"/>
    <n v="17.251311475409835"/>
    <n v="297.60774762160707"/>
    <n v="22.220313320615574"/>
    <n v="493.74232406632592"/>
  </r>
  <r>
    <x v="57"/>
    <x v="4"/>
    <x v="14"/>
    <m/>
    <m/>
    <m/>
    <m/>
    <m/>
    <m/>
    <m/>
    <m/>
    <n v="106.76022341452114"/>
    <m/>
    <n v="109.09246333333336"/>
    <m/>
    <m/>
    <n v="98.3"/>
    <n v="99.5"/>
    <m/>
    <m/>
    <m/>
    <m/>
    <n v="2.5713114754098343"/>
    <m/>
    <m/>
    <n v="2.3322399188122205"/>
    <m/>
    <m/>
    <m/>
    <m/>
    <m/>
    <b v="0"/>
    <s v="C"/>
    <s v="OVER"/>
    <n v="0"/>
    <n v="0"/>
    <n v="0"/>
    <n v="2.5713114754098343"/>
    <n v="6.6116427035742991"/>
    <n v="2.3322399188122205"/>
    <n v="5.4393430389012325"/>
  </r>
  <r>
    <x v="57"/>
    <x v="27"/>
    <x v="1"/>
    <m/>
    <m/>
    <m/>
    <m/>
    <m/>
    <m/>
    <m/>
    <m/>
    <n v="111.33140172355891"/>
    <m/>
    <n v="101.24045200000002"/>
    <m/>
    <m/>
    <n v="96.4"/>
    <n v="93.3"/>
    <m/>
    <m/>
    <m/>
    <m/>
    <n v="-8.2186885245901653"/>
    <m/>
    <m/>
    <n v="-10.090949723558893"/>
    <m/>
    <m/>
    <m/>
    <m/>
    <m/>
    <b v="0"/>
    <s v="P"/>
    <s v="OVER"/>
    <n v="0"/>
    <n v="0"/>
    <n v="0"/>
    <n v="-8.2186885245901653"/>
    <n v="67.546841064230065"/>
    <n v="-10.090949723558893"/>
    <n v="101.8272663233933"/>
  </r>
  <r>
    <x v="57"/>
    <x v="19"/>
    <x v="21"/>
    <m/>
    <m/>
    <m/>
    <m/>
    <m/>
    <m/>
    <m/>
    <m/>
    <n v="105.03247368238519"/>
    <m/>
    <n v="105.64152800000001"/>
    <m/>
    <m/>
    <n v="93.9"/>
    <n v="100.2"/>
    <m/>
    <m/>
    <m/>
    <m/>
    <n v="-4.0986885245901661"/>
    <m/>
    <m/>
    <n v="0.60905431761482021"/>
    <m/>
    <m/>
    <m/>
    <m/>
    <m/>
    <b v="0"/>
    <s v="SE"/>
    <s v="OVER"/>
    <n v="0"/>
    <n v="0"/>
    <n v="0"/>
    <n v="-4.0986885245901661"/>
    <n v="16.799247621607112"/>
    <n v="0.60905431761482021"/>
    <n v="0.37094716180525428"/>
  </r>
  <r>
    <x v="57"/>
    <x v="24"/>
    <x v="17"/>
    <m/>
    <m/>
    <m/>
    <m/>
    <m/>
    <m/>
    <m/>
    <m/>
    <n v="108.82353945611428"/>
    <m/>
    <n v="95.39696800000003"/>
    <m/>
    <m/>
    <n v="96.2"/>
    <n v="94.2"/>
    <m/>
    <m/>
    <m/>
    <m/>
    <n v="-9.7786885245901658"/>
    <m/>
    <m/>
    <n v="-13.426571456114246"/>
    <m/>
    <m/>
    <m/>
    <m/>
    <m/>
    <b v="0"/>
    <s v="A"/>
    <s v="OVER"/>
    <n v="0"/>
    <n v="0"/>
    <n v="0"/>
    <n v="-9.7786885245901658"/>
    <n v="95.622749260951394"/>
    <n v="-13.426571456114246"/>
    <n v="180.27282106614183"/>
  </r>
  <r>
    <x v="58"/>
    <x v="3"/>
    <x v="10"/>
    <m/>
    <m/>
    <m/>
    <m/>
    <m/>
    <m/>
    <m/>
    <m/>
    <n v="103.77304124532324"/>
    <m/>
    <n v="98.221437333333355"/>
    <m/>
    <m/>
    <n v="99.5"/>
    <n v="92.6"/>
    <m/>
    <m/>
    <m/>
    <m/>
    <n v="-2.978688524590166"/>
    <m/>
    <m/>
    <n v="-5.5516039119898863"/>
    <m/>
    <m/>
    <m/>
    <m/>
    <m/>
    <b v="0"/>
    <s v="A"/>
    <s v="OVER"/>
    <n v="0"/>
    <n v="0"/>
    <n v="0"/>
    <n v="-2.978688524590166"/>
    <n v="8.8725853265251402"/>
    <n v="-5.5516039119898863"/>
    <n v="30.82030599562141"/>
  </r>
  <r>
    <x v="58"/>
    <x v="22"/>
    <x v="27"/>
    <m/>
    <m/>
    <m/>
    <m/>
    <m/>
    <m/>
    <m/>
    <m/>
    <n v="104.66134196997592"/>
    <m/>
    <n v="104.94348400000001"/>
    <m/>
    <m/>
    <n v="97.3"/>
    <n v="95.1"/>
    <m/>
    <m/>
    <m/>
    <m/>
    <n v="-8.8688524590165407E-2"/>
    <m/>
    <m/>
    <n v="0.28214203002409022"/>
    <m/>
    <m/>
    <m/>
    <m/>
    <m/>
    <b v="0"/>
    <s v="SE"/>
    <s v="OVER"/>
    <n v="0"/>
    <n v="0"/>
    <n v="0"/>
    <n v="-8.8688524590165407E-2"/>
    <n v="7.8656543939803741E-3"/>
    <n v="0.28214203002409022"/>
    <n v="7.9604125106114629E-2"/>
  </r>
  <r>
    <x v="58"/>
    <x v="0"/>
    <x v="3"/>
    <m/>
    <m/>
    <m/>
    <m/>
    <m/>
    <m/>
    <m/>
    <m/>
    <n v="119.57514692672304"/>
    <m/>
    <n v="94.303409333333363"/>
    <m/>
    <m/>
    <n v="97.3"/>
    <n v="92.9"/>
    <m/>
    <m/>
    <m/>
    <m/>
    <n v="-20.328688524590167"/>
    <m/>
    <m/>
    <n v="-25.271737593389673"/>
    <m/>
    <m/>
    <m/>
    <m/>
    <m/>
    <b v="0"/>
    <s v="C"/>
    <s v="OVER"/>
    <n v="0"/>
    <n v="0"/>
    <n v="0"/>
    <n v="-20.328688524590167"/>
    <n v="413.2555771298039"/>
    <n v="-25.271737593389673"/>
    <n v="638.66072098914492"/>
  </r>
  <r>
    <x v="58"/>
    <x v="23"/>
    <x v="24"/>
    <m/>
    <m/>
    <m/>
    <m/>
    <m/>
    <m/>
    <m/>
    <m/>
    <n v="97.215659179095724"/>
    <m/>
    <n v="101.62114133333336"/>
    <m/>
    <m/>
    <n v="99.1"/>
    <n v="99.2"/>
    <m/>
    <m/>
    <m/>
    <m/>
    <n v="0.21131147540983397"/>
    <m/>
    <m/>
    <n v="4.4054821542376317"/>
    <m/>
    <m/>
    <m/>
    <m/>
    <m/>
    <b v="0"/>
    <s v="NW"/>
    <s v="OVER"/>
    <n v="0"/>
    <n v="0"/>
    <n v="0"/>
    <n v="0.21131147540983397"/>
    <n v="4.4652539639880869E-2"/>
    <n v="4.4054821542376317"/>
    <n v="19.408273011306242"/>
  </r>
  <r>
    <x v="58"/>
    <x v="18"/>
    <x v="18"/>
    <m/>
    <m/>
    <m/>
    <m/>
    <m/>
    <m/>
    <m/>
    <m/>
    <n v="109.7774383347156"/>
    <m/>
    <n v="112.84509133333337"/>
    <m/>
    <m/>
    <n v="94.2"/>
    <n v="100.7"/>
    <m/>
    <m/>
    <m/>
    <m/>
    <n v="5.7413114754098338"/>
    <m/>
    <m/>
    <n v="3.0676529986177741"/>
    <m/>
    <m/>
    <m/>
    <m/>
    <m/>
    <b v="0"/>
    <s v="C"/>
    <s v="OVER"/>
    <n v="0"/>
    <n v="0"/>
    <n v="0"/>
    <n v="5.7413114754098338"/>
    <n v="32.962657457672641"/>
    <n v="3.0676529986177741"/>
    <n v="9.4104949199286203"/>
  </r>
  <r>
    <x v="58"/>
    <x v="27"/>
    <x v="4"/>
    <m/>
    <m/>
    <m/>
    <m/>
    <m/>
    <m/>
    <m/>
    <m/>
    <n v="112.00620172355892"/>
    <m/>
    <n v="94.932080000000028"/>
    <m/>
    <m/>
    <n v="96.4"/>
    <n v="102"/>
    <m/>
    <m/>
    <m/>
    <m/>
    <n v="-24.358688524590164"/>
    <m/>
    <m/>
    <n v="-17.074121723558889"/>
    <m/>
    <m/>
    <m/>
    <m/>
    <m/>
    <b v="0"/>
    <s v="P"/>
    <s v="OVER"/>
    <n v="0"/>
    <n v="0"/>
    <n v="0"/>
    <n v="-24.358688524590164"/>
    <n v="593.34570663800059"/>
    <n v="-17.074121723558889"/>
    <n v="291.52563263090559"/>
  </r>
  <r>
    <x v="58"/>
    <x v="6"/>
    <x v="5"/>
    <m/>
    <m/>
    <m/>
    <m/>
    <m/>
    <m/>
    <m/>
    <m/>
    <n v="103.0153347304164"/>
    <m/>
    <n v="104.94334600000003"/>
    <m/>
    <m/>
    <n v="96.2"/>
    <n v="96.9"/>
    <m/>
    <m/>
    <m/>
    <m/>
    <n v="0.29131147540983449"/>
    <m/>
    <m/>
    <n v="1.9280112695836351"/>
    <m/>
    <m/>
    <m/>
    <m/>
    <m/>
    <b v="1"/>
    <s v="SW"/>
    <s v="OVER"/>
    <n v="0"/>
    <n v="0"/>
    <n v="0"/>
    <n v="0.29131147540983449"/>
    <n v="8.4862375705454601E-2"/>
    <n v="1.9280112695836351"/>
    <n v="3.7172274556415004"/>
  </r>
  <r>
    <x v="58"/>
    <x v="7"/>
    <x v="13"/>
    <m/>
    <m/>
    <m/>
    <m/>
    <m/>
    <m/>
    <m/>
    <m/>
    <n v="110.92115333230637"/>
    <m/>
    <n v="105.17248066666669"/>
    <m/>
    <m/>
    <n v="96.1"/>
    <n v="96.1"/>
    <m/>
    <m/>
    <m/>
    <m/>
    <n v="-3.1186885245901657"/>
    <m/>
    <m/>
    <n v="-5.7486726656396883"/>
    <m/>
    <m/>
    <m/>
    <m/>
    <m/>
    <b v="0"/>
    <s v="C"/>
    <s v="OVER"/>
    <n v="0"/>
    <n v="0"/>
    <n v="0"/>
    <n v="-3.1186885245901657"/>
    <n v="9.7262181134103844"/>
    <n v="-5.7486726656396883"/>
    <n v="33.047237416672921"/>
  </r>
  <r>
    <x v="58"/>
    <x v="28"/>
    <x v="11"/>
    <m/>
    <m/>
    <m/>
    <m/>
    <m/>
    <m/>
    <m/>
    <m/>
    <n v="119.06162150317566"/>
    <m/>
    <n v="104.93942800000004"/>
    <m/>
    <m/>
    <n v="95.8"/>
    <n v="94.2"/>
    <m/>
    <m/>
    <m/>
    <m/>
    <n v="-3.5786885245901656"/>
    <m/>
    <m/>
    <n v="-14.122193503175623"/>
    <m/>
    <m/>
    <m/>
    <m/>
    <m/>
    <b v="0"/>
    <s v="NW"/>
    <s v="OVER"/>
    <n v="0"/>
    <n v="0"/>
    <n v="0"/>
    <n v="-3.5786885245901656"/>
    <n v="12.807011556033336"/>
    <n v="-14.122193503175623"/>
    <n v="199.43634934113578"/>
  </r>
  <r>
    <x v="58"/>
    <x v="8"/>
    <x v="9"/>
    <m/>
    <m/>
    <m/>
    <m/>
    <m/>
    <m/>
    <m/>
    <m/>
    <n v="99.540433279760109"/>
    <m/>
    <n v="94.670606000000035"/>
    <m/>
    <m/>
    <n v="98.8"/>
    <n v="93.9"/>
    <m/>
    <m/>
    <m/>
    <m/>
    <n v="-1.1986885245901655"/>
    <m/>
    <m/>
    <n v="-4.8698272797600737"/>
    <m/>
    <m/>
    <m/>
    <m/>
    <m/>
    <b v="0"/>
    <s v="SW"/>
    <s v="OVER"/>
    <n v="0"/>
    <n v="0"/>
    <n v="0"/>
    <n v="-1.1986885245901655"/>
    <n v="1.4368541789841478"/>
    <n v="-4.8698272797600737"/>
    <n v="23.715217734695401"/>
  </r>
  <r>
    <x v="58"/>
    <x v="9"/>
    <x v="21"/>
    <m/>
    <m/>
    <m/>
    <m/>
    <m/>
    <m/>
    <m/>
    <m/>
    <n v="101.75661405681466"/>
    <m/>
    <n v="108.99822800000003"/>
    <m/>
    <m/>
    <n v="94.2"/>
    <n v="100.2"/>
    <m/>
    <m/>
    <m/>
    <m/>
    <n v="3.3913114754098346"/>
    <m/>
    <m/>
    <n v="7.2416139431853708"/>
    <m/>
    <m/>
    <m/>
    <m/>
    <m/>
    <b v="0"/>
    <s v="SE"/>
    <s v="OVER"/>
    <n v="0"/>
    <n v="0"/>
    <n v="0"/>
    <n v="3.3913114754098346"/>
    <n v="11.500993523246429"/>
    <n v="7.2416139431853708"/>
    <n v="52.440972502136773"/>
  </r>
  <r>
    <x v="58"/>
    <x v="11"/>
    <x v="28"/>
    <m/>
    <m/>
    <m/>
    <m/>
    <m/>
    <m/>
    <m/>
    <m/>
    <n v="97.378790941007978"/>
    <m/>
    <n v="97.520150000000015"/>
    <m/>
    <m/>
    <n v="101.7"/>
    <n v="97.5"/>
    <m/>
    <m/>
    <m/>
    <m/>
    <n v="-6.0486885245901663"/>
    <m/>
    <m/>
    <n v="0.14135905899203749"/>
    <m/>
    <m/>
    <m/>
    <m/>
    <m/>
    <b v="0"/>
    <s v="P"/>
    <s v="OVER"/>
    <n v="0"/>
    <n v="0"/>
    <n v="0"/>
    <n v="-6.0486885245901663"/>
    <n v="36.586632867508762"/>
    <n v="0.14135905899203749"/>
    <n v="1.9982383559114334E-2"/>
  </r>
  <r>
    <x v="58"/>
    <x v="2"/>
    <x v="1"/>
    <m/>
    <m/>
    <m/>
    <m/>
    <m/>
    <m/>
    <m/>
    <m/>
    <n v="107.36134413790987"/>
    <m/>
    <n v="110.20658200000001"/>
    <m/>
    <m/>
    <n v="99.3"/>
    <n v="93.3"/>
    <m/>
    <m/>
    <m/>
    <m/>
    <n v="6.9313114754098351"/>
    <m/>
    <m/>
    <n v="2.8452378620901442"/>
    <m/>
    <m/>
    <m/>
    <m/>
    <m/>
    <b v="0"/>
    <s v="NW"/>
    <s v="OVER"/>
    <n v="0"/>
    <n v="0"/>
    <n v="0"/>
    <n v="6.9313114754098351"/>
    <n v="48.043078769148067"/>
    <n v="2.8452378620901442"/>
    <n v="8.0953784918712941"/>
  </r>
  <r>
    <x v="58"/>
    <x v="21"/>
    <x v="29"/>
    <m/>
    <m/>
    <m/>
    <m/>
    <m/>
    <m/>
    <m/>
    <m/>
    <n v="107.35875584399453"/>
    <m/>
    <n v="104.12019600000004"/>
    <m/>
    <m/>
    <n v="91.5"/>
    <n v="95.4"/>
    <m/>
    <m/>
    <m/>
    <m/>
    <n v="-1.0486885245901663"/>
    <m/>
    <m/>
    <n v="-3.2385598439944943"/>
    <m/>
    <m/>
    <m/>
    <m/>
    <m/>
    <b v="0"/>
    <s v="NW"/>
    <s v="OVER"/>
    <n v="0"/>
    <n v="0"/>
    <n v="0"/>
    <n v="-1.0486885245901663"/>
    <n v="1.0997476216070998"/>
    <n v="-3.2385598439944943"/>
    <n v="10.488269863133644"/>
  </r>
  <r>
    <x v="59"/>
    <x v="0"/>
    <x v="18"/>
    <m/>
    <m/>
    <m/>
    <m/>
    <m/>
    <m/>
    <m/>
    <m/>
    <n v="114.37932692672302"/>
    <m/>
    <n v="117.01407133333338"/>
    <m/>
    <m/>
    <n v="97.3"/>
    <n v="100.7"/>
    <m/>
    <m/>
    <m/>
    <m/>
    <n v="-0.29868852459016715"/>
    <m/>
    <m/>
    <n v="2.634744406610352"/>
    <m/>
    <m/>
    <m/>
    <m/>
    <m/>
    <b v="0"/>
    <s v="C"/>
    <s v="OVER"/>
    <n v="0"/>
    <n v="0"/>
    <n v="0"/>
    <n v="-0.29868852459016715"/>
    <n v="8.9214834721850891E-2"/>
    <n v="2.634744406610352"/>
    <n v="6.9418780881645361"/>
  </r>
  <r>
    <x v="59"/>
    <x v="5"/>
    <x v="15"/>
    <m/>
    <m/>
    <m/>
    <m/>
    <m/>
    <m/>
    <m/>
    <m/>
    <n v="104.69079141709641"/>
    <m/>
    <n v="115.6613626666667"/>
    <m/>
    <m/>
    <n v="100.2"/>
    <n v="96.4"/>
    <m/>
    <m/>
    <m/>
    <m/>
    <n v="12.371311475409835"/>
    <m/>
    <m/>
    <n v="10.970571249570298"/>
    <m/>
    <m/>
    <m/>
    <m/>
    <m/>
    <b v="1"/>
    <s v="P"/>
    <s v="OVER"/>
    <n v="0"/>
    <n v="0"/>
    <n v="0"/>
    <n v="12.371311475409835"/>
    <n v="153.04934762160707"/>
    <n v="10.970571249570298"/>
    <n v="120.35343354189841"/>
  </r>
  <r>
    <x v="59"/>
    <x v="24"/>
    <x v="14"/>
    <m/>
    <m/>
    <m/>
    <m/>
    <m/>
    <m/>
    <m/>
    <m/>
    <n v="109.56427945611426"/>
    <m/>
    <n v="110.65461333333334"/>
    <m/>
    <m/>
    <n v="96.2"/>
    <n v="99.5"/>
    <m/>
    <m/>
    <m/>
    <m/>
    <n v="-0.60868852459016587"/>
    <m/>
    <m/>
    <n v="1.0903338772190807"/>
    <m/>
    <m/>
    <m/>
    <m/>
    <m/>
    <b v="1"/>
    <s v="A"/>
    <s v="OVER"/>
    <n v="0"/>
    <n v="0"/>
    <n v="0"/>
    <n v="-0.60868852459016587"/>
    <n v="0.37050171996775294"/>
    <n v="1.0903338772190807"/>
    <n v="1.1888279638115933"/>
  </r>
  <r>
    <x v="59"/>
    <x v="20"/>
    <x v="6"/>
    <m/>
    <m/>
    <m/>
    <m/>
    <m/>
    <m/>
    <m/>
    <m/>
    <n v="108.76939681965828"/>
    <m/>
    <n v="102.74613866666668"/>
    <m/>
    <m/>
    <n v="92.6"/>
    <n v="95.8"/>
    <m/>
    <m/>
    <m/>
    <m/>
    <n v="-4.3586885245901659"/>
    <m/>
    <m/>
    <n v="-6.0232581529916018"/>
    <m/>
    <m/>
    <m/>
    <m/>
    <m/>
    <b v="1"/>
    <s v="NW"/>
    <s v="OVER"/>
    <n v="0"/>
    <n v="0"/>
    <n v="0"/>
    <n v="-4.3586885245901659"/>
    <n v="18.998165654393997"/>
    <n v="-6.0232581529916018"/>
    <n v="36.279638777579805"/>
  </r>
  <r>
    <x v="59"/>
    <x v="25"/>
    <x v="27"/>
    <m/>
    <m/>
    <m/>
    <m/>
    <m/>
    <m/>
    <m/>
    <m/>
    <n v="101.37818525149295"/>
    <m/>
    <n v="104.18268400000001"/>
    <m/>
    <m/>
    <n v="93.3"/>
    <n v="95.1"/>
    <m/>
    <m/>
    <m/>
    <m/>
    <n v="-5.3786885245901663"/>
    <m/>
    <m/>
    <n v="2.8044987485070578"/>
    <m/>
    <m/>
    <m/>
    <m/>
    <m/>
    <b v="0"/>
    <s v="SW"/>
    <s v="OVER"/>
    <n v="0"/>
    <n v="0"/>
    <n v="0"/>
    <n v="-5.3786885245901663"/>
    <n v="28.930290244557941"/>
    <n v="2.8044987485070578"/>
    <n v="7.8652132303776536"/>
  </r>
  <r>
    <x v="60"/>
    <x v="16"/>
    <x v="7"/>
    <m/>
    <m/>
    <m/>
    <m/>
    <m/>
    <m/>
    <m/>
    <m/>
    <n v="100.20028801271781"/>
    <m/>
    <n v="109.31719866666668"/>
    <m/>
    <m/>
    <n v="92.9"/>
    <n v="97.3"/>
    <m/>
    <m/>
    <m/>
    <m/>
    <n v="7.9913114754098338"/>
    <m/>
    <m/>
    <n v="9.116910653948878"/>
    <m/>
    <m/>
    <m/>
    <m/>
    <m/>
    <b v="0"/>
    <s v="A"/>
    <s v="OVER"/>
    <n v="0"/>
    <n v="0"/>
    <n v="0"/>
    <n v="7.9913114754098338"/>
    <n v="63.861059097016891"/>
    <n v="9.116910653948878"/>
    <n v="83.118059872086562"/>
  </r>
  <r>
    <x v="60"/>
    <x v="14"/>
    <x v="16"/>
    <m/>
    <m/>
    <m/>
    <m/>
    <m/>
    <m/>
    <m/>
    <m/>
    <n v="111.24874726701198"/>
    <m/>
    <n v="101.46591533333336"/>
    <m/>
    <m/>
    <n v="95.1"/>
    <n v="98.3"/>
    <m/>
    <m/>
    <m/>
    <m/>
    <n v="-12.238688524590167"/>
    <m/>
    <m/>
    <n v="-9.7828319336786222"/>
    <m/>
    <m/>
    <m/>
    <m/>
    <m/>
    <b v="1"/>
    <s v="C"/>
    <s v="OVER"/>
    <n v="0"/>
    <n v="0"/>
    <n v="0"/>
    <n v="-12.238688524590167"/>
    <n v="149.78549680193504"/>
    <n v="-9.7828319336786222"/>
    <n v="95.703800642602218"/>
  </r>
  <r>
    <x v="60"/>
    <x v="18"/>
    <x v="20"/>
    <m/>
    <m/>
    <m/>
    <m/>
    <m/>
    <m/>
    <m/>
    <m/>
    <n v="110.21075833471561"/>
    <m/>
    <n v="107.0695686666667"/>
    <m/>
    <m/>
    <n v="94.2"/>
    <n v="97.3"/>
    <m/>
    <m/>
    <m/>
    <m/>
    <n v="3.2613114754098351"/>
    <m/>
    <m/>
    <n v="-3.1411896680489093"/>
    <m/>
    <m/>
    <m/>
    <m/>
    <m/>
    <b v="1"/>
    <s v="C"/>
    <s v="OVER"/>
    <n v="0"/>
    <n v="0"/>
    <n v="0"/>
    <n v="3.2613114754098351"/>
    <n v="10.636152539639875"/>
    <n v="-3.1411896680489093"/>
    <n v="9.8670725306572162"/>
  </r>
  <r>
    <x v="60"/>
    <x v="26"/>
    <x v="19"/>
    <m/>
    <m/>
    <m/>
    <m/>
    <m/>
    <m/>
    <m/>
    <m/>
    <n v="111.25740549407402"/>
    <m/>
    <n v="105.88054800000005"/>
    <m/>
    <m/>
    <n v="96.9"/>
    <n v="101.7"/>
    <m/>
    <m/>
    <m/>
    <m/>
    <n v="-12.878688524590167"/>
    <m/>
    <m/>
    <n v="-5.376857494073974"/>
    <m/>
    <m/>
    <m/>
    <m/>
    <m/>
    <b v="0"/>
    <s v="SW"/>
    <s v="OVER"/>
    <n v="0"/>
    <n v="0"/>
    <n v="0"/>
    <n v="-12.878688524590167"/>
    <n v="165.86061811341045"/>
    <n v="-5.376857494073974"/>
    <n v="28.910596511579456"/>
  </r>
  <r>
    <x v="60"/>
    <x v="27"/>
    <x v="8"/>
    <m/>
    <m/>
    <m/>
    <m/>
    <m/>
    <m/>
    <m/>
    <m/>
    <n v="112.96056172355891"/>
    <m/>
    <n v="101.33041066666669"/>
    <m/>
    <m/>
    <n v="96.4"/>
    <n v="99.1"/>
    <m/>
    <m/>
    <m/>
    <m/>
    <n v="-16.168688524590166"/>
    <m/>
    <m/>
    <n v="-11.630151056892217"/>
    <m/>
    <m/>
    <m/>
    <m/>
    <m/>
    <b v="0"/>
    <s v="P"/>
    <s v="OVER"/>
    <n v="0"/>
    <n v="0"/>
    <n v="0"/>
    <n v="-16.168688524590166"/>
    <n v="261.42648860521371"/>
    <n v="-11.630151056892217"/>
    <n v="135.26041360613115"/>
  </r>
  <r>
    <x v="60"/>
    <x v="28"/>
    <x v="24"/>
    <m/>
    <m/>
    <m/>
    <m/>
    <m/>
    <m/>
    <m/>
    <m/>
    <n v="109.27086150317565"/>
    <m/>
    <n v="104.66658133333335"/>
    <m/>
    <m/>
    <n v="95.8"/>
    <n v="99.2"/>
    <m/>
    <m/>
    <m/>
    <m/>
    <n v="0.75131147540983423"/>
    <m/>
    <m/>
    <n v="-4.6042801698422977"/>
    <m/>
    <m/>
    <m/>
    <m/>
    <m/>
    <b v="0"/>
    <s v="NW"/>
    <s v="OVER"/>
    <n v="0"/>
    <n v="0"/>
    <n v="0"/>
    <n v="0.75131147540983423"/>
    <n v="0.5644689330825019"/>
    <n v="-4.6042801698422977"/>
    <n v="21.199395882403017"/>
  </r>
  <r>
    <x v="60"/>
    <x v="8"/>
    <x v="4"/>
    <m/>
    <m/>
    <m/>
    <m/>
    <m/>
    <m/>
    <m/>
    <m/>
    <n v="102.32659327976012"/>
    <m/>
    <n v="97.798280000000034"/>
    <m/>
    <m/>
    <n v="98.8"/>
    <n v="102"/>
    <m/>
    <m/>
    <m/>
    <m/>
    <n v="-8.9486885245901657"/>
    <m/>
    <m/>
    <n v="-4.5283132797600842"/>
    <m/>
    <m/>
    <m/>
    <m/>
    <m/>
    <b v="1"/>
    <s v="SW"/>
    <s v="OVER"/>
    <n v="0"/>
    <n v="0"/>
    <n v="0"/>
    <n v="-8.9486885245901657"/>
    <n v="80.079026310131724"/>
    <n v="-4.5283132797600842"/>
    <n v="20.505621159651533"/>
  </r>
  <r>
    <x v="60"/>
    <x v="9"/>
    <x v="23"/>
    <m/>
    <m/>
    <m/>
    <m/>
    <m/>
    <m/>
    <m/>
    <m/>
    <n v="92.854714056814657"/>
    <m/>
    <n v="98.490201333333374"/>
    <m/>
    <m/>
    <n v="94.2"/>
    <n v="96.2"/>
    <m/>
    <m/>
    <m/>
    <m/>
    <n v="6.4413114754098348"/>
    <m/>
    <m/>
    <n v="5.6354872765187167"/>
    <m/>
    <m/>
    <m/>
    <m/>
    <m/>
    <b v="0"/>
    <s v="SE"/>
    <s v="OVER"/>
    <n v="0"/>
    <n v="0"/>
    <n v="0"/>
    <n v="6.4413114754098348"/>
    <n v="41.490493523246421"/>
    <n v="5.6354872765187167"/>
    <n v="31.758716843804343"/>
  </r>
  <r>
    <x v="60"/>
    <x v="2"/>
    <x v="29"/>
    <m/>
    <m/>
    <m/>
    <m/>
    <m/>
    <m/>
    <m/>
    <m/>
    <n v="109.62538413790988"/>
    <m/>
    <n v="113.61249600000004"/>
    <m/>
    <m/>
    <n v="99.3"/>
    <n v="95.4"/>
    <m/>
    <m/>
    <m/>
    <m/>
    <n v="5.6313114754098343"/>
    <m/>
    <m/>
    <n v="3.9871118620901598"/>
    <m/>
    <m/>
    <m/>
    <m/>
    <m/>
    <b v="0"/>
    <s v="NW"/>
    <s v="OVER"/>
    <n v="0"/>
    <n v="0"/>
    <n v="0"/>
    <n v="5.6313114754098343"/>
    <n v="31.711668933082485"/>
    <n v="3.9871118620901598"/>
    <n v="15.897061000820061"/>
  </r>
  <r>
    <x v="60"/>
    <x v="15"/>
    <x v="28"/>
    <m/>
    <m/>
    <m/>
    <m/>
    <m/>
    <m/>
    <m/>
    <m/>
    <n v="108.69458010654768"/>
    <m/>
    <n v="99.665150000000011"/>
    <m/>
    <m/>
    <n v="94.2"/>
    <n v="97.5"/>
    <m/>
    <m/>
    <m/>
    <m/>
    <n v="-10.448688524590166"/>
    <m/>
    <m/>
    <n v="-9.0294301065476645"/>
    <m/>
    <m/>
    <m/>
    <m/>
    <m/>
    <b v="0"/>
    <s v="P"/>
    <s v="OVER"/>
    <n v="0"/>
    <n v="0"/>
    <n v="0"/>
    <n v="-10.448688524590166"/>
    <n v="109.17509188390221"/>
    <n v="-9.0294301065476645"/>
    <n v="81.530608049029368"/>
  </r>
  <r>
    <x v="60"/>
    <x v="29"/>
    <x v="26"/>
    <m/>
    <m/>
    <m/>
    <m/>
    <m/>
    <m/>
    <m/>
    <m/>
    <n v="111.40920029849835"/>
    <m/>
    <n v="105.49922066666669"/>
    <m/>
    <m/>
    <n v="96.1"/>
    <n v="96.1"/>
    <m/>
    <m/>
    <m/>
    <m/>
    <n v="-2.4386885245901659"/>
    <m/>
    <m/>
    <n v="-5.9099796318316606"/>
    <m/>
    <m/>
    <m/>
    <m/>
    <m/>
    <b v="0"/>
    <s v="SE"/>
    <s v="OVER"/>
    <n v="0"/>
    <n v="0"/>
    <n v="0"/>
    <n v="-2.4386885245901659"/>
    <n v="5.9472017199677607"/>
    <n v="-5.9099796318316606"/>
    <n v="34.927859248665094"/>
  </r>
  <r>
    <x v="61"/>
    <x v="3"/>
    <x v="23"/>
    <m/>
    <m/>
    <m/>
    <m/>
    <m/>
    <m/>
    <m/>
    <m/>
    <n v="100.61889124532324"/>
    <m/>
    <n v="99.230941333333362"/>
    <m/>
    <m/>
    <n v="99.5"/>
    <n v="96.2"/>
    <m/>
    <m/>
    <m/>
    <m/>
    <n v="-2.728688524590166"/>
    <m/>
    <m/>
    <n v="-1.3879499119898782"/>
    <m/>
    <m/>
    <m/>
    <m/>
    <m/>
    <b v="0"/>
    <s v="A"/>
    <s v="OVER"/>
    <n v="0"/>
    <n v="0"/>
    <n v="0"/>
    <n v="-2.728688524590166"/>
    <n v="7.4457410642300568"/>
    <n v="-1.3879499119898782"/>
    <n v="1.9264049581927105"/>
  </r>
  <r>
    <x v="61"/>
    <x v="17"/>
    <x v="5"/>
    <m/>
    <m/>
    <m/>
    <m/>
    <m/>
    <m/>
    <m/>
    <m/>
    <n v="98.709023578429097"/>
    <m/>
    <n v="108.93562600000003"/>
    <m/>
    <m/>
    <n v="102"/>
    <n v="96.9"/>
    <m/>
    <m/>
    <m/>
    <m/>
    <n v="9.7713114754098349"/>
    <m/>
    <m/>
    <n v="10.226602421570931"/>
    <m/>
    <m/>
    <m/>
    <m/>
    <m/>
    <b v="1"/>
    <s v="SW"/>
    <s v="OVER"/>
    <n v="0"/>
    <n v="0"/>
    <n v="0"/>
    <n v="9.7713114754098349"/>
    <n v="95.478527949475918"/>
    <n v="10.226602421570931"/>
    <n v="104.58339708888043"/>
  </r>
  <r>
    <x v="61"/>
    <x v="5"/>
    <x v="2"/>
    <m/>
    <m/>
    <m/>
    <m/>
    <m/>
    <m/>
    <m/>
    <m/>
    <n v="104.3501114170964"/>
    <m/>
    <n v="101.73031000000003"/>
    <m/>
    <m/>
    <n v="100.2"/>
    <n v="91.5"/>
    <m/>
    <m/>
    <m/>
    <m/>
    <n v="3.9013114754098344"/>
    <m/>
    <m/>
    <n v="-2.6198014170963688"/>
    <m/>
    <m/>
    <m/>
    <m/>
    <m/>
    <b v="0"/>
    <s v="P"/>
    <s v="OVER"/>
    <n v="0"/>
    <n v="0"/>
    <n v="0"/>
    <n v="3.9013114754098344"/>
    <n v="15.220231228164458"/>
    <n v="-2.6198014170963688"/>
    <n v="6.8633594650201424"/>
  </r>
  <r>
    <x v="61"/>
    <x v="19"/>
    <x v="10"/>
    <m/>
    <m/>
    <m/>
    <m/>
    <m/>
    <m/>
    <m/>
    <m/>
    <n v="99.135553682385179"/>
    <m/>
    <n v="94.406317333333348"/>
    <m/>
    <m/>
    <n v="93.9"/>
    <n v="92.6"/>
    <m/>
    <m/>
    <m/>
    <m/>
    <n v="-1.2986885245901658"/>
    <m/>
    <m/>
    <n v="-4.7292363490518312"/>
    <m/>
    <m/>
    <m/>
    <m/>
    <m/>
    <b v="0"/>
    <s v="SE"/>
    <s v="OVER"/>
    <n v="0"/>
    <n v="0"/>
    <n v="0"/>
    <n v="-1.2986885245901658"/>
    <n v="1.6865918839021816"/>
    <n v="-4.7292363490518312"/>
    <n v="22.365676445193095"/>
  </r>
  <r>
    <x v="62"/>
    <x v="13"/>
    <x v="0"/>
    <m/>
    <m/>
    <m/>
    <m/>
    <m/>
    <m/>
    <m/>
    <m/>
    <n v="103.33227929291128"/>
    <m/>
    <n v="97.662881333333374"/>
    <m/>
    <m/>
    <n v="99.2"/>
    <n v="96.2"/>
    <m/>
    <m/>
    <m/>
    <m/>
    <n v="-6.6986885245901657"/>
    <m/>
    <m/>
    <n v="-5.6693979595779069"/>
    <m/>
    <m/>
    <m/>
    <m/>
    <m/>
    <b v="0"/>
    <s v="SE"/>
    <s v="OVER"/>
    <n v="0"/>
    <n v="0"/>
    <n v="0"/>
    <n v="-6.6986885245901657"/>
    <n v="44.87242794947597"/>
    <n v="-5.6693979595779069"/>
    <n v="32.142073224066138"/>
  </r>
  <r>
    <x v="62"/>
    <x v="14"/>
    <x v="3"/>
    <m/>
    <m/>
    <m/>
    <m/>
    <m/>
    <m/>
    <m/>
    <m/>
    <n v="113.61673726701197"/>
    <m/>
    <n v="94.479919333333356"/>
    <m/>
    <m/>
    <n v="95.1"/>
    <n v="92.9"/>
    <m/>
    <m/>
    <m/>
    <m/>
    <n v="-16.238688524590167"/>
    <m/>
    <m/>
    <n v="-19.136817933678614"/>
    <m/>
    <m/>
    <m/>
    <m/>
    <m/>
    <b v="0"/>
    <s v="C"/>
    <s v="OVER"/>
    <n v="0"/>
    <n v="0"/>
    <n v="0"/>
    <n v="-16.238688524590167"/>
    <n v="263.69500499865637"/>
    <n v="-19.136817933678614"/>
    <n v="366.21780062676345"/>
  </r>
  <r>
    <x v="62"/>
    <x v="23"/>
    <x v="6"/>
    <m/>
    <m/>
    <m/>
    <m/>
    <m/>
    <m/>
    <m/>
    <m/>
    <n v="107.40313917909573"/>
    <m/>
    <n v="104.60465866666668"/>
    <m/>
    <m/>
    <n v="99.1"/>
    <n v="95.8"/>
    <m/>
    <m/>
    <m/>
    <m/>
    <n v="-3.3186885245901658"/>
    <m/>
    <m/>
    <n v="-2.7984805124290517"/>
    <m/>
    <m/>
    <m/>
    <m/>
    <m/>
    <b v="1"/>
    <s v="NW"/>
    <s v="OVER"/>
    <n v="0"/>
    <n v="0"/>
    <n v="0"/>
    <n v="-3.3186885245901658"/>
    <n v="11.013693523246452"/>
    <n v="-2.7984805124290517"/>
    <n v="7.831493178445168"/>
  </r>
  <r>
    <x v="62"/>
    <x v="18"/>
    <x v="26"/>
    <m/>
    <m/>
    <m/>
    <m/>
    <m/>
    <m/>
    <m/>
    <m/>
    <n v="112.8766183347156"/>
    <m/>
    <n v="97.715120666666692"/>
    <m/>
    <m/>
    <n v="94.2"/>
    <n v="96.1"/>
    <m/>
    <m/>
    <m/>
    <m/>
    <n v="-7.9286885245901662"/>
    <m/>
    <m/>
    <n v="-15.161497668048909"/>
    <m/>
    <m/>
    <m/>
    <m/>
    <m/>
    <b v="1"/>
    <s v="C"/>
    <s v="OVER"/>
    <n v="0"/>
    <n v="0"/>
    <n v="0"/>
    <n v="-7.9286885245901662"/>
    <n v="62.864101719967785"/>
    <n v="-15.161497668048909"/>
    <n v="229.8710115382525"/>
  </r>
  <r>
    <x v="62"/>
    <x v="1"/>
    <x v="29"/>
    <m/>
    <m/>
    <m/>
    <m/>
    <m/>
    <m/>
    <m/>
    <m/>
    <n v="115.76196298006876"/>
    <m/>
    <n v="107.29701600000003"/>
    <m/>
    <m/>
    <n v="100.7"/>
    <n v="95.4"/>
    <m/>
    <m/>
    <m/>
    <m/>
    <n v="-8.0486885245901654"/>
    <m/>
    <m/>
    <n v="-8.4649469800687314"/>
    <m/>
    <m/>
    <m/>
    <m/>
    <m/>
    <b v="0"/>
    <s v="P"/>
    <s v="OVER"/>
    <n v="0"/>
    <n v="0"/>
    <n v="0"/>
    <n v="-8.0486885245901654"/>
    <n v="64.781386965869416"/>
    <n v="-8.4649469800687314"/>
    <n v="71.655327375374739"/>
  </r>
  <r>
    <x v="62"/>
    <x v="8"/>
    <x v="15"/>
    <m/>
    <m/>
    <m/>
    <m/>
    <m/>
    <m/>
    <m/>
    <m/>
    <n v="98.947633279760112"/>
    <m/>
    <n v="109.9352026666667"/>
    <m/>
    <m/>
    <n v="98.8"/>
    <n v="96.4"/>
    <m/>
    <m/>
    <m/>
    <m/>
    <n v="12.631311475409834"/>
    <m/>
    <m/>
    <n v="10.987569386906586"/>
    <m/>
    <m/>
    <m/>
    <m/>
    <m/>
    <b v="0"/>
    <s v="SW"/>
    <s v="OVER"/>
    <n v="0"/>
    <n v="0"/>
    <n v="0"/>
    <n v="12.631311475409834"/>
    <n v="159.55002958882017"/>
    <n v="10.987569386906586"/>
    <n v="120.72668103208676"/>
  </r>
  <r>
    <x v="62"/>
    <x v="9"/>
    <x v="7"/>
    <m/>
    <m/>
    <m/>
    <m/>
    <m/>
    <m/>
    <m/>
    <m/>
    <n v="96.829954056814657"/>
    <m/>
    <n v="105.05545866666668"/>
    <m/>
    <m/>
    <n v="94.2"/>
    <n v="97.3"/>
    <m/>
    <m/>
    <m/>
    <m/>
    <n v="7.8113114754098341"/>
    <m/>
    <m/>
    <n v="8.2255046098520239"/>
    <m/>
    <m/>
    <m/>
    <m/>
    <m/>
    <b v="1"/>
    <s v="SE"/>
    <s v="OVER"/>
    <n v="0"/>
    <n v="0"/>
    <n v="0"/>
    <n v="7.8113114754098341"/>
    <n v="61.016586965869358"/>
    <n v="8.2255046098520239"/>
    <n v="67.658926086696894"/>
  </r>
  <r>
    <x v="62"/>
    <x v="2"/>
    <x v="11"/>
    <m/>
    <m/>
    <m/>
    <m/>
    <m/>
    <m/>
    <m/>
    <m/>
    <n v="112.02844413790987"/>
    <m/>
    <n v="106.94588800000002"/>
    <m/>
    <m/>
    <n v="99.3"/>
    <n v="94.2"/>
    <m/>
    <m/>
    <m/>
    <m/>
    <n v="-2.3586885245901659"/>
    <m/>
    <m/>
    <n v="-5.0825561379098474"/>
    <m/>
    <m/>
    <m/>
    <m/>
    <m/>
    <b v="0"/>
    <s v="NW"/>
    <s v="OVER"/>
    <n v="0"/>
    <n v="0"/>
    <n v="0"/>
    <n v="-2.3586885245901659"/>
    <n v="5.5634115560333335"/>
    <n v="-5.0825561379098474"/>
    <n v="25.832376895005062"/>
  </r>
  <r>
    <x v="62"/>
    <x v="25"/>
    <x v="19"/>
    <m/>
    <m/>
    <m/>
    <m/>
    <m/>
    <m/>
    <m/>
    <m/>
    <n v="102.85232525149296"/>
    <m/>
    <n v="101.74135800000005"/>
    <m/>
    <m/>
    <n v="93.3"/>
    <n v="101.7"/>
    <m/>
    <m/>
    <m/>
    <m/>
    <n v="-16.468688524590167"/>
    <m/>
    <m/>
    <n v="-1.1109672514929088"/>
    <m/>
    <m/>
    <m/>
    <m/>
    <m/>
    <b v="0"/>
    <s v="SW"/>
    <s v="OVER"/>
    <n v="0"/>
    <n v="0"/>
    <n v="0"/>
    <n v="-16.468688524590167"/>
    <n v="271.21770171996786"/>
    <n v="-1.1109672514929088"/>
    <n v="1.2342482338897081"/>
  </r>
  <r>
    <x v="62"/>
    <x v="29"/>
    <x v="16"/>
    <m/>
    <m/>
    <m/>
    <m/>
    <m/>
    <m/>
    <m/>
    <m/>
    <n v="110.98636029849834"/>
    <m/>
    <n v="105.17182533333335"/>
    <m/>
    <m/>
    <n v="96.1"/>
    <n v="98.3"/>
    <m/>
    <m/>
    <m/>
    <m/>
    <n v="-4.7986885245901654"/>
    <m/>
    <m/>
    <n v="-5.8145349651649951"/>
    <m/>
    <m/>
    <m/>
    <m/>
    <m/>
    <b v="0"/>
    <s v="SE"/>
    <s v="OVER"/>
    <n v="0"/>
    <n v="0"/>
    <n v="0"/>
    <n v="-4.7986885245901654"/>
    <n v="23.027411556033339"/>
    <n v="-5.8145349651649951"/>
    <n v="33.808816861126289"/>
  </r>
  <r>
    <x v="63"/>
    <x v="22"/>
    <x v="9"/>
    <m/>
    <m/>
    <m/>
    <m/>
    <m/>
    <m/>
    <m/>
    <m/>
    <n v="101.70342196997592"/>
    <m/>
    <n v="95.337296000000023"/>
    <m/>
    <m/>
    <n v="97.3"/>
    <n v="93.9"/>
    <m/>
    <m/>
    <m/>
    <m/>
    <n v="-5.8786885245901654"/>
    <m/>
    <m/>
    <n v="-6.3661259699758972"/>
    <m/>
    <m/>
    <m/>
    <m/>
    <m/>
    <b v="1"/>
    <s v="SE"/>
    <s v="OVER"/>
    <n v="0"/>
    <n v="0"/>
    <n v="0"/>
    <n v="-5.8786885245901654"/>
    <n v="34.558978769148098"/>
    <n v="-6.3661259699758972"/>
    <n v="40.52755986560156"/>
  </r>
  <r>
    <x v="63"/>
    <x v="0"/>
    <x v="14"/>
    <m/>
    <m/>
    <m/>
    <m/>
    <m/>
    <m/>
    <m/>
    <m/>
    <n v="116.06261692672302"/>
    <m/>
    <n v="106.71441333333335"/>
    <m/>
    <m/>
    <n v="97.3"/>
    <n v="99.5"/>
    <m/>
    <m/>
    <m/>
    <m/>
    <n v="-10.978688524590167"/>
    <m/>
    <m/>
    <n v="-9.3482035933896697"/>
    <m/>
    <m/>
    <m/>
    <m/>
    <m/>
    <b v="0"/>
    <s v="C"/>
    <s v="OVER"/>
    <n v="0"/>
    <n v="0"/>
    <n v="0"/>
    <n v="-10.978688524590167"/>
    <n v="120.53160171996781"/>
    <n v="-9.3482035933896697"/>
    <n v="87.388910423463528"/>
  </r>
  <r>
    <x v="63"/>
    <x v="5"/>
    <x v="4"/>
    <m/>
    <m/>
    <m/>
    <m/>
    <m/>
    <m/>
    <m/>
    <m/>
    <n v="108.1176314170964"/>
    <m/>
    <n v="103.85708000000004"/>
    <m/>
    <m/>
    <n v="100.2"/>
    <n v="102"/>
    <m/>
    <m/>
    <m/>
    <m/>
    <n v="-9.2086885245901655"/>
    <m/>
    <m/>
    <n v="-4.2605514170963659"/>
    <m/>
    <m/>
    <m/>
    <m/>
    <m/>
    <b v="0"/>
    <s v="P"/>
    <s v="OVER"/>
    <n v="0"/>
    <n v="0"/>
    <n v="0"/>
    <n v="-9.2086885245901655"/>
    <n v="84.799944342918593"/>
    <n v="-4.2605514170963659"/>
    <n v="18.152298377721852"/>
  </r>
  <r>
    <x v="63"/>
    <x v="6"/>
    <x v="10"/>
    <m/>
    <m/>
    <m/>
    <m/>
    <m/>
    <m/>
    <m/>
    <m/>
    <n v="98.859494730416401"/>
    <m/>
    <n v="93.202517333333347"/>
    <m/>
    <m/>
    <n v="96.2"/>
    <n v="92.6"/>
    <m/>
    <m/>
    <m/>
    <m/>
    <n v="-3.0286885245901658"/>
    <m/>
    <m/>
    <n v="-5.6569773970830539"/>
    <m/>
    <m/>
    <m/>
    <m/>
    <m/>
    <b v="0"/>
    <s v="SW"/>
    <s v="OVER"/>
    <n v="0"/>
    <n v="0"/>
    <n v="0"/>
    <n v="-3.0286885245901658"/>
    <n v="9.1729541789841562"/>
    <n v="-5.6569773970830539"/>
    <n v="32.001393271108562"/>
  </r>
  <r>
    <x v="63"/>
    <x v="11"/>
    <x v="29"/>
    <m/>
    <m/>
    <m/>
    <m/>
    <m/>
    <m/>
    <m/>
    <m/>
    <n v="96.392300941007989"/>
    <m/>
    <n v="109.42443600000003"/>
    <m/>
    <m/>
    <n v="101.7"/>
    <n v="95.4"/>
    <m/>
    <m/>
    <m/>
    <m/>
    <n v="9.6113114754098348"/>
    <m/>
    <m/>
    <n v="13.03213505899204"/>
    <m/>
    <m/>
    <m/>
    <m/>
    <m/>
    <b v="0"/>
    <s v="P"/>
    <s v="OVER"/>
    <n v="0"/>
    <n v="0"/>
    <n v="0"/>
    <n v="9.6113114754098348"/>
    <n v="92.377308277344781"/>
    <n v="13.03213505899204"/>
    <n v="169.83654419580947"/>
  </r>
  <r>
    <x v="63"/>
    <x v="21"/>
    <x v="28"/>
    <m/>
    <m/>
    <m/>
    <m/>
    <m/>
    <m/>
    <m/>
    <m/>
    <n v="108.24630584399452"/>
    <m/>
    <n v="92.099150000000009"/>
    <m/>
    <m/>
    <n v="91.5"/>
    <n v="97.5"/>
    <m/>
    <m/>
    <m/>
    <m/>
    <n v="-16.708688524590166"/>
    <m/>
    <m/>
    <n v="-16.147155843994511"/>
    <m/>
    <m/>
    <m/>
    <m/>
    <m/>
    <b v="0"/>
    <s v="NW"/>
    <s v="OVER"/>
    <n v="0"/>
    <n v="0"/>
    <n v="0"/>
    <n v="-16.708688524590166"/>
    <n v="279.18027221177107"/>
    <n v="-16.147155843994511"/>
    <n v="260.73064185024612"/>
  </r>
  <r>
    <x v="64"/>
    <x v="13"/>
    <x v="12"/>
    <m/>
    <m/>
    <m/>
    <m/>
    <m/>
    <m/>
    <m/>
    <m/>
    <n v="95.297079292911292"/>
    <m/>
    <n v="92.081128000000021"/>
    <m/>
    <m/>
    <n v="99.2"/>
    <n v="94.2"/>
    <m/>
    <m/>
    <m/>
    <m/>
    <n v="-2.3686885245901652"/>
    <m/>
    <m/>
    <n v="-3.2159512929112708"/>
    <m/>
    <m/>
    <m/>
    <m/>
    <m/>
    <b v="0"/>
    <s v="SE"/>
    <s v="OVER"/>
    <n v="0"/>
    <n v="0"/>
    <n v="0"/>
    <n v="-2.3686885245901652"/>
    <n v="5.6106853265251333"/>
    <n v="-3.2159512929112708"/>
    <n v="10.342342718377674"/>
  </r>
  <r>
    <x v="64"/>
    <x v="3"/>
    <x v="9"/>
    <m/>
    <m/>
    <m/>
    <m/>
    <m/>
    <m/>
    <m/>
    <m/>
    <n v="101.91239124532324"/>
    <m/>
    <n v="96.464096000000026"/>
    <m/>
    <m/>
    <n v="99.5"/>
    <n v="93.9"/>
    <m/>
    <m/>
    <m/>
    <m/>
    <n v="-4.4586885245901655"/>
    <m/>
    <m/>
    <n v="-5.4482952453232087"/>
    <m/>
    <m/>
    <m/>
    <m/>
    <m/>
    <b v="0"/>
    <s v="A"/>
    <s v="OVER"/>
    <n v="0"/>
    <n v="0"/>
    <n v="0"/>
    <n v="-4.4586885245901655"/>
    <n v="19.879903359312028"/>
    <n v="-5.4482952453232087"/>
    <n v="29.683921080211483"/>
  </r>
  <r>
    <x v="64"/>
    <x v="23"/>
    <x v="28"/>
    <m/>
    <m/>
    <m/>
    <m/>
    <m/>
    <m/>
    <m/>
    <m/>
    <n v="105.90672917909572"/>
    <m/>
    <n v="96.730400000000017"/>
    <m/>
    <m/>
    <n v="99.1"/>
    <n v="97.5"/>
    <m/>
    <m/>
    <m/>
    <m/>
    <n v="-11.788688524590167"/>
    <m/>
    <m/>
    <n v="-9.1763291790957027"/>
    <m/>
    <m/>
    <m/>
    <m/>
    <m/>
    <b v="0"/>
    <s v="NW"/>
    <s v="OVER"/>
    <n v="0"/>
    <n v="0"/>
    <n v="0"/>
    <n v="-11.788688524590167"/>
    <n v="138.9731771298039"/>
    <n v="-9.1763291790957027"/>
    <n v="84.205017203123219"/>
  </r>
  <r>
    <x v="64"/>
    <x v="1"/>
    <x v="4"/>
    <m/>
    <m/>
    <m/>
    <m/>
    <m/>
    <m/>
    <m/>
    <m/>
    <n v="114.17090298006876"/>
    <m/>
    <n v="97.981880000000032"/>
    <m/>
    <m/>
    <n v="100.7"/>
    <n v="102"/>
    <m/>
    <m/>
    <m/>
    <m/>
    <n v="-22.888688524590165"/>
    <m/>
    <m/>
    <n v="-16.189022980068728"/>
    <m/>
    <m/>
    <m/>
    <m/>
    <m/>
    <b v="0"/>
    <s v="P"/>
    <s v="OVER"/>
    <n v="0"/>
    <n v="0"/>
    <n v="0"/>
    <n v="-22.888688524590165"/>
    <n v="523.89206237570556"/>
    <n v="-16.189022980068728"/>
    <n v="262.08446504919334"/>
  </r>
  <r>
    <x v="64"/>
    <x v="26"/>
    <x v="15"/>
    <m/>
    <m/>
    <m/>
    <m/>
    <m/>
    <m/>
    <m/>
    <m/>
    <n v="106.19922549407401"/>
    <m/>
    <n v="113.77192266666671"/>
    <m/>
    <m/>
    <n v="96.9"/>
    <n v="96.4"/>
    <m/>
    <m/>
    <m/>
    <m/>
    <n v="6.2513114754098336"/>
    <m/>
    <m/>
    <n v="7.5726971725926973"/>
    <m/>
    <m/>
    <m/>
    <m/>
    <m/>
    <b v="0"/>
    <s v="SW"/>
    <s v="OVER"/>
    <n v="0"/>
    <n v="0"/>
    <n v="0"/>
    <n v="6.2513114754098336"/>
    <n v="39.078895162590669"/>
    <n v="7.5726971725926973"/>
    <n v="57.345742467793428"/>
  </r>
  <r>
    <x v="64"/>
    <x v="4"/>
    <x v="27"/>
    <m/>
    <m/>
    <m/>
    <m/>
    <m/>
    <m/>
    <m/>
    <m/>
    <n v="105.69858341452114"/>
    <m/>
    <n v="107.14980400000002"/>
    <m/>
    <m/>
    <n v="98.3"/>
    <n v="95.1"/>
    <m/>
    <m/>
    <m/>
    <m/>
    <n v="6.6813114754098342"/>
    <m/>
    <m/>
    <n v="1.4512205854788789"/>
    <m/>
    <m/>
    <m/>
    <m/>
    <m/>
    <b v="1"/>
    <s v="C"/>
    <s v="OVER"/>
    <n v="0"/>
    <n v="0"/>
    <n v="0"/>
    <n v="6.6813114754098342"/>
    <n v="44.639923031443132"/>
    <n v="1.4512205854788789"/>
    <n v="2.1060411877176599"/>
  </r>
  <r>
    <x v="64"/>
    <x v="28"/>
    <x v="26"/>
    <m/>
    <m/>
    <m/>
    <m/>
    <m/>
    <m/>
    <m/>
    <m/>
    <n v="117.96950150317565"/>
    <m/>
    <n v="105.5664906666667"/>
    <m/>
    <m/>
    <n v="95.8"/>
    <n v="96.1"/>
    <m/>
    <m/>
    <m/>
    <m/>
    <n v="-3.9886885245901658"/>
    <m/>
    <m/>
    <n v="-12.403010836508955"/>
    <m/>
    <m/>
    <m/>
    <m/>
    <m/>
    <b v="0"/>
    <s v="NW"/>
    <s v="OVER"/>
    <n v="0"/>
    <n v="0"/>
    <n v="0"/>
    <n v="-3.9886885245901658"/>
    <n v="15.909636146197274"/>
    <n v="-12.403010836508955"/>
    <n v="153.83467781055856"/>
  </r>
  <r>
    <x v="64"/>
    <x v="8"/>
    <x v="0"/>
    <m/>
    <m/>
    <m/>
    <m/>
    <m/>
    <m/>
    <m/>
    <m/>
    <n v="106.26871327976011"/>
    <m/>
    <n v="103.05970133333338"/>
    <m/>
    <m/>
    <n v="98.8"/>
    <n v="96.2"/>
    <m/>
    <m/>
    <m/>
    <m/>
    <n v="-1.6886885245901655"/>
    <m/>
    <m/>
    <n v="-3.2090119464267275"/>
    <m/>
    <m/>
    <m/>
    <m/>
    <m/>
    <b v="0"/>
    <s v="SW"/>
    <s v="OVER"/>
    <n v="0"/>
    <n v="0"/>
    <n v="0"/>
    <n v="-1.6886885245901655"/>
    <n v="2.85166893308251"/>
    <n v="-3.2090119464267275"/>
    <n v="10.297757672309453"/>
  </r>
  <r>
    <x v="64"/>
    <x v="25"/>
    <x v="22"/>
    <m/>
    <m/>
    <m/>
    <m/>
    <m/>
    <m/>
    <m/>
    <m/>
    <n v="106.94819525149296"/>
    <m/>
    <n v="107.65179200000001"/>
    <m/>
    <m/>
    <n v="93.3"/>
    <n v="99.3"/>
    <m/>
    <m/>
    <m/>
    <m/>
    <n v="-12.488688524590167"/>
    <m/>
    <m/>
    <n v="0.70359674850705289"/>
    <m/>
    <m/>
    <m/>
    <m/>
    <m/>
    <b v="0"/>
    <s v="SW"/>
    <s v="OVER"/>
    <n v="0"/>
    <n v="0"/>
    <n v="0"/>
    <n v="-12.488688524590167"/>
    <n v="155.96734106423011"/>
    <n v="0.70359674850705289"/>
    <n v="0.49504838450969701"/>
  </r>
  <r>
    <x v="64"/>
    <x v="29"/>
    <x v="3"/>
    <m/>
    <m/>
    <m/>
    <m/>
    <m/>
    <m/>
    <m/>
    <m/>
    <n v="113.37925029849833"/>
    <m/>
    <n v="97.982249333333357"/>
    <m/>
    <m/>
    <n v="96.1"/>
    <n v="92.9"/>
    <m/>
    <m/>
    <m/>
    <m/>
    <n v="-8.7986885245901654"/>
    <m/>
    <m/>
    <n v="-15.397000965164978"/>
    <m/>
    <m/>
    <m/>
    <m/>
    <m/>
    <b v="0"/>
    <s v="SE"/>
    <s v="OVER"/>
    <n v="0"/>
    <n v="0"/>
    <n v="0"/>
    <n v="-8.7986885245901654"/>
    <n v="77.416919752754666"/>
    <n v="-15.397000965164978"/>
    <n v="237.06763872129125"/>
  </r>
  <r>
    <x v="65"/>
    <x v="14"/>
    <x v="26"/>
    <m/>
    <m/>
    <m/>
    <m/>
    <m/>
    <m/>
    <m/>
    <m/>
    <n v="111.66718726701198"/>
    <m/>
    <n v="101.87625066666669"/>
    <m/>
    <m/>
    <n v="95.1"/>
    <n v="96.1"/>
    <m/>
    <m/>
    <m/>
    <m/>
    <n v="-9.8786885245901654"/>
    <m/>
    <m/>
    <n v="-9.7909366003452902"/>
    <m/>
    <m/>
    <m/>
    <m/>
    <m/>
    <b v="1"/>
    <s v="C"/>
    <s v="OVER"/>
    <n v="0"/>
    <n v="0"/>
    <n v="0"/>
    <n v="-9.8786885245901654"/>
    <n v="97.588486965869421"/>
    <n v="-9.7909366003452902"/>
    <n v="95.862439511980995"/>
  </r>
  <r>
    <x v="65"/>
    <x v="22"/>
    <x v="20"/>
    <m/>
    <m/>
    <m/>
    <m/>
    <m/>
    <m/>
    <m/>
    <m/>
    <n v="104.47647196997592"/>
    <m/>
    <n v="111.16589866666669"/>
    <m/>
    <m/>
    <n v="97.3"/>
    <n v="97.3"/>
    <m/>
    <m/>
    <m/>
    <m/>
    <n v="4.0013114754098353"/>
    <m/>
    <m/>
    <n v="6.6894266966907736"/>
    <m/>
    <m/>
    <m/>
    <m/>
    <m/>
    <b v="0"/>
    <s v="SE"/>
    <s v="OVER"/>
    <n v="0"/>
    <n v="0"/>
    <n v="0"/>
    <n v="4.0013114754098353"/>
    <n v="16.010493523246435"/>
    <n v="6.6894266966907736"/>
    <n v="44.748429530399235"/>
  </r>
  <r>
    <x v="65"/>
    <x v="26"/>
    <x v="0"/>
    <m/>
    <m/>
    <m/>
    <m/>
    <m/>
    <m/>
    <m/>
    <m/>
    <n v="113.37951549407401"/>
    <m/>
    <n v="106.88846133333338"/>
    <m/>
    <m/>
    <n v="96.9"/>
    <n v="96.2"/>
    <m/>
    <m/>
    <m/>
    <m/>
    <n v="-8.0686885245901667"/>
    <m/>
    <m/>
    <n v="-6.4910541607406316"/>
    <m/>
    <m/>
    <m/>
    <m/>
    <m/>
    <b v="0"/>
    <s v="SW"/>
    <s v="OVER"/>
    <n v="0"/>
    <n v="0"/>
    <n v="0"/>
    <n v="-8.0686885245901667"/>
    <n v="65.103734506853044"/>
    <n v="-6.4910541607406316"/>
    <n v="42.133784117668263"/>
  </r>
  <r>
    <x v="65"/>
    <x v="20"/>
    <x v="15"/>
    <m/>
    <m/>
    <m/>
    <m/>
    <m/>
    <m/>
    <m/>
    <m/>
    <n v="101.84291681965827"/>
    <m/>
    <n v="109.6074426666667"/>
    <m/>
    <m/>
    <n v="92.6"/>
    <n v="96.4"/>
    <m/>
    <m/>
    <m/>
    <m/>
    <n v="9.5713114754098338"/>
    <m/>
    <m/>
    <n v="7.7645258470084286"/>
    <m/>
    <m/>
    <m/>
    <m/>
    <m/>
    <b v="0"/>
    <s v="NW"/>
    <s v="OVER"/>
    <n v="0"/>
    <n v="0"/>
    <n v="0"/>
    <n v="9.5713114754098338"/>
    <n v="91.610003359311975"/>
    <n v="7.7645258470084286"/>
    <n v="60.287861628861954"/>
  </r>
  <r>
    <x v="65"/>
    <x v="15"/>
    <x v="23"/>
    <m/>
    <m/>
    <m/>
    <m/>
    <m/>
    <m/>
    <m/>
    <m/>
    <n v="102.41144010654767"/>
    <m/>
    <n v="101.82834133333337"/>
    <m/>
    <m/>
    <n v="94.2"/>
    <n v="96.2"/>
    <m/>
    <m/>
    <m/>
    <m/>
    <n v="-0.14868852459016579"/>
    <m/>
    <m/>
    <n v="-0.58309877321430292"/>
    <m/>
    <m/>
    <m/>
    <m/>
    <m/>
    <b v="0"/>
    <s v="P"/>
    <s v="OVER"/>
    <n v="0"/>
    <n v="0"/>
    <n v="0"/>
    <n v="-0.14868852459016579"/>
    <n v="2.2108277344800337E-2"/>
    <n v="-0.58309877321430292"/>
    <n v="0.34000417932402505"/>
  </r>
  <r>
    <x v="65"/>
    <x v="21"/>
    <x v="19"/>
    <m/>
    <m/>
    <m/>
    <m/>
    <m/>
    <m/>
    <m/>
    <m/>
    <n v="107.56005584399453"/>
    <m/>
    <n v="98.629338000000033"/>
    <m/>
    <m/>
    <n v="91.5"/>
    <n v="101.7"/>
    <m/>
    <m/>
    <m/>
    <m/>
    <n v="-13.438688524590166"/>
    <m/>
    <m/>
    <n v="-8.9307178439945005"/>
    <m/>
    <m/>
    <m/>
    <m/>
    <m/>
    <b v="0"/>
    <s v="NW"/>
    <s v="OVER"/>
    <n v="0"/>
    <n v="0"/>
    <n v="0"/>
    <n v="-13.438688524590166"/>
    <n v="180.59834926095141"/>
    <n v="-8.9307178439945005"/>
    <n v="79.757721209041776"/>
  </r>
  <r>
    <x v="66"/>
    <x v="13"/>
    <x v="1"/>
    <m/>
    <m/>
    <m/>
    <m/>
    <m/>
    <m/>
    <m/>
    <m/>
    <n v="98.679799292911284"/>
    <m/>
    <n v="98.628052000000025"/>
    <m/>
    <m/>
    <n v="99.2"/>
    <n v="93.3"/>
    <m/>
    <m/>
    <m/>
    <m/>
    <n v="2.1813114754098351"/>
    <m/>
    <m/>
    <n v="-5.1747292911258569E-2"/>
    <m/>
    <m/>
    <m/>
    <m/>
    <m/>
    <b v="0"/>
    <s v="SE"/>
    <s v="OVER"/>
    <n v="0"/>
    <n v="0"/>
    <n v="0"/>
    <n v="2.1813114754098351"/>
    <n v="4.7581197527546317"/>
    <n v="-5.1747292911258569E-2"/>
    <n v="2.6777823236435912E-3"/>
  </r>
  <r>
    <x v="66"/>
    <x v="4"/>
    <x v="17"/>
    <m/>
    <m/>
    <m/>
    <m/>
    <m/>
    <m/>
    <m/>
    <m/>
    <n v="106.00331341452113"/>
    <m/>
    <n v="93.918028000000035"/>
    <m/>
    <m/>
    <n v="98.3"/>
    <n v="94.2"/>
    <m/>
    <m/>
    <m/>
    <m/>
    <n v="-6.5986885245901661"/>
    <m/>
    <m/>
    <n v="-12.085285414521096"/>
    <m/>
    <m/>
    <m/>
    <m/>
    <m/>
    <b v="0"/>
    <s v="C"/>
    <s v="OVER"/>
    <n v="0"/>
    <n v="0"/>
    <n v="0"/>
    <n v="-6.5986885245901661"/>
    <n v="43.542690244557946"/>
    <n v="-12.085285414521096"/>
    <n v="146.05412355043632"/>
  </r>
  <r>
    <x v="66"/>
    <x v="5"/>
    <x v="29"/>
    <m/>
    <m/>
    <m/>
    <m/>
    <m/>
    <m/>
    <m/>
    <m/>
    <n v="109.7007914170964"/>
    <m/>
    <n v="112.79205600000003"/>
    <m/>
    <m/>
    <n v="100.2"/>
    <n v="95.4"/>
    <m/>
    <m/>
    <m/>
    <m/>
    <n v="5.6313114754098343"/>
    <m/>
    <m/>
    <n v="3.0912645829036336"/>
    <m/>
    <m/>
    <m/>
    <m/>
    <m/>
    <b v="0"/>
    <s v="P"/>
    <s v="OVER"/>
    <n v="0"/>
    <n v="0"/>
    <n v="0"/>
    <n v="5.6313114754098343"/>
    <n v="31.711668933082485"/>
    <n v="3.0912645829036336"/>
    <n v="9.5559167215143752"/>
  </r>
  <r>
    <x v="66"/>
    <x v="19"/>
    <x v="12"/>
    <m/>
    <m/>
    <m/>
    <m/>
    <m/>
    <m/>
    <m/>
    <m/>
    <n v="96.16831368238519"/>
    <m/>
    <n v="95.283928000000017"/>
    <m/>
    <m/>
    <n v="93.9"/>
    <n v="94.2"/>
    <m/>
    <m/>
    <m/>
    <m/>
    <n v="1.0613114754098343"/>
    <m/>
    <m/>
    <n v="-0.88438568238517234"/>
    <m/>
    <m/>
    <m/>
    <m/>
    <m/>
    <b v="0"/>
    <s v="SE"/>
    <s v="OVER"/>
    <n v="0"/>
    <n v="0"/>
    <n v="0"/>
    <n v="1.0613114754098343"/>
    <n v="1.1263820478365993"/>
    <n v="-0.88438568238517234"/>
    <n v="0.78213803520788694"/>
  </r>
  <r>
    <x v="66"/>
    <x v="28"/>
    <x v="22"/>
    <m/>
    <m/>
    <m/>
    <m/>
    <m/>
    <m/>
    <m/>
    <m/>
    <n v="121.15964150317565"/>
    <m/>
    <n v="112.37847200000002"/>
    <m/>
    <m/>
    <n v="95.8"/>
    <n v="99.3"/>
    <m/>
    <m/>
    <m/>
    <m/>
    <n v="-3.9986885245901655"/>
    <m/>
    <m/>
    <n v="-8.7811695031756329"/>
    <m/>
    <m/>
    <m/>
    <m/>
    <m/>
    <b v="1"/>
    <s v="NW"/>
    <s v="OVER"/>
    <n v="0"/>
    <n v="0"/>
    <n v="0"/>
    <n v="-3.9986885245901655"/>
    <n v="15.989509916689075"/>
    <n v="-8.7811695031756329"/>
    <n v="77.108937843501792"/>
  </r>
  <r>
    <x v="67"/>
    <x v="16"/>
    <x v="2"/>
    <m/>
    <m/>
    <m/>
    <m/>
    <m/>
    <m/>
    <m/>
    <m/>
    <n v="96.614348012717798"/>
    <m/>
    <n v="101.34601000000004"/>
    <m/>
    <m/>
    <n v="92.9"/>
    <n v="91.5"/>
    <m/>
    <m/>
    <m/>
    <m/>
    <n v="10.251311475409835"/>
    <m/>
    <m/>
    <n v="4.7316619872822372"/>
    <m/>
    <m/>
    <m/>
    <m/>
    <m/>
    <b v="0"/>
    <s v="A"/>
    <s v="OVER"/>
    <n v="0"/>
    <n v="0"/>
    <n v="0"/>
    <n v="10.251311475409835"/>
    <n v="105.08938696586938"/>
    <n v="4.7316619872822372"/>
    <n v="22.388625161891689"/>
  </r>
  <r>
    <x v="67"/>
    <x v="14"/>
    <x v="7"/>
    <m/>
    <m/>
    <m/>
    <m/>
    <m/>
    <m/>
    <m/>
    <m/>
    <n v="109.04242726701197"/>
    <m/>
    <n v="104.75382866666668"/>
    <m/>
    <m/>
    <n v="95.1"/>
    <n v="97.3"/>
    <m/>
    <m/>
    <m/>
    <m/>
    <n v="-5.4686885245901653"/>
    <m/>
    <m/>
    <n v="-4.2885986003452956"/>
    <m/>
    <m/>
    <m/>
    <m/>
    <m/>
    <b v="0"/>
    <s v="C"/>
    <s v="OVER"/>
    <n v="0"/>
    <n v="0"/>
    <n v="0"/>
    <n v="-5.4686885245901653"/>
    <n v="29.906554178984159"/>
    <n v="-4.2885986003452956"/>
    <n v="18.392077954883629"/>
  </r>
  <r>
    <x v="67"/>
    <x v="0"/>
    <x v="25"/>
    <m/>
    <m/>
    <m/>
    <m/>
    <m/>
    <m/>
    <m/>
    <m/>
    <n v="114.20418692672304"/>
    <m/>
    <n v="100.85569866666668"/>
    <m/>
    <m/>
    <n v="97.3"/>
    <n v="98.8"/>
    <m/>
    <m/>
    <m/>
    <m/>
    <n v="-14.238688524590167"/>
    <m/>
    <m/>
    <n v="-13.348488260056357"/>
    <m/>
    <m/>
    <m/>
    <m/>
    <m/>
    <b v="0"/>
    <s v="C"/>
    <s v="OVER"/>
    <n v="0"/>
    <n v="0"/>
    <n v="0"/>
    <n v="-14.238688524590167"/>
    <n v="202.74025090029571"/>
    <n v="-13.348488260056357"/>
    <n v="178.18213882886238"/>
  </r>
  <r>
    <x v="67"/>
    <x v="1"/>
    <x v="8"/>
    <m/>
    <m/>
    <m/>
    <m/>
    <m/>
    <m/>
    <m/>
    <m/>
    <n v="115.16783298006877"/>
    <m/>
    <n v="104.29350066666669"/>
    <m/>
    <m/>
    <n v="100.7"/>
    <n v="99.1"/>
    <m/>
    <m/>
    <m/>
    <m/>
    <n v="-14.698688524590166"/>
    <m/>
    <m/>
    <n v="-10.874332313402078"/>
    <m/>
    <m/>
    <m/>
    <m/>
    <m/>
    <b v="0"/>
    <s v="P"/>
    <s v="OVER"/>
    <n v="0"/>
    <n v="0"/>
    <n v="0"/>
    <n v="-14.698688524590166"/>
    <n v="216.05144434291861"/>
    <n v="-10.874332313402078"/>
    <n v="118.2511032623006"/>
  </r>
  <r>
    <x v="67"/>
    <x v="26"/>
    <x v="13"/>
    <m/>
    <m/>
    <m/>
    <m/>
    <m/>
    <m/>
    <m/>
    <m/>
    <n v="113.37951549407401"/>
    <m/>
    <n v="105.66259066666669"/>
    <m/>
    <m/>
    <n v="96.9"/>
    <n v="96.1"/>
    <m/>
    <m/>
    <m/>
    <m/>
    <n v="-9.2286885245901669"/>
    <m/>
    <m/>
    <n v="-7.7169248274073254"/>
    <m/>
    <m/>
    <m/>
    <m/>
    <m/>
    <b v="0"/>
    <s v="SW"/>
    <s v="OVER"/>
    <n v="0"/>
    <n v="0"/>
    <n v="0"/>
    <n v="-9.2286885245901669"/>
    <n v="85.168691883902227"/>
    <n v="-7.7169248274073254"/>
    <n v="59.550928791855583"/>
  </r>
  <r>
    <x v="67"/>
    <x v="27"/>
    <x v="19"/>
    <m/>
    <m/>
    <m/>
    <m/>
    <m/>
    <m/>
    <m/>
    <m/>
    <n v="113.74140172355891"/>
    <m/>
    <n v="98.975118000000037"/>
    <m/>
    <m/>
    <n v="96.4"/>
    <n v="101.7"/>
    <m/>
    <m/>
    <m/>
    <m/>
    <n v="-21.908688524590165"/>
    <m/>
    <m/>
    <n v="-14.766283723558871"/>
    <m/>
    <m/>
    <m/>
    <m/>
    <m/>
    <b v="1"/>
    <s v="P"/>
    <s v="OVER"/>
    <n v="0"/>
    <n v="0"/>
    <n v="0"/>
    <n v="-21.908688524590165"/>
    <n v="479.99063286750879"/>
    <n v="-14.766283723558871"/>
    <n v="218.04313500463965"/>
  </r>
  <r>
    <x v="67"/>
    <x v="7"/>
    <x v="10"/>
    <m/>
    <m/>
    <m/>
    <m/>
    <m/>
    <m/>
    <m/>
    <m/>
    <n v="106.17381333230638"/>
    <m/>
    <n v="99.665997333333351"/>
    <m/>
    <m/>
    <n v="96.1"/>
    <n v="92.6"/>
    <m/>
    <m/>
    <m/>
    <m/>
    <n v="1.1311475409834404E-2"/>
    <m/>
    <m/>
    <n v="-6.5078159989730295"/>
    <m/>
    <m/>
    <m/>
    <m/>
    <m/>
    <b v="0"/>
    <s v="C"/>
    <s v="OVER"/>
    <n v="0"/>
    <n v="0"/>
    <n v="0"/>
    <n v="1.1311475409834404E-2"/>
    <n v="1.2794947594728839E-4"/>
    <n v="-6.5078159989730295"/>
    <n v="42.35166907648933"/>
  </r>
  <r>
    <x v="67"/>
    <x v="24"/>
    <x v="17"/>
    <m/>
    <m/>
    <m/>
    <m/>
    <m/>
    <m/>
    <m/>
    <m/>
    <n v="108.82353945611428"/>
    <m/>
    <n v="95.39696800000003"/>
    <m/>
    <m/>
    <n v="96.2"/>
    <n v="94.2"/>
    <m/>
    <m/>
    <m/>
    <m/>
    <n v="-9.7786885245901658"/>
    <m/>
    <m/>
    <n v="-13.426571456114246"/>
    <m/>
    <m/>
    <m/>
    <m/>
    <m/>
    <b v="0"/>
    <s v="A"/>
    <s v="OVER"/>
    <n v="0"/>
    <n v="0"/>
    <n v="0"/>
    <n v="-9.7786885245901658"/>
    <n v="95.622749260951394"/>
    <n v="-13.426571456114246"/>
    <n v="180.27282106614183"/>
  </r>
  <r>
    <x v="68"/>
    <x v="3"/>
    <x v="2"/>
    <m/>
    <m/>
    <m/>
    <m/>
    <m/>
    <m/>
    <m/>
    <m/>
    <n v="100.97709124532324"/>
    <m/>
    <n v="98.042860000000033"/>
    <m/>
    <m/>
    <n v="99.5"/>
    <n v="91.5"/>
    <m/>
    <m/>
    <m/>
    <m/>
    <n v="0.90131147540983436"/>
    <m/>
    <m/>
    <n v="-2.934231245323204"/>
    <m/>
    <m/>
    <m/>
    <m/>
    <m/>
    <b v="0"/>
    <s v="A"/>
    <s v="OVER"/>
    <n v="0"/>
    <n v="0"/>
    <n v="0"/>
    <n v="0.90131147540983436"/>
    <n v="0.81236237570545244"/>
    <n v="-2.934231245323204"/>
    <n v="8.6097130010309613"/>
  </r>
  <r>
    <x v="68"/>
    <x v="17"/>
    <x v="13"/>
    <m/>
    <m/>
    <m/>
    <m/>
    <m/>
    <m/>
    <m/>
    <m/>
    <n v="99.341423578429087"/>
    <m/>
    <n v="102.42402066666668"/>
    <m/>
    <m/>
    <n v="102"/>
    <n v="96.1"/>
    <m/>
    <m/>
    <m/>
    <m/>
    <n v="3.3213114754098343"/>
    <m/>
    <m/>
    <n v="3.0825970882375913"/>
    <m/>
    <m/>
    <m/>
    <m/>
    <m/>
    <b v="0"/>
    <s v="SW"/>
    <s v="OVER"/>
    <n v="0"/>
    <n v="0"/>
    <n v="0"/>
    <n v="3.3213114754098343"/>
    <n v="11.031109916689051"/>
    <n v="3.0825970882375913"/>
    <n v="9.5024048084108763"/>
  </r>
  <r>
    <x v="68"/>
    <x v="23"/>
    <x v="11"/>
    <m/>
    <m/>
    <m/>
    <m/>
    <m/>
    <m/>
    <m/>
    <m/>
    <n v="107.34367917909572"/>
    <m/>
    <n v="102.04748800000003"/>
    <m/>
    <m/>
    <n v="99.1"/>
    <n v="94.2"/>
    <m/>
    <m/>
    <m/>
    <m/>
    <n v="-4.1186885245901657"/>
    <m/>
    <m/>
    <n v="-5.2961911790956862"/>
    <m/>
    <m/>
    <m/>
    <m/>
    <m/>
    <b v="0"/>
    <s v="NW"/>
    <s v="OVER"/>
    <n v="0"/>
    <n v="0"/>
    <n v="0"/>
    <n v="-4.1186885245901657"/>
    <n v="16.963595162590714"/>
    <n v="-5.2961911790956862"/>
    <n v="28.049641005530955"/>
  </r>
  <r>
    <x v="68"/>
    <x v="18"/>
    <x v="16"/>
    <m/>
    <m/>
    <m/>
    <m/>
    <m/>
    <m/>
    <m/>
    <m/>
    <n v="112.4621383347156"/>
    <m/>
    <n v="97.20952533333336"/>
    <m/>
    <m/>
    <n v="94.2"/>
    <n v="98.3"/>
    <m/>
    <m/>
    <m/>
    <m/>
    <n v="-10.288688524590166"/>
    <m/>
    <m/>
    <n v="-15.252613001382244"/>
    <m/>
    <m/>
    <m/>
    <m/>
    <m/>
    <b v="1"/>
    <s v="C"/>
    <s v="OVER"/>
    <n v="0"/>
    <n v="0"/>
    <n v="0"/>
    <n v="-10.288688524590166"/>
    <n v="105.85711155603336"/>
    <n v="-15.252613001382244"/>
    <n v="232.64220336993466"/>
  </r>
  <r>
    <x v="68"/>
    <x v="5"/>
    <x v="23"/>
    <m/>
    <m/>
    <m/>
    <m/>
    <m/>
    <m/>
    <m/>
    <m/>
    <n v="103.9893914170964"/>
    <m/>
    <n v="103.10780133333337"/>
    <m/>
    <m/>
    <n v="100.2"/>
    <n v="96.2"/>
    <m/>
    <m/>
    <m/>
    <m/>
    <n v="0.27131147540983414"/>
    <m/>
    <m/>
    <n v="-0.8815900837630295"/>
    <m/>
    <m/>
    <m/>
    <m/>
    <m/>
    <b v="0"/>
    <s v="P"/>
    <s v="OVER"/>
    <n v="0"/>
    <n v="0"/>
    <n v="0"/>
    <n v="0.27131147540983414"/>
    <n v="7.3609916689061028E-2"/>
    <n v="-0.8815900837630295"/>
    <n v="0.77720107578930542"/>
  </r>
  <r>
    <x v="68"/>
    <x v="10"/>
    <x v="6"/>
    <m/>
    <m/>
    <m/>
    <m/>
    <m/>
    <m/>
    <m/>
    <m/>
    <n v="102.11719419888253"/>
    <m/>
    <n v="106.09913866666669"/>
    <m/>
    <m/>
    <n v="97.5"/>
    <n v="95.8"/>
    <m/>
    <m/>
    <m/>
    <m/>
    <n v="5.6913114754098348"/>
    <m/>
    <m/>
    <n v="3.9819444677841602"/>
    <m/>
    <m/>
    <m/>
    <m/>
    <m/>
    <b v="0"/>
    <s v="A"/>
    <s v="OVER"/>
    <n v="0"/>
    <n v="0"/>
    <n v="0"/>
    <n v="5.6913114754098348"/>
    <n v="32.391026310131672"/>
    <n v="3.9819444677841602"/>
    <n v="15.855881744516878"/>
  </r>
  <r>
    <x v="68"/>
    <x v="11"/>
    <x v="9"/>
    <m/>
    <m/>
    <m/>
    <m/>
    <m/>
    <m/>
    <m/>
    <m/>
    <n v="91.917500941007972"/>
    <m/>
    <n v="96.933596000000037"/>
    <m/>
    <m/>
    <n v="101.7"/>
    <n v="93.9"/>
    <m/>
    <m/>
    <m/>
    <m/>
    <n v="2.521311475409834"/>
    <m/>
    <m/>
    <n v="5.0160950589920645"/>
    <m/>
    <m/>
    <m/>
    <m/>
    <m/>
    <b v="0"/>
    <s v="P"/>
    <s v="OVER"/>
    <n v="0"/>
    <n v="0"/>
    <n v="0"/>
    <n v="2.521311475409834"/>
    <n v="6.3570115560333145"/>
    <n v="5.0160950589920645"/>
    <n v="25.161209640844604"/>
  </r>
  <r>
    <x v="68"/>
    <x v="25"/>
    <x v="29"/>
    <m/>
    <m/>
    <m/>
    <m/>
    <m/>
    <m/>
    <m/>
    <m/>
    <n v="102.64706525149296"/>
    <m/>
    <n v="107.03943600000004"/>
    <m/>
    <m/>
    <n v="93.3"/>
    <n v="95.4"/>
    <m/>
    <m/>
    <m/>
    <m/>
    <n v="-4.0786885245901665"/>
    <m/>
    <m/>
    <n v="4.3923707485070764"/>
    <m/>
    <m/>
    <m/>
    <m/>
    <m/>
    <b v="0"/>
    <s v="SW"/>
    <s v="OVER"/>
    <n v="0"/>
    <n v="0"/>
    <n v="0"/>
    <n v="-4.0786885245901665"/>
    <n v="16.635700080623508"/>
    <n v="4.3923707485070764"/>
    <n v="19.292920792340613"/>
  </r>
  <r>
    <x v="69"/>
    <x v="22"/>
    <x v="10"/>
    <m/>
    <m/>
    <m/>
    <m/>
    <m/>
    <m/>
    <m/>
    <m/>
    <n v="103.52293196997591"/>
    <m/>
    <n v="97.110237333333345"/>
    <m/>
    <m/>
    <n v="97.3"/>
    <n v="92.6"/>
    <m/>
    <m/>
    <m/>
    <m/>
    <n v="-4.398688524590165"/>
    <m/>
    <m/>
    <n v="-6.4126946366425699"/>
    <m/>
    <m/>
    <m/>
    <m/>
    <m/>
    <b v="0"/>
    <s v="SE"/>
    <s v="OVER"/>
    <n v="0"/>
    <n v="0"/>
    <n v="0"/>
    <n v="-4.398688524590165"/>
    <n v="19.348460736361204"/>
    <n v="-6.4126946366425699"/>
    <n v="41.12265250282438"/>
  </r>
  <r>
    <x v="69"/>
    <x v="0"/>
    <x v="27"/>
    <m/>
    <m/>
    <m/>
    <m/>
    <m/>
    <m/>
    <m/>
    <m/>
    <n v="115.01177692672303"/>
    <m/>
    <n v="104.87691400000001"/>
    <m/>
    <m/>
    <n v="97.3"/>
    <n v="95.1"/>
    <m/>
    <m/>
    <m/>
    <m/>
    <n v="-6.8686885245901665"/>
    <m/>
    <m/>
    <n v="-10.134862926723017"/>
    <m/>
    <m/>
    <m/>
    <m/>
    <m/>
    <b v="1"/>
    <s v="C"/>
    <s v="OVER"/>
    <n v="0"/>
    <n v="0"/>
    <n v="0"/>
    <n v="-6.8686885245901665"/>
    <n v="47.178882047836638"/>
    <n v="-10.134862926723017"/>
    <n v="102.71544654346462"/>
  </r>
  <r>
    <x v="69"/>
    <x v="1"/>
    <x v="22"/>
    <m/>
    <m/>
    <m/>
    <m/>
    <m/>
    <m/>
    <m/>
    <m/>
    <n v="120.40423298006877"/>
    <m/>
    <n v="107.91990200000001"/>
    <m/>
    <m/>
    <n v="100.7"/>
    <n v="99.3"/>
    <m/>
    <m/>
    <m/>
    <m/>
    <n v="-16.458688524590166"/>
    <m/>
    <m/>
    <n v="-12.484330980068762"/>
    <m/>
    <m/>
    <m/>
    <m/>
    <m/>
    <b v="0"/>
    <s v="P"/>
    <s v="OVER"/>
    <n v="0"/>
    <n v="0"/>
    <n v="0"/>
    <n v="-16.458688524590166"/>
    <n v="270.88842794947601"/>
    <n v="-12.484330980068762"/>
    <n v="155.85852001990466"/>
  </r>
  <r>
    <x v="69"/>
    <x v="27"/>
    <x v="23"/>
    <m/>
    <m/>
    <m/>
    <m/>
    <m/>
    <m/>
    <m/>
    <m/>
    <n v="108.03452172355891"/>
    <m/>
    <n v="94.690301333333366"/>
    <m/>
    <m/>
    <n v="96.4"/>
    <n v="96.2"/>
    <m/>
    <m/>
    <m/>
    <m/>
    <n v="-14.878688524590165"/>
    <m/>
    <m/>
    <n v="-13.344220390225544"/>
    <m/>
    <m/>
    <m/>
    <m/>
    <m/>
    <b v="0"/>
    <s v="P"/>
    <s v="OVER"/>
    <n v="0"/>
    <n v="0"/>
    <n v="0"/>
    <n v="-14.878688524590165"/>
    <n v="221.37537221177107"/>
    <n v="-13.344220390225544"/>
    <n v="178.06821782291118"/>
  </r>
  <r>
    <x v="69"/>
    <x v="24"/>
    <x v="26"/>
    <m/>
    <m/>
    <m/>
    <m/>
    <m/>
    <m/>
    <m/>
    <m/>
    <n v="111.06499945611428"/>
    <m/>
    <n v="105.49922066666669"/>
    <m/>
    <m/>
    <n v="96.2"/>
    <n v="96.1"/>
    <m/>
    <m/>
    <m/>
    <m/>
    <n v="-3.5986885245901661"/>
    <m/>
    <m/>
    <n v="-5.5657787894475916"/>
    <m/>
    <m/>
    <m/>
    <m/>
    <m/>
    <b v="0"/>
    <s v="A"/>
    <s v="OVER"/>
    <n v="0"/>
    <n v="0"/>
    <n v="0"/>
    <n v="-3.5986885245901661"/>
    <n v="12.950559097016946"/>
    <n v="-5.5657787894475916"/>
    <n v="30.977893533064698"/>
  </r>
  <r>
    <x v="69"/>
    <x v="9"/>
    <x v="24"/>
    <m/>
    <m/>
    <m/>
    <m/>
    <m/>
    <m/>
    <m/>
    <m/>
    <n v="90.876514056814671"/>
    <m/>
    <n v="101.16482133333336"/>
    <m/>
    <m/>
    <n v="94.2"/>
    <n v="99.2"/>
    <m/>
    <m/>
    <m/>
    <m/>
    <n v="8.1413114754098341"/>
    <m/>
    <m/>
    <n v="10.288307276518694"/>
    <m/>
    <m/>
    <m/>
    <m/>
    <m/>
    <b v="1"/>
    <s v="SE"/>
    <s v="OVER"/>
    <n v="0"/>
    <n v="0"/>
    <n v="0"/>
    <n v="8.1413114754098341"/>
    <n v="66.280952539639856"/>
    <n v="10.288307276518694"/>
    <n v="105.8492666160675"/>
  </r>
  <r>
    <x v="69"/>
    <x v="15"/>
    <x v="9"/>
    <m/>
    <m/>
    <m/>
    <m/>
    <m/>
    <m/>
    <m/>
    <m/>
    <n v="103.63604010654767"/>
    <m/>
    <n v="98.999396000000033"/>
    <m/>
    <m/>
    <n v="94.2"/>
    <n v="93.9"/>
    <m/>
    <m/>
    <m/>
    <m/>
    <n v="-1.8786885245901657"/>
    <m/>
    <m/>
    <n v="-4.6366441065476351"/>
    <m/>
    <m/>
    <m/>
    <m/>
    <m/>
    <b v="0"/>
    <s v="P"/>
    <s v="OVER"/>
    <n v="0"/>
    <n v="0"/>
    <n v="0"/>
    <n v="-1.8786885245901657"/>
    <n v="3.5294705724267734"/>
    <n v="-4.6366441065476351"/>
    <n v="21.498468570782919"/>
  </r>
  <r>
    <x v="70"/>
    <x v="17"/>
    <x v="19"/>
    <m/>
    <m/>
    <m/>
    <m/>
    <m/>
    <m/>
    <m/>
    <m/>
    <n v="97.107623578429084"/>
    <m/>
    <n v="102.45325800000005"/>
    <m/>
    <m/>
    <n v="102"/>
    <n v="101.7"/>
    <m/>
    <m/>
    <m/>
    <m/>
    <n v="-0.32868852459016562"/>
    <m/>
    <m/>
    <n v="5.3456344215709635"/>
    <m/>
    <m/>
    <m/>
    <m/>
    <m/>
    <b v="0"/>
    <s v="SW"/>
    <s v="OVER"/>
    <n v="0"/>
    <n v="0"/>
    <n v="0"/>
    <n v="-0.32868852459016562"/>
    <n v="0.10803614619725992"/>
    <n v="5.3456344215709635"/>
    <n v="28.57580736908433"/>
  </r>
  <r>
    <x v="70"/>
    <x v="23"/>
    <x v="1"/>
    <m/>
    <m/>
    <m/>
    <m/>
    <m/>
    <m/>
    <m/>
    <m/>
    <n v="102.68597917909572"/>
    <m/>
    <n v="105.35498200000002"/>
    <m/>
    <m/>
    <n v="99.1"/>
    <n v="93.3"/>
    <m/>
    <m/>
    <m/>
    <m/>
    <n v="5.1713114754098344"/>
    <m/>
    <m/>
    <n v="2.6690028209042964"/>
    <m/>
    <m/>
    <m/>
    <m/>
    <m/>
    <b v="0"/>
    <s v="NW"/>
    <s v="OVER"/>
    <n v="0"/>
    <n v="0"/>
    <n v="0"/>
    <n v="5.1713114754098344"/>
    <n v="26.74246237570544"/>
    <n v="2.6690028209042964"/>
    <n v="7.1235760579950922"/>
  </r>
  <r>
    <x v="70"/>
    <x v="18"/>
    <x v="7"/>
    <m/>
    <m/>
    <m/>
    <m/>
    <m/>
    <m/>
    <m/>
    <m/>
    <n v="110.2766983347156"/>
    <m/>
    <n v="100.54073866666668"/>
    <m/>
    <m/>
    <n v="94.2"/>
    <n v="97.3"/>
    <m/>
    <m/>
    <m/>
    <m/>
    <n v="-3.5186885245901656"/>
    <m/>
    <m/>
    <n v="-9.7359596680489204"/>
    <m/>
    <m/>
    <m/>
    <m/>
    <m/>
    <b v="0"/>
    <s v="C"/>
    <s v="OVER"/>
    <n v="0"/>
    <n v="0"/>
    <n v="0"/>
    <n v="-3.5186885245901656"/>
    <n v="12.381168933082517"/>
    <n v="-9.7359596680489204"/>
    <n v="94.788910657875249"/>
  </r>
  <r>
    <x v="70"/>
    <x v="26"/>
    <x v="10"/>
    <m/>
    <m/>
    <m/>
    <m/>
    <m/>
    <m/>
    <m/>
    <m/>
    <n v="108.59265549407401"/>
    <m/>
    <n v="100.13825733333336"/>
    <m/>
    <m/>
    <n v="96.9"/>
    <n v="92.6"/>
    <m/>
    <m/>
    <m/>
    <m/>
    <n v="-6.0986885245901661"/>
    <m/>
    <m/>
    <n v="-8.4543981607406522"/>
    <m/>
    <m/>
    <m/>
    <m/>
    <m/>
    <b v="0"/>
    <s v="SW"/>
    <s v="OVER"/>
    <n v="0"/>
    <n v="0"/>
    <n v="0"/>
    <n v="-6.0986885245901661"/>
    <n v="37.19400171996778"/>
    <n v="-8.4543981607406522"/>
    <n v="71.476848260334918"/>
  </r>
  <r>
    <x v="70"/>
    <x v="4"/>
    <x v="3"/>
    <m/>
    <m/>
    <m/>
    <m/>
    <m/>
    <m/>
    <m/>
    <m/>
    <n v="110.30885341452114"/>
    <m/>
    <n v="96.523719333333361"/>
    <m/>
    <m/>
    <n v="98.3"/>
    <n v="92.9"/>
    <m/>
    <m/>
    <m/>
    <m/>
    <n v="-6.7786885245901658"/>
    <m/>
    <m/>
    <n v="-13.785134081187778"/>
    <m/>
    <m/>
    <m/>
    <m/>
    <m/>
    <b v="0"/>
    <s v="C"/>
    <s v="OVER"/>
    <n v="0"/>
    <n v="0"/>
    <n v="0"/>
    <n v="-6.7786885245901658"/>
    <n v="45.9506181134104"/>
    <n v="-13.785134081187778"/>
    <n v="190.02992163632479"/>
  </r>
  <r>
    <x v="70"/>
    <x v="8"/>
    <x v="24"/>
    <m/>
    <m/>
    <m/>
    <m/>
    <m/>
    <m/>
    <m/>
    <m/>
    <n v="96.181233279760121"/>
    <m/>
    <n v="100.03394133333336"/>
    <m/>
    <m/>
    <n v="98.8"/>
    <n v="99.2"/>
    <m/>
    <m/>
    <m/>
    <m/>
    <n v="2.2313114754098344"/>
    <m/>
    <m/>
    <n v="3.8527080535732381"/>
    <m/>
    <m/>
    <m/>
    <m/>
    <m/>
    <b v="0"/>
    <s v="SW"/>
    <s v="OVER"/>
    <n v="0"/>
    <n v="0"/>
    <n v="0"/>
    <n v="2.2313114754098344"/>
    <n v="4.9787509002956121"/>
    <n v="3.8527080535732381"/>
    <n v="14.843359346068089"/>
  </r>
  <r>
    <x v="70"/>
    <x v="2"/>
    <x v="21"/>
    <m/>
    <m/>
    <m/>
    <m/>
    <m/>
    <m/>
    <m/>
    <m/>
    <n v="113.34913413790987"/>
    <m/>
    <n v="114.66954800000002"/>
    <m/>
    <m/>
    <n v="99.3"/>
    <n v="100.2"/>
    <m/>
    <m/>
    <m/>
    <m/>
    <n v="-2.7786885245901658"/>
    <m/>
    <m/>
    <n v="1.3204138620901489"/>
    <m/>
    <m/>
    <m/>
    <m/>
    <m/>
    <b v="0"/>
    <s v="NW"/>
    <s v="OVER"/>
    <n v="0"/>
    <n v="0"/>
    <n v="0"/>
    <n v="-2.7786885245901658"/>
    <n v="7.7211099166890724"/>
    <n v="1.3204138620901489"/>
    <n v="1.7434927671998226"/>
  </r>
  <r>
    <x v="70"/>
    <x v="12"/>
    <x v="2"/>
    <m/>
    <m/>
    <m/>
    <m/>
    <m/>
    <m/>
    <m/>
    <m/>
    <n v="105.48252369203996"/>
    <m/>
    <n v="98.299060000000026"/>
    <m/>
    <m/>
    <n v="95.4"/>
    <n v="91.5"/>
    <m/>
    <m/>
    <m/>
    <m/>
    <n v="-4.5086885245901653"/>
    <m/>
    <m/>
    <n v="-7.1834636920399362"/>
    <m/>
    <m/>
    <m/>
    <m/>
    <m/>
    <b v="0"/>
    <s v="A"/>
    <s v="OVER"/>
    <n v="0"/>
    <n v="0"/>
    <n v="0"/>
    <n v="-4.5086885245901653"/>
    <n v="20.328272211771043"/>
    <n v="-7.1834636920399362"/>
    <n v="51.602150614856029"/>
  </r>
  <r>
    <x v="71"/>
    <x v="3"/>
    <x v="28"/>
    <m/>
    <m/>
    <m/>
    <m/>
    <m/>
    <m/>
    <m/>
    <m/>
    <n v="107.25554124532324"/>
    <m/>
    <n v="97.032650000000018"/>
    <m/>
    <m/>
    <n v="99.5"/>
    <n v="97.5"/>
    <m/>
    <m/>
    <m/>
    <m/>
    <n v="-13.028688524590166"/>
    <m/>
    <m/>
    <n v="-10.222891245323225"/>
    <m/>
    <m/>
    <m/>
    <m/>
    <m/>
    <b v="1"/>
    <s v="A"/>
    <s v="OVER"/>
    <n v="0"/>
    <n v="0"/>
    <n v="0"/>
    <n v="-13.028688524590166"/>
    <n v="169.74672467078747"/>
    <n v="-10.222891245323225"/>
    <n v="104.50750541370624"/>
  </r>
  <r>
    <x v="71"/>
    <x v="16"/>
    <x v="20"/>
    <m/>
    <m/>
    <m/>
    <m/>
    <m/>
    <m/>
    <m/>
    <m/>
    <n v="100.13525801271781"/>
    <m/>
    <n v="115.84602866666668"/>
    <m/>
    <m/>
    <n v="92.9"/>
    <n v="97.3"/>
    <m/>
    <m/>
    <m/>
    <m/>
    <n v="14.771311475409835"/>
    <m/>
    <m/>
    <n v="15.71077065394887"/>
    <m/>
    <m/>
    <m/>
    <m/>
    <m/>
    <b v="0"/>
    <s v="A"/>
    <s v="OVER"/>
    <n v="0"/>
    <n v="0"/>
    <n v="0"/>
    <n v="14.771311475409835"/>
    <n v="218.19164270357427"/>
    <n v="15.71077065394887"/>
    <n v="246.82831454098101"/>
  </r>
  <r>
    <x v="71"/>
    <x v="1"/>
    <x v="23"/>
    <m/>
    <m/>
    <m/>
    <m/>
    <m/>
    <m/>
    <m/>
    <m/>
    <n v="110.02206298006877"/>
    <m/>
    <n v="97.566681333333364"/>
    <m/>
    <m/>
    <n v="100.7"/>
    <n v="96.2"/>
    <m/>
    <m/>
    <m/>
    <m/>
    <n v="-13.408688524590165"/>
    <m/>
    <m/>
    <n v="-12.455381646735404"/>
    <m/>
    <m/>
    <m/>
    <m/>
    <m/>
    <b v="0"/>
    <s v="P"/>
    <s v="OVER"/>
    <n v="0"/>
    <n v="0"/>
    <n v="0"/>
    <n v="-13.408688524590165"/>
    <n v="179.79292794947597"/>
    <n v="-12.455381646735404"/>
    <n v="155.13653196583314"/>
  </r>
  <r>
    <x v="71"/>
    <x v="5"/>
    <x v="9"/>
    <m/>
    <m/>
    <m/>
    <m/>
    <m/>
    <m/>
    <m/>
    <m/>
    <n v="105.2919914170964"/>
    <m/>
    <n v="100.24826600000003"/>
    <m/>
    <m/>
    <n v="100.2"/>
    <n v="93.9"/>
    <m/>
    <m/>
    <m/>
    <m/>
    <n v="-1.4586885245901657"/>
    <m/>
    <m/>
    <n v="-5.0437254170963683"/>
    <m/>
    <m/>
    <m/>
    <m/>
    <m/>
    <b v="0"/>
    <s v="P"/>
    <s v="OVER"/>
    <n v="0"/>
    <n v="0"/>
    <n v="0"/>
    <n v="-1.4586885245901657"/>
    <n v="2.1277722117710347"/>
    <n v="-5.0437254170963683"/>
    <n v="25.439166083063935"/>
  </r>
  <r>
    <x v="71"/>
    <x v="7"/>
    <x v="0"/>
    <m/>
    <m/>
    <m/>
    <m/>
    <m/>
    <m/>
    <m/>
    <m/>
    <n v="110.92115333230637"/>
    <m/>
    <n v="106.39784133333337"/>
    <m/>
    <m/>
    <n v="96.1"/>
    <n v="96.2"/>
    <m/>
    <m/>
    <m/>
    <m/>
    <n v="-1.9586885245901655"/>
    <m/>
    <m/>
    <n v="-4.523311998973"/>
    <m/>
    <m/>
    <m/>
    <m/>
    <m/>
    <b v="0"/>
    <s v="C"/>
    <s v="OVER"/>
    <n v="0"/>
    <n v="0"/>
    <n v="0"/>
    <n v="-1.9586885245901655"/>
    <n v="3.8364607363611993"/>
    <n v="-4.523311998973"/>
    <n v="20.460351440053117"/>
  </r>
  <r>
    <x v="71"/>
    <x v="9"/>
    <x v="5"/>
    <m/>
    <m/>
    <m/>
    <m/>
    <m/>
    <m/>
    <m/>
    <m/>
    <n v="99.910294056814664"/>
    <m/>
    <n v="109.44919600000003"/>
    <m/>
    <m/>
    <n v="94.2"/>
    <n v="96.9"/>
    <m/>
    <m/>
    <m/>
    <m/>
    <n v="9.5113114754098351"/>
    <m/>
    <m/>
    <n v="9.5389019431853654"/>
    <m/>
    <m/>
    <m/>
    <m/>
    <m/>
    <b v="0"/>
    <s v="SE"/>
    <s v="OVER"/>
    <n v="0"/>
    <n v="0"/>
    <n v="0"/>
    <n v="9.5113114754098351"/>
    <n v="90.465045982262808"/>
    <n v="9.5389019431853654"/>
    <n v="90.990650281705541"/>
  </r>
  <r>
    <x v="71"/>
    <x v="15"/>
    <x v="15"/>
    <m/>
    <m/>
    <m/>
    <m/>
    <m/>
    <m/>
    <m/>
    <m/>
    <n v="103.07084010654768"/>
    <m/>
    <n v="114.3792426666667"/>
    <m/>
    <m/>
    <n v="94.2"/>
    <n v="96.4"/>
    <m/>
    <m/>
    <m/>
    <m/>
    <n v="11.951311475409835"/>
    <m/>
    <m/>
    <n v="11.308402560119021"/>
    <m/>
    <m/>
    <m/>
    <m/>
    <m/>
    <b v="1"/>
    <s v="P"/>
    <s v="OVER"/>
    <n v="0"/>
    <n v="0"/>
    <n v="0"/>
    <n v="11.951311475409835"/>
    <n v="142.8338459822628"/>
    <n v="11.308402560119021"/>
    <n v="127.87996846170641"/>
  </r>
  <r>
    <x v="71"/>
    <x v="29"/>
    <x v="6"/>
    <m/>
    <m/>
    <m/>
    <m/>
    <m/>
    <m/>
    <m/>
    <m/>
    <n v="112.56240029849835"/>
    <m/>
    <n v="107.47865866666668"/>
    <m/>
    <m/>
    <n v="96.1"/>
    <n v="95.8"/>
    <m/>
    <m/>
    <m/>
    <m/>
    <n v="-1.2286885245901658"/>
    <m/>
    <m/>
    <n v="-5.0837416318316713"/>
    <m/>
    <m/>
    <m/>
    <m/>
    <m/>
    <b v="0"/>
    <s v="SE"/>
    <s v="OVER"/>
    <n v="0"/>
    <n v="0"/>
    <n v="0"/>
    <n v="-1.2286885245901658"/>
    <n v="1.5096754904595584"/>
    <n v="-5.0837416318316713"/>
    <n v="25.844428979218545"/>
  </r>
  <r>
    <x v="72"/>
    <x v="3"/>
    <x v="25"/>
    <m/>
    <m/>
    <m/>
    <m/>
    <m/>
    <m/>
    <m/>
    <m/>
    <n v="104.11134124532325"/>
    <m/>
    <n v="102.11045866666669"/>
    <m/>
    <m/>
    <n v="99.5"/>
    <n v="98.8"/>
    <m/>
    <m/>
    <m/>
    <m/>
    <n v="-6.0386885245901656"/>
    <m/>
    <m/>
    <n v="-2.0008825786565581"/>
    <m/>
    <m/>
    <m/>
    <m/>
    <m/>
    <b v="0"/>
    <s v="A"/>
    <s v="OVER"/>
    <n v="0"/>
    <n v="0"/>
    <n v="0"/>
    <n v="-6.0386885245901656"/>
    <n v="36.465759097016949"/>
    <n v="-2.0008825786565581"/>
    <n v="4.0035310935713175"/>
  </r>
  <r>
    <x v="72"/>
    <x v="14"/>
    <x v="29"/>
    <m/>
    <m/>
    <m/>
    <m/>
    <m/>
    <m/>
    <m/>
    <m/>
    <n v="110.44990726701198"/>
    <m/>
    <n v="107.91711600000004"/>
    <m/>
    <m/>
    <n v="95.1"/>
    <n v="95.4"/>
    <m/>
    <m/>
    <m/>
    <m/>
    <n v="-1.478688524590166"/>
    <m/>
    <m/>
    <n v="-2.5327912670119446"/>
    <m/>
    <m/>
    <m/>
    <m/>
    <m/>
    <b v="0"/>
    <s v="C"/>
    <s v="OVER"/>
    <n v="0"/>
    <n v="0"/>
    <n v="0"/>
    <n v="-1.478688524590166"/>
    <n v="2.1865197527546418"/>
    <n v="-2.5327912670119446"/>
    <n v="6.4150316022519718"/>
  </r>
  <r>
    <x v="72"/>
    <x v="17"/>
    <x v="24"/>
    <m/>
    <m/>
    <m/>
    <m/>
    <m/>
    <m/>
    <m/>
    <m/>
    <n v="88.927223578429093"/>
    <m/>
    <n v="100.63906133333336"/>
    <m/>
    <m/>
    <n v="102"/>
    <n v="99.2"/>
    <m/>
    <m/>
    <m/>
    <m/>
    <n v="8.4013114754098339"/>
    <m/>
    <m/>
    <n v="11.711837754904266"/>
    <m/>
    <m/>
    <m/>
    <m/>
    <m/>
    <b v="0"/>
    <s v="SW"/>
    <s v="OVER"/>
    <n v="0"/>
    <n v="0"/>
    <n v="0"/>
    <n v="8.4013114754098339"/>
    <n v="70.582034506852963"/>
    <n v="11.711837754904266"/>
    <n v="137.167143597201"/>
  </r>
  <r>
    <x v="72"/>
    <x v="4"/>
    <x v="0"/>
    <m/>
    <m/>
    <m/>
    <m/>
    <m/>
    <m/>
    <m/>
    <m/>
    <n v="109.40449341452113"/>
    <m/>
    <n v="105.97456133333337"/>
    <m/>
    <m/>
    <n v="98.3"/>
    <n v="96.2"/>
    <m/>
    <m/>
    <m/>
    <m/>
    <n v="0.40131147540983436"/>
    <m/>
    <m/>
    <n v="-3.4299320811877578"/>
    <m/>
    <m/>
    <m/>
    <m/>
    <m/>
    <b v="0"/>
    <s v="C"/>
    <s v="OVER"/>
    <n v="0"/>
    <n v="0"/>
    <n v="0"/>
    <n v="0.40131147540983436"/>
    <n v="0.16105090029561808"/>
    <n v="-3.4299320811877578"/>
    <n v="11.764434081560983"/>
  </r>
  <r>
    <x v="72"/>
    <x v="28"/>
    <x v="2"/>
    <m/>
    <m/>
    <m/>
    <m/>
    <m/>
    <m/>
    <m/>
    <m/>
    <n v="111.62754150317565"/>
    <m/>
    <n v="100.56826000000004"/>
    <m/>
    <m/>
    <n v="95.8"/>
    <n v="91.5"/>
    <m/>
    <m/>
    <m/>
    <m/>
    <n v="2.6813114754098342"/>
    <m/>
    <m/>
    <n v="-11.059281503175612"/>
    <m/>
    <m/>
    <m/>
    <m/>
    <m/>
    <b v="1"/>
    <s v="NW"/>
    <s v="OVER"/>
    <n v="0"/>
    <n v="0"/>
    <n v="0"/>
    <n v="2.6813114754098342"/>
    <n v="7.1894312281644615"/>
    <n v="-11.059281503175612"/>
    <n v="122.30770736648222"/>
  </r>
  <r>
    <x v="72"/>
    <x v="20"/>
    <x v="8"/>
    <m/>
    <m/>
    <m/>
    <m/>
    <m/>
    <m/>
    <m/>
    <m/>
    <n v="105.92657681965827"/>
    <m/>
    <n v="103.77818066666669"/>
    <m/>
    <m/>
    <n v="92.6"/>
    <n v="99.1"/>
    <m/>
    <m/>
    <m/>
    <m/>
    <n v="-3.8186885245901658"/>
    <m/>
    <m/>
    <n v="-2.1483961529915803"/>
    <m/>
    <m/>
    <m/>
    <m/>
    <m/>
    <b v="1"/>
    <s v="NW"/>
    <s v="OVER"/>
    <n v="0"/>
    <n v="0"/>
    <n v="0"/>
    <n v="-3.8186885245901658"/>
    <n v="14.582382047836617"/>
    <n v="-2.1483961529915803"/>
    <n v="4.6156060301890216"/>
  </r>
  <r>
    <x v="72"/>
    <x v="2"/>
    <x v="12"/>
    <m/>
    <m/>
    <m/>
    <m/>
    <m/>
    <m/>
    <m/>
    <m/>
    <n v="103.97521413790987"/>
    <m/>
    <n v="103.77134800000002"/>
    <m/>
    <m/>
    <n v="99.3"/>
    <n v="94.2"/>
    <m/>
    <m/>
    <m/>
    <m/>
    <n v="2.3813114754098343"/>
    <m/>
    <m/>
    <n v="-0.20386613790985564"/>
    <m/>
    <m/>
    <m/>
    <m/>
    <m/>
    <b v="0"/>
    <s v="NW"/>
    <s v="OVER"/>
    <n v="0"/>
    <n v="0"/>
    <n v="0"/>
    <n v="2.3813114754098343"/>
    <n v="5.6706443429185622"/>
    <n v="-0.20386613790985564"/>
    <n v="4.156140218628028E-2"/>
  </r>
  <r>
    <x v="72"/>
    <x v="25"/>
    <x v="7"/>
    <m/>
    <m/>
    <m/>
    <m/>
    <m/>
    <m/>
    <m/>
    <m/>
    <n v="101.26622525149295"/>
    <m/>
    <n v="103.85866866666667"/>
    <m/>
    <m/>
    <n v="93.3"/>
    <n v="97.3"/>
    <m/>
    <m/>
    <m/>
    <m/>
    <n v="-8.0686885245901667"/>
    <m/>
    <m/>
    <n v="2.5924434151737188"/>
    <m/>
    <m/>
    <m/>
    <m/>
    <m/>
    <b v="0"/>
    <s v="SW"/>
    <s v="OVER"/>
    <n v="0"/>
    <n v="0"/>
    <n v="0"/>
    <n v="-8.0686885245901667"/>
    <n v="65.103734506853044"/>
    <n v="2.5924434151737188"/>
    <n v="6.7207628608775742"/>
  </r>
  <r>
    <x v="73"/>
    <x v="16"/>
    <x v="28"/>
    <m/>
    <m/>
    <m/>
    <m/>
    <m/>
    <m/>
    <m/>
    <m/>
    <n v="102.4763380127178"/>
    <m/>
    <n v="100.55240000000002"/>
    <m/>
    <m/>
    <n v="92.9"/>
    <n v="97.5"/>
    <m/>
    <m/>
    <m/>
    <m/>
    <n v="-3.6786885245901662"/>
    <m/>
    <m/>
    <n v="-1.9239380127177839"/>
    <m/>
    <m/>
    <m/>
    <m/>
    <m/>
    <b v="1"/>
    <s v="A"/>
    <s v="OVER"/>
    <n v="0"/>
    <n v="0"/>
    <n v="0"/>
    <n v="-3.6786885245901662"/>
    <n v="13.532749260951373"/>
    <n v="-1.9239380127177839"/>
    <n v="3.7015374767804556"/>
  </r>
  <r>
    <x v="73"/>
    <x v="27"/>
    <x v="9"/>
    <m/>
    <m/>
    <m/>
    <m/>
    <m/>
    <m/>
    <m/>
    <m/>
    <n v="109.28772172355892"/>
    <m/>
    <n v="92.032016000000027"/>
    <m/>
    <m/>
    <n v="96.4"/>
    <n v="93.9"/>
    <m/>
    <m/>
    <m/>
    <m/>
    <n v="-16.608688524590164"/>
    <m/>
    <m/>
    <n v="-17.25570572355889"/>
    <m/>
    <m/>
    <m/>
    <m/>
    <m/>
    <b v="0"/>
    <s v="P"/>
    <s v="OVER"/>
    <n v="0"/>
    <n v="0"/>
    <n v="0"/>
    <n v="-16.608688524590164"/>
    <n v="275.84853450685301"/>
    <n v="-17.25570572355889"/>
    <n v="297.75938001806304"/>
  </r>
  <r>
    <x v="73"/>
    <x v="5"/>
    <x v="17"/>
    <m/>
    <m/>
    <m/>
    <m/>
    <m/>
    <m/>
    <m/>
    <m/>
    <n v="108.6486914170964"/>
    <m/>
    <n v="96.659248000000019"/>
    <m/>
    <m/>
    <n v="100.2"/>
    <n v="94.2"/>
    <m/>
    <m/>
    <m/>
    <m/>
    <n v="-8.9486885245901657"/>
    <m/>
    <m/>
    <n v="-11.989443417096382"/>
    <m/>
    <m/>
    <m/>
    <m/>
    <m/>
    <b v="0"/>
    <s v="P"/>
    <s v="OVER"/>
    <n v="0"/>
    <n v="0"/>
    <n v="0"/>
    <n v="-8.9486885245901657"/>
    <n v="80.079026310131724"/>
    <n v="-11.989443417096382"/>
    <n v="143.74675345175578"/>
  </r>
  <r>
    <x v="73"/>
    <x v="6"/>
    <x v="2"/>
    <m/>
    <m/>
    <m/>
    <m/>
    <m/>
    <m/>
    <m/>
    <m/>
    <n v="96.156274730416399"/>
    <m/>
    <n v="93.083560000000034"/>
    <m/>
    <m/>
    <n v="96.2"/>
    <n v="91.5"/>
    <m/>
    <m/>
    <m/>
    <m/>
    <n v="0.85131147540983454"/>
    <m/>
    <m/>
    <n v="-3.0727147304163651"/>
    <m/>
    <m/>
    <m/>
    <m/>
    <m/>
    <b v="0"/>
    <s v="SW"/>
    <s v="OVER"/>
    <n v="0"/>
    <n v="0"/>
    <n v="0"/>
    <n v="0.85131147540983454"/>
    <n v="0.72473122816446933"/>
    <n v="-3.0727147304163651"/>
    <n v="9.4415758145177158"/>
  </r>
  <r>
    <x v="73"/>
    <x v="7"/>
    <x v="13"/>
    <m/>
    <m/>
    <m/>
    <m/>
    <m/>
    <m/>
    <m/>
    <m/>
    <n v="110.92115333230637"/>
    <m/>
    <n v="105.17248066666669"/>
    <m/>
    <m/>
    <n v="96.1"/>
    <n v="96.1"/>
    <m/>
    <m/>
    <m/>
    <m/>
    <n v="-3.1186885245901657"/>
    <m/>
    <m/>
    <n v="-5.7486726656396883"/>
    <m/>
    <m/>
    <m/>
    <m/>
    <m/>
    <b v="0"/>
    <s v="C"/>
    <s v="OVER"/>
    <n v="0"/>
    <n v="0"/>
    <n v="0"/>
    <n v="-3.1186885245901657"/>
    <n v="9.7262181134103844"/>
    <n v="-5.7486726656396883"/>
    <n v="33.047237416672921"/>
  </r>
  <r>
    <x v="73"/>
    <x v="11"/>
    <x v="20"/>
    <m/>
    <m/>
    <m/>
    <m/>
    <m/>
    <m/>
    <m/>
    <m/>
    <n v="94.815950941007983"/>
    <m/>
    <n v="112.81999866666669"/>
    <m/>
    <m/>
    <n v="101.7"/>
    <n v="97.3"/>
    <m/>
    <m/>
    <m/>
    <m/>
    <n v="12.401311475409834"/>
    <m/>
    <m/>
    <n v="18.004047725658708"/>
    <m/>
    <m/>
    <m/>
    <m/>
    <m/>
    <b v="0"/>
    <s v="P"/>
    <s v="OVER"/>
    <n v="0"/>
    <n v="0"/>
    <n v="0"/>
    <n v="12.401311475409834"/>
    <n v="153.79252631013162"/>
    <n v="18.004047725658708"/>
    <n v="324.14573450779648"/>
  </r>
  <r>
    <x v="73"/>
    <x v="15"/>
    <x v="18"/>
    <m/>
    <m/>
    <m/>
    <m/>
    <m/>
    <m/>
    <m/>
    <m/>
    <n v="105.88742010654767"/>
    <m/>
    <n v="121.01186133333337"/>
    <m/>
    <m/>
    <n v="94.2"/>
    <n v="100.7"/>
    <m/>
    <m/>
    <m/>
    <m/>
    <n v="10.481311475409834"/>
    <m/>
    <m/>
    <n v="15.124441226785706"/>
    <m/>
    <m/>
    <m/>
    <m/>
    <m/>
    <b v="1"/>
    <s v="P"/>
    <s v="OVER"/>
    <n v="0"/>
    <n v="0"/>
    <n v="0"/>
    <n v="10.481311475409834"/>
    <n v="109.85789024455786"/>
    <n v="15.124441226785706"/>
    <n v="228.74872242249509"/>
  </r>
  <r>
    <x v="73"/>
    <x v="12"/>
    <x v="5"/>
    <m/>
    <m/>
    <m/>
    <m/>
    <m/>
    <m/>
    <m/>
    <m/>
    <n v="112.28454369203997"/>
    <m/>
    <n v="110.46664600000003"/>
    <m/>
    <m/>
    <n v="95.4"/>
    <n v="96.9"/>
    <m/>
    <m/>
    <m/>
    <m/>
    <n v="-5.0686885245901649"/>
    <m/>
    <m/>
    <n v="-1.8178976920399492"/>
    <m/>
    <m/>
    <m/>
    <m/>
    <m/>
    <b v="0"/>
    <s v="A"/>
    <s v="OVER"/>
    <n v="0"/>
    <n v="0"/>
    <n v="0"/>
    <n v="-5.0686885245901649"/>
    <n v="25.691603359312023"/>
    <n v="-1.8178976920399492"/>
    <n v="3.3047520187241739"/>
  </r>
  <r>
    <x v="74"/>
    <x v="14"/>
    <x v="10"/>
    <m/>
    <m/>
    <m/>
    <m/>
    <m/>
    <m/>
    <m/>
    <m/>
    <n v="108.04387726701198"/>
    <m/>
    <n v="97.221357333333358"/>
    <m/>
    <m/>
    <n v="95.1"/>
    <n v="92.6"/>
    <m/>
    <m/>
    <m/>
    <m/>
    <n v="-7.0886885245901654"/>
    <m/>
    <m/>
    <n v="-10.82251993367862"/>
    <m/>
    <m/>
    <m/>
    <m/>
    <m/>
    <b v="0"/>
    <s v="C"/>
    <s v="OVER"/>
    <n v="0"/>
    <n v="0"/>
    <n v="0"/>
    <n v="-7.0886885245901654"/>
    <n v="50.249504998656299"/>
    <n v="-10.82251993367862"/>
    <n v="117.12693771487109"/>
  </r>
  <r>
    <x v="74"/>
    <x v="28"/>
    <x v="4"/>
    <m/>
    <m/>
    <m/>
    <m/>
    <m/>
    <m/>
    <m/>
    <m/>
    <n v="115.22962150317565"/>
    <m/>
    <n v="102.56168000000004"/>
    <m/>
    <m/>
    <n v="95.8"/>
    <n v="102"/>
    <m/>
    <m/>
    <m/>
    <m/>
    <n v="-10.428688524590166"/>
    <m/>
    <m/>
    <n v="-12.667941503175612"/>
    <m/>
    <m/>
    <m/>
    <m/>
    <m/>
    <b v="0"/>
    <s v="NW"/>
    <s v="OVER"/>
    <n v="0"/>
    <n v="0"/>
    <n v="0"/>
    <n v="-10.428688524590166"/>
    <n v="108.75754434291862"/>
    <n v="-12.667941503175612"/>
    <n v="160.47674192787917"/>
  </r>
  <r>
    <x v="74"/>
    <x v="24"/>
    <x v="25"/>
    <m/>
    <m/>
    <m/>
    <m/>
    <m/>
    <m/>
    <m/>
    <m/>
    <n v="107.72685945611427"/>
    <m/>
    <n v="104.76817866666669"/>
    <m/>
    <m/>
    <n v="96.2"/>
    <n v="98.8"/>
    <m/>
    <m/>
    <m/>
    <m/>
    <n v="-3.8686885245901661"/>
    <m/>
    <m/>
    <n v="-2.9586807894475839"/>
    <m/>
    <m/>
    <m/>
    <m/>
    <m/>
    <b v="0"/>
    <s v="A"/>
    <s v="OVER"/>
    <n v="0"/>
    <n v="0"/>
    <n v="0"/>
    <n v="-3.8686885245901661"/>
    <n v="14.966750900295636"/>
    <n v="-2.9586807894475839"/>
    <n v="8.7537920138461782"/>
  </r>
  <r>
    <x v="75"/>
    <x v="16"/>
    <x v="24"/>
    <m/>
    <m/>
    <m/>
    <m/>
    <m/>
    <m/>
    <m/>
    <m/>
    <n v="94.329008012717807"/>
    <m/>
    <n v="105.50978133333335"/>
    <m/>
    <m/>
    <n v="92.9"/>
    <n v="99.2"/>
    <m/>
    <m/>
    <m/>
    <m/>
    <n v="8.3213114754098338"/>
    <m/>
    <m/>
    <n v="11.180773320615543"/>
    <m/>
    <m/>
    <m/>
    <m/>
    <m/>
    <b v="0"/>
    <s v="A"/>
    <s v="OVER"/>
    <n v="0"/>
    <n v="0"/>
    <n v="0"/>
    <n v="8.3213114754098338"/>
    <n v="69.244224670787389"/>
    <n v="11.180773320615543"/>
    <n v="125.00969204698832"/>
  </r>
  <r>
    <x v="75"/>
    <x v="1"/>
    <x v="9"/>
    <m/>
    <m/>
    <m/>
    <m/>
    <m/>
    <m/>
    <m/>
    <m/>
    <n v="111.33116298006875"/>
    <m/>
    <n v="94.839626000000024"/>
    <m/>
    <m/>
    <n v="100.7"/>
    <n v="93.9"/>
    <m/>
    <m/>
    <m/>
    <m/>
    <n v="-15.138688524590165"/>
    <m/>
    <m/>
    <n v="-16.49153698006873"/>
    <m/>
    <m/>
    <m/>
    <m/>
    <m/>
    <b v="0"/>
    <s v="P"/>
    <s v="OVER"/>
    <n v="0"/>
    <n v="0"/>
    <n v="0"/>
    <n v="-15.138688524590165"/>
    <n v="229.17989024455795"/>
    <n v="-16.49153698006873"/>
    <n v="271.97079196497447"/>
  </r>
  <r>
    <x v="75"/>
    <x v="26"/>
    <x v="7"/>
    <m/>
    <m/>
    <m/>
    <m/>
    <m/>
    <m/>
    <m/>
    <m/>
    <n v="109.61010549407401"/>
    <m/>
    <n v="107.81877866666669"/>
    <m/>
    <m/>
    <n v="96.9"/>
    <n v="97.3"/>
    <m/>
    <m/>
    <m/>
    <m/>
    <n v="-4.4786885245901669"/>
    <m/>
    <m/>
    <n v="-1.7913268274073175"/>
    <m/>
    <m/>
    <m/>
    <m/>
    <m/>
    <b v="0"/>
    <s v="SW"/>
    <s v="OVER"/>
    <n v="0"/>
    <n v="0"/>
    <n v="0"/>
    <n v="-4.4786885245901669"/>
    <n v="20.058650900295646"/>
    <n v="-1.7913268274073175"/>
    <n v="3.2088518025891655"/>
  </r>
  <r>
    <x v="75"/>
    <x v="5"/>
    <x v="22"/>
    <m/>
    <m/>
    <m/>
    <m/>
    <m/>
    <m/>
    <m/>
    <m/>
    <n v="114.32001141709641"/>
    <m/>
    <n v="113.63958200000002"/>
    <m/>
    <m/>
    <n v="100.2"/>
    <n v="99.3"/>
    <m/>
    <m/>
    <m/>
    <m/>
    <n v="-2.7786885245901658"/>
    <m/>
    <m/>
    <n v="-0.68042941709639138"/>
    <m/>
    <m/>
    <m/>
    <m/>
    <m/>
    <b v="0"/>
    <s v="P"/>
    <s v="OVER"/>
    <n v="0"/>
    <n v="0"/>
    <n v="0"/>
    <n v="-2.7786885245901658"/>
    <n v="7.7211099166890724"/>
    <n v="-0.68042941709639138"/>
    <n v="0.46298419165013494"/>
  </r>
  <r>
    <x v="75"/>
    <x v="15"/>
    <x v="12"/>
    <m/>
    <m/>
    <m/>
    <m/>
    <m/>
    <m/>
    <m/>
    <m/>
    <n v="102.42086010654768"/>
    <m/>
    <n v="101.70836800000002"/>
    <m/>
    <m/>
    <n v="94.2"/>
    <n v="94.2"/>
    <m/>
    <m/>
    <m/>
    <m/>
    <n v="1.9613114754098344"/>
    <m/>
    <m/>
    <n v="-0.71249210654765704"/>
    <m/>
    <m/>
    <m/>
    <m/>
    <m/>
    <b v="0"/>
    <s v="P"/>
    <s v="OVER"/>
    <n v="0"/>
    <n v="0"/>
    <n v="0"/>
    <n v="1.9613114754098344"/>
    <n v="3.8467427035743014"/>
    <n v="-0.71249210654765704"/>
    <n v="0.50764500189271788"/>
  </r>
  <r>
    <x v="75"/>
    <x v="25"/>
    <x v="26"/>
    <m/>
    <m/>
    <m/>
    <m/>
    <m/>
    <m/>
    <m/>
    <m/>
    <n v="103.84130525149295"/>
    <m/>
    <n v="100.99213066666668"/>
    <m/>
    <m/>
    <n v="93.3"/>
    <n v="96.1"/>
    <m/>
    <m/>
    <m/>
    <m/>
    <n v="-12.478688524590167"/>
    <m/>
    <m/>
    <n v="-2.8491745848262724"/>
    <m/>
    <m/>
    <m/>
    <m/>
    <m/>
    <b v="0"/>
    <s v="SW"/>
    <s v="OVER"/>
    <n v="0"/>
    <n v="0"/>
    <n v="0"/>
    <n v="-12.478688524590167"/>
    <n v="155.71766729373832"/>
    <n v="-2.8491745848262724"/>
    <n v="8.1177958148199618"/>
  </r>
  <r>
    <x v="75"/>
    <x v="12"/>
    <x v="14"/>
    <m/>
    <m/>
    <m/>
    <m/>
    <m/>
    <m/>
    <m/>
    <m/>
    <n v="110.30976369203997"/>
    <m/>
    <n v="108.25666333333335"/>
    <m/>
    <m/>
    <n v="95.4"/>
    <n v="99.5"/>
    <m/>
    <m/>
    <m/>
    <m/>
    <n v="-8.1886885245901659"/>
    <m/>
    <m/>
    <n v="-2.0531003587066152"/>
    <m/>
    <m/>
    <m/>
    <m/>
    <m/>
    <b v="1"/>
    <s v="A"/>
    <s v="OVER"/>
    <n v="0"/>
    <n v="0"/>
    <n v="0"/>
    <n v="-8.1886885245901659"/>
    <n v="67.054619752754675"/>
    <n v="-2.0531003587066152"/>
    <n v="4.2152210829212322"/>
  </r>
  <r>
    <x v="75"/>
    <x v="21"/>
    <x v="20"/>
    <m/>
    <m/>
    <m/>
    <m/>
    <m/>
    <m/>
    <m/>
    <m/>
    <n v="105.94050584399453"/>
    <m/>
    <n v="107.41011866666669"/>
    <m/>
    <m/>
    <n v="91.5"/>
    <n v="97.3"/>
    <m/>
    <m/>
    <m/>
    <m/>
    <n v="1.7413114754098347"/>
    <m/>
    <m/>
    <n v="1.4696128226721612"/>
    <m/>
    <m/>
    <m/>
    <m/>
    <m/>
    <b v="0"/>
    <s v="NW"/>
    <s v="OVER"/>
    <n v="0"/>
    <n v="0"/>
    <n v="0"/>
    <n v="1.7413114754098347"/>
    <n v="3.0321656543939755"/>
    <n v="1.4696128226721612"/>
    <n v="2.1597618485624372"/>
  </r>
  <r>
    <x v="75"/>
    <x v="29"/>
    <x v="27"/>
    <m/>
    <m/>
    <m/>
    <m/>
    <m/>
    <m/>
    <m/>
    <m/>
    <n v="108.87216029849834"/>
    <m/>
    <n v="108.64287400000001"/>
    <m/>
    <m/>
    <n v="96.1"/>
    <n v="95.1"/>
    <m/>
    <m/>
    <m/>
    <m/>
    <n v="4.6613114754098337"/>
    <m/>
    <m/>
    <n v="-0.22928629849833726"/>
    <m/>
    <m/>
    <m/>
    <m/>
    <m/>
    <b v="0"/>
    <s v="SE"/>
    <s v="OVER"/>
    <n v="0"/>
    <n v="0"/>
    <n v="0"/>
    <n v="4.6613114754098337"/>
    <n v="21.727824670787399"/>
    <n v="-0.22928629849833726"/>
    <n v="5.2572206679068617E-2"/>
  </r>
  <r>
    <x v="76"/>
    <x v="3"/>
    <x v="13"/>
    <m/>
    <m/>
    <m/>
    <m/>
    <m/>
    <m/>
    <m/>
    <m/>
    <n v="108.68834124532324"/>
    <m/>
    <n v="103.67332066666668"/>
    <m/>
    <m/>
    <n v="99.5"/>
    <n v="96.1"/>
    <m/>
    <m/>
    <m/>
    <m/>
    <n v="-6.1086885245901659"/>
    <m/>
    <m/>
    <n v="-5.0150205786565607"/>
    <m/>
    <m/>
    <m/>
    <m/>
    <m/>
    <b v="0"/>
    <s v="A"/>
    <s v="OVER"/>
    <n v="0"/>
    <n v="0"/>
    <n v="0"/>
    <n v="-6.1086885245901659"/>
    <n v="37.316075490459575"/>
    <n v="-5.0150205786565607"/>
    <n v="25.150431404348787"/>
  </r>
  <r>
    <x v="76"/>
    <x v="27"/>
    <x v="17"/>
    <m/>
    <m/>
    <m/>
    <m/>
    <m/>
    <m/>
    <m/>
    <m/>
    <n v="112.51712172355892"/>
    <m/>
    <n v="88.416748000000027"/>
    <m/>
    <m/>
    <n v="96.4"/>
    <n v="94.2"/>
    <m/>
    <m/>
    <m/>
    <m/>
    <n v="-24.098688524590166"/>
    <m/>
    <m/>
    <n v="-24.100373723558889"/>
    <m/>
    <m/>
    <m/>
    <m/>
    <m/>
    <b v="0"/>
    <s v="P"/>
    <s v="OVER"/>
    <n v="0"/>
    <n v="0"/>
    <n v="0"/>
    <n v="-24.098688524590166"/>
    <n v="580.74678860521374"/>
    <n v="-24.100373723558889"/>
    <n v="580.82801361520774"/>
  </r>
  <r>
    <x v="76"/>
    <x v="28"/>
    <x v="5"/>
    <m/>
    <m/>
    <m/>
    <m/>
    <m/>
    <m/>
    <m/>
    <m/>
    <n v="118.45808150317566"/>
    <m/>
    <n v="112.86976600000004"/>
    <m/>
    <m/>
    <n v="95.8"/>
    <n v="96.9"/>
    <m/>
    <m/>
    <m/>
    <m/>
    <n v="2.1213114754098346"/>
    <m/>
    <m/>
    <n v="-5.5883155031756218"/>
    <m/>
    <m/>
    <m/>
    <m/>
    <m/>
    <b v="0"/>
    <s v="NW"/>
    <s v="OVER"/>
    <n v="0"/>
    <n v="0"/>
    <n v="0"/>
    <n v="2.1213114754098346"/>
    <n v="4.499962375705449"/>
    <n v="-5.5883155031756218"/>
    <n v="31.229270163033004"/>
  </r>
  <r>
    <x v="76"/>
    <x v="20"/>
    <x v="23"/>
    <m/>
    <m/>
    <m/>
    <m/>
    <m/>
    <m/>
    <m/>
    <m/>
    <n v="101.19471681965827"/>
    <m/>
    <n v="97.066441333333373"/>
    <m/>
    <m/>
    <n v="92.6"/>
    <n v="96.2"/>
    <m/>
    <m/>
    <m/>
    <m/>
    <n v="-2.5286885245901658"/>
    <m/>
    <m/>
    <n v="-4.1282754863248954"/>
    <m/>
    <m/>
    <m/>
    <m/>
    <m/>
    <b v="0"/>
    <s v="NW"/>
    <s v="OVER"/>
    <n v="0"/>
    <n v="0"/>
    <n v="0"/>
    <n v="-2.5286885245901658"/>
    <n v="6.3942656543939895"/>
    <n v="-4.1282754863248954"/>
    <n v="17.042658490991052"/>
  </r>
  <r>
    <x v="76"/>
    <x v="10"/>
    <x v="0"/>
    <m/>
    <m/>
    <m/>
    <m/>
    <m/>
    <m/>
    <m/>
    <m/>
    <n v="102.04894419888251"/>
    <m/>
    <n v="106.09962133333337"/>
    <m/>
    <m/>
    <n v="97.5"/>
    <n v="96.2"/>
    <m/>
    <m/>
    <m/>
    <m/>
    <n v="5.3013114754098343"/>
    <m/>
    <m/>
    <n v="4.050677134450865"/>
    <m/>
    <m/>
    <m/>
    <m/>
    <m/>
    <b v="1"/>
    <s v="A"/>
    <s v="OVER"/>
    <n v="0"/>
    <n v="0"/>
    <n v="0"/>
    <n v="5.3013114754098343"/>
    <n v="28.103903359311992"/>
    <n v="4.050677134450865"/>
    <n v="16.407985247563072"/>
  </r>
  <r>
    <x v="76"/>
    <x v="2"/>
    <x v="20"/>
    <m/>
    <m/>
    <m/>
    <m/>
    <m/>
    <m/>
    <m/>
    <m/>
    <n v="108.08623413790987"/>
    <m/>
    <n v="117.09146866666669"/>
    <m/>
    <m/>
    <n v="99.3"/>
    <n v="97.3"/>
    <m/>
    <m/>
    <m/>
    <m/>
    <n v="8.4213114754098353"/>
    <m/>
    <m/>
    <n v="9.0052345287568158"/>
    <m/>
    <m/>
    <m/>
    <m/>
    <m/>
    <b v="0"/>
    <s v="NW"/>
    <s v="OVER"/>
    <n v="0"/>
    <n v="0"/>
    <n v="0"/>
    <n v="8.4213114754098353"/>
    <n v="70.918486965869377"/>
    <n v="9.0052345287568158"/>
    <n v="81.094248917913987"/>
  </r>
  <r>
    <x v="77"/>
    <x v="16"/>
    <x v="25"/>
    <m/>
    <m/>
    <m/>
    <m/>
    <m/>
    <m/>
    <m/>
    <m/>
    <n v="99.540698012717812"/>
    <m/>
    <n v="105.67713866666668"/>
    <m/>
    <m/>
    <n v="92.9"/>
    <n v="98.8"/>
    <m/>
    <m/>
    <m/>
    <m/>
    <n v="3.3113114754098341"/>
    <m/>
    <m/>
    <n v="6.136440653948867"/>
    <m/>
    <m/>
    <m/>
    <m/>
    <m/>
    <b v="0"/>
    <s v="A"/>
    <s v="OVER"/>
    <n v="0"/>
    <n v="0"/>
    <n v="0"/>
    <n v="3.3113114754098341"/>
    <n v="10.964783687180852"/>
    <n v="6.136440653948867"/>
    <n v="37.655903899436396"/>
  </r>
  <r>
    <x v="77"/>
    <x v="23"/>
    <x v="16"/>
    <m/>
    <m/>
    <m/>
    <m/>
    <m/>
    <m/>
    <m/>
    <m/>
    <n v="105.77789917909573"/>
    <m/>
    <n v="102.22282533333335"/>
    <m/>
    <m/>
    <n v="99.1"/>
    <n v="98.3"/>
    <m/>
    <m/>
    <m/>
    <m/>
    <n v="-6.8886885245901661"/>
    <m/>
    <m/>
    <n v="-3.5550738457623794"/>
    <m/>
    <m/>
    <m/>
    <m/>
    <m/>
    <b v="0"/>
    <s v="NW"/>
    <s v="OVER"/>
    <n v="0"/>
    <n v="0"/>
    <n v="0"/>
    <n v="-6.8886885245901661"/>
    <n v="47.454029588820241"/>
    <n v="-3.5550738457623794"/>
    <n v="12.638550048823713"/>
  </r>
  <r>
    <x v="77"/>
    <x v="1"/>
    <x v="12"/>
    <m/>
    <m/>
    <m/>
    <m/>
    <m/>
    <m/>
    <m/>
    <m/>
    <n v="110.03213298006877"/>
    <m/>
    <n v="97.535308000000015"/>
    <m/>
    <m/>
    <n v="100.7"/>
    <n v="94.2"/>
    <m/>
    <m/>
    <m/>
    <m/>
    <n v="-11.298688524590165"/>
    <m/>
    <m/>
    <n v="-12.496824980068752"/>
    <m/>
    <m/>
    <m/>
    <m/>
    <m/>
    <b v="0"/>
    <s v="P"/>
    <s v="OVER"/>
    <n v="0"/>
    <n v="0"/>
    <n v="0"/>
    <n v="-11.298688524590165"/>
    <n v="127.66036237570549"/>
    <n v="-12.496824980068752"/>
    <n v="156.17063458247034"/>
  </r>
  <r>
    <x v="77"/>
    <x v="24"/>
    <x v="27"/>
    <m/>
    <m/>
    <m/>
    <m/>
    <m/>
    <m/>
    <m/>
    <m/>
    <n v="108.52531945611427"/>
    <m/>
    <n v="108.64287400000001"/>
    <m/>
    <m/>
    <n v="96.2"/>
    <n v="95.1"/>
    <m/>
    <m/>
    <m/>
    <m/>
    <n v="3.501311475409834"/>
    <m/>
    <m/>
    <n v="0.11755454388573128"/>
    <m/>
    <m/>
    <m/>
    <m/>
    <m/>
    <b v="0"/>
    <s v="A"/>
    <s v="OVER"/>
    <n v="0"/>
    <n v="0"/>
    <n v="0"/>
    <n v="3.501311475409834"/>
    <n v="12.259182047836589"/>
    <n v="0.11755454388573128"/>
    <n v="1.3819070788182321E-2"/>
  </r>
  <r>
    <x v="77"/>
    <x v="11"/>
    <x v="4"/>
    <m/>
    <m/>
    <m/>
    <m/>
    <m/>
    <m/>
    <m/>
    <m/>
    <n v="94.785440941007991"/>
    <m/>
    <n v="100.25648000000002"/>
    <m/>
    <m/>
    <n v="101.7"/>
    <n v="102"/>
    <m/>
    <m/>
    <m/>
    <m/>
    <n v="-5.228688524590166"/>
    <m/>
    <m/>
    <n v="5.4710390589920337"/>
    <m/>
    <m/>
    <m/>
    <m/>
    <m/>
    <b v="0"/>
    <s v="P"/>
    <s v="OVER"/>
    <n v="0"/>
    <n v="0"/>
    <n v="0"/>
    <n v="-5.228688524590166"/>
    <n v="27.339183687180888"/>
    <n v="5.4710390589920337"/>
    <n v="29.932268385016439"/>
  </r>
  <r>
    <x v="77"/>
    <x v="25"/>
    <x v="21"/>
    <m/>
    <m/>
    <m/>
    <m/>
    <m/>
    <m/>
    <m/>
    <m/>
    <n v="106.14581525149296"/>
    <m/>
    <n v="107.76576800000002"/>
    <m/>
    <m/>
    <n v="93.3"/>
    <n v="100.2"/>
    <m/>
    <m/>
    <m/>
    <m/>
    <n v="-12.488688524590167"/>
    <m/>
    <m/>
    <n v="1.6199527485070604"/>
    <m/>
    <m/>
    <m/>
    <m/>
    <m/>
    <b v="0"/>
    <s v="SW"/>
    <s v="OVER"/>
    <n v="0"/>
    <n v="0"/>
    <n v="0"/>
    <n v="-12.488688524590167"/>
    <n v="155.96734106423011"/>
    <n v="1.6199527485070604"/>
    <n v="2.6242469073955794"/>
  </r>
  <r>
    <x v="78"/>
    <x v="13"/>
    <x v="14"/>
    <m/>
    <m/>
    <m/>
    <m/>
    <m/>
    <m/>
    <m/>
    <m/>
    <n v="100.66379929291129"/>
    <m/>
    <n v="100.49566333333335"/>
    <m/>
    <m/>
    <n v="99.2"/>
    <n v="99.5"/>
    <m/>
    <m/>
    <m/>
    <m/>
    <n v="-4.5286885245901658"/>
    <m/>
    <m/>
    <n v="-0.16813595957793837"/>
    <m/>
    <m/>
    <m/>
    <m/>
    <m/>
    <b v="0"/>
    <s v="SE"/>
    <s v="OVER"/>
    <n v="0"/>
    <n v="0"/>
    <n v="0"/>
    <n v="-4.5286885245901658"/>
    <n v="20.509019752754654"/>
    <n v="-0.16813595957793837"/>
    <n v="2.8269700903194125E-2"/>
  </r>
  <r>
    <x v="78"/>
    <x v="26"/>
    <x v="23"/>
    <m/>
    <m/>
    <m/>
    <m/>
    <m/>
    <m/>
    <m/>
    <m/>
    <n v="105.52092549407401"/>
    <m/>
    <n v="101.22228133333337"/>
    <m/>
    <m/>
    <n v="96.9"/>
    <n v="96.2"/>
    <m/>
    <m/>
    <m/>
    <m/>
    <n v="-5.8486885245901661"/>
    <m/>
    <m/>
    <n v="-4.2986441607406363"/>
    <m/>
    <m/>
    <m/>
    <m/>
    <m/>
    <b v="1"/>
    <s v="SW"/>
    <s v="OVER"/>
    <n v="0"/>
    <n v="0"/>
    <n v="0"/>
    <n v="-5.8486885245901661"/>
    <n v="34.207157457672693"/>
    <n v="-4.2986441607406363"/>
    <n v="18.478341620669568"/>
  </r>
  <r>
    <x v="78"/>
    <x v="7"/>
    <x v="9"/>
    <m/>
    <m/>
    <m/>
    <m/>
    <m/>
    <m/>
    <m/>
    <m/>
    <n v="104.37674333230638"/>
    <m/>
    <n v="97.928936000000036"/>
    <m/>
    <m/>
    <n v="96.1"/>
    <n v="93.9"/>
    <m/>
    <m/>
    <m/>
    <m/>
    <n v="-1.4686885245901655"/>
    <m/>
    <m/>
    <n v="-6.4478073323063398"/>
    <m/>
    <m/>
    <m/>
    <m/>
    <m/>
    <b v="0"/>
    <s v="C"/>
    <s v="OVER"/>
    <n v="0"/>
    <n v="0"/>
    <n v="0"/>
    <n v="-1.4686885245901655"/>
    <n v="2.1570459822628374"/>
    <n v="-6.4478073323063398"/>
    <n v="41.574219394543398"/>
  </r>
  <r>
    <x v="78"/>
    <x v="28"/>
    <x v="10"/>
    <m/>
    <m/>
    <m/>
    <m/>
    <m/>
    <m/>
    <m/>
    <m/>
    <n v="114.31952150317565"/>
    <m/>
    <n v="100.77719733333336"/>
    <m/>
    <m/>
    <n v="95.8"/>
    <n v="92.6"/>
    <m/>
    <m/>
    <m/>
    <m/>
    <n v="-1.1986885245901657"/>
    <m/>
    <m/>
    <n v="-13.542324169842288"/>
    <m/>
    <m/>
    <m/>
    <m/>
    <m/>
    <b v="1"/>
    <s v="NW"/>
    <s v="OVER"/>
    <n v="0"/>
    <n v="0"/>
    <n v="0"/>
    <n v="-1.1986885245901657"/>
    <n v="1.4368541789841482"/>
    <n v="-13.542324169842288"/>
    <n v="183.39454392109462"/>
  </r>
  <r>
    <x v="78"/>
    <x v="10"/>
    <x v="7"/>
    <m/>
    <m/>
    <m/>
    <m/>
    <m/>
    <m/>
    <m/>
    <m/>
    <n v="98.256194198882511"/>
    <m/>
    <n v="107.02091866666667"/>
    <m/>
    <m/>
    <n v="97.5"/>
    <n v="97.3"/>
    <m/>
    <m/>
    <m/>
    <m/>
    <n v="8.8913114754098341"/>
    <m/>
    <m/>
    <n v="8.7647244677841627"/>
    <m/>
    <m/>
    <m/>
    <m/>
    <m/>
    <b v="0"/>
    <s v="A"/>
    <s v="OVER"/>
    <n v="0"/>
    <n v="0"/>
    <n v="0"/>
    <n v="8.8913114754098341"/>
    <n v="79.055419752754602"/>
    <n v="8.7647244677841627"/>
    <n v="76.820394996174372"/>
  </r>
  <r>
    <x v="78"/>
    <x v="2"/>
    <x v="17"/>
    <m/>
    <m/>
    <m/>
    <m/>
    <m/>
    <m/>
    <m/>
    <m/>
    <n v="108.58273413790988"/>
    <m/>
    <n v="97.469368000000031"/>
    <m/>
    <m/>
    <n v="99.3"/>
    <n v="94.2"/>
    <m/>
    <m/>
    <m/>
    <m/>
    <n v="-8.9486885245901657"/>
    <m/>
    <m/>
    <n v="-11.11336613790985"/>
    <m/>
    <m/>
    <m/>
    <m/>
    <m/>
    <b v="0"/>
    <s v="NW"/>
    <s v="OVER"/>
    <n v="0"/>
    <n v="0"/>
    <n v="0"/>
    <n v="-8.9486885245901657"/>
    <n v="80.079026310131724"/>
    <n v="-11.11336613790985"/>
    <n v="123.50690691524129"/>
  </r>
  <r>
    <x v="78"/>
    <x v="15"/>
    <x v="20"/>
    <m/>
    <m/>
    <m/>
    <m/>
    <m/>
    <m/>
    <m/>
    <m/>
    <n v="106.32074010654767"/>
    <m/>
    <n v="114.9605986666667"/>
    <m/>
    <m/>
    <n v="94.2"/>
    <n v="97.3"/>
    <m/>
    <m/>
    <m/>
    <m/>
    <n v="8.0013114754098353"/>
    <m/>
    <m/>
    <n v="8.6398585601190234"/>
    <m/>
    <m/>
    <m/>
    <m/>
    <m/>
    <b v="0"/>
    <s v="P"/>
    <s v="OVER"/>
    <n v="0"/>
    <n v="0"/>
    <n v="0"/>
    <n v="8.0013114754098353"/>
    <n v="64.020985326525121"/>
    <n v="8.6398585601190234"/>
    <n v="74.647155938861971"/>
  </r>
  <r>
    <x v="78"/>
    <x v="12"/>
    <x v="3"/>
    <m/>
    <m/>
    <m/>
    <m/>
    <m/>
    <m/>
    <m/>
    <m/>
    <n v="113.75370369203996"/>
    <m/>
    <n v="95.743359333333359"/>
    <m/>
    <m/>
    <n v="95.4"/>
    <n v="92.9"/>
    <m/>
    <m/>
    <m/>
    <m/>
    <n v="-17.538688524590164"/>
    <m/>
    <m/>
    <n v="-18.010344358706604"/>
    <m/>
    <m/>
    <m/>
    <m/>
    <m/>
    <b v="1"/>
    <s v="A"/>
    <s v="OVER"/>
    <n v="0"/>
    <n v="0"/>
    <n v="0"/>
    <n v="-17.538688524590164"/>
    <n v="307.6055951625907"/>
    <n v="-18.010344358706604"/>
    <n v="324.3725039191948"/>
  </r>
  <r>
    <x v="78"/>
    <x v="21"/>
    <x v="12"/>
    <m/>
    <m/>
    <m/>
    <m/>
    <m/>
    <m/>
    <m/>
    <m/>
    <n v="102.15240584399453"/>
    <m/>
    <n v="94.398448000000016"/>
    <m/>
    <m/>
    <n v="91.5"/>
    <n v="94.2"/>
    <m/>
    <m/>
    <m/>
    <m/>
    <n v="-4.2986885245901654"/>
    <m/>
    <m/>
    <n v="-7.7539578439945132"/>
    <m/>
    <m/>
    <m/>
    <m/>
    <m/>
    <b v="0"/>
    <s v="NW"/>
    <s v="OVER"/>
    <n v="0"/>
    <n v="0"/>
    <n v="0"/>
    <n v="-4.2986885245901654"/>
    <n v="18.478723031443174"/>
    <n v="-7.7539578439945132"/>
    <n v="60.123862246444041"/>
  </r>
  <r>
    <x v="79"/>
    <x v="14"/>
    <x v="25"/>
    <m/>
    <m/>
    <m/>
    <m/>
    <m/>
    <m/>
    <m/>
    <m/>
    <n v="108.36721726701198"/>
    <m/>
    <n v="101.04341866666668"/>
    <m/>
    <m/>
    <n v="95.1"/>
    <n v="98.8"/>
    <m/>
    <m/>
    <m/>
    <m/>
    <n v="-10.148688524590167"/>
    <m/>
    <m/>
    <n v="-7.3237986003452988"/>
    <m/>
    <m/>
    <m/>
    <m/>
    <m/>
    <b v="0"/>
    <s v="C"/>
    <s v="OVER"/>
    <n v="0"/>
    <n v="0"/>
    <n v="0"/>
    <n v="-10.148688524590167"/>
    <n v="102.99587876914813"/>
    <n v="-7.3237986003452988"/>
    <n v="53.638025938419759"/>
  </r>
  <r>
    <x v="79"/>
    <x v="27"/>
    <x v="21"/>
    <m/>
    <m/>
    <m/>
    <m/>
    <m/>
    <m/>
    <m/>
    <m/>
    <n v="117.14432172355892"/>
    <m/>
    <n v="105.04032800000002"/>
    <m/>
    <m/>
    <n v="96.4"/>
    <n v="100.2"/>
    <m/>
    <m/>
    <m/>
    <m/>
    <n v="-17.928688524590164"/>
    <m/>
    <m/>
    <n v="-12.103993723558901"/>
    <m/>
    <m/>
    <m/>
    <m/>
    <m/>
    <b v="1"/>
    <s v="P"/>
    <s v="OVER"/>
    <n v="0"/>
    <n v="0"/>
    <n v="0"/>
    <n v="-17.928688524590164"/>
    <n v="321.43787221177104"/>
    <n v="-12.103993723558901"/>
    <n v="146.50666405995327"/>
  </r>
  <r>
    <x v="79"/>
    <x v="11"/>
    <x v="1"/>
    <m/>
    <m/>
    <m/>
    <m/>
    <m/>
    <m/>
    <m/>
    <m/>
    <n v="94.073540941007977"/>
    <m/>
    <n v="106.11071200000002"/>
    <m/>
    <m/>
    <n v="101.7"/>
    <n v="93.3"/>
    <m/>
    <m/>
    <m/>
    <m/>
    <n v="10.911311475409835"/>
    <m/>
    <m/>
    <n v="12.037171058992044"/>
    <m/>
    <m/>
    <m/>
    <m/>
    <m/>
    <b v="0"/>
    <s v="P"/>
    <s v="OVER"/>
    <n v="0"/>
    <n v="0"/>
    <n v="0"/>
    <n v="10.911311475409835"/>
    <n v="119.05671811341035"/>
    <n v="12.037171058992044"/>
    <n v="144.89348710343563"/>
  </r>
  <r>
    <x v="79"/>
    <x v="21"/>
    <x v="17"/>
    <m/>
    <m/>
    <m/>
    <m/>
    <m/>
    <m/>
    <m/>
    <m/>
    <n v="106.39800584399453"/>
    <m/>
    <n v="88.096468000000016"/>
    <m/>
    <m/>
    <n v="91.5"/>
    <n v="94.2"/>
    <m/>
    <m/>
    <m/>
    <m/>
    <n v="-15.628688524590167"/>
    <m/>
    <m/>
    <n v="-18.30153784399451"/>
    <m/>
    <m/>
    <m/>
    <m/>
    <m/>
    <b v="0"/>
    <s v="NW"/>
    <s v="OVER"/>
    <n v="0"/>
    <n v="0"/>
    <n v="0"/>
    <n v="-15.628688524590167"/>
    <n v="244.25590499865638"/>
    <n v="-18.30153784399451"/>
    <n v="334.9462874551632"/>
  </r>
  <r>
    <x v="79"/>
    <x v="29"/>
    <x v="28"/>
    <m/>
    <m/>
    <m/>
    <m/>
    <m/>
    <m/>
    <m/>
    <m/>
    <n v="111.11129029849835"/>
    <m/>
    <n v="99.655400000000014"/>
    <m/>
    <m/>
    <n v="96.1"/>
    <n v="97.5"/>
    <m/>
    <m/>
    <m/>
    <m/>
    <n v="-9.6986885245901657"/>
    <m/>
    <m/>
    <n v="-11.455890298498332"/>
    <m/>
    <m/>
    <m/>
    <m/>
    <m/>
    <b v="0"/>
    <s v="SE"/>
    <s v="OVER"/>
    <n v="0"/>
    <n v="0"/>
    <n v="0"/>
    <n v="-9.6986885245901657"/>
    <n v="94.064559097016968"/>
    <n v="-11.455890298498332"/>
    <n v="131.23742253122819"/>
  </r>
  <r>
    <x v="80"/>
    <x v="13"/>
    <x v="26"/>
    <m/>
    <m/>
    <m/>
    <m/>
    <m/>
    <m/>
    <m/>
    <m/>
    <n v="102.21131929291128"/>
    <m/>
    <n v="95.687410666666693"/>
    <m/>
    <m/>
    <n v="99.2"/>
    <n v="96.1"/>
    <m/>
    <m/>
    <m/>
    <m/>
    <n v="-7.518688524590166"/>
    <m/>
    <m/>
    <n v="-6.5239086262445909"/>
    <m/>
    <m/>
    <m/>
    <m/>
    <m/>
    <b v="0"/>
    <s v="SE"/>
    <s v="OVER"/>
    <n v="0"/>
    <n v="0"/>
    <n v="0"/>
    <n v="-7.518688524590166"/>
    <n v="56.530677129803848"/>
    <n v="-6.5239086262445909"/>
    <n v="42.561383763588587"/>
  </r>
  <r>
    <x v="80"/>
    <x v="16"/>
    <x v="5"/>
    <m/>
    <m/>
    <m/>
    <m/>
    <m/>
    <m/>
    <m/>
    <m/>
    <n v="103.23811801271781"/>
    <m/>
    <n v="113.69341600000003"/>
    <m/>
    <m/>
    <n v="92.9"/>
    <n v="96.9"/>
    <m/>
    <m/>
    <m/>
    <m/>
    <n v="9.6913114754098348"/>
    <m/>
    <m/>
    <n v="10.455297987282222"/>
    <m/>
    <m/>
    <m/>
    <m/>
    <m/>
    <b v="0"/>
    <s v="A"/>
    <s v="OVER"/>
    <n v="0"/>
    <n v="0"/>
    <n v="0"/>
    <n v="9.6913114754098348"/>
    <n v="93.921518113410343"/>
    <n v="10.455297987282222"/>
    <n v="109.31325600286769"/>
  </r>
  <r>
    <x v="80"/>
    <x v="17"/>
    <x v="6"/>
    <m/>
    <m/>
    <m/>
    <m/>
    <m/>
    <m/>
    <m/>
    <m/>
    <n v="99.412823578429084"/>
    <m/>
    <n v="103.65623866666668"/>
    <m/>
    <m/>
    <n v="102"/>
    <n v="95.8"/>
    <m/>
    <m/>
    <m/>
    <m/>
    <n v="4.8713114754098346"/>
    <m/>
    <m/>
    <n v="4.2434150882375974"/>
    <m/>
    <m/>
    <m/>
    <m/>
    <m/>
    <b v="0"/>
    <s v="SW"/>
    <s v="OVER"/>
    <n v="0"/>
    <n v="0"/>
    <n v="0"/>
    <n v="4.8713114754098346"/>
    <n v="23.729675490459538"/>
    <n v="4.2434150882375974"/>
    <n v="18.006571611082496"/>
  </r>
  <r>
    <x v="80"/>
    <x v="5"/>
    <x v="12"/>
    <m/>
    <m/>
    <m/>
    <m/>
    <m/>
    <m/>
    <m/>
    <m/>
    <n v="103.99941141709641"/>
    <m/>
    <n v="102.96122800000002"/>
    <m/>
    <m/>
    <n v="100.2"/>
    <n v="94.2"/>
    <m/>
    <m/>
    <m/>
    <m/>
    <n v="2.3813114754098343"/>
    <m/>
    <m/>
    <n v="-1.0381834170963913"/>
    <m/>
    <m/>
    <m/>
    <m/>
    <m/>
    <b v="0"/>
    <s v="P"/>
    <s v="OVER"/>
    <n v="0"/>
    <n v="0"/>
    <n v="0"/>
    <n v="2.3813114754098343"/>
    <n v="5.6706443429185622"/>
    <n v="-1.0381834170963913"/>
    <n v="1.0778248075339396"/>
  </r>
  <r>
    <x v="80"/>
    <x v="6"/>
    <x v="27"/>
    <m/>
    <m/>
    <m/>
    <m/>
    <m/>
    <m/>
    <m/>
    <m/>
    <n v="99.985034730416402"/>
    <m/>
    <n v="100.93026400000001"/>
    <m/>
    <m/>
    <n v="96.2"/>
    <n v="95.1"/>
    <m/>
    <m/>
    <m/>
    <m/>
    <n v="1.2813114754098343"/>
    <m/>
    <m/>
    <n v="0.94522926958360642"/>
    <m/>
    <m/>
    <m/>
    <m/>
    <m/>
    <b v="0"/>
    <s v="SW"/>
    <s v="OVER"/>
    <n v="0"/>
    <n v="0"/>
    <n v="0"/>
    <n v="1.2813114754098343"/>
    <n v="1.6417590970169262"/>
    <n v="0.94522926958360642"/>
    <n v="0.89345837207755807"/>
  </r>
  <r>
    <x v="80"/>
    <x v="15"/>
    <x v="10"/>
    <m/>
    <m/>
    <m/>
    <m/>
    <m/>
    <m/>
    <m/>
    <m/>
    <n v="105.39758010654766"/>
    <m/>
    <n v="100.72163733333336"/>
    <m/>
    <m/>
    <n v="94.2"/>
    <n v="92.6"/>
    <m/>
    <m/>
    <m/>
    <m/>
    <n v="-0.39868852459016574"/>
    <m/>
    <m/>
    <n v="-4.6759427732143024"/>
    <m/>
    <m/>
    <m/>
    <m/>
    <m/>
    <b v="0"/>
    <s v="P"/>
    <s v="OVER"/>
    <n v="0"/>
    <n v="0"/>
    <n v="0"/>
    <n v="-0.39868852459016574"/>
    <n v="0.15895253963988318"/>
    <n v="-4.6759427732143024"/>
    <n v="21.864440818375062"/>
  </r>
  <r>
    <x v="80"/>
    <x v="12"/>
    <x v="0"/>
    <m/>
    <m/>
    <m/>
    <m/>
    <m/>
    <m/>
    <m/>
    <m/>
    <n v="112.87602369203996"/>
    <m/>
    <n v="105.16648133333337"/>
    <m/>
    <m/>
    <n v="95.4"/>
    <n v="96.2"/>
    <m/>
    <m/>
    <m/>
    <m/>
    <n v="-10.358688524590166"/>
    <m/>
    <m/>
    <n v="-7.7095423587065994"/>
    <m/>
    <m/>
    <m/>
    <m/>
    <m/>
    <b v="1"/>
    <s v="A"/>
    <s v="OVER"/>
    <n v="0"/>
    <n v="0"/>
    <n v="0"/>
    <n v="-10.358688524590166"/>
    <n v="107.30242794947598"/>
    <n v="-7.7095423587065994"/>
    <n v="59.437043380691314"/>
  </r>
  <r>
    <x v="81"/>
    <x v="3"/>
    <x v="7"/>
    <m/>
    <m/>
    <m/>
    <m/>
    <m/>
    <m/>
    <m/>
    <m/>
    <n v="104.81779124532324"/>
    <m/>
    <n v="105.80466866666669"/>
    <m/>
    <m/>
    <n v="99.5"/>
    <n v="97.3"/>
    <m/>
    <m/>
    <m/>
    <m/>
    <n v="-1.3586885245901659"/>
    <m/>
    <m/>
    <n v="0.98687742134345058"/>
    <m/>
    <m/>
    <m/>
    <m/>
    <m/>
    <b v="0"/>
    <s v="A"/>
    <s v="OVER"/>
    <n v="0"/>
    <n v="0"/>
    <n v="0"/>
    <n v="-1.3586885245901659"/>
    <n v="1.8460345068530017"/>
    <n v="0.98687742134345058"/>
    <n v="0.97392704475749847"/>
  </r>
  <r>
    <x v="81"/>
    <x v="23"/>
    <x v="17"/>
    <m/>
    <m/>
    <m/>
    <m/>
    <m/>
    <m/>
    <m/>
    <m/>
    <n v="103.90490917909572"/>
    <m/>
    <n v="92.570968000000022"/>
    <m/>
    <m/>
    <n v="99.1"/>
    <n v="94.2"/>
    <m/>
    <m/>
    <m/>
    <m/>
    <n v="-10.708688524590166"/>
    <m/>
    <m/>
    <n v="-11.333941179095703"/>
    <m/>
    <m/>
    <m/>
    <m/>
    <m/>
    <b v="0"/>
    <s v="NW"/>
    <s v="OVER"/>
    <n v="0"/>
    <n v="0"/>
    <n v="0"/>
    <n v="-10.708688524590166"/>
    <n v="114.6760099166891"/>
    <n v="-11.333941179095703"/>
    <n v="128.45822265120128"/>
  </r>
  <r>
    <x v="81"/>
    <x v="1"/>
    <x v="20"/>
    <m/>
    <m/>
    <m/>
    <m/>
    <m/>
    <m/>
    <m/>
    <m/>
    <n v="114.20111298006877"/>
    <m/>
    <n v="110.65020866666669"/>
    <m/>
    <m/>
    <n v="100.7"/>
    <n v="97.3"/>
    <m/>
    <m/>
    <m/>
    <m/>
    <n v="-5.2586885245901644"/>
    <m/>
    <m/>
    <n v="-3.5509043134020857"/>
    <m/>
    <m/>
    <m/>
    <m/>
    <m/>
    <b v="0"/>
    <s v="P"/>
    <s v="OVER"/>
    <n v="0"/>
    <n v="0"/>
    <n v="0"/>
    <n v="-5.2586885245901644"/>
    <n v="27.65380499865628"/>
    <n v="-3.5509043134020857"/>
    <n v="12.608921442937538"/>
  </r>
  <r>
    <x v="81"/>
    <x v="4"/>
    <x v="25"/>
    <m/>
    <m/>
    <m/>
    <m/>
    <m/>
    <m/>
    <m/>
    <m/>
    <n v="104.88269341452114"/>
    <m/>
    <n v="103.21701866666669"/>
    <m/>
    <m/>
    <n v="98.3"/>
    <n v="98.8"/>
    <m/>
    <m/>
    <m/>
    <m/>
    <n v="-0.68868852459016594"/>
    <m/>
    <m/>
    <n v="-1.6656747478544531"/>
    <m/>
    <m/>
    <m/>
    <m/>
    <m/>
    <b v="0"/>
    <s v="C"/>
    <s v="OVER"/>
    <n v="0"/>
    <n v="0"/>
    <n v="0"/>
    <n v="-0.68868852459016594"/>
    <n v="0.47429188390217958"/>
    <n v="-1.6656747478544531"/>
    <n v="2.7744723656399959"/>
  </r>
  <r>
    <x v="81"/>
    <x v="27"/>
    <x v="10"/>
    <m/>
    <m/>
    <m/>
    <m/>
    <m/>
    <m/>
    <m/>
    <m/>
    <n v="111.09040172355891"/>
    <m/>
    <n v="93.85071733333335"/>
    <m/>
    <m/>
    <n v="96.4"/>
    <n v="92.6"/>
    <m/>
    <m/>
    <m/>
    <m/>
    <n v="-15.128688524590165"/>
    <m/>
    <m/>
    <n v="-17.239684390225563"/>
    <m/>
    <m/>
    <m/>
    <m/>
    <m/>
    <b v="0"/>
    <s v="P"/>
    <s v="OVER"/>
    <n v="0"/>
    <n v="0"/>
    <n v="0"/>
    <n v="-15.128688524590165"/>
    <n v="228.87721647406616"/>
    <n v="-17.239684390225563"/>
    <n v="297.2067178745869"/>
  </r>
  <r>
    <x v="81"/>
    <x v="7"/>
    <x v="28"/>
    <m/>
    <m/>
    <m/>
    <m/>
    <m/>
    <m/>
    <m/>
    <m/>
    <n v="109.53731333230638"/>
    <m/>
    <n v="98.553650000000019"/>
    <m/>
    <m/>
    <n v="96.1"/>
    <n v="97.5"/>
    <m/>
    <m/>
    <m/>
    <m/>
    <n v="-10.038688524590166"/>
    <m/>
    <m/>
    <n v="-10.983663332306364"/>
    <m/>
    <m/>
    <m/>
    <m/>
    <m/>
    <b v="0"/>
    <s v="C"/>
    <s v="OVER"/>
    <n v="0"/>
    <n v="0"/>
    <n v="0"/>
    <n v="-10.038688524590166"/>
    <n v="100.77526729373828"/>
    <n v="-10.983663332306364"/>
    <n v="120.64086019745133"/>
  </r>
  <r>
    <x v="81"/>
    <x v="24"/>
    <x v="24"/>
    <m/>
    <m/>
    <m/>
    <m/>
    <m/>
    <m/>
    <m/>
    <m/>
    <n v="102.33003945611428"/>
    <m/>
    <n v="104.59714133333335"/>
    <m/>
    <m/>
    <n v="96.2"/>
    <n v="99.2"/>
    <m/>
    <m/>
    <m/>
    <m/>
    <n v="1.1413114754098341"/>
    <m/>
    <m/>
    <n v="2.2671018772190763"/>
    <m/>
    <m/>
    <m/>
    <m/>
    <m/>
    <b v="0"/>
    <s v="A"/>
    <s v="OVER"/>
    <n v="0"/>
    <n v="0"/>
    <n v="0"/>
    <n v="1.1413114754098341"/>
    <n v="1.3025918839021724"/>
    <n v="2.2671018772190763"/>
    <n v="5.1397509216902595"/>
  </r>
  <r>
    <x v="81"/>
    <x v="11"/>
    <x v="2"/>
    <m/>
    <m/>
    <m/>
    <m/>
    <m/>
    <m/>
    <m/>
    <m/>
    <n v="90.961520941007976"/>
    <m/>
    <n v="98.500360000000029"/>
    <m/>
    <m/>
    <n v="101.7"/>
    <n v="91.5"/>
    <m/>
    <m/>
    <m/>
    <m/>
    <n v="7.8813114754098343"/>
    <m/>
    <m/>
    <n v="7.5388390589920533"/>
    <m/>
    <m/>
    <m/>
    <m/>
    <m/>
    <b v="0"/>
    <s v="P"/>
    <s v="OVER"/>
    <n v="0"/>
    <n v="0"/>
    <n v="0"/>
    <n v="7.8813114754098343"/>
    <n v="62.115070572426738"/>
    <n v="7.5388390589920533"/>
    <n v="56.834094357384188"/>
  </r>
  <r>
    <x v="81"/>
    <x v="29"/>
    <x v="22"/>
    <m/>
    <m/>
    <m/>
    <m/>
    <m/>
    <m/>
    <m/>
    <m/>
    <n v="114.60933029849834"/>
    <m/>
    <n v="112.30896200000002"/>
    <m/>
    <m/>
    <n v="96.1"/>
    <n v="99.3"/>
    <m/>
    <m/>
    <m/>
    <m/>
    <n v="-2.4486885245901657"/>
    <m/>
    <m/>
    <n v="-2.3003682984983129"/>
    <m/>
    <m/>
    <m/>
    <m/>
    <m/>
    <b v="0"/>
    <s v="SE"/>
    <s v="OVER"/>
    <n v="0"/>
    <n v="0"/>
    <n v="0"/>
    <n v="-2.4486885245901657"/>
    <n v="5.996075490459563"/>
    <n v="-2.3003682984983129"/>
    <n v="5.2916943087360231"/>
  </r>
  <r>
    <x v="82"/>
    <x v="16"/>
    <x v="29"/>
    <m/>
    <m/>
    <m/>
    <m/>
    <m/>
    <m/>
    <m/>
    <m/>
    <n v="101.57520801271781"/>
    <m/>
    <n v="112.39137600000004"/>
    <m/>
    <m/>
    <n v="92.9"/>
    <n v="95.4"/>
    <m/>
    <m/>
    <m/>
    <m/>
    <n v="11.981311475409834"/>
    <m/>
    <m/>
    <n v="10.816167987282228"/>
    <m/>
    <m/>
    <m/>
    <m/>
    <m/>
    <b v="1"/>
    <s v="A"/>
    <s v="OVER"/>
    <n v="0"/>
    <n v="0"/>
    <n v="0"/>
    <n v="11.981311475409834"/>
    <n v="143.55182467078737"/>
    <n v="10.816167987282228"/>
    <n v="116.98948992910887"/>
  </r>
  <r>
    <x v="82"/>
    <x v="14"/>
    <x v="4"/>
    <m/>
    <m/>
    <m/>
    <m/>
    <m/>
    <m/>
    <m/>
    <m/>
    <n v="108.94732726701199"/>
    <m/>
    <n v="98.644880000000029"/>
    <m/>
    <m/>
    <n v="95.1"/>
    <n v="102"/>
    <m/>
    <m/>
    <m/>
    <m/>
    <n v="-16.318688524590165"/>
    <m/>
    <m/>
    <n v="-10.302447267011956"/>
    <m/>
    <m/>
    <m/>
    <m/>
    <m/>
    <b v="0"/>
    <s v="C"/>
    <s v="OVER"/>
    <n v="0"/>
    <n v="0"/>
    <n v="0"/>
    <n v="-16.318688524590165"/>
    <n v="266.29959516259072"/>
    <n v="-10.302447267011956"/>
    <n v="106.14041968956214"/>
  </r>
  <r>
    <x v="82"/>
    <x v="5"/>
    <x v="8"/>
    <m/>
    <m/>
    <m/>
    <m/>
    <m/>
    <m/>
    <m/>
    <m/>
    <n v="109.1096114170964"/>
    <m/>
    <n v="110.00166066666669"/>
    <m/>
    <m/>
    <n v="100.2"/>
    <n v="99.1"/>
    <m/>
    <m/>
    <m/>
    <m/>
    <n v="-1.0186885245901658"/>
    <m/>
    <m/>
    <n v="0.89204924957029164"/>
    <m/>
    <m/>
    <m/>
    <m/>
    <m/>
    <b v="0"/>
    <s v="P"/>
    <s v="OVER"/>
    <n v="0"/>
    <n v="0"/>
    <n v="0"/>
    <n v="-1.0186885245901658"/>
    <n v="1.0377263101316887"/>
    <n v="0.89204924957029164"/>
    <n v="0.79575186365892048"/>
  </r>
  <r>
    <x v="82"/>
    <x v="19"/>
    <x v="5"/>
    <m/>
    <m/>
    <m/>
    <m/>
    <m/>
    <m/>
    <m/>
    <m/>
    <n v="103.19203368238519"/>
    <m/>
    <n v="106.20304600000003"/>
    <m/>
    <m/>
    <n v="93.9"/>
    <n v="96.9"/>
    <m/>
    <m/>
    <m/>
    <m/>
    <n v="2.021311475409834"/>
    <m/>
    <m/>
    <n v="3.011012317614842"/>
    <m/>
    <m/>
    <m/>
    <m/>
    <m/>
    <b v="0"/>
    <s v="SE"/>
    <s v="OVER"/>
    <n v="0"/>
    <n v="0"/>
    <n v="0"/>
    <n v="2.021311475409834"/>
    <n v="4.0857000806234804"/>
    <n v="3.011012317614842"/>
    <n v="9.0661951768283018"/>
  </r>
  <r>
    <x v="82"/>
    <x v="25"/>
    <x v="6"/>
    <m/>
    <m/>
    <m/>
    <m/>
    <m/>
    <m/>
    <m/>
    <m/>
    <n v="104.96090525149296"/>
    <m/>
    <n v="102.98563866666669"/>
    <m/>
    <m/>
    <n v="93.3"/>
    <n v="95.8"/>
    <m/>
    <m/>
    <m/>
    <m/>
    <n v="-11.268688524590166"/>
    <m/>
    <m/>
    <n v="-1.9752665848262723"/>
    <m/>
    <m/>
    <m/>
    <m/>
    <m/>
    <b v="0"/>
    <s v="SW"/>
    <s v="OVER"/>
    <n v="0"/>
    <n v="0"/>
    <n v="0"/>
    <n v="-11.268688524590166"/>
    <n v="126.98334106423009"/>
    <n v="-1.9752665848262723"/>
    <n v="3.9016780811312453"/>
  </r>
  <r>
    <x v="83"/>
    <x v="3"/>
    <x v="0"/>
    <m/>
    <m/>
    <m/>
    <m/>
    <m/>
    <m/>
    <m/>
    <m/>
    <n v="108.68834124532324"/>
    <m/>
    <n v="104.89712133333337"/>
    <m/>
    <m/>
    <n v="99.5"/>
    <n v="96.2"/>
    <m/>
    <m/>
    <m/>
    <m/>
    <n v="-4.9486885245901657"/>
    <m/>
    <m/>
    <n v="-3.7912199119898702"/>
    <m/>
    <m/>
    <m/>
    <m/>
    <m/>
    <b v="1"/>
    <s v="A"/>
    <s v="OVER"/>
    <n v="0"/>
    <n v="0"/>
    <n v="0"/>
    <n v="-4.9486885245901657"/>
    <n v="24.489518113410391"/>
    <n v="-3.7912199119898702"/>
    <n v="14.37334842106848"/>
  </r>
  <r>
    <x v="83"/>
    <x v="22"/>
    <x v="22"/>
    <m/>
    <m/>
    <m/>
    <m/>
    <m/>
    <m/>
    <m/>
    <m/>
    <n v="110.47015196997592"/>
    <m/>
    <n v="108.44619200000001"/>
    <m/>
    <m/>
    <n v="97.3"/>
    <n v="99.3"/>
    <m/>
    <m/>
    <m/>
    <m/>
    <n v="-7.1986885245901657"/>
    <m/>
    <m/>
    <n v="-2.0239599699759054"/>
    <m/>
    <m/>
    <m/>
    <m/>
    <m/>
    <b v="0"/>
    <s v="SE"/>
    <s v="OVER"/>
    <n v="0"/>
    <n v="0"/>
    <n v="0"/>
    <n v="-7.1986885245901657"/>
    <n v="51.821116474066137"/>
    <n v="-2.0239599699759054"/>
    <n v="4.0964139600648677"/>
  </r>
  <r>
    <x v="83"/>
    <x v="18"/>
    <x v="24"/>
    <m/>
    <m/>
    <m/>
    <m/>
    <m/>
    <m/>
    <m/>
    <m/>
    <n v="104.3232583347156"/>
    <m/>
    <n v="96.561941333333351"/>
    <m/>
    <m/>
    <n v="94.2"/>
    <n v="99.2"/>
    <m/>
    <m/>
    <m/>
    <m/>
    <n v="-3.1886885245901655"/>
    <m/>
    <m/>
    <n v="-7.7613170013822526"/>
    <m/>
    <m/>
    <m/>
    <m/>
    <m/>
    <b v="0"/>
    <s v="C"/>
    <s v="OVER"/>
    <n v="0"/>
    <n v="0"/>
    <n v="0"/>
    <n v="-3.1886885245901655"/>
    <n v="10.167734506853007"/>
    <n v="-7.7613170013822526"/>
    <n v="60.238041595945198"/>
  </r>
  <r>
    <x v="83"/>
    <x v="1"/>
    <x v="10"/>
    <m/>
    <m/>
    <m/>
    <m/>
    <m/>
    <m/>
    <m/>
    <m/>
    <n v="113.21425298006876"/>
    <m/>
    <n v="96.619457333333344"/>
    <m/>
    <m/>
    <n v="100.7"/>
    <n v="92.6"/>
    <m/>
    <m/>
    <m/>
    <m/>
    <n v="-13.658688524590165"/>
    <m/>
    <m/>
    <n v="-16.59479564673542"/>
    <m/>
    <m/>
    <m/>
    <m/>
    <m/>
    <b v="0"/>
    <s v="P"/>
    <s v="OVER"/>
    <n v="0"/>
    <n v="0"/>
    <n v="0"/>
    <n v="-13.658688524590165"/>
    <n v="186.55977221177105"/>
    <n v="-16.59479564673542"/>
    <n v="275.38724255690886"/>
  </r>
  <r>
    <x v="83"/>
    <x v="26"/>
    <x v="26"/>
    <m/>
    <m/>
    <m/>
    <m/>
    <m/>
    <m/>
    <m/>
    <m/>
    <n v="112.28454549407402"/>
    <m/>
    <n v="104.9034006666667"/>
    <m/>
    <m/>
    <n v="96.9"/>
    <n v="96.1"/>
    <m/>
    <m/>
    <m/>
    <m/>
    <n v="-8.888688524590167"/>
    <m/>
    <m/>
    <n v="-7.3811448274073257"/>
    <m/>
    <m/>
    <m/>
    <m/>
    <m/>
    <b v="0"/>
    <s v="SW"/>
    <s v="OVER"/>
    <n v="0"/>
    <n v="0"/>
    <n v="0"/>
    <n v="-8.888688524590167"/>
    <n v="79.008783687180923"/>
    <n v="-7.3811448274073257"/>
    <n v="54.481298963161919"/>
  </r>
  <r>
    <x v="83"/>
    <x v="8"/>
    <x v="17"/>
    <m/>
    <m/>
    <m/>
    <m/>
    <m/>
    <m/>
    <m/>
    <m/>
    <n v="102.85023327976012"/>
    <m/>
    <n v="91.063768000000024"/>
    <m/>
    <m/>
    <n v="98.8"/>
    <n v="94.2"/>
    <m/>
    <m/>
    <m/>
    <m/>
    <n v="-8.6886885245901659"/>
    <m/>
    <m/>
    <n v="-11.786465279760094"/>
    <m/>
    <m/>
    <m/>
    <m/>
    <m/>
    <b v="0"/>
    <s v="SW"/>
    <s v="OVER"/>
    <n v="0"/>
    <n v="0"/>
    <n v="0"/>
    <n v="-8.6886885245901659"/>
    <n v="75.493308277344838"/>
    <n v="-11.786465279760094"/>
    <n v="138.92076379099018"/>
  </r>
  <r>
    <x v="83"/>
    <x v="10"/>
    <x v="29"/>
    <m/>
    <m/>
    <m/>
    <m/>
    <m/>
    <m/>
    <m/>
    <m/>
    <n v="99.699194198882523"/>
    <m/>
    <n v="110.13993600000003"/>
    <m/>
    <m/>
    <n v="97.5"/>
    <n v="95.4"/>
    <m/>
    <m/>
    <m/>
    <m/>
    <n v="12.881311475409834"/>
    <m/>
    <m/>
    <n v="10.440741801117511"/>
    <m/>
    <m/>
    <m/>
    <m/>
    <m/>
    <b v="1"/>
    <s v="A"/>
    <s v="OVER"/>
    <n v="0"/>
    <n v="0"/>
    <n v="0"/>
    <n v="12.881311475409834"/>
    <n v="165.9281853265251"/>
    <n v="10.440741801117511"/>
    <n v="109.00908935760253"/>
  </r>
  <r>
    <x v="83"/>
    <x v="15"/>
    <x v="16"/>
    <m/>
    <m/>
    <m/>
    <m/>
    <m/>
    <m/>
    <m/>
    <m/>
    <n v="108.57212010654767"/>
    <m/>
    <n v="105.18165533333335"/>
    <m/>
    <m/>
    <n v="94.2"/>
    <n v="98.3"/>
    <m/>
    <m/>
    <m/>
    <m/>
    <n v="-5.5486885245901654"/>
    <m/>
    <m/>
    <n v="-3.3904647732143189"/>
    <m/>
    <m/>
    <m/>
    <m/>
    <m/>
    <b v="0"/>
    <s v="P"/>
    <s v="OVER"/>
    <n v="0"/>
    <n v="0"/>
    <n v="0"/>
    <n v="-5.5486885245901654"/>
    <n v="30.787944342918586"/>
    <n v="-3.3904647732143189"/>
    <n v="11.495251378407223"/>
  </r>
  <r>
    <x v="83"/>
    <x v="29"/>
    <x v="23"/>
    <m/>
    <m/>
    <m/>
    <m/>
    <m/>
    <m/>
    <m/>
    <m/>
    <n v="104.70142029849833"/>
    <m/>
    <n v="101.81872133333337"/>
    <m/>
    <m/>
    <n v="96.1"/>
    <n v="96.2"/>
    <m/>
    <m/>
    <m/>
    <m/>
    <n v="0.60131147540983421"/>
    <m/>
    <m/>
    <n v="-2.8826989651649626"/>
    <m/>
    <m/>
    <m/>
    <m/>
    <m/>
    <b v="0"/>
    <s v="SE"/>
    <s v="OVER"/>
    <n v="0"/>
    <n v="0"/>
    <n v="0"/>
    <n v="0.60131147540983421"/>
    <n v="0.36157549045955167"/>
    <n v="-2.8826989651649626"/>
    <n v="8.3099533237631462"/>
  </r>
  <r>
    <x v="84"/>
    <x v="0"/>
    <x v="19"/>
    <m/>
    <m/>
    <m/>
    <m/>
    <m/>
    <m/>
    <m/>
    <m/>
    <n v="116.54911692672303"/>
    <m/>
    <n v="102.48376800000004"/>
    <m/>
    <m/>
    <n v="97.3"/>
    <n v="101.7"/>
    <m/>
    <m/>
    <m/>
    <m/>
    <n v="-17.958688524590166"/>
    <m/>
    <m/>
    <n v="-14.06534892672299"/>
    <m/>
    <m/>
    <m/>
    <m/>
    <m/>
    <b v="0"/>
    <s v="C"/>
    <s v="OVER"/>
    <n v="0"/>
    <n v="0"/>
    <n v="0"/>
    <n v="-17.958688524590166"/>
    <n v="322.51449352324647"/>
    <n v="-14.06534892672299"/>
    <n v="197.83404043046758"/>
  </r>
  <r>
    <x v="84"/>
    <x v="27"/>
    <x v="6"/>
    <m/>
    <m/>
    <m/>
    <m/>
    <m/>
    <m/>
    <m/>
    <m/>
    <n v="115.92004172355892"/>
    <m/>
    <n v="100.37987866666668"/>
    <m/>
    <m/>
    <n v="96.4"/>
    <n v="95.8"/>
    <m/>
    <m/>
    <m/>
    <m/>
    <n v="-16.708688524590166"/>
    <m/>
    <m/>
    <n v="-15.54016305689224"/>
    <m/>
    <m/>
    <m/>
    <m/>
    <m/>
    <b v="0"/>
    <s v="P"/>
    <s v="OVER"/>
    <n v="0"/>
    <n v="0"/>
    <n v="0"/>
    <n v="-16.708688524590166"/>
    <n v="279.18027221177107"/>
    <n v="-15.54016305689224"/>
    <n v="241.49666783479836"/>
  </r>
  <r>
    <x v="84"/>
    <x v="19"/>
    <x v="4"/>
    <m/>
    <m/>
    <m/>
    <m/>
    <m/>
    <m/>
    <m/>
    <m/>
    <n v="100.02760368238519"/>
    <m/>
    <n v="95.544080000000022"/>
    <m/>
    <m/>
    <n v="93.9"/>
    <n v="102"/>
    <m/>
    <m/>
    <m/>
    <m/>
    <n v="-10.528688524590166"/>
    <m/>
    <m/>
    <n v="-4.4835236823851687"/>
    <m/>
    <m/>
    <m/>
    <m/>
    <m/>
    <b v="0"/>
    <s v="SE"/>
    <s v="OVER"/>
    <n v="0"/>
    <n v="0"/>
    <n v="0"/>
    <n v="-10.528688524590166"/>
    <n v="110.85328204783664"/>
    <n v="-4.4835236823851687"/>
    <n v="20.101984610508662"/>
  </r>
  <r>
    <x v="84"/>
    <x v="24"/>
    <x v="13"/>
    <m/>
    <m/>
    <m/>
    <m/>
    <m/>
    <m/>
    <m/>
    <m/>
    <n v="112.15205945611427"/>
    <m/>
    <n v="106.25841066666668"/>
    <m/>
    <m/>
    <n v="96.2"/>
    <n v="96.1"/>
    <m/>
    <m/>
    <m/>
    <m/>
    <n v="-3.9386885245901659"/>
    <m/>
    <m/>
    <n v="-5.893648789447596"/>
    <m/>
    <m/>
    <m/>
    <m/>
    <m/>
    <b v="0"/>
    <s v="A"/>
    <s v="OVER"/>
    <n v="0"/>
    <n v="0"/>
    <n v="0"/>
    <n v="-3.9386885245901659"/>
    <n v="15.513267293738258"/>
    <n v="-5.893648789447596"/>
    <n v="34.735096053357111"/>
  </r>
  <r>
    <x v="84"/>
    <x v="25"/>
    <x v="8"/>
    <m/>
    <m/>
    <m/>
    <m/>
    <m/>
    <m/>
    <m/>
    <m/>
    <n v="102.09659525149296"/>
    <m/>
    <n v="104.02593066666668"/>
    <m/>
    <m/>
    <n v="93.3"/>
    <n v="99.1"/>
    <m/>
    <m/>
    <m/>
    <m/>
    <n v="-10.728688524590167"/>
    <m/>
    <m/>
    <n v="1.9293354151737248"/>
    <m/>
    <m/>
    <m/>
    <m/>
    <m/>
    <b v="0"/>
    <s v="SW"/>
    <s v="OVER"/>
    <n v="0"/>
    <n v="0"/>
    <n v="0"/>
    <n v="-10.728688524590167"/>
    <n v="115.10475745767273"/>
    <n v="1.9293354151737248"/>
    <n v="3.7223351442435688"/>
  </r>
  <r>
    <x v="85"/>
    <x v="13"/>
    <x v="27"/>
    <m/>
    <m/>
    <m/>
    <m/>
    <m/>
    <m/>
    <m/>
    <m/>
    <n v="99.592439292911294"/>
    <m/>
    <n v="98.933164000000019"/>
    <m/>
    <m/>
    <n v="99.2"/>
    <n v="95.1"/>
    <m/>
    <m/>
    <m/>
    <m/>
    <n v="-0.41868852459016548"/>
    <m/>
    <m/>
    <n v="-0.65927529291127485"/>
    <m/>
    <m/>
    <m/>
    <m/>
    <m/>
    <b v="0"/>
    <s v="SE"/>
    <s v="OVER"/>
    <n v="0"/>
    <n v="0"/>
    <n v="0"/>
    <n v="-0.41868852459016548"/>
    <n v="0.17530008062348959"/>
    <n v="-0.65927529291127485"/>
    <n v="0.43464391184324724"/>
  </r>
  <r>
    <x v="85"/>
    <x v="22"/>
    <x v="29"/>
    <m/>
    <m/>
    <m/>
    <m/>
    <m/>
    <m/>
    <m/>
    <m/>
    <n v="105.98462196997592"/>
    <m/>
    <n v="107.80263600000004"/>
    <m/>
    <m/>
    <n v="97.3"/>
    <n v="95.4"/>
    <m/>
    <m/>
    <m/>
    <m/>
    <n v="1.2113114754098344"/>
    <m/>
    <m/>
    <n v="1.8180140300241163"/>
    <m/>
    <m/>
    <m/>
    <m/>
    <m/>
    <b v="0"/>
    <s v="SE"/>
    <s v="OVER"/>
    <n v="0"/>
    <n v="0"/>
    <n v="0"/>
    <n v="1.2113114754098344"/>
    <n v="1.46727549045955"/>
    <n v="1.8180140300241163"/>
    <n v="3.3051750133645283"/>
  </r>
  <r>
    <x v="85"/>
    <x v="17"/>
    <x v="2"/>
    <m/>
    <m/>
    <m/>
    <m/>
    <m/>
    <m/>
    <m/>
    <m/>
    <n v="91.436423578429086"/>
    <m/>
    <n v="96.853360000000038"/>
    <m/>
    <m/>
    <n v="102"/>
    <n v="91.5"/>
    <m/>
    <m/>
    <m/>
    <m/>
    <n v="10.331311475409834"/>
    <m/>
    <m/>
    <n v="5.4169364215709521"/>
    <m/>
    <m/>
    <m/>
    <m/>
    <m/>
    <b v="0"/>
    <s v="SW"/>
    <s v="OVER"/>
    <n v="0"/>
    <n v="0"/>
    <n v="0"/>
    <n v="10.331311475409834"/>
    <n v="106.73599680193492"/>
    <n v="5.4169364215709521"/>
    <n v="29.343200195341911"/>
  </r>
  <r>
    <x v="85"/>
    <x v="26"/>
    <x v="18"/>
    <m/>
    <m/>
    <m/>
    <m/>
    <m/>
    <m/>
    <m/>
    <m/>
    <n v="109.096535494074"/>
    <m/>
    <n v="120.37745133333338"/>
    <m/>
    <m/>
    <n v="96.9"/>
    <n v="100.7"/>
    <m/>
    <m/>
    <m/>
    <m/>
    <n v="4.7813114754098329"/>
    <m/>
    <m/>
    <n v="11.280915839259379"/>
    <m/>
    <m/>
    <m/>
    <m/>
    <m/>
    <b v="0"/>
    <s v="SW"/>
    <s v="OVER"/>
    <n v="0"/>
    <n v="0"/>
    <n v="0"/>
    <n v="4.7813114754098329"/>
    <n v="22.860939424885753"/>
    <n v="11.280915839259379"/>
    <n v="127.25906217245313"/>
  </r>
  <r>
    <x v="85"/>
    <x v="5"/>
    <x v="16"/>
    <m/>
    <m/>
    <m/>
    <m/>
    <m/>
    <m/>
    <m/>
    <m/>
    <n v="110.54247141709641"/>
    <m/>
    <n v="106.48904533333335"/>
    <m/>
    <m/>
    <n v="100.2"/>
    <n v="98.3"/>
    <m/>
    <m/>
    <m/>
    <m/>
    <n v="-5.1286885245901654"/>
    <m/>
    <m/>
    <n v="-4.0534260837630569"/>
    <m/>
    <m/>
    <m/>
    <m/>
    <m/>
    <b v="0"/>
    <s v="P"/>
    <s v="OVER"/>
    <n v="0"/>
    <n v="0"/>
    <n v="0"/>
    <n v="-5.1286885245901654"/>
    <n v="26.303445982262847"/>
    <n v="-4.0534260837630569"/>
    <n v="16.430263016530713"/>
  </r>
  <r>
    <x v="85"/>
    <x v="6"/>
    <x v="11"/>
    <m/>
    <m/>
    <m/>
    <m/>
    <m/>
    <m/>
    <m/>
    <m/>
    <n v="103.6213947304164"/>
    <m/>
    <n v="97.233868000000029"/>
    <m/>
    <m/>
    <n v="96.2"/>
    <n v="94.2"/>
    <m/>
    <m/>
    <m/>
    <m/>
    <n v="-5.4086885245901657"/>
    <m/>
    <m/>
    <n v="-6.3875267304163685"/>
    <m/>
    <m/>
    <m/>
    <m/>
    <m/>
    <b v="0"/>
    <s v="SW"/>
    <s v="OVER"/>
    <n v="0"/>
    <n v="0"/>
    <n v="0"/>
    <n v="-5.4086885245901657"/>
    <n v="29.253911556033344"/>
    <n v="-6.3875267304163685"/>
    <n v="40.800497731783622"/>
  </r>
  <r>
    <x v="85"/>
    <x v="8"/>
    <x v="3"/>
    <m/>
    <m/>
    <m/>
    <m/>
    <m/>
    <m/>
    <m/>
    <m/>
    <n v="107.17767327976011"/>
    <m/>
    <n v="93.708849333333362"/>
    <m/>
    <m/>
    <n v="98.8"/>
    <n v="92.9"/>
    <m/>
    <m/>
    <m/>
    <m/>
    <n v="-8.8686885245901657"/>
    <m/>
    <m/>
    <n v="-13.468823946426753"/>
    <m/>
    <m/>
    <m/>
    <m/>
    <m/>
    <b v="0"/>
    <s v="SW"/>
    <s v="OVER"/>
    <n v="0"/>
    <n v="0"/>
    <n v="0"/>
    <n v="-8.8686885245901657"/>
    <n v="78.653636146197286"/>
    <n v="-13.468823946426753"/>
    <n v="181.40921849983872"/>
  </r>
  <r>
    <x v="85"/>
    <x v="9"/>
    <x v="26"/>
    <m/>
    <m/>
    <m/>
    <m/>
    <m/>
    <m/>
    <m/>
    <m/>
    <n v="99.429874056814668"/>
    <m/>
    <n v="102.17416066666669"/>
    <m/>
    <m/>
    <n v="94.2"/>
    <n v="96.1"/>
    <m/>
    <m/>
    <m/>
    <m/>
    <n v="3.4013114754098344"/>
    <m/>
    <m/>
    <n v="2.7442866098520255"/>
    <m/>
    <m/>
    <m/>
    <m/>
    <m/>
    <b v="0"/>
    <s v="SE"/>
    <s v="OVER"/>
    <n v="0"/>
    <n v="0"/>
    <n v="0"/>
    <n v="3.4013114754098344"/>
    <n v="11.568919752754624"/>
    <n v="2.7442866098520255"/>
    <n v="7.5311089970131233"/>
  </r>
  <r>
    <x v="85"/>
    <x v="10"/>
    <x v="22"/>
    <m/>
    <m/>
    <m/>
    <m/>
    <m/>
    <m/>
    <m/>
    <m/>
    <n v="104.19394419888252"/>
    <m/>
    <n v="110.87904200000001"/>
    <m/>
    <m/>
    <n v="97.5"/>
    <n v="99.3"/>
    <m/>
    <m/>
    <m/>
    <m/>
    <n v="4.4713114754098342"/>
    <m/>
    <m/>
    <n v="6.6850978011174931"/>
    <m/>
    <m/>
    <m/>
    <m/>
    <m/>
    <b v="0"/>
    <s v="A"/>
    <s v="OVER"/>
    <n v="0"/>
    <n v="0"/>
    <n v="0"/>
    <n v="4.4713114754098342"/>
    <n v="19.992626310131669"/>
    <n v="6.6850978011174931"/>
    <n v="44.69053261050594"/>
  </r>
  <r>
    <x v="86"/>
    <x v="13"/>
    <x v="28"/>
    <m/>
    <m/>
    <m/>
    <m/>
    <m/>
    <m/>
    <m/>
    <m/>
    <n v="101.90379929291129"/>
    <m/>
    <n v="89.700650000000024"/>
    <m/>
    <m/>
    <n v="99.2"/>
    <n v="97.5"/>
    <m/>
    <m/>
    <m/>
    <m/>
    <n v="-14.778688524590166"/>
    <m/>
    <m/>
    <n v="-12.203149292911263"/>
    <m/>
    <m/>
    <m/>
    <m/>
    <m/>
    <b v="0"/>
    <s v="SE"/>
    <s v="OVER"/>
    <n v="0"/>
    <n v="0"/>
    <n v="0"/>
    <n v="-14.778688524590166"/>
    <n v="218.40963450685305"/>
    <n v="-12.203149292911263"/>
    <n v="148.91685266508065"/>
  </r>
  <r>
    <x v="86"/>
    <x v="3"/>
    <x v="22"/>
    <m/>
    <m/>
    <m/>
    <m/>
    <m/>
    <m/>
    <m/>
    <m/>
    <n v="110.87734124532324"/>
    <m/>
    <n v="109.63779200000002"/>
    <m/>
    <m/>
    <n v="99.5"/>
    <n v="99.3"/>
    <m/>
    <m/>
    <m/>
    <m/>
    <n v="-5.7786885245901658"/>
    <m/>
    <m/>
    <n v="-1.239549245323218"/>
    <m/>
    <m/>
    <m/>
    <m/>
    <m/>
    <b v="0"/>
    <s v="A"/>
    <s v="OVER"/>
    <n v="0"/>
    <n v="0"/>
    <n v="0"/>
    <n v="-5.7786885245901658"/>
    <n v="33.393241064230068"/>
    <n v="-1.239549245323218"/>
    <n v="1.5364823315813592"/>
  </r>
  <r>
    <x v="86"/>
    <x v="14"/>
    <x v="11"/>
    <m/>
    <m/>
    <m/>
    <m/>
    <m/>
    <m/>
    <m/>
    <m/>
    <n v="112.75132726701197"/>
    <m/>
    <n v="101.32214800000003"/>
    <m/>
    <m/>
    <n v="95.1"/>
    <n v="94.2"/>
    <m/>
    <m/>
    <m/>
    <m/>
    <n v="-9.4686885245901653"/>
    <m/>
    <m/>
    <n v="-11.429179267011946"/>
    <m/>
    <m/>
    <m/>
    <m/>
    <m/>
    <b v="0"/>
    <s v="C"/>
    <s v="OVER"/>
    <n v="0"/>
    <n v="0"/>
    <n v="0"/>
    <n v="-9.4686885245901653"/>
    <n v="89.656062375705488"/>
    <n v="-11.429179267011946"/>
    <n v="130.62613871749573"/>
  </r>
  <r>
    <x v="86"/>
    <x v="22"/>
    <x v="3"/>
    <m/>
    <m/>
    <m/>
    <m/>
    <m/>
    <m/>
    <m/>
    <m/>
    <n v="109.22471196997591"/>
    <m/>
    <n v="94.368439333333356"/>
    <m/>
    <m/>
    <n v="97.3"/>
    <n v="92.9"/>
    <m/>
    <m/>
    <m/>
    <m/>
    <n v="-13.548688524590165"/>
    <m/>
    <m/>
    <n v="-14.856272636642558"/>
    <m/>
    <m/>
    <m/>
    <m/>
    <m/>
    <b v="0"/>
    <s v="SE"/>
    <s v="OVER"/>
    <n v="0"/>
    <n v="0"/>
    <n v="0"/>
    <n v="-13.548688524590165"/>
    <n v="183.56696073636124"/>
    <n v="-14.856272636642558"/>
    <n v="220.70883665425441"/>
  </r>
  <r>
    <x v="86"/>
    <x v="0"/>
    <x v="1"/>
    <m/>
    <m/>
    <m/>
    <m/>
    <m/>
    <m/>
    <m/>
    <m/>
    <n v="114.11661692672303"/>
    <m/>
    <n v="104.45930200000002"/>
    <m/>
    <m/>
    <n v="97.3"/>
    <n v="93.3"/>
    <m/>
    <m/>
    <m/>
    <m/>
    <n v="-4.268688524590166"/>
    <m/>
    <m/>
    <n v="-9.6573149267230036"/>
    <m/>
    <m/>
    <m/>
    <m/>
    <m/>
    <b v="0"/>
    <s v="C"/>
    <s v="OVER"/>
    <n v="0"/>
    <n v="0"/>
    <n v="0"/>
    <n v="-4.268688524590166"/>
    <n v="18.221701719967768"/>
    <n v="-9.6573149267230036"/>
    <n v="93.26373159390694"/>
  </r>
  <r>
    <x v="86"/>
    <x v="23"/>
    <x v="15"/>
    <m/>
    <m/>
    <m/>
    <m/>
    <m/>
    <m/>
    <m/>
    <m/>
    <n v="99.990459179095723"/>
    <m/>
    <n v="111.4776026666667"/>
    <m/>
    <m/>
    <n v="99.1"/>
    <n v="96.4"/>
    <m/>
    <m/>
    <m/>
    <m/>
    <n v="10.611311475409835"/>
    <m/>
    <m/>
    <n v="11.487143487570975"/>
    <m/>
    <m/>
    <m/>
    <m/>
    <m/>
    <b v="0"/>
    <s v="NW"/>
    <s v="OVER"/>
    <n v="0"/>
    <n v="0"/>
    <n v="0"/>
    <n v="10.611311475409835"/>
    <n v="112.59993122816445"/>
    <n v="11.487143487570975"/>
    <n v="131.95446550404426"/>
  </r>
  <r>
    <x v="86"/>
    <x v="18"/>
    <x v="13"/>
    <m/>
    <m/>
    <m/>
    <m/>
    <m/>
    <m/>
    <m/>
    <m/>
    <n v="113.9410783347156"/>
    <m/>
    <n v="98.474310666666682"/>
    <m/>
    <m/>
    <n v="94.2"/>
    <n v="96.1"/>
    <m/>
    <m/>
    <m/>
    <m/>
    <n v="-8.268688524590166"/>
    <m/>
    <m/>
    <n v="-15.466767668048917"/>
    <m/>
    <m/>
    <m/>
    <m/>
    <m/>
    <b v="0"/>
    <s v="C"/>
    <s v="OVER"/>
    <n v="0"/>
    <n v="0"/>
    <n v="0"/>
    <n v="-8.268688524590166"/>
    <n v="68.371209916689097"/>
    <n v="-15.466767668048917"/>
    <n v="239.22090209740333"/>
  </r>
  <r>
    <x v="86"/>
    <x v="6"/>
    <x v="5"/>
    <m/>
    <m/>
    <m/>
    <m/>
    <m/>
    <m/>
    <m/>
    <m/>
    <n v="103.0153347304164"/>
    <m/>
    <n v="104.94334600000003"/>
    <m/>
    <m/>
    <n v="96.2"/>
    <n v="96.9"/>
    <m/>
    <m/>
    <m/>
    <m/>
    <n v="0.29131147540983449"/>
    <m/>
    <m/>
    <n v="1.9280112695836351"/>
    <m/>
    <m/>
    <m/>
    <m/>
    <m/>
    <b v="1"/>
    <s v="SW"/>
    <s v="OVER"/>
    <n v="0"/>
    <n v="0"/>
    <n v="0"/>
    <n v="0.29131147540983449"/>
    <n v="8.4862375705454601E-2"/>
    <n v="1.9280112695836351"/>
    <n v="3.7172274556415004"/>
  </r>
  <r>
    <x v="86"/>
    <x v="19"/>
    <x v="26"/>
    <m/>
    <m/>
    <m/>
    <m/>
    <m/>
    <m/>
    <m/>
    <m/>
    <n v="102.71314368238518"/>
    <m/>
    <n v="98.954810666666688"/>
    <m/>
    <m/>
    <n v="93.9"/>
    <n v="96.1"/>
    <m/>
    <m/>
    <m/>
    <m/>
    <n v="-4.0886885245901663"/>
    <m/>
    <m/>
    <n v="-3.7583330157184918"/>
    <m/>
    <m/>
    <m/>
    <m/>
    <m/>
    <b v="0"/>
    <s v="SE"/>
    <s v="OVER"/>
    <n v="0"/>
    <n v="0"/>
    <n v="0"/>
    <n v="-4.0886885245901663"/>
    <n v="16.717373851115312"/>
    <n v="-3.7583330157184918"/>
    <n v="14.125067057039653"/>
  </r>
  <r>
    <x v="86"/>
    <x v="24"/>
    <x v="19"/>
    <m/>
    <m/>
    <m/>
    <m/>
    <m/>
    <m/>
    <m/>
    <m/>
    <n v="110.04527945611427"/>
    <m/>
    <n v="106.51108800000004"/>
    <m/>
    <m/>
    <n v="96.2"/>
    <n v="101.7"/>
    <m/>
    <m/>
    <m/>
    <m/>
    <n v="-7.5886885245901663"/>
    <m/>
    <m/>
    <n v="-3.5341914561142289"/>
    <m/>
    <m/>
    <m/>
    <m/>
    <m/>
    <b v="0"/>
    <s v="A"/>
    <s v="OVER"/>
    <n v="0"/>
    <n v="0"/>
    <n v="0"/>
    <n v="-7.5886885245901663"/>
    <n v="57.588193523246474"/>
    <n v="-3.5341914561142289"/>
    <n v="12.490509248470813"/>
  </r>
  <r>
    <x v="86"/>
    <x v="21"/>
    <x v="16"/>
    <m/>
    <m/>
    <m/>
    <m/>
    <m/>
    <m/>
    <m/>
    <m/>
    <n v="108.12735584399454"/>
    <m/>
    <n v="97.553575333333342"/>
    <m/>
    <m/>
    <n v="91.5"/>
    <n v="98.3"/>
    <m/>
    <m/>
    <m/>
    <m/>
    <n v="-11.808688524590167"/>
    <m/>
    <m/>
    <n v="-10.573780510661194"/>
    <m/>
    <m/>
    <m/>
    <m/>
    <m/>
    <b v="0"/>
    <s v="NW"/>
    <s v="OVER"/>
    <n v="0"/>
    <n v="0"/>
    <n v="0"/>
    <n v="-11.808688524590167"/>
    <n v="139.44512467078749"/>
    <n v="-10.573780510661194"/>
    <n v="111.80483428763851"/>
  </r>
  <r>
    <x v="87"/>
    <x v="17"/>
    <x v="21"/>
    <m/>
    <m/>
    <m/>
    <m/>
    <m/>
    <m/>
    <m/>
    <m/>
    <n v="100.70822357842908"/>
    <m/>
    <n v="108.46716800000003"/>
    <m/>
    <m/>
    <n v="102"/>
    <n v="100.2"/>
    <m/>
    <m/>
    <m/>
    <m/>
    <n v="3.6513114754098344"/>
    <m/>
    <m/>
    <n v="7.7589444215709449"/>
    <m/>
    <m/>
    <m/>
    <m/>
    <m/>
    <b v="0"/>
    <s v="SW"/>
    <s v="OVER"/>
    <n v="0"/>
    <n v="0"/>
    <n v="0"/>
    <n v="3.6513114754098344"/>
    <n v="13.332075490459541"/>
    <n v="7.7589444215709449"/>
    <n v="60.201218537026882"/>
  </r>
  <r>
    <x v="87"/>
    <x v="28"/>
    <x v="8"/>
    <m/>
    <m/>
    <m/>
    <m/>
    <m/>
    <m/>
    <m/>
    <m/>
    <n v="116.17804150317565"/>
    <m/>
    <n v="108.74309066666669"/>
    <m/>
    <m/>
    <n v="95.8"/>
    <n v="99.1"/>
    <m/>
    <m/>
    <m/>
    <m/>
    <n v="-2.2386885245901658"/>
    <m/>
    <m/>
    <n v="-7.4349508365089605"/>
    <m/>
    <m/>
    <m/>
    <m/>
    <m/>
    <b v="1"/>
    <s v="NW"/>
    <s v="OVER"/>
    <n v="0"/>
    <n v="0"/>
    <n v="0"/>
    <n v="-2.2386885245901658"/>
    <n v="5.0117263101316931"/>
    <n v="-7.4349508365089605"/>
    <n v="55.278493941305292"/>
  </r>
  <r>
    <x v="87"/>
    <x v="9"/>
    <x v="18"/>
    <m/>
    <m/>
    <m/>
    <m/>
    <m/>
    <m/>
    <m/>
    <m/>
    <n v="96.33069405681465"/>
    <m/>
    <n v="117.51757133333338"/>
    <m/>
    <m/>
    <n v="94.2"/>
    <n v="100.7"/>
    <m/>
    <m/>
    <m/>
    <m/>
    <n v="17.071311475409836"/>
    <m/>
    <m/>
    <n v="21.186877276518729"/>
    <m/>
    <m/>
    <m/>
    <m/>
    <m/>
    <b v="0"/>
    <s v="SE"/>
    <s v="OVER"/>
    <n v="0"/>
    <n v="0"/>
    <n v="0"/>
    <n v="17.071311475409836"/>
    <n v="291.42967549045954"/>
    <n v="21.186877276518729"/>
    <n v="448.88376873026567"/>
  </r>
  <r>
    <x v="87"/>
    <x v="12"/>
    <x v="19"/>
    <m/>
    <m/>
    <m/>
    <m/>
    <m/>
    <m/>
    <m/>
    <m/>
    <n v="110.78676369203997"/>
    <m/>
    <n v="104.06011800000005"/>
    <m/>
    <m/>
    <n v="95.4"/>
    <n v="101.7"/>
    <m/>
    <m/>
    <m/>
    <m/>
    <n v="-15.168688524590166"/>
    <m/>
    <m/>
    <n v="-6.7266456920399236"/>
    <m/>
    <m/>
    <m/>
    <m/>
    <m/>
    <b v="0"/>
    <s v="A"/>
    <s v="OVER"/>
    <n v="0"/>
    <n v="0"/>
    <n v="0"/>
    <n v="-15.168688524590166"/>
    <n v="230.0891115560334"/>
    <n v="-6.7266456920399236"/>
    <n v="45.247762266239263"/>
  </r>
  <r>
    <x v="88"/>
    <x v="13"/>
    <x v="15"/>
    <m/>
    <m/>
    <m/>
    <m/>
    <m/>
    <m/>
    <m/>
    <m/>
    <n v="95.981559292911285"/>
    <m/>
    <n v="104.5271626666667"/>
    <m/>
    <m/>
    <n v="99.2"/>
    <n v="96.4"/>
    <m/>
    <m/>
    <m/>
    <m/>
    <n v="7.6213114754098346"/>
    <m/>
    <m/>
    <n v="8.5456033737554122"/>
    <m/>
    <m/>
    <m/>
    <m/>
    <m/>
    <b v="0"/>
    <s v="SE"/>
    <s v="OVER"/>
    <n v="0"/>
    <n v="0"/>
    <n v="0"/>
    <n v="7.6213114754098346"/>
    <n v="58.084388605213633"/>
    <n v="8.5456033737554122"/>
    <n v="73.027337021539878"/>
  </r>
  <r>
    <x v="88"/>
    <x v="16"/>
    <x v="1"/>
    <m/>
    <m/>
    <m/>
    <m/>
    <m/>
    <m/>
    <m/>
    <m/>
    <n v="99.457088012717804"/>
    <m/>
    <n v="109.01234200000002"/>
    <m/>
    <m/>
    <n v="92.9"/>
    <n v="93.3"/>
    <m/>
    <m/>
    <m/>
    <m/>
    <n v="13.281311475409835"/>
    <m/>
    <m/>
    <n v="9.5552539872822138"/>
    <m/>
    <m/>
    <m/>
    <m/>
    <m/>
    <b v="0"/>
    <s v="A"/>
    <s v="OVER"/>
    <n v="0"/>
    <n v="0"/>
    <n v="0"/>
    <n v="13.281311475409835"/>
    <n v="176.39323450685296"/>
    <n v="9.5552539872822138"/>
    <n v="91.302878761472641"/>
  </r>
  <r>
    <x v="88"/>
    <x v="22"/>
    <x v="13"/>
    <m/>
    <m/>
    <m/>
    <m/>
    <m/>
    <m/>
    <m/>
    <m/>
    <n v="108.32955196997592"/>
    <m/>
    <n v="102.52012066666667"/>
    <m/>
    <m/>
    <n v="97.3"/>
    <n v="96.1"/>
    <m/>
    <m/>
    <m/>
    <m/>
    <n v="-7.5286885245901658"/>
    <m/>
    <m/>
    <n v="-5.8094313033092533"/>
    <m/>
    <m/>
    <m/>
    <m/>
    <m/>
    <b v="1"/>
    <s v="SE"/>
    <s v="OVER"/>
    <n v="0"/>
    <n v="0"/>
    <n v="0"/>
    <n v="-7.5286885245901658"/>
    <n v="56.681150900295648"/>
    <n v="-5.8094313033092533"/>
    <n v="33.749492067869447"/>
  </r>
  <r>
    <x v="88"/>
    <x v="18"/>
    <x v="11"/>
    <m/>
    <m/>
    <m/>
    <m/>
    <m/>
    <m/>
    <m/>
    <m/>
    <n v="113.9504983347156"/>
    <m/>
    <n v="97.243288000000035"/>
    <m/>
    <m/>
    <n v="94.2"/>
    <n v="94.2"/>
    <m/>
    <m/>
    <m/>
    <m/>
    <n v="-7.518688524590166"/>
    <m/>
    <m/>
    <n v="-16.707210334715569"/>
    <m/>
    <m/>
    <m/>
    <m/>
    <m/>
    <b v="0"/>
    <s v="C"/>
    <s v="OVER"/>
    <n v="0"/>
    <n v="0"/>
    <n v="0"/>
    <n v="-7.518688524590166"/>
    <n v="56.530677129803848"/>
    <n v="-16.707210334715569"/>
    <n v="279.13087716842671"/>
  </r>
  <r>
    <x v="88"/>
    <x v="4"/>
    <x v="0"/>
    <m/>
    <m/>
    <m/>
    <m/>
    <m/>
    <m/>
    <m/>
    <m/>
    <n v="109.40449341452113"/>
    <m/>
    <n v="105.97456133333337"/>
    <m/>
    <m/>
    <n v="98.3"/>
    <n v="96.2"/>
    <m/>
    <m/>
    <m/>
    <m/>
    <n v="0.40131147540983436"/>
    <m/>
    <m/>
    <n v="-3.4299320811877578"/>
    <m/>
    <m/>
    <m/>
    <m/>
    <m/>
    <b v="0"/>
    <s v="C"/>
    <s v="OVER"/>
    <n v="0"/>
    <n v="0"/>
    <n v="0"/>
    <n v="0.40131147540983436"/>
    <n v="0.16105090029561808"/>
    <n v="-3.4299320811877578"/>
    <n v="11.764434081560983"/>
  </r>
  <r>
    <x v="88"/>
    <x v="19"/>
    <x v="18"/>
    <m/>
    <m/>
    <m/>
    <m/>
    <m/>
    <m/>
    <m/>
    <m/>
    <n v="99.623833682385182"/>
    <m/>
    <n v="114.14412133333336"/>
    <m/>
    <m/>
    <n v="93.9"/>
    <n v="100.7"/>
    <m/>
    <m/>
    <m/>
    <m/>
    <n v="9.5813114754098336"/>
    <m/>
    <m/>
    <n v="14.520287650948177"/>
    <m/>
    <m/>
    <m/>
    <m/>
    <m/>
    <b v="0"/>
    <s v="SE"/>
    <s v="OVER"/>
    <n v="0"/>
    <n v="0"/>
    <n v="0"/>
    <n v="9.5813114754098336"/>
    <n v="91.801529588820159"/>
    <n v="14.520287650948177"/>
    <n v="210.83875346627812"/>
  </r>
  <r>
    <x v="88"/>
    <x v="7"/>
    <x v="5"/>
    <m/>
    <m/>
    <m/>
    <m/>
    <m/>
    <m/>
    <m/>
    <m/>
    <n v="110.32533333230639"/>
    <m/>
    <n v="111.70696600000004"/>
    <m/>
    <m/>
    <n v="96.1"/>
    <n v="96.9"/>
    <m/>
    <m/>
    <m/>
    <m/>
    <n v="3.3313114754098345"/>
    <m/>
    <m/>
    <n v="1.3816326676936512"/>
    <m/>
    <m/>
    <m/>
    <m/>
    <m/>
    <b v="0"/>
    <s v="C"/>
    <s v="OVER"/>
    <n v="0"/>
    <n v="0"/>
    <n v="0"/>
    <n v="3.3313114754098345"/>
    <n v="11.097636146197248"/>
    <n v="1.3816326676936512"/>
    <n v="1.9089088284382754"/>
  </r>
  <r>
    <x v="88"/>
    <x v="8"/>
    <x v="20"/>
    <m/>
    <m/>
    <m/>
    <m/>
    <m/>
    <m/>
    <m/>
    <m/>
    <n v="102.35623327976012"/>
    <m/>
    <n v="110.47506866666669"/>
    <m/>
    <m/>
    <n v="98.8"/>
    <n v="97.3"/>
    <m/>
    <m/>
    <m/>
    <m/>
    <n v="8.6813114754098351"/>
    <m/>
    <m/>
    <n v="8.1188353869065679"/>
    <m/>
    <m/>
    <m/>
    <m/>
    <m/>
    <b v="0"/>
    <s v="SW"/>
    <s v="OVER"/>
    <n v="0"/>
    <n v="0"/>
    <n v="0"/>
    <n v="8.6813114754098351"/>
    <n v="75.365168933082487"/>
    <n v="8.1188353869065679"/>
    <n v="65.915488039686323"/>
  </r>
  <r>
    <x v="88"/>
    <x v="21"/>
    <x v="10"/>
    <m/>
    <m/>
    <m/>
    <m/>
    <m/>
    <m/>
    <m/>
    <m/>
    <n v="105.04380584399453"/>
    <m/>
    <n v="93.535877333333346"/>
    <m/>
    <m/>
    <n v="91.5"/>
    <n v="92.6"/>
    <m/>
    <m/>
    <m/>
    <m/>
    <n v="-6.6586885245901657"/>
    <m/>
    <m/>
    <n v="-11.507928510661188"/>
    <m/>
    <m/>
    <m/>
    <m/>
    <m/>
    <b v="1"/>
    <s v="NW"/>
    <s v="OVER"/>
    <n v="0"/>
    <n v="0"/>
    <n v="0"/>
    <n v="-6.6586885245901657"/>
    <n v="44.338132867508754"/>
    <n v="-11.507928510661188"/>
    <n v="132.43241860648862"/>
  </r>
  <r>
    <x v="89"/>
    <x v="23"/>
    <x v="2"/>
    <m/>
    <m/>
    <m/>
    <m/>
    <m/>
    <m/>
    <m/>
    <m/>
    <n v="99.653519179095724"/>
    <m/>
    <n v="97.759210000000024"/>
    <m/>
    <m/>
    <n v="99.1"/>
    <n v="91.5"/>
    <m/>
    <m/>
    <m/>
    <m/>
    <n v="2.1413114754098341"/>
    <m/>
    <m/>
    <n v="-1.8943091790956998"/>
    <m/>
    <m/>
    <m/>
    <m/>
    <m/>
    <b v="1"/>
    <s v="NW"/>
    <s v="OVER"/>
    <n v="0"/>
    <n v="0"/>
    <n v="0"/>
    <n v="2.1413114754098341"/>
    <n v="4.5852148347218407"/>
    <n v="-1.8943091790956998"/>
    <n v="3.5884072660062243"/>
  </r>
  <r>
    <x v="89"/>
    <x v="9"/>
    <x v="27"/>
    <m/>
    <m/>
    <m/>
    <m/>
    <m/>
    <m/>
    <m/>
    <m/>
    <n v="96.942994056814655"/>
    <m/>
    <n v="105.35241400000001"/>
    <m/>
    <m/>
    <n v="94.2"/>
    <n v="95.1"/>
    <m/>
    <m/>
    <m/>
    <m/>
    <n v="10.501311475409835"/>
    <m/>
    <m/>
    <n v="8.4094199431853554"/>
    <m/>
    <m/>
    <m/>
    <m/>
    <m/>
    <b v="0"/>
    <s v="SE"/>
    <s v="OVER"/>
    <n v="0"/>
    <n v="0"/>
    <n v="0"/>
    <n v="10.501311475409835"/>
    <n v="110.2775427035743"/>
    <n v="8.4094199431853554"/>
    <n v="70.718343780843583"/>
  </r>
  <r>
    <x v="89"/>
    <x v="10"/>
    <x v="15"/>
    <m/>
    <m/>
    <m/>
    <m/>
    <m/>
    <m/>
    <m/>
    <m/>
    <n v="94.824194198882523"/>
    <m/>
    <n v="112.98144266666669"/>
    <m/>
    <m/>
    <n v="97.5"/>
    <n v="96.4"/>
    <m/>
    <m/>
    <m/>
    <m/>
    <n v="19.621311475409833"/>
    <m/>
    <m/>
    <n v="18.157248467784171"/>
    <m/>
    <m/>
    <m/>
    <m/>
    <m/>
    <b v="0"/>
    <s v="A"/>
    <s v="OVER"/>
    <n v="0"/>
    <n v="0"/>
    <n v="0"/>
    <n v="19.621311475409833"/>
    <n v="384.99586401504956"/>
    <n v="18.157248467784171"/>
    <n v="329.68567192085067"/>
  </r>
  <r>
    <x v="89"/>
    <x v="11"/>
    <x v="6"/>
    <m/>
    <m/>
    <m/>
    <m/>
    <m/>
    <m/>
    <m/>
    <m/>
    <n v="98.914460941007988"/>
    <m/>
    <n v="105.38063866666668"/>
    <m/>
    <m/>
    <n v="101.7"/>
    <n v="95.8"/>
    <m/>
    <m/>
    <m/>
    <m/>
    <n v="2.4213114754098344"/>
    <m/>
    <m/>
    <n v="6.4661777256586959"/>
    <m/>
    <m/>
    <m/>
    <m/>
    <m/>
    <b v="0"/>
    <s v="P"/>
    <s v="OVER"/>
    <n v="0"/>
    <n v="0"/>
    <n v="0"/>
    <n v="2.4213114754098344"/>
    <n v="5.8627492609513494"/>
    <n v="6.4661777256586959"/>
    <n v="41.811454379804665"/>
  </r>
  <r>
    <x v="89"/>
    <x v="12"/>
    <x v="1"/>
    <m/>
    <m/>
    <m/>
    <m/>
    <m/>
    <m/>
    <m/>
    <m/>
    <n v="108.40176369203996"/>
    <m/>
    <n v="105.90545200000003"/>
    <m/>
    <m/>
    <n v="95.4"/>
    <n v="93.3"/>
    <m/>
    <m/>
    <m/>
    <m/>
    <n v="-1.4786885245901651"/>
    <m/>
    <m/>
    <n v="-2.4963116920399386"/>
    <m/>
    <m/>
    <m/>
    <m/>
    <m/>
    <b v="0"/>
    <s v="A"/>
    <s v="OVER"/>
    <n v="0"/>
    <n v="0"/>
    <n v="0"/>
    <n v="-1.4786885245901651"/>
    <n v="2.1865197527546392"/>
    <n v="-2.4963116920399386"/>
    <n v="6.2315720638153014"/>
  </r>
  <r>
    <x v="89"/>
    <x v="29"/>
    <x v="14"/>
    <m/>
    <m/>
    <m/>
    <m/>
    <m/>
    <m/>
    <m/>
    <m/>
    <n v="109.91004029849834"/>
    <m/>
    <n v="110.65461333333334"/>
    <m/>
    <m/>
    <n v="96.1"/>
    <n v="99.5"/>
    <m/>
    <m/>
    <m/>
    <m/>
    <n v="0.55131147540983427"/>
    <m/>
    <m/>
    <n v="0.7445730348349997"/>
    <m/>
    <m/>
    <m/>
    <m/>
    <m/>
    <b v="0"/>
    <s v="SE"/>
    <s v="OVER"/>
    <n v="0"/>
    <n v="0"/>
    <n v="0"/>
    <n v="0.55131147540983427"/>
    <n v="0.30394434291856831"/>
    <n v="0.7445730348349997"/>
    <n v="0.55438900420340165"/>
  </r>
  <r>
    <x v="90"/>
    <x v="3"/>
    <x v="5"/>
    <m/>
    <m/>
    <m/>
    <m/>
    <m/>
    <m/>
    <m/>
    <m/>
    <n v="108.07144124532324"/>
    <m/>
    <n v="110.19532600000002"/>
    <m/>
    <m/>
    <n v="99.5"/>
    <n v="96.9"/>
    <m/>
    <m/>
    <m/>
    <m/>
    <n v="0.34131147540983431"/>
    <m/>
    <m/>
    <n v="2.1238847546767801"/>
    <m/>
    <m/>
    <m/>
    <m/>
    <m/>
    <b v="0"/>
    <s v="A"/>
    <s v="OVER"/>
    <n v="0"/>
    <n v="0"/>
    <n v="0"/>
    <n v="0.34131147540983431"/>
    <n v="0.11649352324643793"/>
    <n v="2.1238847546767801"/>
    <n v="4.5108864511484459"/>
  </r>
  <r>
    <x v="90"/>
    <x v="16"/>
    <x v="9"/>
    <m/>
    <m/>
    <m/>
    <m/>
    <m/>
    <m/>
    <m/>
    <m/>
    <n v="97.4876080127178"/>
    <m/>
    <n v="99.853886000000031"/>
    <m/>
    <m/>
    <n v="92.9"/>
    <n v="93.9"/>
    <m/>
    <m/>
    <m/>
    <m/>
    <n v="4.8913114754098341"/>
    <m/>
    <m/>
    <n v="2.3662779872822313"/>
    <m/>
    <m/>
    <m/>
    <m/>
    <m/>
    <b v="0"/>
    <s v="A"/>
    <s v="OVER"/>
    <n v="0"/>
    <n v="0"/>
    <n v="0"/>
    <n v="4.8913114754098341"/>
    <n v="23.924927949475929"/>
    <n v="2.3662779872822313"/>
    <n v="5.599271513096447"/>
  </r>
  <r>
    <x v="90"/>
    <x v="14"/>
    <x v="24"/>
    <m/>
    <m/>
    <m/>
    <m/>
    <m/>
    <m/>
    <m/>
    <m/>
    <n v="103.03210726701198"/>
    <m/>
    <n v="100.85730133333335"/>
    <m/>
    <m/>
    <n v="95.1"/>
    <n v="99.2"/>
    <m/>
    <m/>
    <m/>
    <m/>
    <n v="-5.1386885245901652"/>
    <m/>
    <m/>
    <n v="-2.174805933678627"/>
    <m/>
    <m/>
    <m/>
    <m/>
    <m/>
    <b v="0"/>
    <s v="C"/>
    <s v="OVER"/>
    <n v="0"/>
    <n v="0"/>
    <n v="0"/>
    <n v="-5.1386885245901652"/>
    <n v="26.406119752754648"/>
    <n v="-2.174805933678627"/>
    <n v="4.7297808491637641"/>
  </r>
  <r>
    <x v="90"/>
    <x v="22"/>
    <x v="18"/>
    <m/>
    <m/>
    <m/>
    <m/>
    <m/>
    <m/>
    <m/>
    <m/>
    <n v="104.02889196997592"/>
    <m/>
    <n v="117.08456133333337"/>
    <m/>
    <m/>
    <n v="97.3"/>
    <n v="100.7"/>
    <m/>
    <m/>
    <m/>
    <m/>
    <n v="6.481311475409834"/>
    <m/>
    <m/>
    <n v="13.055669363357453"/>
    <m/>
    <m/>
    <m/>
    <m/>
    <m/>
    <b v="0"/>
    <s v="SE"/>
    <s v="OVER"/>
    <n v="0"/>
    <n v="0"/>
    <n v="0"/>
    <n v="6.481311475409834"/>
    <n v="42.0073984412792"/>
    <n v="13.055669363357453"/>
    <n v="170.45050252531038"/>
  </r>
  <r>
    <x v="90"/>
    <x v="0"/>
    <x v="11"/>
    <m/>
    <m/>
    <m/>
    <m/>
    <m/>
    <m/>
    <m/>
    <m/>
    <n v="118.68971692672304"/>
    <m/>
    <n v="101.14316800000003"/>
    <m/>
    <m/>
    <n v="97.3"/>
    <n v="94.2"/>
    <m/>
    <m/>
    <m/>
    <m/>
    <n v="-13.558688524590167"/>
    <m/>
    <m/>
    <n v="-17.546548926723005"/>
    <m/>
    <m/>
    <m/>
    <m/>
    <m/>
    <b v="0"/>
    <s v="C"/>
    <s v="OVER"/>
    <n v="0"/>
    <n v="0"/>
    <n v="0"/>
    <n v="-13.558688524590167"/>
    <n v="183.83803450685309"/>
    <n v="-17.546548926723005"/>
    <n v="307.88137923788423"/>
  </r>
  <r>
    <x v="90"/>
    <x v="17"/>
    <x v="0"/>
    <m/>
    <m/>
    <m/>
    <m/>
    <m/>
    <m/>
    <m/>
    <m/>
    <n v="99.341423578429087"/>
    <m/>
    <n v="103.64652133333337"/>
    <m/>
    <m/>
    <n v="102"/>
    <n v="96.2"/>
    <m/>
    <m/>
    <m/>
    <m/>
    <n v="4.481311475409834"/>
    <m/>
    <m/>
    <n v="4.3050977549042813"/>
    <m/>
    <m/>
    <m/>
    <m/>
    <m/>
    <b v="0"/>
    <s v="SW"/>
    <s v="OVER"/>
    <n v="0"/>
    <n v="0"/>
    <n v="0"/>
    <n v="4.481311475409834"/>
    <n v="20.082152539639864"/>
    <n v="4.3050977549042813"/>
    <n v="18.533866679281882"/>
  </r>
  <r>
    <x v="90"/>
    <x v="6"/>
    <x v="29"/>
    <m/>
    <m/>
    <m/>
    <m/>
    <m/>
    <m/>
    <m/>
    <m/>
    <n v="101.2933547304164"/>
    <m/>
    <n v="103.77675600000003"/>
    <m/>
    <m/>
    <n v="96.2"/>
    <n v="95.4"/>
    <m/>
    <m/>
    <m/>
    <m/>
    <n v="2.5813114754098341"/>
    <m/>
    <m/>
    <n v="2.4834012695836378"/>
    <m/>
    <m/>
    <m/>
    <m/>
    <m/>
    <b v="0"/>
    <s v="SW"/>
    <s v="OVER"/>
    <n v="0"/>
    <n v="0"/>
    <n v="0"/>
    <n v="2.5813114754098341"/>
    <n v="6.6631689330824946"/>
    <n v="2.4834012695836378"/>
    <n v="6.167281865769624"/>
  </r>
  <r>
    <x v="90"/>
    <x v="7"/>
    <x v="28"/>
    <m/>
    <m/>
    <m/>
    <m/>
    <m/>
    <m/>
    <m/>
    <m/>
    <n v="109.53731333230638"/>
    <m/>
    <n v="98.553650000000019"/>
    <m/>
    <m/>
    <n v="96.1"/>
    <n v="97.5"/>
    <m/>
    <m/>
    <m/>
    <m/>
    <n v="-10.038688524590166"/>
    <m/>
    <m/>
    <n v="-10.983663332306364"/>
    <m/>
    <m/>
    <m/>
    <m/>
    <m/>
    <b v="0"/>
    <s v="C"/>
    <s v="OVER"/>
    <n v="0"/>
    <n v="0"/>
    <n v="0"/>
    <n v="-10.038688524590166"/>
    <n v="100.77526729373828"/>
    <n v="-10.983663332306364"/>
    <n v="120.64086019745133"/>
  </r>
  <r>
    <x v="90"/>
    <x v="8"/>
    <x v="10"/>
    <m/>
    <m/>
    <m/>
    <m/>
    <m/>
    <m/>
    <m/>
    <m/>
    <n v="101.38799327976011"/>
    <m/>
    <n v="96.452777333333358"/>
    <m/>
    <m/>
    <n v="98.8"/>
    <n v="92.6"/>
    <m/>
    <m/>
    <m/>
    <m/>
    <n v="0.28131147540983442"/>
    <m/>
    <m/>
    <n v="-4.9352159464267515"/>
    <m/>
    <m/>
    <m/>
    <m/>
    <m/>
    <b v="0"/>
    <s v="SW"/>
    <s v="OVER"/>
    <n v="0"/>
    <n v="0"/>
    <n v="0"/>
    <n v="0.28131147540983442"/>
    <n v="7.9136146197257881E-2"/>
    <n v="-4.9352159464267515"/>
    <n v="24.356356437864896"/>
  </r>
  <r>
    <x v="90"/>
    <x v="2"/>
    <x v="21"/>
    <m/>
    <m/>
    <m/>
    <m/>
    <m/>
    <m/>
    <m/>
    <m/>
    <n v="113.34913413790987"/>
    <m/>
    <n v="114.66954800000002"/>
    <m/>
    <m/>
    <n v="99.3"/>
    <n v="100.2"/>
    <m/>
    <m/>
    <m/>
    <m/>
    <n v="-2.7786885245901658"/>
    <m/>
    <m/>
    <n v="1.3204138620901489"/>
    <m/>
    <m/>
    <m/>
    <m/>
    <m/>
    <b v="0"/>
    <s v="NW"/>
    <s v="OVER"/>
    <n v="0"/>
    <n v="0"/>
    <n v="0"/>
    <n v="-2.7786885245901658"/>
    <n v="7.7211099166890724"/>
    <n v="1.3204138620901489"/>
    <n v="1.7434927671998226"/>
  </r>
  <r>
    <x v="91"/>
    <x v="23"/>
    <x v="19"/>
    <m/>
    <m/>
    <m/>
    <m/>
    <m/>
    <m/>
    <m/>
    <m/>
    <n v="105.16347917909572"/>
    <m/>
    <n v="103.46008800000004"/>
    <m/>
    <m/>
    <n v="99.1"/>
    <n v="101.7"/>
    <m/>
    <m/>
    <m/>
    <m/>
    <n v="-8.518688524590166"/>
    <m/>
    <m/>
    <n v="-1.7033911790956751"/>
    <m/>
    <m/>
    <m/>
    <m/>
    <m/>
    <b v="0"/>
    <s v="NW"/>
    <s v="OVER"/>
    <n v="0"/>
    <n v="0"/>
    <n v="0"/>
    <n v="-8.518688524590166"/>
    <n v="72.568054178984184"/>
    <n v="-1.7033911790956751"/>
    <n v="2.9015415090209542"/>
  </r>
  <r>
    <x v="91"/>
    <x v="28"/>
    <x v="16"/>
    <m/>
    <m/>
    <m/>
    <m/>
    <m/>
    <m/>
    <m/>
    <m/>
    <n v="117.54798150317566"/>
    <m/>
    <n v="105.24063533333336"/>
    <m/>
    <m/>
    <n v="95.8"/>
    <n v="98.3"/>
    <m/>
    <m/>
    <m/>
    <m/>
    <n v="-6.3486885245901661"/>
    <m/>
    <m/>
    <n v="-12.307346169842305"/>
    <m/>
    <m/>
    <m/>
    <m/>
    <m/>
    <b v="0"/>
    <s v="NW"/>
    <s v="OVER"/>
    <n v="0"/>
    <n v="0"/>
    <n v="0"/>
    <n v="-6.3486885245901661"/>
    <n v="40.305845982262859"/>
    <n v="-12.307346169842305"/>
    <n v="151.47076974433205"/>
  </r>
  <r>
    <x v="91"/>
    <x v="20"/>
    <x v="4"/>
    <m/>
    <m/>
    <m/>
    <m/>
    <m/>
    <m/>
    <m/>
    <m/>
    <n v="105.00983681965828"/>
    <m/>
    <n v="97.451480000000032"/>
    <m/>
    <m/>
    <n v="92.6"/>
    <n v="102"/>
    <m/>
    <m/>
    <m/>
    <m/>
    <n v="-12.008688524590166"/>
    <m/>
    <m/>
    <n v="-7.5583568196582434"/>
    <m/>
    <m/>
    <m/>
    <m/>
    <m/>
    <b v="0"/>
    <s v="NW"/>
    <s v="OVER"/>
    <n v="0"/>
    <n v="0"/>
    <n v="0"/>
    <n v="-12.008688524590166"/>
    <n v="144.20860008062354"/>
    <n v="-7.5583568196582434"/>
    <n v="57.128757813274277"/>
  </r>
  <r>
    <x v="91"/>
    <x v="21"/>
    <x v="21"/>
    <m/>
    <m/>
    <m/>
    <m/>
    <m/>
    <m/>
    <m/>
    <m/>
    <n v="110.79000584399452"/>
    <m/>
    <n v="104.69964800000001"/>
    <m/>
    <m/>
    <n v="91.5"/>
    <n v="100.2"/>
    <m/>
    <m/>
    <m/>
    <m/>
    <n v="-9.4586885245901655"/>
    <m/>
    <m/>
    <n v="-6.0903578439945107"/>
    <m/>
    <m/>
    <m/>
    <m/>
    <m/>
    <b v="0"/>
    <s v="NW"/>
    <s v="OVER"/>
    <n v="0"/>
    <n v="0"/>
    <n v="0"/>
    <n v="-9.4586885245901655"/>
    <n v="89.466788605213679"/>
    <n v="-6.0903578439945107"/>
    <n v="37.092458667905468"/>
  </r>
  <r>
    <x v="92"/>
    <x v="13"/>
    <x v="13"/>
    <m/>
    <m/>
    <m/>
    <m/>
    <m/>
    <m/>
    <m/>
    <m/>
    <n v="103.33227929291128"/>
    <m/>
    <n v="96.446600666666683"/>
    <m/>
    <m/>
    <n v="99.2"/>
    <n v="96.1"/>
    <m/>
    <m/>
    <m/>
    <m/>
    <n v="-7.8586885245901659"/>
    <m/>
    <m/>
    <n v="-6.8856786262445979"/>
    <m/>
    <m/>
    <m/>
    <m/>
    <m/>
    <b v="1"/>
    <s v="SE"/>
    <s v="OVER"/>
    <n v="0"/>
    <n v="0"/>
    <n v="0"/>
    <n v="-7.8586885245901659"/>
    <n v="61.758985326525156"/>
    <n v="-6.8856786262445979"/>
    <n v="47.412570143921691"/>
  </r>
  <r>
    <x v="92"/>
    <x v="3"/>
    <x v="17"/>
    <m/>
    <m/>
    <m/>
    <m/>
    <m/>
    <m/>
    <m/>
    <m/>
    <n v="105.24564124532324"/>
    <m/>
    <n v="92.86298800000003"/>
    <m/>
    <m/>
    <n v="99.5"/>
    <n v="94.2"/>
    <m/>
    <m/>
    <m/>
    <m/>
    <n v="-11.948688524590166"/>
    <m/>
    <m/>
    <n v="-12.382653245323212"/>
    <m/>
    <m/>
    <m/>
    <m/>
    <m/>
    <b v="0"/>
    <s v="A"/>
    <s v="OVER"/>
    <n v="0"/>
    <n v="0"/>
    <n v="0"/>
    <n v="-11.948688524590166"/>
    <n v="142.7711574576727"/>
    <n v="-12.382653245323212"/>
    <n v="153.33010139391348"/>
  </r>
  <r>
    <x v="92"/>
    <x v="14"/>
    <x v="9"/>
    <m/>
    <m/>
    <m/>
    <m/>
    <m/>
    <m/>
    <m/>
    <m/>
    <n v="106.26550726701197"/>
    <m/>
    <n v="95.449976000000035"/>
    <m/>
    <m/>
    <n v="95.1"/>
    <n v="93.9"/>
    <m/>
    <m/>
    <m/>
    <m/>
    <n v="-8.5686885245901649"/>
    <m/>
    <m/>
    <n v="-10.815531267011934"/>
    <m/>
    <m/>
    <m/>
    <m/>
    <m/>
    <b v="0"/>
    <s v="C"/>
    <s v="OVER"/>
    <n v="0"/>
    <n v="0"/>
    <n v="0"/>
    <n v="-8.5686885245901649"/>
    <n v="73.422423031443174"/>
    <n v="-10.815531267011934"/>
    <n v="116.97571658771278"/>
  </r>
  <r>
    <x v="92"/>
    <x v="0"/>
    <x v="3"/>
    <m/>
    <m/>
    <m/>
    <m/>
    <m/>
    <m/>
    <m/>
    <m/>
    <n v="119.57514692672304"/>
    <m/>
    <n v="94.303409333333363"/>
    <m/>
    <m/>
    <n v="97.3"/>
    <n v="92.9"/>
    <m/>
    <m/>
    <m/>
    <m/>
    <n v="-20.328688524590167"/>
    <m/>
    <m/>
    <n v="-25.271737593389673"/>
    <m/>
    <m/>
    <m/>
    <m/>
    <m/>
    <b v="0"/>
    <s v="C"/>
    <s v="OVER"/>
    <n v="0"/>
    <n v="0"/>
    <n v="0"/>
    <n v="-20.328688524590167"/>
    <n v="413.2555771298039"/>
    <n v="-25.271737593389673"/>
    <n v="638.66072098914492"/>
  </r>
  <r>
    <x v="92"/>
    <x v="4"/>
    <x v="11"/>
    <m/>
    <m/>
    <m/>
    <m/>
    <m/>
    <m/>
    <m/>
    <m/>
    <n v="109.41432341452114"/>
    <m/>
    <n v="103.39454800000003"/>
    <m/>
    <m/>
    <n v="98.3"/>
    <n v="94.2"/>
    <m/>
    <m/>
    <m/>
    <m/>
    <n v="-8.6885245901657804E-3"/>
    <m/>
    <m/>
    <n v="-6.0197754145211064"/>
    <m/>
    <m/>
    <m/>
    <m/>
    <m/>
    <b v="0"/>
    <s v="C"/>
    <s v="OVER"/>
    <n v="0"/>
    <n v="0"/>
    <n v="0"/>
    <n v="-8.6885245901657804E-3"/>
    <n v="7.549045955391544E-5"/>
    <n v="-6.0197754145211064"/>
    <n v="36.237696041272756"/>
  </r>
  <r>
    <x v="92"/>
    <x v="8"/>
    <x v="1"/>
    <m/>
    <m/>
    <m/>
    <m/>
    <m/>
    <m/>
    <m/>
    <m/>
    <n v="101.63499327976011"/>
    <m/>
    <n v="103.86218200000002"/>
    <m/>
    <m/>
    <n v="98.8"/>
    <n v="93.3"/>
    <m/>
    <m/>
    <m/>
    <m/>
    <n v="7.1913114754098348"/>
    <m/>
    <m/>
    <n v="2.2271887202399085"/>
    <m/>
    <m/>
    <m/>
    <m/>
    <m/>
    <b v="1"/>
    <s v="SW"/>
    <s v="OVER"/>
    <n v="0"/>
    <n v="0"/>
    <n v="0"/>
    <n v="7.1913114754098348"/>
    <n v="51.714960736361178"/>
    <n v="2.2271887202399085"/>
    <n v="4.9603695955638818"/>
  </r>
  <r>
    <x v="92"/>
    <x v="24"/>
    <x v="7"/>
    <m/>
    <m/>
    <m/>
    <m/>
    <m/>
    <m/>
    <m/>
    <m/>
    <n v="108.40987945611427"/>
    <m/>
    <n v="108.42203866666668"/>
    <m/>
    <m/>
    <n v="96.2"/>
    <n v="97.3"/>
    <m/>
    <m/>
    <m/>
    <m/>
    <n v="0.81131147540983406"/>
    <m/>
    <m/>
    <n v="1.2159210552411537E-2"/>
    <m/>
    <m/>
    <m/>
    <m/>
    <m/>
    <b v="0"/>
    <s v="A"/>
    <s v="OVER"/>
    <n v="0"/>
    <n v="0"/>
    <n v="0"/>
    <n v="0.81131147540983406"/>
    <n v="0.65822631013168176"/>
    <n v="1.2159210552411537E-2"/>
    <n v="1.4784640125787608E-4"/>
  </r>
  <r>
    <x v="92"/>
    <x v="10"/>
    <x v="5"/>
    <m/>
    <m/>
    <m/>
    <m/>
    <m/>
    <m/>
    <m/>
    <m/>
    <n v="101.44444419888252"/>
    <m/>
    <n v="111.40657600000003"/>
    <m/>
    <m/>
    <n v="97.5"/>
    <n v="96.9"/>
    <m/>
    <m/>
    <m/>
    <m/>
    <n v="10.591311475409835"/>
    <m/>
    <m/>
    <n v="9.9621318011175077"/>
    <m/>
    <m/>
    <m/>
    <m/>
    <m/>
    <b v="0"/>
    <s v="A"/>
    <s v="OVER"/>
    <n v="0"/>
    <n v="0"/>
    <n v="0"/>
    <n v="10.591311475409835"/>
    <n v="112.17587876914806"/>
    <n v="9.9621318011175077"/>
    <n v="99.244070022836752"/>
  </r>
  <r>
    <x v="92"/>
    <x v="2"/>
    <x v="23"/>
    <m/>
    <m/>
    <m/>
    <m/>
    <m/>
    <m/>
    <m/>
    <m/>
    <n v="103.96528413790986"/>
    <m/>
    <n v="103.93512133333337"/>
    <m/>
    <m/>
    <n v="99.3"/>
    <n v="96.2"/>
    <m/>
    <m/>
    <m/>
    <m/>
    <n v="0.27131147540983414"/>
    <m/>
    <m/>
    <n v="-3.0162804576491453E-2"/>
    <m/>
    <m/>
    <m/>
    <m/>
    <m/>
    <b v="0"/>
    <s v="NW"/>
    <s v="OVER"/>
    <n v="0"/>
    <n v="0"/>
    <n v="0"/>
    <n v="0.27131147540983414"/>
    <n v="7.3609916689061028E-2"/>
    <n v="-3.0162804576491453E-2"/>
    <n v="9.0979477991961371E-4"/>
  </r>
  <r>
    <x v="92"/>
    <x v="12"/>
    <x v="26"/>
    <m/>
    <m/>
    <m/>
    <m/>
    <m/>
    <m/>
    <m/>
    <m/>
    <n v="111.79800369203997"/>
    <m/>
    <n v="103.18321066666668"/>
    <m/>
    <m/>
    <n v="95.4"/>
    <n v="96.1"/>
    <m/>
    <m/>
    <m/>
    <m/>
    <n v="-11.178688524590166"/>
    <m/>
    <m/>
    <n v="-8.6147930253732881"/>
    <m/>
    <m/>
    <m/>
    <m/>
    <m/>
    <b v="0"/>
    <s v="A"/>
    <s v="OVER"/>
    <n v="0"/>
    <n v="0"/>
    <n v="0"/>
    <n v="-11.178688524590166"/>
    <n v="124.96307712980386"/>
    <n v="-8.6147930253732881"/>
    <n v="74.214658870020244"/>
  </r>
  <r>
    <x v="93"/>
    <x v="22"/>
    <x v="11"/>
    <m/>
    <m/>
    <m/>
    <m/>
    <m/>
    <m/>
    <m/>
    <m/>
    <n v="108.33928196997593"/>
    <m/>
    <n v="101.20910800000003"/>
    <m/>
    <m/>
    <n v="97.3"/>
    <n v="94.2"/>
    <m/>
    <m/>
    <m/>
    <m/>
    <n v="-6.7786885245901658"/>
    <m/>
    <m/>
    <n v="-7.1301739699758997"/>
    <m/>
    <m/>
    <m/>
    <m/>
    <m/>
    <b v="0"/>
    <s v="SE"/>
    <s v="OVER"/>
    <n v="0"/>
    <n v="0"/>
    <n v="0"/>
    <n v="-6.7786885245901658"/>
    <n v="45.9506181134104"/>
    <n v="-7.1301739699758997"/>
    <n v="50.839380842121884"/>
  </r>
  <r>
    <x v="93"/>
    <x v="1"/>
    <x v="15"/>
    <m/>
    <m/>
    <m/>
    <m/>
    <m/>
    <m/>
    <m/>
    <m/>
    <n v="110.72696298006876"/>
    <m/>
    <n v="110.10872266666669"/>
    <m/>
    <m/>
    <n v="100.7"/>
    <n v="96.4"/>
    <m/>
    <m/>
    <m/>
    <m/>
    <n v="-1.3086885245901652"/>
    <m/>
    <m/>
    <n v="-0.61824031340206886"/>
    <m/>
    <m/>
    <m/>
    <m/>
    <m/>
    <b v="1"/>
    <s v="P"/>
    <s v="OVER"/>
    <n v="0"/>
    <n v="0"/>
    <n v="0"/>
    <n v="-1.3086885245901652"/>
    <n v="1.7126656543939833"/>
    <n v="-0.61824031340206886"/>
    <n v="0.38222108511548836"/>
  </r>
  <r>
    <x v="93"/>
    <x v="19"/>
    <x v="12"/>
    <m/>
    <m/>
    <m/>
    <m/>
    <m/>
    <m/>
    <m/>
    <m/>
    <n v="96.16831368238519"/>
    <m/>
    <n v="95.283928000000017"/>
    <m/>
    <m/>
    <n v="93.9"/>
    <n v="94.2"/>
    <m/>
    <m/>
    <m/>
    <m/>
    <n v="1.0613114754098343"/>
    <m/>
    <m/>
    <n v="-0.88438568238517234"/>
    <m/>
    <m/>
    <m/>
    <m/>
    <m/>
    <b v="0"/>
    <s v="SE"/>
    <s v="OVER"/>
    <n v="0"/>
    <n v="0"/>
    <n v="0"/>
    <n v="1.0613114754098343"/>
    <n v="1.1263820478365993"/>
    <n v="-0.88438568238517234"/>
    <n v="0.78213803520788694"/>
  </r>
  <r>
    <x v="93"/>
    <x v="7"/>
    <x v="14"/>
    <m/>
    <m/>
    <m/>
    <m/>
    <m/>
    <m/>
    <m/>
    <m/>
    <n v="108.33606333230638"/>
    <m/>
    <n v="109.53026333333335"/>
    <m/>
    <m/>
    <n v="96.1"/>
    <n v="99.5"/>
    <m/>
    <m/>
    <m/>
    <m/>
    <n v="0.21131147540983442"/>
    <m/>
    <m/>
    <n v="1.1942000010269709"/>
    <m/>
    <m/>
    <m/>
    <m/>
    <m/>
    <b v="0"/>
    <s v="C"/>
    <s v="OVER"/>
    <n v="0"/>
    <n v="0"/>
    <n v="0"/>
    <n v="0.21131147540983442"/>
    <n v="4.4652539639881056E-2"/>
    <n v="1.1942000010269709"/>
    <n v="1.4261136424528174"/>
  </r>
  <r>
    <x v="93"/>
    <x v="28"/>
    <x v="3"/>
    <m/>
    <m/>
    <m/>
    <m/>
    <m/>
    <m/>
    <m/>
    <m/>
    <n v="119.93340150317566"/>
    <m/>
    <n v="98.047279333333364"/>
    <m/>
    <m/>
    <n v="95.8"/>
    <n v="92.9"/>
    <m/>
    <m/>
    <m/>
    <m/>
    <n v="-10.348688524590166"/>
    <m/>
    <m/>
    <n v="-21.886122169842295"/>
    <m/>
    <m/>
    <m/>
    <m/>
    <m/>
    <b v="0"/>
    <s v="NW"/>
    <s v="OVER"/>
    <n v="0"/>
    <n v="0"/>
    <n v="0"/>
    <n v="-10.348688524590166"/>
    <n v="107.09535417898419"/>
    <n v="-21.886122169842295"/>
    <n v="479.0023436332624"/>
  </r>
  <r>
    <x v="93"/>
    <x v="11"/>
    <x v="8"/>
    <m/>
    <m/>
    <m/>
    <m/>
    <m/>
    <m/>
    <m/>
    <m/>
    <n v="95.792270941007985"/>
    <m/>
    <n v="106.50343066666669"/>
    <m/>
    <m/>
    <n v="101.7"/>
    <n v="99.1"/>
    <m/>
    <m/>
    <m/>
    <m/>
    <n v="2.9613114754098344"/>
    <m/>
    <m/>
    <n v="10.711159725658703"/>
    <m/>
    <m/>
    <m/>
    <m/>
    <m/>
    <b v="0"/>
    <s v="P"/>
    <s v="OVER"/>
    <n v="0"/>
    <n v="0"/>
    <n v="0"/>
    <n v="2.9613114754098344"/>
    <n v="8.7693656543939706"/>
    <n v="10.711159725658703"/>
    <n v="114.72894266857303"/>
  </r>
  <r>
    <x v="93"/>
    <x v="21"/>
    <x v="23"/>
    <m/>
    <m/>
    <m/>
    <m/>
    <m/>
    <m/>
    <m/>
    <m/>
    <n v="102.14325584399452"/>
    <m/>
    <n v="94.363221333333371"/>
    <m/>
    <m/>
    <n v="91.5"/>
    <n v="96.2"/>
    <m/>
    <m/>
    <m/>
    <m/>
    <n v="-6.4086885245901657"/>
    <m/>
    <m/>
    <n v="-7.780034510661153"/>
    <m/>
    <m/>
    <m/>
    <m/>
    <m/>
    <b v="0"/>
    <s v="NW"/>
    <s v="OVER"/>
    <n v="0"/>
    <n v="0"/>
    <n v="0"/>
    <n v="-6.4086885245901657"/>
    <n v="41.071288605213674"/>
    <n v="-7.780034510661153"/>
    <n v="60.528936987078524"/>
  </r>
  <r>
    <x v="94"/>
    <x v="13"/>
    <x v="0"/>
    <m/>
    <m/>
    <m/>
    <m/>
    <m/>
    <m/>
    <m/>
    <m/>
    <n v="103.33227929291128"/>
    <m/>
    <n v="97.662881333333374"/>
    <m/>
    <m/>
    <n v="99.2"/>
    <n v="96.2"/>
    <m/>
    <m/>
    <m/>
    <m/>
    <n v="-6.6986885245901657"/>
    <m/>
    <m/>
    <n v="-5.6693979595779069"/>
    <m/>
    <m/>
    <m/>
    <m/>
    <m/>
    <b v="0"/>
    <s v="SE"/>
    <s v="OVER"/>
    <n v="0"/>
    <n v="0"/>
    <n v="0"/>
    <n v="-6.6986885245901657"/>
    <n v="44.87242794947597"/>
    <n v="-5.6693979595779069"/>
    <n v="32.142073224066138"/>
  </r>
  <r>
    <x v="94"/>
    <x v="14"/>
    <x v="28"/>
    <m/>
    <m/>
    <m/>
    <m/>
    <m/>
    <m/>
    <m/>
    <m/>
    <n v="111.37237726701197"/>
    <m/>
    <n v="95.979650000000021"/>
    <m/>
    <m/>
    <n v="95.1"/>
    <n v="97.5"/>
    <m/>
    <m/>
    <m/>
    <m/>
    <n v="-17.138688524590165"/>
    <m/>
    <m/>
    <n v="-15.392727267011949"/>
    <m/>
    <m/>
    <m/>
    <m/>
    <m/>
    <b v="0"/>
    <s v="C"/>
    <s v="OVER"/>
    <n v="0"/>
    <n v="0"/>
    <n v="0"/>
    <n v="-17.138688524590165"/>
    <n v="293.73464434291861"/>
    <n v="-15.392727267011949"/>
    <n v="236.93605271661315"/>
  </r>
  <r>
    <x v="94"/>
    <x v="0"/>
    <x v="10"/>
    <m/>
    <m/>
    <m/>
    <m/>
    <m/>
    <m/>
    <m/>
    <m/>
    <n v="113.87336692672304"/>
    <m/>
    <n v="97.045417333333361"/>
    <m/>
    <m/>
    <n v="97.3"/>
    <n v="92.6"/>
    <m/>
    <m/>
    <m/>
    <m/>
    <n v="-11.178688524590166"/>
    <m/>
    <m/>
    <n v="-16.827949593389675"/>
    <m/>
    <m/>
    <m/>
    <m/>
    <m/>
    <b v="0"/>
    <s v="C"/>
    <s v="OVER"/>
    <n v="0"/>
    <n v="0"/>
    <n v="0"/>
    <n v="-11.178688524590166"/>
    <n v="124.96307712980386"/>
    <n v="-16.827949593389675"/>
    <n v="283.17988751766376"/>
  </r>
  <r>
    <x v="94"/>
    <x v="4"/>
    <x v="5"/>
    <m/>
    <m/>
    <m/>
    <m/>
    <m/>
    <m/>
    <m/>
    <m/>
    <n v="108.79503341452114"/>
    <m/>
    <n v="111.28060600000003"/>
    <m/>
    <m/>
    <n v="98.3"/>
    <n v="96.9"/>
    <m/>
    <m/>
    <m/>
    <m/>
    <n v="5.6913114754098348"/>
    <m/>
    <m/>
    <n v="2.4855725854788915"/>
    <m/>
    <m/>
    <m/>
    <m/>
    <m/>
    <b v="0"/>
    <s v="C"/>
    <s v="OVER"/>
    <n v="0"/>
    <n v="0"/>
    <n v="0"/>
    <n v="5.6913114754098348"/>
    <n v="32.391026310131672"/>
    <n v="2.4855725854788915"/>
    <n v="6.1780710776842209"/>
  </r>
  <r>
    <x v="94"/>
    <x v="8"/>
    <x v="13"/>
    <m/>
    <m/>
    <m/>
    <m/>
    <m/>
    <m/>
    <m/>
    <m/>
    <n v="106.26871327976011"/>
    <m/>
    <n v="101.83781066666668"/>
    <m/>
    <m/>
    <n v="98.8"/>
    <n v="96.1"/>
    <m/>
    <m/>
    <m/>
    <m/>
    <n v="-2.8486885245901656"/>
    <m/>
    <m/>
    <n v="-4.4309026130934228"/>
    <m/>
    <m/>
    <m/>
    <m/>
    <m/>
    <b v="0"/>
    <s v="SW"/>
    <s v="OVER"/>
    <n v="0"/>
    <n v="0"/>
    <n v="0"/>
    <n v="-2.8486885245901656"/>
    <n v="8.1150263101316948"/>
    <n v="-4.4309026130934228"/>
    <n v="19.632897966718122"/>
  </r>
  <r>
    <x v="94"/>
    <x v="2"/>
    <x v="18"/>
    <m/>
    <m/>
    <m/>
    <m/>
    <m/>
    <m/>
    <m/>
    <m/>
    <n v="107.62945413790986"/>
    <m/>
    <n v="123.21719133333337"/>
    <m/>
    <m/>
    <n v="99.3"/>
    <n v="100.7"/>
    <m/>
    <m/>
    <m/>
    <m/>
    <n v="10.901311475409834"/>
    <m/>
    <m/>
    <n v="15.587737195423514"/>
    <m/>
    <m/>
    <m/>
    <m/>
    <m/>
    <b v="0"/>
    <s v="NW"/>
    <s v="OVER"/>
    <n v="0"/>
    <n v="0"/>
    <n v="0"/>
    <n v="10.901311475409834"/>
    <n v="118.83859188390213"/>
    <n v="15.587737195423514"/>
    <n v="242.97755087358973"/>
  </r>
  <r>
    <x v="94"/>
    <x v="25"/>
    <x v="4"/>
    <m/>
    <m/>
    <m/>
    <m/>
    <m/>
    <m/>
    <m/>
    <m/>
    <n v="101.17292525149296"/>
    <m/>
    <n v="97.706480000000028"/>
    <m/>
    <m/>
    <n v="93.3"/>
    <n v="102"/>
    <m/>
    <m/>
    <m/>
    <m/>
    <n v="-18.918688524590166"/>
    <m/>
    <m/>
    <n v="-3.466445251492928"/>
    <m/>
    <m/>
    <m/>
    <m/>
    <m/>
    <b v="1"/>
    <s v="SW"/>
    <s v="OVER"/>
    <n v="0"/>
    <n v="0"/>
    <n v="0"/>
    <n v="-18.918688524590166"/>
    <n v="357.91677549045966"/>
    <n v="-3.466445251492928"/>
    <n v="12.01624268159787"/>
  </r>
  <r>
    <x v="94"/>
    <x v="12"/>
    <x v="17"/>
    <m/>
    <m/>
    <m/>
    <m/>
    <m/>
    <m/>
    <m/>
    <m/>
    <n v="109.57518369203997"/>
    <m/>
    <n v="93.126748000000021"/>
    <m/>
    <m/>
    <n v="95.4"/>
    <n v="94.2"/>
    <m/>
    <m/>
    <m/>
    <m/>
    <n v="-17.358688524590164"/>
    <m/>
    <m/>
    <n v="-16.448435692039951"/>
    <m/>
    <m/>
    <m/>
    <m/>
    <m/>
    <b v="0"/>
    <s v="A"/>
    <s v="OVER"/>
    <n v="0"/>
    <n v="0"/>
    <n v="0"/>
    <n v="-17.358688524590164"/>
    <n v="301.32406729373827"/>
    <n v="-16.448435692039951"/>
    <n v="270.55103671517378"/>
  </r>
  <r>
    <x v="95"/>
    <x v="3"/>
    <x v="12"/>
    <m/>
    <m/>
    <m/>
    <m/>
    <m/>
    <m/>
    <m/>
    <m/>
    <n v="100.62884124532324"/>
    <m/>
    <n v="99.16496800000003"/>
    <m/>
    <m/>
    <n v="99.5"/>
    <n v="94.2"/>
    <m/>
    <m/>
    <m/>
    <m/>
    <n v="-0.61868852459016566"/>
    <m/>
    <m/>
    <n v="-1.4638732453232137"/>
    <m/>
    <m/>
    <m/>
    <m/>
    <m/>
    <b v="0"/>
    <s v="A"/>
    <s v="OVER"/>
    <n v="0"/>
    <n v="0"/>
    <n v="0"/>
    <n v="-0.61868852459016566"/>
    <n v="0.382775490459556"/>
    <n v="-1.4638732453232137"/>
    <n v="2.1429248783731181"/>
  </r>
  <r>
    <x v="95"/>
    <x v="17"/>
    <x v="20"/>
    <m/>
    <m/>
    <m/>
    <m/>
    <m/>
    <m/>
    <m/>
    <m/>
    <n v="95.302223578429093"/>
    <m/>
    <n v="111.06859866666669"/>
    <m/>
    <m/>
    <n v="102"/>
    <n v="97.3"/>
    <m/>
    <m/>
    <m/>
    <m/>
    <n v="14.851311475409835"/>
    <m/>
    <m/>
    <n v="15.766375088237595"/>
    <m/>
    <m/>
    <m/>
    <m/>
    <m/>
    <b v="0"/>
    <s v="SW"/>
    <s v="OVER"/>
    <n v="0"/>
    <n v="0"/>
    <n v="0"/>
    <n v="14.851311475409835"/>
    <n v="220.56145253963984"/>
    <n v="15.766375088237595"/>
    <n v="248.57858342299903"/>
  </r>
  <r>
    <x v="95"/>
    <x v="19"/>
    <x v="3"/>
    <m/>
    <m/>
    <m/>
    <m/>
    <m/>
    <m/>
    <m/>
    <m/>
    <n v="104.63809368238519"/>
    <m/>
    <n v="91.65575933333335"/>
    <m/>
    <m/>
    <n v="93.9"/>
    <n v="92.9"/>
    <m/>
    <m/>
    <m/>
    <m/>
    <n v="-10.448688524590166"/>
    <m/>
    <m/>
    <n v="-12.98233434905184"/>
    <m/>
    <m/>
    <m/>
    <m/>
    <m/>
    <b v="0"/>
    <s v="SE"/>
    <s v="OVER"/>
    <n v="0"/>
    <n v="0"/>
    <n v="0"/>
    <n v="-10.448688524590166"/>
    <n v="109.17509188390221"/>
    <n v="-12.98233434905184"/>
    <n v="168.54100515057127"/>
  </r>
  <r>
    <x v="95"/>
    <x v="28"/>
    <x v="17"/>
    <m/>
    <m/>
    <m/>
    <m/>
    <m/>
    <m/>
    <m/>
    <m/>
    <n v="115.73736150317566"/>
    <m/>
    <n v="95.462908000000027"/>
    <m/>
    <m/>
    <n v="95.8"/>
    <n v="94.2"/>
    <m/>
    <m/>
    <m/>
    <m/>
    <n v="-10.168688524590166"/>
    <m/>
    <m/>
    <n v="-20.274453503175636"/>
    <m/>
    <m/>
    <m/>
    <m/>
    <m/>
    <b v="0"/>
    <s v="NW"/>
    <s v="OVER"/>
    <n v="0"/>
    <n v="0"/>
    <n v="0"/>
    <n v="-10.168688524590166"/>
    <n v="103.40222631013174"/>
    <n v="-20.274453503175636"/>
    <n v="411.05346485243081"/>
  </r>
  <r>
    <x v="95"/>
    <x v="11"/>
    <x v="23"/>
    <m/>
    <m/>
    <m/>
    <m/>
    <m/>
    <m/>
    <m/>
    <m/>
    <n v="90.595400941007981"/>
    <m/>
    <n v="99.711941333333371"/>
    <m/>
    <m/>
    <n v="101.7"/>
    <n v="96.2"/>
    <m/>
    <m/>
    <m/>
    <m/>
    <n v="4.2513114754098345"/>
    <m/>
    <m/>
    <n v="9.1165403923253905"/>
    <m/>
    <m/>
    <m/>
    <m/>
    <m/>
    <b v="0"/>
    <s v="P"/>
    <s v="OVER"/>
    <n v="0"/>
    <n v="0"/>
    <n v="0"/>
    <n v="4.2513114754098345"/>
    <n v="18.073649260951342"/>
    <n v="9.1165403923253905"/>
    <n v="83.111308724900383"/>
  </r>
  <r>
    <x v="96"/>
    <x v="26"/>
    <x v="11"/>
    <m/>
    <m/>
    <m/>
    <m/>
    <m/>
    <m/>
    <m/>
    <m/>
    <n v="113.38920549407402"/>
    <m/>
    <n v="104.28944800000004"/>
    <m/>
    <m/>
    <n v="96.9"/>
    <n v="94.2"/>
    <m/>
    <m/>
    <m/>
    <m/>
    <n v="-8.4786885245901669"/>
    <m/>
    <m/>
    <n v="-9.0997574940739838"/>
    <m/>
    <m/>
    <m/>
    <m/>
    <m/>
    <b v="0"/>
    <s v="SW"/>
    <s v="OVER"/>
    <n v="0"/>
    <n v="0"/>
    <n v="0"/>
    <n v="-8.4786885245901669"/>
    <n v="71.888159097016981"/>
    <n v="-9.0997574940739838"/>
    <n v="82.80558645095563"/>
  </r>
  <r>
    <x v="96"/>
    <x v="5"/>
    <x v="8"/>
    <m/>
    <m/>
    <m/>
    <m/>
    <m/>
    <m/>
    <m/>
    <m/>
    <n v="109.1096114170964"/>
    <m/>
    <n v="110.00166066666669"/>
    <m/>
    <m/>
    <n v="100.2"/>
    <n v="99.1"/>
    <m/>
    <m/>
    <m/>
    <m/>
    <n v="-1.0186885245901658"/>
    <m/>
    <m/>
    <n v="0.89204924957029164"/>
    <m/>
    <m/>
    <m/>
    <m/>
    <m/>
    <b v="0"/>
    <s v="P"/>
    <s v="OVER"/>
    <n v="0"/>
    <n v="0"/>
    <n v="0"/>
    <n v="-1.0186885245901658"/>
    <n v="1.0377263101316887"/>
    <n v="0.89204924957029164"/>
    <n v="0.79575186365892048"/>
  </r>
  <r>
    <x v="96"/>
    <x v="2"/>
    <x v="7"/>
    <m/>
    <m/>
    <m/>
    <m/>
    <m/>
    <m/>
    <m/>
    <m/>
    <n v="108.15574413790986"/>
    <m/>
    <n v="110.56263866666669"/>
    <m/>
    <m/>
    <n v="99.3"/>
    <n v="97.3"/>
    <m/>
    <m/>
    <m/>
    <m/>
    <n v="1.6413114754098341"/>
    <m/>
    <m/>
    <n v="2.4068945287568226"/>
    <m/>
    <m/>
    <m/>
    <m/>
    <m/>
    <b v="0"/>
    <s v="NW"/>
    <s v="OVER"/>
    <n v="0"/>
    <n v="0"/>
    <n v="0"/>
    <n v="1.6413114754098341"/>
    <n v="2.6939033593120065"/>
    <n v="2.4068945287568226"/>
    <n v="5.7931412725595273"/>
  </r>
  <r>
    <x v="96"/>
    <x v="25"/>
    <x v="10"/>
    <m/>
    <m/>
    <m/>
    <m/>
    <m/>
    <m/>
    <m/>
    <m/>
    <n v="100.28657525149296"/>
    <m/>
    <n v="96.369437333333352"/>
    <m/>
    <m/>
    <n v="93.3"/>
    <n v="92.6"/>
    <m/>
    <m/>
    <m/>
    <m/>
    <n v="-9.6886885245901659"/>
    <m/>
    <m/>
    <n v="-3.9171379181596109"/>
    <m/>
    <m/>
    <m/>
    <m/>
    <m/>
    <b v="0"/>
    <s v="SW"/>
    <s v="OVER"/>
    <n v="0"/>
    <n v="0"/>
    <n v="0"/>
    <n v="-9.6886885245901659"/>
    <n v="93.870685326525162"/>
    <n v="-3.9171379181596109"/>
    <n v="15.34396946988381"/>
  </r>
  <r>
    <x v="96"/>
    <x v="12"/>
    <x v="25"/>
    <m/>
    <m/>
    <m/>
    <m/>
    <m/>
    <m/>
    <m/>
    <m/>
    <n v="108.48762369203996"/>
    <m/>
    <n v="102.38709866666669"/>
    <m/>
    <m/>
    <n v="95.4"/>
    <n v="98.8"/>
    <m/>
    <m/>
    <m/>
    <m/>
    <n v="-11.448688524590166"/>
    <m/>
    <m/>
    <n v="-6.1005250253732726"/>
    <m/>
    <m/>
    <m/>
    <m/>
    <m/>
    <b v="0"/>
    <s v="A"/>
    <s v="OVER"/>
    <n v="0"/>
    <n v="0"/>
    <n v="0"/>
    <n v="-11.448688524590166"/>
    <n v="131.07246893308255"/>
    <n v="-6.1005250253732726"/>
    <n v="37.216405585205571"/>
  </r>
  <r>
    <x v="96"/>
    <x v="29"/>
    <x v="0"/>
    <m/>
    <m/>
    <m/>
    <m/>
    <m/>
    <m/>
    <m/>
    <m/>
    <n v="112.49513029849834"/>
    <m/>
    <n v="107.48490133333337"/>
    <m/>
    <m/>
    <n v="96.1"/>
    <n v="96.2"/>
    <m/>
    <m/>
    <m/>
    <m/>
    <n v="-1.6186885245901657"/>
    <m/>
    <m/>
    <n v="-5.0102289651649698"/>
    <m/>
    <m/>
    <m/>
    <m/>
    <m/>
    <b v="0"/>
    <s v="SE"/>
    <s v="OVER"/>
    <n v="0"/>
    <n v="0"/>
    <n v="0"/>
    <n v="-1.6186885245901657"/>
    <n v="2.6201525396398875"/>
    <n v="-5.0102289651649698"/>
    <n v="25.102394283378043"/>
  </r>
  <r>
    <x v="97"/>
    <x v="3"/>
    <x v="29"/>
    <m/>
    <m/>
    <m/>
    <m/>
    <m/>
    <m/>
    <m/>
    <m/>
    <n v="106.29039124532324"/>
    <m/>
    <n v="108.94743600000004"/>
    <m/>
    <m/>
    <n v="99.5"/>
    <n v="95.4"/>
    <m/>
    <m/>
    <m/>
    <m/>
    <n v="2.6313114754098339"/>
    <m/>
    <m/>
    <n v="2.6570447546768037"/>
    <m/>
    <m/>
    <m/>
    <m/>
    <m/>
    <b v="1"/>
    <s v="A"/>
    <s v="OVER"/>
    <n v="0"/>
    <n v="0"/>
    <n v="0"/>
    <n v="2.6313114754098339"/>
    <n v="6.9238000806234767"/>
    <n v="2.6570447546768037"/>
    <n v="7.0598868283555154"/>
  </r>
  <r>
    <x v="97"/>
    <x v="16"/>
    <x v="0"/>
    <m/>
    <m/>
    <m/>
    <m/>
    <m/>
    <m/>
    <m/>
    <m/>
    <n v="103.81409801271781"/>
    <m/>
    <n v="108.36994133333337"/>
    <m/>
    <m/>
    <n v="92.9"/>
    <n v="96.2"/>
    <m/>
    <m/>
    <m/>
    <m/>
    <n v="4.4013114754098339"/>
    <m/>
    <m/>
    <n v="4.5558433206155655"/>
    <m/>
    <m/>
    <m/>
    <m/>
    <m/>
    <b v="1"/>
    <s v="A"/>
    <s v="OVER"/>
    <n v="0"/>
    <n v="0"/>
    <n v="0"/>
    <n v="4.4013114754098339"/>
    <n v="19.371542703574288"/>
    <n v="4.5558433206155655"/>
    <n v="20.755708361997463"/>
  </r>
  <r>
    <x v="97"/>
    <x v="0"/>
    <x v="6"/>
    <m/>
    <m/>
    <m/>
    <m/>
    <m/>
    <m/>
    <m/>
    <m/>
    <n v="118.74809692672304"/>
    <m/>
    <n v="103.68497866666669"/>
    <m/>
    <m/>
    <n v="97.3"/>
    <n v="95.8"/>
    <m/>
    <m/>
    <m/>
    <m/>
    <n v="-12.758688524590166"/>
    <m/>
    <m/>
    <n v="-15.063118260056342"/>
    <m/>
    <m/>
    <m/>
    <m/>
    <m/>
    <b v="0"/>
    <s v="C"/>
    <s v="OVER"/>
    <n v="0"/>
    <n v="0"/>
    <n v="0"/>
    <n v="-12.758688524590166"/>
    <n v="162.78413286750879"/>
    <n v="-15.063118260056342"/>
    <n v="226.89753171644281"/>
  </r>
  <r>
    <x v="97"/>
    <x v="17"/>
    <x v="28"/>
    <m/>
    <m/>
    <m/>
    <m/>
    <m/>
    <m/>
    <m/>
    <m/>
    <n v="97.872623578429085"/>
    <m/>
    <n v="95.76515000000002"/>
    <m/>
    <m/>
    <n v="102"/>
    <n v="97.5"/>
    <m/>
    <m/>
    <m/>
    <m/>
    <n v="-3.5986885245901661"/>
    <m/>
    <m/>
    <n v="-2.1074735784290652"/>
    <m/>
    <m/>
    <m/>
    <m/>
    <m/>
    <b v="0"/>
    <s v="SW"/>
    <s v="OVER"/>
    <n v="0"/>
    <n v="0"/>
    <n v="0"/>
    <n v="-3.5986885245901661"/>
    <n v="12.950559097016946"/>
    <n v="-2.1074735784290652"/>
    <n v="4.4414448837766098"/>
  </r>
  <r>
    <x v="97"/>
    <x v="23"/>
    <x v="23"/>
    <m/>
    <m/>
    <m/>
    <m/>
    <m/>
    <m/>
    <m/>
    <m/>
    <n v="99.296759179095716"/>
    <m/>
    <n v="98.932721333333362"/>
    <m/>
    <m/>
    <n v="99.1"/>
    <n v="96.2"/>
    <m/>
    <m/>
    <m/>
    <m/>
    <n v="-1.4886885245901662"/>
    <m/>
    <m/>
    <n v="-0.3640378457623541"/>
    <m/>
    <m/>
    <m/>
    <m/>
    <m/>
    <b v="0"/>
    <s v="NW"/>
    <s v="OVER"/>
    <n v="0"/>
    <n v="0"/>
    <n v="0"/>
    <n v="-1.4886885245901662"/>
    <n v="2.2161935232464458"/>
    <n v="-0.3640378457623541"/>
    <n v="0.1325235531472955"/>
  </r>
  <r>
    <x v="97"/>
    <x v="18"/>
    <x v="25"/>
    <m/>
    <m/>
    <m/>
    <m/>
    <m/>
    <m/>
    <m/>
    <m/>
    <n v="109.60787833471561"/>
    <m/>
    <n v="96.765378666666692"/>
    <m/>
    <m/>
    <n v="94.2"/>
    <n v="98.8"/>
    <m/>
    <m/>
    <m/>
    <m/>
    <n v="-8.1986885245901657"/>
    <m/>
    <m/>
    <n v="-12.842499668048916"/>
    <m/>
    <m/>
    <m/>
    <m/>
    <m/>
    <b v="0"/>
    <s v="C"/>
    <s v="OVER"/>
    <n v="0"/>
    <n v="0"/>
    <n v="0"/>
    <n v="-8.1986885245901657"/>
    <n v="67.218493523246465"/>
    <n v="-12.842499668048916"/>
    <n v="164.92979772383651"/>
  </r>
  <r>
    <x v="97"/>
    <x v="1"/>
    <x v="7"/>
    <m/>
    <m/>
    <m/>
    <m/>
    <m/>
    <m/>
    <m/>
    <m/>
    <n v="114.27160298006876"/>
    <m/>
    <n v="104.12137866666667"/>
    <m/>
    <m/>
    <n v="100.7"/>
    <n v="97.3"/>
    <m/>
    <m/>
    <m/>
    <m/>
    <n v="-12.038688524590166"/>
    <m/>
    <m/>
    <n v="-10.150224313402092"/>
    <m/>
    <m/>
    <m/>
    <m/>
    <m/>
    <b v="0"/>
    <s v="P"/>
    <s v="OVER"/>
    <n v="0"/>
    <n v="0"/>
    <n v="0"/>
    <n v="-12.038688524590166"/>
    <n v="144.93002139209895"/>
    <n v="-10.150224313402092"/>
    <n v="103.02705361237896"/>
  </r>
  <r>
    <x v="97"/>
    <x v="19"/>
    <x v="24"/>
    <m/>
    <m/>
    <m/>
    <m/>
    <m/>
    <m/>
    <m/>
    <m/>
    <n v="94.187023682385188"/>
    <m/>
    <n v="97.84162133333335"/>
    <m/>
    <m/>
    <n v="93.9"/>
    <n v="99.2"/>
    <m/>
    <m/>
    <m/>
    <m/>
    <n v="0.65131147540983414"/>
    <m/>
    <m/>
    <n v="3.6545976509481619"/>
    <m/>
    <m/>
    <m/>
    <m/>
    <m/>
    <b v="1"/>
    <s v="SE"/>
    <s v="OVER"/>
    <n v="0"/>
    <n v="0"/>
    <n v="0"/>
    <n v="0.65131147540983414"/>
    <n v="0.42420663800053499"/>
    <n v="3.6545976509481619"/>
    <n v="13.356083990315824"/>
  </r>
  <r>
    <x v="97"/>
    <x v="20"/>
    <x v="27"/>
    <m/>
    <m/>
    <m/>
    <m/>
    <m/>
    <m/>
    <m/>
    <m/>
    <n v="105.21355681965828"/>
    <m/>
    <n v="103.94493400000002"/>
    <m/>
    <m/>
    <n v="92.6"/>
    <n v="95.1"/>
    <m/>
    <m/>
    <m/>
    <m/>
    <n v="1.5313114754098343"/>
    <m/>
    <m/>
    <n v="-1.2686228196582618"/>
    <m/>
    <m/>
    <m/>
    <m/>
    <m/>
    <b v="0"/>
    <s v="NW"/>
    <s v="OVER"/>
    <n v="0"/>
    <n v="0"/>
    <n v="0"/>
    <n v="1.5313114754098343"/>
    <n v="2.3449148347218434"/>
    <n v="-1.2686228196582618"/>
    <n v="1.6094038585576789"/>
  </r>
  <r>
    <x v="97"/>
    <x v="9"/>
    <x v="16"/>
    <m/>
    <m/>
    <m/>
    <m/>
    <m/>
    <m/>
    <m/>
    <m/>
    <n v="99.015394056814671"/>
    <m/>
    <n v="101.77064533333335"/>
    <m/>
    <m/>
    <n v="94.2"/>
    <n v="98.3"/>
    <m/>
    <m/>
    <m/>
    <m/>
    <n v="1.0413114754098345"/>
    <m/>
    <m/>
    <n v="2.7552512765186776"/>
    <m/>
    <m/>
    <m/>
    <m/>
    <m/>
    <b v="0"/>
    <s v="SE"/>
    <s v="OVER"/>
    <n v="0"/>
    <n v="0"/>
    <n v="0"/>
    <n v="1.0413114754098345"/>
    <n v="1.0843295888202062"/>
    <n v="2.7552512765186776"/>
    <n v="7.5914095967578028"/>
  </r>
  <r>
    <x v="97"/>
    <x v="11"/>
    <x v="15"/>
    <m/>
    <m/>
    <m/>
    <m/>
    <m/>
    <m/>
    <m/>
    <m/>
    <n v="91.307300941007981"/>
    <m/>
    <n v="112.2584426666667"/>
    <m/>
    <m/>
    <n v="101.7"/>
    <n v="96.4"/>
    <m/>
    <m/>
    <m/>
    <m/>
    <n v="16.351311475409833"/>
    <m/>
    <m/>
    <n v="20.951141725658715"/>
    <m/>
    <m/>
    <m/>
    <m/>
    <m/>
    <b v="1"/>
    <s v="P"/>
    <s v="OVER"/>
    <n v="0"/>
    <n v="0"/>
    <n v="0"/>
    <n v="16.351311475409833"/>
    <n v="267.36538696586928"/>
    <n v="20.951141725658715"/>
    <n v="438.95033960863765"/>
  </r>
  <r>
    <x v="97"/>
    <x v="21"/>
    <x v="26"/>
    <m/>
    <m/>
    <m/>
    <m/>
    <m/>
    <m/>
    <m/>
    <m/>
    <n v="108.52995584399453"/>
    <m/>
    <n v="98.051470666666688"/>
    <m/>
    <m/>
    <n v="91.5"/>
    <n v="96.1"/>
    <m/>
    <m/>
    <m/>
    <m/>
    <n v="-9.4486885245901657"/>
    <m/>
    <m/>
    <n v="-10.47848517732784"/>
    <m/>
    <m/>
    <m/>
    <m/>
    <m/>
    <b v="0"/>
    <s v="NW"/>
    <s v="OVER"/>
    <n v="0"/>
    <n v="0"/>
    <n v="0"/>
    <n v="-9.4486885245901657"/>
    <n v="89.277714834721877"/>
    <n v="-10.47848517732784"/>
    <n v="109.79865161147926"/>
  </r>
  <r>
    <x v="98"/>
    <x v="26"/>
    <x v="24"/>
    <m/>
    <m/>
    <m/>
    <m/>
    <m/>
    <m/>
    <m/>
    <m/>
    <n v="103.48602549407401"/>
    <m/>
    <n v="103.98210133333336"/>
    <m/>
    <m/>
    <n v="96.9"/>
    <n v="99.2"/>
    <m/>
    <m/>
    <m/>
    <m/>
    <n v="-4.1486885245901668"/>
    <m/>
    <m/>
    <n v="0.49607583925934762"/>
    <m/>
    <m/>
    <m/>
    <m/>
    <m/>
    <b v="0"/>
    <s v="SW"/>
    <s v="OVER"/>
    <n v="0"/>
    <n v="0"/>
    <n v="0"/>
    <n v="-4.1486885245901668"/>
    <n v="17.211616474066133"/>
    <n v="0.49607583925934762"/>
    <n v="0.2460912382968661"/>
  </r>
  <r>
    <x v="98"/>
    <x v="27"/>
    <x v="18"/>
    <m/>
    <m/>
    <m/>
    <m/>
    <m/>
    <m/>
    <m/>
    <m/>
    <n v="111.59168172355891"/>
    <m/>
    <n v="113.53992133333337"/>
    <m/>
    <m/>
    <n v="96.4"/>
    <n v="100.7"/>
    <m/>
    <m/>
    <m/>
    <m/>
    <n v="-4.2486885245901664"/>
    <m/>
    <m/>
    <n v="1.9482396097744612"/>
    <m/>
    <m/>
    <m/>
    <m/>
    <m/>
    <b v="1"/>
    <s v="P"/>
    <s v="OVER"/>
    <n v="0"/>
    <n v="0"/>
    <n v="0"/>
    <n v="-4.2486885245901664"/>
    <n v="18.051354178984166"/>
    <n v="1.9482396097744612"/>
    <n v="3.7956375770941451"/>
  </r>
  <r>
    <x v="98"/>
    <x v="25"/>
    <x v="28"/>
    <m/>
    <m/>
    <m/>
    <m/>
    <m/>
    <m/>
    <m/>
    <m/>
    <n v="103.55207525149295"/>
    <m/>
    <n v="95.082650000000015"/>
    <m/>
    <m/>
    <n v="93.3"/>
    <n v="97.5"/>
    <m/>
    <m/>
    <m/>
    <m/>
    <n v="-19.738688524590167"/>
    <m/>
    <m/>
    <n v="-8.469425251492936"/>
    <m/>
    <m/>
    <m/>
    <m/>
    <m/>
    <b v="0"/>
    <s v="SW"/>
    <s v="OVER"/>
    <n v="0"/>
    <n v="0"/>
    <n v="0"/>
    <n v="-19.738688524590167"/>
    <n v="389.6158246707875"/>
    <n v="-8.469425251492936"/>
    <n v="71.73116409062618"/>
  </r>
  <r>
    <x v="98"/>
    <x v="29"/>
    <x v="21"/>
    <m/>
    <m/>
    <m/>
    <m/>
    <m/>
    <m/>
    <m/>
    <m/>
    <n v="113.78287029849834"/>
    <m/>
    <n v="112.46514800000001"/>
    <m/>
    <m/>
    <n v="96.1"/>
    <n v="100.2"/>
    <m/>
    <m/>
    <m/>
    <m/>
    <n v="-2.4486885245901657"/>
    <m/>
    <m/>
    <n v="-1.3177222984983246"/>
    <m/>
    <m/>
    <m/>
    <m/>
    <m/>
    <b v="0"/>
    <s v="SE"/>
    <s v="OVER"/>
    <n v="0"/>
    <n v="0"/>
    <n v="0"/>
    <n v="-2.4486885245901657"/>
    <n v="5.996075490459563"/>
    <n v="-1.3177222984983246"/>
    <n v="1.7363920559597075"/>
  </r>
  <r>
    <x v="99"/>
    <x v="3"/>
    <x v="21"/>
    <m/>
    <m/>
    <m/>
    <m/>
    <m/>
    <m/>
    <m/>
    <m/>
    <n v="110.02164124532324"/>
    <m/>
    <n v="109.76976800000001"/>
    <m/>
    <m/>
    <n v="99.5"/>
    <n v="100.2"/>
    <m/>
    <m/>
    <m/>
    <m/>
    <n v="-5.7786885245901658"/>
    <m/>
    <m/>
    <n v="-0.25187324532322464"/>
    <m/>
    <m/>
    <m/>
    <m/>
    <m/>
    <b v="0"/>
    <s v="A"/>
    <s v="OVER"/>
    <n v="0"/>
    <n v="0"/>
    <n v="0"/>
    <n v="-5.7786885245901658"/>
    <n v="33.393241064230068"/>
    <n v="-0.25187324532322464"/>
    <n v="6.3440131709653305E-2"/>
  </r>
  <r>
    <x v="99"/>
    <x v="16"/>
    <x v="16"/>
    <m/>
    <m/>
    <m/>
    <m/>
    <m/>
    <m/>
    <m/>
    <m/>
    <n v="102.35556801271781"/>
    <m/>
    <n v="106.07618533333336"/>
    <m/>
    <m/>
    <n v="92.9"/>
    <n v="98.3"/>
    <m/>
    <m/>
    <m/>
    <m/>
    <n v="1.2213114754098342"/>
    <m/>
    <m/>
    <n v="3.7206173206155455"/>
    <m/>
    <m/>
    <m/>
    <m/>
    <m/>
    <b v="0"/>
    <s v="A"/>
    <s v="OVER"/>
    <n v="0"/>
    <n v="0"/>
    <n v="0"/>
    <n v="1.2213114754098342"/>
    <n v="1.491601719967746"/>
    <n v="3.7206173206155455"/>
    <n v="13.842993246464401"/>
  </r>
  <r>
    <x v="99"/>
    <x v="23"/>
    <x v="26"/>
    <m/>
    <m/>
    <m/>
    <m/>
    <m/>
    <m/>
    <m/>
    <m/>
    <n v="106.21393917909572"/>
    <m/>
    <n v="102.61622066666669"/>
    <m/>
    <m/>
    <n v="99.1"/>
    <n v="96.1"/>
    <m/>
    <m/>
    <m/>
    <m/>
    <n v="-4.5286885245901658"/>
    <m/>
    <m/>
    <n v="-3.5977185124290258"/>
    <m/>
    <m/>
    <m/>
    <m/>
    <m/>
    <b v="0"/>
    <s v="NW"/>
    <s v="OVER"/>
    <n v="0"/>
    <n v="0"/>
    <n v="0"/>
    <n v="-4.5286885245901658"/>
    <n v="20.509019752754654"/>
    <n v="-3.5977185124290258"/>
    <n v="12.943578494674522"/>
  </r>
  <r>
    <x v="99"/>
    <x v="18"/>
    <x v="6"/>
    <m/>
    <m/>
    <m/>
    <m/>
    <m/>
    <m/>
    <m/>
    <m/>
    <n v="114.00701833471561"/>
    <m/>
    <n v="99.718858666666691"/>
    <m/>
    <m/>
    <n v="94.2"/>
    <n v="95.8"/>
    <m/>
    <m/>
    <m/>
    <m/>
    <n v="-6.7186885245901653"/>
    <m/>
    <m/>
    <n v="-14.28815966804892"/>
    <m/>
    <m/>
    <m/>
    <m/>
    <m/>
    <b v="0"/>
    <s v="C"/>
    <s v="OVER"/>
    <n v="0"/>
    <n v="0"/>
    <n v="0"/>
    <n v="-6.7186885245901653"/>
    <n v="45.140775490459575"/>
    <n v="-14.28815966804892"/>
    <n v="204.15150669965982"/>
  </r>
  <r>
    <x v="99"/>
    <x v="26"/>
    <x v="27"/>
    <m/>
    <m/>
    <m/>
    <m/>
    <m/>
    <m/>
    <m/>
    <m/>
    <n v="109.72638549407402"/>
    <m/>
    <n v="108.05325400000002"/>
    <m/>
    <m/>
    <n v="96.9"/>
    <n v="95.1"/>
    <m/>
    <m/>
    <m/>
    <m/>
    <n v="-1.7886885245901665"/>
    <m/>
    <m/>
    <n v="-1.6731314940739992"/>
    <m/>
    <m/>
    <m/>
    <m/>
    <m/>
    <b v="0"/>
    <s v="SW"/>
    <s v="OVER"/>
    <n v="0"/>
    <n v="0"/>
    <n v="0"/>
    <n v="-1.7886885245901665"/>
    <n v="3.1994066380005464"/>
    <n v="-1.6731314940739992"/>
    <n v="2.799368996462293"/>
  </r>
  <r>
    <x v="99"/>
    <x v="20"/>
    <x v="23"/>
    <m/>
    <m/>
    <m/>
    <m/>
    <m/>
    <m/>
    <m/>
    <m/>
    <n v="101.19471681965827"/>
    <m/>
    <n v="97.066441333333373"/>
    <m/>
    <m/>
    <n v="92.6"/>
    <n v="96.2"/>
    <m/>
    <m/>
    <m/>
    <m/>
    <n v="-2.5286885245901658"/>
    <m/>
    <m/>
    <n v="-4.1282754863248954"/>
    <m/>
    <m/>
    <m/>
    <m/>
    <m/>
    <b v="0"/>
    <s v="NW"/>
    <s v="OVER"/>
    <n v="0"/>
    <n v="0"/>
    <n v="0"/>
    <n v="-2.5286885245901658"/>
    <n v="6.3942656543939895"/>
    <n v="-4.1282754863248954"/>
    <n v="17.042658490991052"/>
  </r>
  <r>
    <x v="99"/>
    <x v="9"/>
    <x v="29"/>
    <m/>
    <m/>
    <m/>
    <m/>
    <m/>
    <m/>
    <m/>
    <m/>
    <n v="98.224114056814656"/>
    <m/>
    <n v="108.21285600000003"/>
    <m/>
    <m/>
    <n v="94.2"/>
    <n v="95.4"/>
    <m/>
    <m/>
    <m/>
    <m/>
    <n v="11.801311475409834"/>
    <m/>
    <m/>
    <n v="9.9887419431853743"/>
    <m/>
    <m/>
    <m/>
    <m/>
    <m/>
    <b v="0"/>
    <s v="SE"/>
    <s v="OVER"/>
    <n v="0"/>
    <n v="0"/>
    <n v="0"/>
    <n v="11.801311475409834"/>
    <n v="139.27095253963984"/>
    <n v="9.9887419431853743"/>
    <n v="99.774965607550726"/>
  </r>
  <r>
    <x v="99"/>
    <x v="2"/>
    <x v="4"/>
    <m/>
    <m/>
    <m/>
    <m/>
    <m/>
    <m/>
    <m/>
    <m/>
    <n v="108.05644413790988"/>
    <m/>
    <n v="104.73428000000003"/>
    <m/>
    <m/>
    <n v="99.3"/>
    <n v="102"/>
    <m/>
    <m/>
    <m/>
    <m/>
    <n v="-9.2086885245901655"/>
    <m/>
    <m/>
    <n v="-3.3221641379098514"/>
    <m/>
    <m/>
    <m/>
    <m/>
    <m/>
    <b v="0"/>
    <s v="NW"/>
    <s v="OVER"/>
    <n v="0"/>
    <n v="0"/>
    <n v="0"/>
    <n v="-9.2086885245901655"/>
    <n v="84.799944342918593"/>
    <n v="-3.3221641379098514"/>
    <n v="11.036774559214306"/>
  </r>
  <r>
    <x v="99"/>
    <x v="15"/>
    <x v="19"/>
    <m/>
    <m/>
    <m/>
    <m/>
    <m/>
    <m/>
    <m/>
    <m/>
    <n v="107.98808010654767"/>
    <m/>
    <n v="106.52125800000005"/>
    <m/>
    <m/>
    <n v="94.2"/>
    <n v="101.7"/>
    <m/>
    <m/>
    <m/>
    <m/>
    <n v="-7.1786885245901662"/>
    <m/>
    <m/>
    <n v="-1.4668221065476246"/>
    <m/>
    <m/>
    <m/>
    <m/>
    <m/>
    <b v="1"/>
    <s v="P"/>
    <s v="OVER"/>
    <n v="0"/>
    <n v="0"/>
    <n v="0"/>
    <n v="-7.1786885245901662"/>
    <n v="51.533568933082535"/>
    <n v="-1.4668221065476246"/>
    <n v="2.1515670922568111"/>
  </r>
  <r>
    <x v="100"/>
    <x v="13"/>
    <x v="17"/>
    <m/>
    <m/>
    <m/>
    <m/>
    <m/>
    <m/>
    <m/>
    <m/>
    <n v="99.899959292911291"/>
    <m/>
    <n v="85.779148000000035"/>
    <m/>
    <m/>
    <n v="99.2"/>
    <n v="94.2"/>
    <m/>
    <m/>
    <m/>
    <m/>
    <n v="-13.698688524590166"/>
    <m/>
    <m/>
    <n v="-14.120811292911256"/>
    <m/>
    <m/>
    <m/>
    <m/>
    <m/>
    <b v="1"/>
    <s v="SE"/>
    <s v="OVER"/>
    <n v="0"/>
    <n v="0"/>
    <n v="0"/>
    <n v="-13.698688524590166"/>
    <n v="187.65406729373828"/>
    <n v="-14.120811292911256"/>
    <n v="199.39731157001006"/>
  </r>
  <r>
    <x v="100"/>
    <x v="4"/>
    <x v="12"/>
    <m/>
    <m/>
    <m/>
    <m/>
    <m/>
    <m/>
    <m/>
    <m/>
    <n v="101.44219341452114"/>
    <m/>
    <n v="100.22000800000002"/>
    <m/>
    <m/>
    <n v="98.3"/>
    <n v="94.2"/>
    <m/>
    <m/>
    <m/>
    <m/>
    <n v="4.731311475409834"/>
    <m/>
    <m/>
    <n v="-1.2221854145211211"/>
    <m/>
    <m/>
    <m/>
    <m/>
    <m/>
    <b v="1"/>
    <s v="C"/>
    <s v="OVER"/>
    <n v="0"/>
    <n v="0"/>
    <n v="0"/>
    <n v="4.731311475409834"/>
    <n v="22.38530827734478"/>
    <n v="-1.2221854145211211"/>
    <n v="1.4937371874681644"/>
  </r>
  <r>
    <x v="100"/>
    <x v="19"/>
    <x v="28"/>
    <m/>
    <m/>
    <m/>
    <m/>
    <m/>
    <m/>
    <m/>
    <m/>
    <n v="102.42205368238518"/>
    <m/>
    <n v="93.015650000000008"/>
    <m/>
    <m/>
    <n v="93.9"/>
    <n v="97.5"/>
    <m/>
    <m/>
    <m/>
    <m/>
    <n v="-11.348688524590166"/>
    <m/>
    <m/>
    <n v="-9.4064036823851751"/>
    <m/>
    <m/>
    <m/>
    <m/>
    <m/>
    <b v="0"/>
    <s v="SE"/>
    <s v="OVER"/>
    <n v="0"/>
    <n v="0"/>
    <n v="0"/>
    <n v="-11.348688524590166"/>
    <n v="128.79273122816451"/>
    <n v="-9.4064036823851751"/>
    <n v="88.480430235989388"/>
  </r>
  <r>
    <x v="100"/>
    <x v="28"/>
    <x v="23"/>
    <m/>
    <m/>
    <m/>
    <m/>
    <m/>
    <m/>
    <m/>
    <m/>
    <n v="111.28266150317565"/>
    <m/>
    <n v="101.88606133333337"/>
    <m/>
    <m/>
    <n v="95.8"/>
    <n v="96.2"/>
    <m/>
    <m/>
    <m/>
    <m/>
    <n v="-0.94868852459016584"/>
    <m/>
    <m/>
    <n v="-9.396600169842273"/>
    <m/>
    <m/>
    <m/>
    <m/>
    <m/>
    <b v="0"/>
    <s v="NW"/>
    <s v="OVER"/>
    <n v="0"/>
    <n v="0"/>
    <n v="0"/>
    <n v="-0.94868852459016584"/>
    <n v="0.90000991668906571"/>
    <n v="-9.396600169842273"/>
    <n v="88.296094751879835"/>
  </r>
  <r>
    <x v="100"/>
    <x v="24"/>
    <x v="20"/>
    <m/>
    <m/>
    <m/>
    <m/>
    <m/>
    <m/>
    <m/>
    <m/>
    <n v="108.34253945611427"/>
    <m/>
    <n v="114.95086866666668"/>
    <m/>
    <m/>
    <n v="96.2"/>
    <n v="97.3"/>
    <m/>
    <m/>
    <m/>
    <m/>
    <n v="7.5913114754098352"/>
    <m/>
    <m/>
    <n v="6.6083292105524123"/>
    <m/>
    <m/>
    <m/>
    <m/>
    <m/>
    <b v="0"/>
    <s v="A"/>
    <s v="OVER"/>
    <n v="0"/>
    <n v="0"/>
    <n v="0"/>
    <n v="7.5913114754098352"/>
    <n v="57.628009916689052"/>
    <n v="6.6083292105524123"/>
    <n v="43.670014955040266"/>
  </r>
  <r>
    <x v="100"/>
    <x v="11"/>
    <x v="26"/>
    <m/>
    <m/>
    <m/>
    <m/>
    <m/>
    <m/>
    <m/>
    <m/>
    <n v="97.69406094100799"/>
    <m/>
    <n v="103.39463066666669"/>
    <m/>
    <m/>
    <n v="101.7"/>
    <n v="96.1"/>
    <m/>
    <m/>
    <m/>
    <m/>
    <n v="1.211311475409834"/>
    <m/>
    <m/>
    <n v="5.7005697256586956"/>
    <m/>
    <m/>
    <m/>
    <m/>
    <m/>
    <b v="0"/>
    <s v="P"/>
    <s v="OVER"/>
    <n v="0"/>
    <n v="0"/>
    <n v="0"/>
    <n v="1.211311475409834"/>
    <n v="1.4672754904595489"/>
    <n v="5.7005697256586956"/>
    <n v="32.496495197096458"/>
  </r>
  <r>
    <x v="100"/>
    <x v="15"/>
    <x v="18"/>
    <m/>
    <m/>
    <m/>
    <m/>
    <m/>
    <m/>
    <m/>
    <m/>
    <n v="105.88742010654767"/>
    <m/>
    <n v="121.01186133333337"/>
    <m/>
    <m/>
    <n v="94.2"/>
    <n v="100.7"/>
    <m/>
    <m/>
    <m/>
    <m/>
    <n v="10.481311475409834"/>
    <m/>
    <m/>
    <n v="15.124441226785706"/>
    <m/>
    <m/>
    <m/>
    <m/>
    <m/>
    <b v="1"/>
    <s v="P"/>
    <s v="OVER"/>
    <n v="0"/>
    <n v="0"/>
    <n v="0"/>
    <n v="10.481311475409834"/>
    <n v="109.85789024455786"/>
    <n v="15.124441226785706"/>
    <n v="228.74872242249509"/>
  </r>
  <r>
    <x v="100"/>
    <x v="25"/>
    <x v="8"/>
    <m/>
    <m/>
    <m/>
    <m/>
    <m/>
    <m/>
    <m/>
    <m/>
    <n v="102.09659525149296"/>
    <m/>
    <n v="104.02593066666668"/>
    <m/>
    <m/>
    <n v="93.3"/>
    <n v="99.1"/>
    <m/>
    <m/>
    <m/>
    <m/>
    <n v="-10.728688524590167"/>
    <m/>
    <m/>
    <n v="1.9293354151737248"/>
    <m/>
    <m/>
    <m/>
    <m/>
    <m/>
    <b v="0"/>
    <s v="SW"/>
    <s v="OVER"/>
    <n v="0"/>
    <n v="0"/>
    <n v="0"/>
    <n v="-10.728688524590167"/>
    <n v="115.10475745767273"/>
    <n v="1.9293354151737248"/>
    <n v="3.7223351442435688"/>
  </r>
  <r>
    <x v="100"/>
    <x v="21"/>
    <x v="7"/>
    <m/>
    <m/>
    <m/>
    <m/>
    <m/>
    <m/>
    <m/>
    <m/>
    <n v="106.00455584399452"/>
    <m/>
    <n v="100.88128866666668"/>
    <m/>
    <m/>
    <n v="91.5"/>
    <n v="97.3"/>
    <m/>
    <m/>
    <m/>
    <m/>
    <n v="-5.0386885245901656"/>
    <m/>
    <m/>
    <n v="-5.1232671773278469"/>
    <m/>
    <m/>
    <m/>
    <m/>
    <m/>
    <b v="0"/>
    <s v="NW"/>
    <s v="OVER"/>
    <n v="0"/>
    <n v="0"/>
    <n v="0"/>
    <n v="-5.0386885245901656"/>
    <n v="25.388382047836618"/>
    <n v="-5.1232671773278469"/>
    <n v="26.247866570284845"/>
  </r>
  <r>
    <x v="100"/>
    <x v="29"/>
    <x v="25"/>
    <m/>
    <m/>
    <m/>
    <m/>
    <m/>
    <m/>
    <m/>
    <m/>
    <n v="108.07453029849835"/>
    <m/>
    <n v="104.76817866666669"/>
    <m/>
    <m/>
    <n v="96.1"/>
    <n v="98.8"/>
    <m/>
    <m/>
    <m/>
    <m/>
    <n v="-2.708688524590166"/>
    <m/>
    <m/>
    <n v="-3.3063516318316601"/>
    <m/>
    <m/>
    <m/>
    <m/>
    <m/>
    <b v="0"/>
    <s v="SE"/>
    <s v="OVER"/>
    <n v="0"/>
    <n v="0"/>
    <n v="0"/>
    <n v="-2.708688524590166"/>
    <n v="7.3369935232464503"/>
    <n v="-3.3063516318316601"/>
    <n v="10.931961113315882"/>
  </r>
  <r>
    <x v="101"/>
    <x v="3"/>
    <x v="15"/>
    <m/>
    <m/>
    <m/>
    <m/>
    <m/>
    <m/>
    <m/>
    <m/>
    <n v="101.31539124532324"/>
    <m/>
    <n v="111.7764426666667"/>
    <m/>
    <m/>
    <n v="99.5"/>
    <n v="96.4"/>
    <m/>
    <m/>
    <m/>
    <m/>
    <n v="9.3713114754098346"/>
    <m/>
    <m/>
    <n v="10.461051421343456"/>
    <m/>
    <m/>
    <m/>
    <m/>
    <m/>
    <b v="0"/>
    <s v="A"/>
    <s v="OVER"/>
    <n v="0"/>
    <n v="0"/>
    <n v="0"/>
    <n v="9.3713114754098346"/>
    <n v="87.821478769148044"/>
    <n v="10.461051421343456"/>
    <n v="109.43359683999194"/>
  </r>
  <r>
    <x v="101"/>
    <x v="16"/>
    <x v="29"/>
    <m/>
    <m/>
    <m/>
    <m/>
    <m/>
    <m/>
    <m/>
    <m/>
    <n v="101.57520801271781"/>
    <m/>
    <n v="112.39137600000004"/>
    <m/>
    <m/>
    <n v="92.9"/>
    <n v="95.4"/>
    <m/>
    <m/>
    <m/>
    <m/>
    <n v="11.981311475409834"/>
    <m/>
    <m/>
    <n v="10.816167987282228"/>
    <m/>
    <m/>
    <m/>
    <m/>
    <m/>
    <b v="1"/>
    <s v="A"/>
    <s v="OVER"/>
    <n v="0"/>
    <n v="0"/>
    <n v="0"/>
    <n v="11.981311475409834"/>
    <n v="143.55182467078737"/>
    <n v="10.816167987282228"/>
    <n v="116.98948992910887"/>
  </r>
  <r>
    <x v="101"/>
    <x v="20"/>
    <x v="22"/>
    <m/>
    <m/>
    <m/>
    <m/>
    <m/>
    <m/>
    <m/>
    <m/>
    <n v="110.74177681965827"/>
    <m/>
    <n v="107.40354200000002"/>
    <m/>
    <m/>
    <n v="92.6"/>
    <n v="99.3"/>
    <m/>
    <m/>
    <m/>
    <m/>
    <n v="-5.5786885245901656"/>
    <m/>
    <m/>
    <n v="-3.3382348196582541"/>
    <m/>
    <m/>
    <m/>
    <m/>
    <m/>
    <b v="1"/>
    <s v="NW"/>
    <s v="OVER"/>
    <n v="0"/>
    <n v="0"/>
    <n v="0"/>
    <n v="-5.5786885245901656"/>
    <n v="31.121765654394"/>
    <n v="-3.3382348196582541"/>
    <n v="11.143811711178776"/>
  </r>
  <r>
    <x v="102"/>
    <x v="13"/>
    <x v="2"/>
    <m/>
    <m/>
    <m/>
    <m/>
    <m/>
    <m/>
    <m/>
    <m/>
    <n v="95.644279292911278"/>
    <m/>
    <n v="91.162060000000039"/>
    <m/>
    <m/>
    <n v="99.2"/>
    <n v="91.5"/>
    <m/>
    <m/>
    <m/>
    <m/>
    <n v="-0.84868852459016519"/>
    <m/>
    <m/>
    <n v="-4.482219292911239"/>
    <m/>
    <m/>
    <m/>
    <m/>
    <m/>
    <b v="0"/>
    <s v="SE"/>
    <s v="OVER"/>
    <n v="0"/>
    <n v="0"/>
    <n v="0"/>
    <n v="-0.84868852459016519"/>
    <n v="0.7202722117710314"/>
    <n v="-4.482219292911239"/>
    <n v="20.090289789745729"/>
  </r>
  <r>
    <x v="102"/>
    <x v="23"/>
    <x v="4"/>
    <m/>
    <m/>
    <m/>
    <m/>
    <m/>
    <m/>
    <m/>
    <m/>
    <n v="103.37967917909572"/>
    <m/>
    <n v="99.430280000000025"/>
    <m/>
    <m/>
    <n v="99.1"/>
    <n v="102"/>
    <m/>
    <m/>
    <m/>
    <m/>
    <n v="-10.968688524590167"/>
    <m/>
    <m/>
    <n v="-3.9493991790956926"/>
    <m/>
    <m/>
    <m/>
    <m/>
    <m/>
    <b v="0"/>
    <s v="NW"/>
    <s v="OVER"/>
    <n v="0"/>
    <n v="0"/>
    <n v="0"/>
    <n v="-10.968688524590167"/>
    <n v="120.31212794947602"/>
    <n v="-3.9493991790956926"/>
    <n v="15.597753875841731"/>
  </r>
  <r>
    <x v="102"/>
    <x v="18"/>
    <x v="28"/>
    <m/>
    <m/>
    <m/>
    <m/>
    <m/>
    <m/>
    <m/>
    <m/>
    <n v="112.58459833471561"/>
    <m/>
    <n v="91.757900000000021"/>
    <m/>
    <m/>
    <n v="94.2"/>
    <n v="97.5"/>
    <m/>
    <m/>
    <m/>
    <m/>
    <n v="-15.188688524590166"/>
    <m/>
    <m/>
    <n v="-20.826698334715587"/>
    <m/>
    <m/>
    <m/>
    <m/>
    <m/>
    <b v="0"/>
    <s v="C"/>
    <s v="OVER"/>
    <n v="0"/>
    <n v="0"/>
    <n v="0"/>
    <n v="-15.188688524590166"/>
    <n v="230.69625909701699"/>
    <n v="-20.826698334715587"/>
    <n v="433.75136352524504"/>
  </r>
  <r>
    <x v="102"/>
    <x v="4"/>
    <x v="10"/>
    <m/>
    <m/>
    <m/>
    <m/>
    <m/>
    <m/>
    <m/>
    <m/>
    <n v="104.54847341452113"/>
    <m/>
    <n v="99.258557333333357"/>
    <m/>
    <m/>
    <n v="98.3"/>
    <n v="92.6"/>
    <m/>
    <m/>
    <m/>
    <m/>
    <n v="2.3713114754098341"/>
    <m/>
    <m/>
    <n v="-5.2899160811877692"/>
    <m/>
    <m/>
    <m/>
    <m/>
    <m/>
    <b v="0"/>
    <s v="C"/>
    <s v="OVER"/>
    <n v="0"/>
    <n v="0"/>
    <n v="0"/>
    <n v="2.3713114754098341"/>
    <n v="5.6231181134103645"/>
    <n v="-5.2899160811877692"/>
    <n v="27.983212146008967"/>
  </r>
  <r>
    <x v="102"/>
    <x v="6"/>
    <x v="1"/>
    <m/>
    <m/>
    <m/>
    <m/>
    <m/>
    <m/>
    <m/>
    <m/>
    <n v="99.099994730416398"/>
    <m/>
    <n v="100.58735200000001"/>
    <m/>
    <m/>
    <n v="96.2"/>
    <n v="93.3"/>
    <m/>
    <m/>
    <m/>
    <m/>
    <n v="3.8813114754098348"/>
    <m/>
    <m/>
    <n v="1.4873572695836117"/>
    <m/>
    <m/>
    <m/>
    <m/>
    <m/>
    <b v="1"/>
    <s v="SW"/>
    <s v="OVER"/>
    <n v="0"/>
    <n v="0"/>
    <n v="0"/>
    <n v="3.8813114754098348"/>
    <n v="15.064578769148069"/>
    <n v="1.4873572695836117"/>
    <n v="2.2122316473832164"/>
  </r>
  <r>
    <x v="102"/>
    <x v="28"/>
    <x v="9"/>
    <m/>
    <m/>
    <m/>
    <m/>
    <m/>
    <m/>
    <m/>
    <m/>
    <n v="112.52806150317565"/>
    <m/>
    <n v="99.055736000000039"/>
    <m/>
    <m/>
    <n v="95.8"/>
    <n v="93.9"/>
    <m/>
    <m/>
    <m/>
    <m/>
    <n v="-2.6786885245901657"/>
    <m/>
    <m/>
    <n v="-13.472325503175611"/>
    <m/>
    <m/>
    <m/>
    <m/>
    <m/>
    <b v="0"/>
    <s v="NW"/>
    <s v="OVER"/>
    <n v="0"/>
    <n v="0"/>
    <n v="0"/>
    <n v="-2.6786885245901657"/>
    <n v="7.1753722117710392"/>
    <n v="-13.472325503175611"/>
    <n v="181.50355446351597"/>
  </r>
  <r>
    <x v="102"/>
    <x v="8"/>
    <x v="19"/>
    <m/>
    <m/>
    <m/>
    <m/>
    <m/>
    <m/>
    <m/>
    <m/>
    <n v="104.10499327976011"/>
    <m/>
    <n v="101.83288800000004"/>
    <m/>
    <m/>
    <n v="98.8"/>
    <n v="101.7"/>
    <m/>
    <m/>
    <m/>
    <m/>
    <n v="-6.4986885245901655"/>
    <m/>
    <m/>
    <n v="-2.2721052797600692"/>
    <m/>
    <m/>
    <m/>
    <m/>
    <m/>
    <b v="0"/>
    <s v="SW"/>
    <s v="OVER"/>
    <n v="0"/>
    <n v="0"/>
    <n v="0"/>
    <n v="-6.4986885245901655"/>
    <n v="42.232952539639903"/>
    <n v="-2.2721052797600692"/>
    <n v="5.1624624023135821"/>
  </r>
  <r>
    <x v="102"/>
    <x v="24"/>
    <x v="21"/>
    <m/>
    <m/>
    <m/>
    <m/>
    <m/>
    <m/>
    <m/>
    <m/>
    <n v="113.44113945611427"/>
    <m/>
    <n v="112.46514800000001"/>
    <m/>
    <m/>
    <n v="96.2"/>
    <n v="100.2"/>
    <m/>
    <m/>
    <m/>
    <m/>
    <n v="-3.6086885245901659"/>
    <m/>
    <m/>
    <n v="-0.97599145611425797"/>
    <m/>
    <m/>
    <m/>
    <m/>
    <m/>
    <b v="0"/>
    <s v="A"/>
    <s v="OVER"/>
    <n v="0"/>
    <n v="0"/>
    <n v="0"/>
    <n v="-3.6086885245901659"/>
    <n v="13.022632867508749"/>
    <n v="-0.97599145611425797"/>
    <n v="0.95255932240802954"/>
  </r>
  <r>
    <x v="102"/>
    <x v="15"/>
    <x v="27"/>
    <m/>
    <m/>
    <m/>
    <m/>
    <m/>
    <m/>
    <m/>
    <m/>
    <n v="106.49972010654767"/>
    <m/>
    <n v="108.65238400000001"/>
    <m/>
    <m/>
    <n v="94.2"/>
    <n v="95.1"/>
    <m/>
    <m/>
    <m/>
    <m/>
    <n v="3.9113114754098341"/>
    <m/>
    <m/>
    <n v="2.1526638934523419"/>
    <m/>
    <m/>
    <m/>
    <m/>
    <m/>
    <b v="0"/>
    <s v="P"/>
    <s v="OVER"/>
    <n v="0"/>
    <n v="0"/>
    <n v="0"/>
    <n v="3.9113114754098341"/>
    <n v="15.298357457672653"/>
    <n v="2.1526638934523419"/>
    <n v="4.6339618381733958"/>
  </r>
  <r>
    <x v="102"/>
    <x v="12"/>
    <x v="15"/>
    <m/>
    <m/>
    <m/>
    <m/>
    <m/>
    <m/>
    <m/>
    <m/>
    <n v="105.80688369203996"/>
    <m/>
    <n v="112.0463626666667"/>
    <m/>
    <m/>
    <n v="95.4"/>
    <n v="96.4"/>
    <m/>
    <m/>
    <m/>
    <m/>
    <n v="3.9613114754098344"/>
    <m/>
    <m/>
    <n v="6.239478974626735"/>
    <m/>
    <m/>
    <m/>
    <m/>
    <m/>
    <b v="0"/>
    <s v="A"/>
    <s v="OVER"/>
    <n v="0"/>
    <n v="0"/>
    <n v="0"/>
    <n v="3.9613114754098344"/>
    <n v="15.691988605213639"/>
    <n v="6.239478974626735"/>
    <n v="38.93109787480909"/>
  </r>
  <r>
    <x v="102"/>
    <x v="29"/>
    <x v="20"/>
    <m/>
    <m/>
    <m/>
    <m/>
    <m/>
    <m/>
    <m/>
    <m/>
    <n v="108.68957029849834"/>
    <m/>
    <n v="114.95086866666668"/>
    <m/>
    <m/>
    <n v="96.1"/>
    <n v="97.3"/>
    <m/>
    <m/>
    <m/>
    <m/>
    <n v="8.7513114754098353"/>
    <m/>
    <m/>
    <n v="6.2612983681683403"/>
    <m/>
    <m/>
    <m/>
    <m/>
    <m/>
    <b v="0"/>
    <s v="SE"/>
    <s v="OVER"/>
    <n v="0"/>
    <n v="0"/>
    <n v="0"/>
    <n v="8.7513114754098353"/>
    <n v="76.585452539639874"/>
    <n v="6.2612983681683403"/>
    <n v="39.203857255227518"/>
  </r>
  <r>
    <x v="103"/>
    <x v="22"/>
    <x v="3"/>
    <m/>
    <m/>
    <m/>
    <m/>
    <m/>
    <m/>
    <m/>
    <m/>
    <n v="109.22471196997591"/>
    <m/>
    <n v="94.368439333333356"/>
    <m/>
    <m/>
    <n v="97.3"/>
    <n v="92.9"/>
    <m/>
    <m/>
    <m/>
    <m/>
    <n v="-13.548688524590165"/>
    <m/>
    <m/>
    <n v="-14.856272636642558"/>
    <m/>
    <m/>
    <m/>
    <m/>
    <m/>
    <b v="0"/>
    <s v="SE"/>
    <s v="OVER"/>
    <n v="0"/>
    <n v="0"/>
    <n v="0"/>
    <n v="-13.548688524590165"/>
    <n v="183.56696073636124"/>
    <n v="-14.856272636642558"/>
    <n v="220.70883665425441"/>
  </r>
  <r>
    <x v="103"/>
    <x v="17"/>
    <x v="22"/>
    <m/>
    <m/>
    <m/>
    <m/>
    <m/>
    <m/>
    <m/>
    <m/>
    <n v="101.58542357842909"/>
    <m/>
    <n v="108.34689200000003"/>
    <m/>
    <m/>
    <n v="102"/>
    <n v="99.3"/>
    <m/>
    <m/>
    <m/>
    <m/>
    <n v="3.6513114754098344"/>
    <m/>
    <m/>
    <n v="6.7614684215709389"/>
    <m/>
    <m/>
    <m/>
    <m/>
    <m/>
    <b v="0"/>
    <s v="SW"/>
    <s v="OVER"/>
    <n v="0"/>
    <n v="0"/>
    <n v="0"/>
    <n v="3.6513114754098344"/>
    <n v="13.332075490459541"/>
    <n v="6.7614684215709389"/>
    <n v="45.717455215901005"/>
  </r>
  <r>
    <x v="103"/>
    <x v="26"/>
    <x v="17"/>
    <m/>
    <m/>
    <m/>
    <m/>
    <m/>
    <m/>
    <m/>
    <m/>
    <n v="110.02677549407402"/>
    <m/>
    <n v="94.812928000000028"/>
    <m/>
    <m/>
    <n v="96.9"/>
    <n v="94.2"/>
    <m/>
    <m/>
    <m/>
    <m/>
    <n v="-15.068688524590167"/>
    <m/>
    <m/>
    <n v="-15.213847494073988"/>
    <m/>
    <m/>
    <m/>
    <m/>
    <m/>
    <b v="0"/>
    <s v="SW"/>
    <s v="OVER"/>
    <n v="0"/>
    <n v="0"/>
    <n v="0"/>
    <n v="-15.068688524590167"/>
    <n v="227.06537385111537"/>
    <n v="-15.213847494073988"/>
    <n v="231.46115557294138"/>
  </r>
  <r>
    <x v="104"/>
    <x v="13"/>
    <x v="8"/>
    <m/>
    <m/>
    <m/>
    <m/>
    <m/>
    <m/>
    <m/>
    <m/>
    <n v="100.35627929291128"/>
    <m/>
    <n v="98.555610666666695"/>
    <m/>
    <m/>
    <n v="99.2"/>
    <n v="99.1"/>
    <m/>
    <m/>
    <m/>
    <m/>
    <n v="-5.7686885245901651"/>
    <m/>
    <m/>
    <n v="-1.8006686262445868"/>
    <m/>
    <m/>
    <m/>
    <m/>
    <m/>
    <b v="0"/>
    <s v="SE"/>
    <s v="OVER"/>
    <n v="0"/>
    <n v="0"/>
    <n v="0"/>
    <n v="-5.7686885245901651"/>
    <n v="33.277767293738258"/>
    <n v="-1.8006686262445868"/>
    <n v="3.2424075015415674"/>
  </r>
  <r>
    <x v="104"/>
    <x v="16"/>
    <x v="13"/>
    <m/>
    <m/>
    <m/>
    <m/>
    <m/>
    <m/>
    <m/>
    <m/>
    <n v="103.81409801271781"/>
    <m/>
    <n v="107.14253066666667"/>
    <m/>
    <m/>
    <n v="92.9"/>
    <n v="96.1"/>
    <m/>
    <m/>
    <m/>
    <m/>
    <n v="3.2413114754098342"/>
    <m/>
    <m/>
    <n v="3.328432653948866"/>
    <m/>
    <m/>
    <m/>
    <m/>
    <m/>
    <b v="0"/>
    <s v="A"/>
    <s v="OVER"/>
    <n v="0"/>
    <n v="0"/>
    <n v="0"/>
    <n v="3.2413114754098342"/>
    <n v="10.506100080623476"/>
    <n v="3.328432653948866"/>
    <n v="11.078463931873092"/>
  </r>
  <r>
    <x v="104"/>
    <x v="18"/>
    <x v="21"/>
    <m/>
    <m/>
    <m/>
    <m/>
    <m/>
    <m/>
    <m/>
    <m/>
    <n v="115.2033583347156"/>
    <m/>
    <n v="104.34894800000002"/>
    <m/>
    <m/>
    <n v="94.2"/>
    <n v="100.2"/>
    <m/>
    <m/>
    <m/>
    <m/>
    <n v="-7.9386885245901659"/>
    <m/>
    <m/>
    <n v="-10.854410334715581"/>
    <m/>
    <m/>
    <m/>
    <m/>
    <m/>
    <b v="0"/>
    <s v="C"/>
    <s v="OVER"/>
    <n v="0"/>
    <n v="0"/>
    <n v="0"/>
    <n v="-7.9386885245901659"/>
    <n v="63.022775490459587"/>
    <n v="-10.854410334715581"/>
    <n v="117.81822371438041"/>
  </r>
  <r>
    <x v="104"/>
    <x v="1"/>
    <x v="27"/>
    <m/>
    <m/>
    <m/>
    <m/>
    <m/>
    <m/>
    <m/>
    <m/>
    <n v="114.39244298006876"/>
    <m/>
    <n v="104.43945400000001"/>
    <m/>
    <m/>
    <n v="100.7"/>
    <n v="95.1"/>
    <m/>
    <m/>
    <m/>
    <m/>
    <n v="-9.3486885245901661"/>
    <m/>
    <m/>
    <n v="-9.9529889800687528"/>
    <m/>
    <m/>
    <m/>
    <m/>
    <m/>
    <b v="0"/>
    <s v="P"/>
    <s v="OVER"/>
    <n v="0"/>
    <n v="0"/>
    <n v="0"/>
    <n v="-9.3486885245901661"/>
    <n v="87.397977129803863"/>
    <n v="-9.9529889800687528"/>
    <n v="99.061989637370033"/>
  </r>
  <r>
    <x v="104"/>
    <x v="4"/>
    <x v="20"/>
    <m/>
    <m/>
    <m/>
    <m/>
    <m/>
    <m/>
    <m/>
    <m/>
    <n v="105.51181341452114"/>
    <m/>
    <n v="113.4232586666667"/>
    <m/>
    <m/>
    <n v="98.3"/>
    <n v="97.3"/>
    <m/>
    <m/>
    <m/>
    <m/>
    <n v="10.771311475409835"/>
    <m/>
    <m/>
    <n v="7.9114452521455547"/>
    <m/>
    <m/>
    <m/>
    <m/>
    <m/>
    <b v="1"/>
    <s v="C"/>
    <s v="OVER"/>
    <n v="0"/>
    <n v="0"/>
    <n v="0"/>
    <n v="10.771311475409835"/>
    <n v="116.02115090029559"/>
    <n v="7.9114452521455547"/>
    <n v="62.590965977696442"/>
  </r>
  <r>
    <x v="104"/>
    <x v="6"/>
    <x v="19"/>
    <m/>
    <m/>
    <m/>
    <m/>
    <m/>
    <m/>
    <m/>
    <m/>
    <n v="101.5049947304164"/>
    <m/>
    <n v="98.263218000000037"/>
    <m/>
    <m/>
    <n v="96.2"/>
    <n v="101.7"/>
    <m/>
    <m/>
    <m/>
    <m/>
    <n v="-9.8086885245901652"/>
    <m/>
    <m/>
    <n v="-3.2417767304163618"/>
    <m/>
    <m/>
    <m/>
    <m/>
    <m/>
    <b v="0"/>
    <s v="SW"/>
    <s v="OVER"/>
    <n v="0"/>
    <n v="0"/>
    <n v="0"/>
    <n v="-9.8086885245901652"/>
    <n v="96.210370572426797"/>
    <n v="-3.2417767304163618"/>
    <n v="10.509116369868996"/>
  </r>
  <r>
    <x v="104"/>
    <x v="7"/>
    <x v="9"/>
    <m/>
    <m/>
    <m/>
    <m/>
    <m/>
    <m/>
    <m/>
    <m/>
    <n v="104.37674333230638"/>
    <m/>
    <n v="97.928936000000036"/>
    <m/>
    <m/>
    <n v="96.1"/>
    <n v="93.9"/>
    <m/>
    <m/>
    <m/>
    <m/>
    <n v="-1.4686885245901655"/>
    <m/>
    <m/>
    <n v="-6.4478073323063398"/>
    <m/>
    <m/>
    <m/>
    <m/>
    <m/>
    <b v="0"/>
    <s v="C"/>
    <s v="OVER"/>
    <n v="0"/>
    <n v="0"/>
    <n v="0"/>
    <n v="-1.4686885245901655"/>
    <n v="2.1570459822628374"/>
    <n v="-6.4478073323063398"/>
    <n v="41.574219394543398"/>
  </r>
  <r>
    <x v="104"/>
    <x v="28"/>
    <x v="29"/>
    <m/>
    <m/>
    <m/>
    <m/>
    <m/>
    <m/>
    <m/>
    <m/>
    <n v="116.74326150317566"/>
    <m/>
    <n v="111.58047600000003"/>
    <m/>
    <m/>
    <n v="95.8"/>
    <n v="95.4"/>
    <m/>
    <m/>
    <m/>
    <m/>
    <n v="4.4113114754098337"/>
    <m/>
    <m/>
    <n v="-5.1627855031756269"/>
    <m/>
    <m/>
    <m/>
    <m/>
    <m/>
    <b v="0"/>
    <s v="NW"/>
    <s v="OVER"/>
    <n v="0"/>
    <n v="0"/>
    <n v="0"/>
    <n v="4.4113114754098337"/>
    <n v="19.459668933082483"/>
    <n v="-5.1627855031756269"/>
    <n v="26.654354151800412"/>
  </r>
  <r>
    <x v="104"/>
    <x v="8"/>
    <x v="2"/>
    <m/>
    <m/>
    <m/>
    <m/>
    <m/>
    <m/>
    <m/>
    <m/>
    <n v="98.61171327976011"/>
    <m/>
    <n v="96.295210000000026"/>
    <m/>
    <m/>
    <n v="98.8"/>
    <n v="91.5"/>
    <m/>
    <m/>
    <m/>
    <m/>
    <n v="4.1613114754098346"/>
    <m/>
    <m/>
    <n v="-2.3165032797600844"/>
    <m/>
    <m/>
    <m/>
    <m/>
    <m/>
    <b v="0"/>
    <s v="SW"/>
    <s v="OVER"/>
    <n v="0"/>
    <n v="0"/>
    <n v="0"/>
    <n v="4.1613114754098346"/>
    <n v="17.316513195377574"/>
    <n v="-2.3165032797600844"/>
    <n v="5.3661874451392277"/>
  </r>
  <r>
    <x v="104"/>
    <x v="24"/>
    <x v="15"/>
    <m/>
    <m/>
    <m/>
    <m/>
    <m/>
    <m/>
    <m/>
    <m/>
    <n v="105.02363945611427"/>
    <m/>
    <n v="114.36960266666669"/>
    <m/>
    <m/>
    <n v="96.2"/>
    <n v="96.4"/>
    <m/>
    <m/>
    <m/>
    <m/>
    <n v="11.541311475409834"/>
    <m/>
    <m/>
    <n v="9.3459632105524264"/>
    <m/>
    <m/>
    <m/>
    <m/>
    <m/>
    <b v="0"/>
    <s v="A"/>
    <s v="OVER"/>
    <n v="0"/>
    <n v="0"/>
    <n v="0"/>
    <n v="11.541311475409834"/>
    <n v="133.20187057242674"/>
    <n v="9.3459632105524264"/>
    <n v="87.347028332999415"/>
  </r>
  <r>
    <x v="104"/>
    <x v="10"/>
    <x v="1"/>
    <m/>
    <m/>
    <m/>
    <m/>
    <m/>
    <m/>
    <m/>
    <m/>
    <n v="97.476194198882524"/>
    <m/>
    <n v="106.81046200000002"/>
    <m/>
    <m/>
    <n v="97.5"/>
    <n v="93.3"/>
    <m/>
    <m/>
    <m/>
    <m/>
    <n v="14.181311475409835"/>
    <m/>
    <m/>
    <n v="9.3342678011174911"/>
    <m/>
    <m/>
    <m/>
    <m/>
    <m/>
    <b v="0"/>
    <s v="A"/>
    <s v="OVER"/>
    <n v="0"/>
    <n v="0"/>
    <n v="0"/>
    <n v="14.181311475409835"/>
    <n v="201.10959516259067"/>
    <n v="9.3342678011174911"/>
    <n v="87.12855538297876"/>
  </r>
  <r>
    <x v="104"/>
    <x v="15"/>
    <x v="14"/>
    <m/>
    <m/>
    <m/>
    <m/>
    <m/>
    <m/>
    <m/>
    <m/>
    <n v="107.51708010654767"/>
    <m/>
    <n v="110.66456333333335"/>
    <m/>
    <m/>
    <n v="94.2"/>
    <n v="99.5"/>
    <m/>
    <m/>
    <m/>
    <m/>
    <n v="-0.19868852459016573"/>
    <m/>
    <m/>
    <n v="3.1474832267856812"/>
    <m/>
    <m/>
    <m/>
    <m/>
    <m/>
    <b v="0"/>
    <s v="P"/>
    <s v="OVER"/>
    <n v="0"/>
    <n v="0"/>
    <n v="0"/>
    <n v="-0.19868852459016573"/>
    <n v="3.9477129803816888E-2"/>
    <n v="3.1474832267856812"/>
    <n v="9.9066506628972029"/>
  </r>
  <r>
    <x v="105"/>
    <x v="22"/>
    <x v="5"/>
    <m/>
    <m/>
    <m/>
    <m/>
    <m/>
    <m/>
    <m/>
    <m/>
    <n v="107.72629196997593"/>
    <m/>
    <n v="109.03252600000003"/>
    <m/>
    <m/>
    <n v="97.3"/>
    <n v="96.9"/>
    <m/>
    <m/>
    <m/>
    <m/>
    <n v="-1.0786885245901652"/>
    <m/>
    <m/>
    <n v="1.3062340300241004"/>
    <m/>
    <m/>
    <m/>
    <m/>
    <m/>
    <b v="0"/>
    <s v="SE"/>
    <s v="OVER"/>
    <n v="0"/>
    <n v="0"/>
    <n v="0"/>
    <n v="-1.0786885245901652"/>
    <n v="1.1635689330825074"/>
    <n v="1.3062340300241004"/>
    <n v="1.7062473411930026"/>
  </r>
  <r>
    <x v="105"/>
    <x v="17"/>
    <x v="2"/>
    <m/>
    <m/>
    <m/>
    <m/>
    <m/>
    <m/>
    <m/>
    <m/>
    <n v="91.436423578429086"/>
    <m/>
    <n v="96.853360000000038"/>
    <m/>
    <m/>
    <n v="102"/>
    <n v="91.5"/>
    <m/>
    <m/>
    <m/>
    <m/>
    <n v="10.331311475409834"/>
    <m/>
    <m/>
    <n v="5.4169364215709521"/>
    <m/>
    <m/>
    <m/>
    <m/>
    <m/>
    <b v="0"/>
    <s v="SW"/>
    <s v="OVER"/>
    <n v="0"/>
    <n v="0"/>
    <n v="0"/>
    <n v="10.331311475409834"/>
    <n v="106.73599680193492"/>
    <n v="5.4169364215709521"/>
    <n v="29.343200195341911"/>
  </r>
  <r>
    <x v="105"/>
    <x v="20"/>
    <x v="20"/>
    <m/>
    <m/>
    <m/>
    <m/>
    <m/>
    <m/>
    <m/>
    <m/>
    <n v="105.03761681965828"/>
    <m/>
    <n v="110.14424866666668"/>
    <m/>
    <m/>
    <n v="92.6"/>
    <n v="97.3"/>
    <m/>
    <m/>
    <m/>
    <m/>
    <n v="5.6213114754098346"/>
    <m/>
    <m/>
    <n v="5.1066318470084013"/>
    <m/>
    <m/>
    <m/>
    <m/>
    <m/>
    <b v="0"/>
    <s v="NW"/>
    <s v="OVER"/>
    <n v="0"/>
    <n v="0"/>
    <n v="0"/>
    <n v="5.6213114754098346"/>
    <n v="31.599142703574291"/>
    <n v="5.1066318470084013"/>
    <n v="26.077688820880436"/>
  </r>
  <r>
    <x v="105"/>
    <x v="9"/>
    <x v="28"/>
    <m/>
    <m/>
    <m/>
    <m/>
    <m/>
    <m/>
    <m/>
    <m/>
    <n v="99.13785405681466"/>
    <m/>
    <n v="96.281900000000022"/>
    <m/>
    <m/>
    <n v="94.2"/>
    <n v="97.5"/>
    <m/>
    <m/>
    <m/>
    <m/>
    <n v="-3.8586885245901659"/>
    <m/>
    <m/>
    <n v="-2.8559540568146389"/>
    <m/>
    <m/>
    <m/>
    <m/>
    <m/>
    <b v="0"/>
    <s v="SE"/>
    <s v="OVER"/>
    <n v="0"/>
    <n v="0"/>
    <n v="0"/>
    <n v="-3.8586885245901659"/>
    <n v="14.889477129803831"/>
    <n v="-2.8559540568146389"/>
    <n v="8.156473574635994"/>
  </r>
  <r>
    <x v="105"/>
    <x v="2"/>
    <x v="14"/>
    <m/>
    <m/>
    <m/>
    <m/>
    <m/>
    <m/>
    <m/>
    <m/>
    <n v="109.34734413790987"/>
    <m/>
    <n v="112.84361333333335"/>
    <m/>
    <m/>
    <n v="99.3"/>
    <n v="99.5"/>
    <m/>
    <m/>
    <m/>
    <m/>
    <n v="0.2213114754098342"/>
    <m/>
    <m/>
    <n v="3.4962691954234799"/>
    <m/>
    <m/>
    <m/>
    <m/>
    <m/>
    <b v="0"/>
    <s v="NW"/>
    <s v="OVER"/>
    <n v="0"/>
    <n v="0"/>
    <n v="0"/>
    <n v="0.2213114754098342"/>
    <n v="4.8978769148077646E-2"/>
    <n v="3.4962691954234799"/>
    <n v="12.223898286867147"/>
  </r>
  <r>
    <x v="106"/>
    <x v="16"/>
    <x v="9"/>
    <m/>
    <m/>
    <m/>
    <m/>
    <m/>
    <m/>
    <m/>
    <m/>
    <n v="97.4876080127178"/>
    <m/>
    <n v="99.853886000000031"/>
    <m/>
    <m/>
    <n v="92.9"/>
    <n v="93.9"/>
    <m/>
    <m/>
    <m/>
    <m/>
    <n v="4.8913114754098341"/>
    <m/>
    <m/>
    <n v="2.3662779872822313"/>
    <m/>
    <m/>
    <m/>
    <m/>
    <m/>
    <b v="0"/>
    <s v="A"/>
    <s v="OVER"/>
    <n v="0"/>
    <n v="0"/>
    <n v="0"/>
    <n v="4.8913114754098341"/>
    <n v="23.924927949475929"/>
    <n v="2.3662779872822313"/>
    <n v="5.599271513096447"/>
  </r>
  <r>
    <x v="106"/>
    <x v="18"/>
    <x v="1"/>
    <m/>
    <m/>
    <m/>
    <m/>
    <m/>
    <m/>
    <m/>
    <m/>
    <n v="109.5230983347156"/>
    <m/>
    <n v="100.59668200000002"/>
    <m/>
    <m/>
    <n v="94.2"/>
    <n v="93.3"/>
    <m/>
    <m/>
    <m/>
    <m/>
    <n v="1.7713114754098349"/>
    <m/>
    <m/>
    <n v="-8.9264163347155829"/>
    <m/>
    <m/>
    <m/>
    <m/>
    <m/>
    <b v="0"/>
    <s v="C"/>
    <s v="OVER"/>
    <n v="0"/>
    <n v="0"/>
    <n v="0"/>
    <n v="1.7713114754098349"/>
    <n v="3.1375443429185661"/>
    <n v="-8.9264163347155829"/>
    <n v="79.680908580677183"/>
  </r>
  <r>
    <x v="106"/>
    <x v="6"/>
    <x v="18"/>
    <m/>
    <m/>
    <m/>
    <m/>
    <m/>
    <m/>
    <m/>
    <m/>
    <n v="99.359734730416392"/>
    <m/>
    <n v="112.83502133333337"/>
    <m/>
    <m/>
    <n v="96.2"/>
    <n v="100.7"/>
    <m/>
    <m/>
    <m/>
    <m/>
    <n v="7.8513114754098332"/>
    <m/>
    <m/>
    <n v="13.475286602916981"/>
    <m/>
    <m/>
    <m/>
    <m/>
    <m/>
    <b v="0"/>
    <s v="SW"/>
    <s v="OVER"/>
    <n v="0"/>
    <n v="0"/>
    <n v="0"/>
    <n v="7.8513114754098332"/>
    <n v="61.64309188390213"/>
    <n v="13.475286602916981"/>
    <n v="181.58334903075388"/>
  </r>
  <r>
    <x v="106"/>
    <x v="7"/>
    <x v="21"/>
    <m/>
    <m/>
    <m/>
    <m/>
    <m/>
    <m/>
    <m/>
    <m/>
    <n v="112.20889333230639"/>
    <m/>
    <n v="111.33288800000003"/>
    <m/>
    <m/>
    <n v="96.1"/>
    <n v="100.2"/>
    <m/>
    <m/>
    <m/>
    <m/>
    <n v="-2.7886885245901656"/>
    <m/>
    <m/>
    <n v="-0.87600533230636302"/>
    <m/>
    <m/>
    <m/>
    <m/>
    <m/>
    <b v="0"/>
    <s v="C"/>
    <s v="OVER"/>
    <n v="0"/>
    <n v="0"/>
    <n v="0"/>
    <n v="-2.7886885245901656"/>
    <n v="7.7767836871808749"/>
    <n v="-0.87600533230636302"/>
    <n v="0.76738534222918153"/>
  </r>
  <r>
    <x v="106"/>
    <x v="28"/>
    <x v="25"/>
    <m/>
    <m/>
    <m/>
    <m/>
    <m/>
    <m/>
    <m/>
    <m/>
    <n v="114.64524150317565"/>
    <m/>
    <n v="104.83733866666668"/>
    <m/>
    <m/>
    <n v="95.8"/>
    <n v="98.8"/>
    <m/>
    <m/>
    <m/>
    <m/>
    <n v="-4.2586885245901662"/>
    <m/>
    <m/>
    <n v="-9.8079028365089727"/>
    <m/>
    <m/>
    <m/>
    <m/>
    <m/>
    <b v="0"/>
    <s v="NW"/>
    <s v="OVER"/>
    <n v="0"/>
    <n v="0"/>
    <n v="0"/>
    <n v="-4.2586885245901662"/>
    <n v="18.136427949475966"/>
    <n v="-9.8079028365089727"/>
    <n v="96.194958050400757"/>
  </r>
  <r>
    <x v="106"/>
    <x v="24"/>
    <x v="8"/>
    <m/>
    <m/>
    <m/>
    <m/>
    <m/>
    <m/>
    <m/>
    <m/>
    <n v="109.26605945611426"/>
    <m/>
    <n v="108.67372066666668"/>
    <m/>
    <m/>
    <n v="96.2"/>
    <n v="99.1"/>
    <m/>
    <m/>
    <m/>
    <m/>
    <n v="-1.8486885245901659"/>
    <m/>
    <m/>
    <n v="-0.59233878944758089"/>
    <m/>
    <m/>
    <m/>
    <m/>
    <m/>
    <b v="0"/>
    <s v="A"/>
    <s v="OVER"/>
    <n v="0"/>
    <n v="0"/>
    <n v="0"/>
    <n v="-1.8486885245901659"/>
    <n v="3.4176492609513645"/>
    <n v="-0.59233878944758089"/>
    <n v="0.35086524148422554"/>
  </r>
  <r>
    <x v="106"/>
    <x v="11"/>
    <x v="27"/>
    <m/>
    <m/>
    <m/>
    <m/>
    <m/>
    <m/>
    <m/>
    <m/>
    <n v="95.009180941007983"/>
    <m/>
    <n v="106.56018400000001"/>
    <m/>
    <m/>
    <n v="101.7"/>
    <n v="95.1"/>
    <m/>
    <m/>
    <m/>
    <m/>
    <n v="8.3113114754098341"/>
    <m/>
    <m/>
    <n v="11.551003058992023"/>
    <m/>
    <m/>
    <m/>
    <m/>
    <m/>
    <b v="0"/>
    <s v="P"/>
    <s v="OVER"/>
    <n v="0"/>
    <n v="0"/>
    <n v="0"/>
    <n v="8.3113114754098341"/>
    <n v="69.077898441279189"/>
    <n v="11.551003058992023"/>
    <n v="133.42567166884308"/>
  </r>
  <r>
    <x v="106"/>
    <x v="15"/>
    <x v="24"/>
    <m/>
    <m/>
    <m/>
    <m/>
    <m/>
    <m/>
    <m/>
    <m/>
    <n v="100.43324010654767"/>
    <m/>
    <n v="104.60706133333336"/>
    <m/>
    <m/>
    <n v="94.2"/>
    <n v="99.2"/>
    <m/>
    <m/>
    <m/>
    <m/>
    <n v="1.5513114754098343"/>
    <m/>
    <m/>
    <n v="4.1738212267856909"/>
    <m/>
    <m/>
    <m/>
    <m/>
    <m/>
    <b v="0"/>
    <s v="P"/>
    <s v="OVER"/>
    <n v="0"/>
    <n v="0"/>
    <n v="0"/>
    <n v="1.5513114754098343"/>
    <n v="2.4065672937382367"/>
    <n v="4.1738212267856909"/>
    <n v="17.42078363316681"/>
  </r>
  <r>
    <x v="106"/>
    <x v="29"/>
    <x v="16"/>
    <m/>
    <m/>
    <m/>
    <m/>
    <m/>
    <m/>
    <m/>
    <m/>
    <n v="110.98636029849834"/>
    <m/>
    <n v="105.17182533333335"/>
    <m/>
    <m/>
    <n v="96.1"/>
    <n v="98.3"/>
    <m/>
    <m/>
    <m/>
    <m/>
    <n v="-4.7986885245901654"/>
    <m/>
    <m/>
    <n v="-5.8145349651649951"/>
    <m/>
    <m/>
    <m/>
    <m/>
    <m/>
    <b v="0"/>
    <s v="SE"/>
    <s v="OVER"/>
    <n v="0"/>
    <n v="0"/>
    <n v="0"/>
    <n v="-4.7986885245901654"/>
    <n v="23.027411556033339"/>
    <n v="-5.8145349651649951"/>
    <n v="33.808816861126289"/>
  </r>
  <r>
    <x v="107"/>
    <x v="22"/>
    <x v="15"/>
    <m/>
    <m/>
    <m/>
    <m/>
    <m/>
    <m/>
    <m/>
    <m/>
    <n v="101.11962196997592"/>
    <m/>
    <n v="110.61964266666669"/>
    <m/>
    <m/>
    <n v="97.3"/>
    <n v="96.4"/>
    <m/>
    <m/>
    <m/>
    <m/>
    <n v="7.9513114754098346"/>
    <m/>
    <m/>
    <n v="9.5000206966907683"/>
    <m/>
    <m/>
    <m/>
    <m/>
    <m/>
    <b v="0"/>
    <s v="SE"/>
    <s v="OVER"/>
    <n v="0"/>
    <n v="0"/>
    <n v="0"/>
    <n v="7.9513114754098346"/>
    <n v="63.223354178984124"/>
    <n v="9.5000206966907683"/>
    <n v="90.250393237552956"/>
  </r>
  <r>
    <x v="107"/>
    <x v="0"/>
    <x v="8"/>
    <m/>
    <m/>
    <m/>
    <m/>
    <m/>
    <m/>
    <m/>
    <m/>
    <n v="115.76098692672302"/>
    <m/>
    <n v="104.74936066666669"/>
    <m/>
    <m/>
    <n v="97.3"/>
    <n v="99.1"/>
    <m/>
    <m/>
    <m/>
    <m/>
    <n v="-12.218688524590167"/>
    <m/>
    <m/>
    <n v="-11.011626260056332"/>
    <m/>
    <m/>
    <m/>
    <m/>
    <m/>
    <b v="0"/>
    <s v="C"/>
    <s v="OVER"/>
    <n v="0"/>
    <n v="0"/>
    <n v="0"/>
    <n v="-12.218688524590167"/>
    <n v="149.29634926095144"/>
    <n v="-11.011626260056332"/>
    <n v="121.2559128911622"/>
  </r>
  <r>
    <x v="107"/>
    <x v="17"/>
    <x v="17"/>
    <m/>
    <m/>
    <m/>
    <m/>
    <m/>
    <m/>
    <m/>
    <m/>
    <n v="95.812223578429084"/>
    <m/>
    <n v="91.638388000000035"/>
    <m/>
    <m/>
    <n v="102"/>
    <n v="94.2"/>
    <m/>
    <m/>
    <m/>
    <m/>
    <n v="-2.518688524590166"/>
    <m/>
    <m/>
    <n v="-4.1738355784290491"/>
    <m/>
    <m/>
    <m/>
    <m/>
    <m/>
    <b v="0"/>
    <s v="SW"/>
    <s v="OVER"/>
    <n v="0"/>
    <n v="0"/>
    <n v="0"/>
    <n v="-2.518688524590166"/>
    <n v="6.3437918839021874"/>
    <n v="-4.1738355784290491"/>
    <n v="17.420903435760156"/>
  </r>
  <r>
    <x v="107"/>
    <x v="26"/>
    <x v="19"/>
    <m/>
    <m/>
    <m/>
    <m/>
    <m/>
    <m/>
    <m/>
    <m/>
    <n v="111.25740549407402"/>
    <m/>
    <n v="105.88054800000005"/>
    <m/>
    <m/>
    <n v="96.9"/>
    <n v="101.7"/>
    <m/>
    <m/>
    <m/>
    <m/>
    <n v="-12.878688524590167"/>
    <m/>
    <m/>
    <n v="-5.376857494073974"/>
    <m/>
    <m/>
    <m/>
    <m/>
    <m/>
    <b v="0"/>
    <s v="SW"/>
    <s v="OVER"/>
    <n v="0"/>
    <n v="0"/>
    <n v="0"/>
    <n v="-12.878688524590167"/>
    <n v="165.86061811341045"/>
    <n v="-5.376857494073974"/>
    <n v="28.910596511579456"/>
  </r>
  <r>
    <x v="107"/>
    <x v="4"/>
    <x v="26"/>
    <m/>
    <m/>
    <m/>
    <m/>
    <m/>
    <m/>
    <m/>
    <m/>
    <n v="108.29370341452113"/>
    <m/>
    <n v="103.99045066666669"/>
    <m/>
    <m/>
    <n v="98.3"/>
    <n v="96.1"/>
    <m/>
    <m/>
    <m/>
    <m/>
    <n v="-0.41868852459016592"/>
    <m/>
    <m/>
    <n v="-4.3032527478544438"/>
    <m/>
    <m/>
    <m/>
    <m/>
    <m/>
    <b v="1"/>
    <s v="C"/>
    <s v="OVER"/>
    <n v="0"/>
    <n v="0"/>
    <n v="0"/>
    <n v="-0.41868852459016592"/>
    <n v="0.17530008062348998"/>
    <n v="-4.3032527478544438"/>
    <n v="18.517984211916822"/>
  </r>
  <r>
    <x v="107"/>
    <x v="20"/>
    <x v="18"/>
    <m/>
    <m/>
    <m/>
    <m/>
    <m/>
    <m/>
    <m/>
    <m/>
    <n v="104.61165681965826"/>
    <m/>
    <n v="116.02721133333337"/>
    <m/>
    <m/>
    <n v="92.6"/>
    <n v="100.7"/>
    <m/>
    <m/>
    <m/>
    <m/>
    <n v="8.1013114754098332"/>
    <m/>
    <m/>
    <n v="11.415554513675104"/>
    <m/>
    <m/>
    <m/>
    <m/>
    <m/>
    <b v="0"/>
    <s v="NW"/>
    <s v="OVER"/>
    <n v="0"/>
    <n v="0"/>
    <n v="0"/>
    <n v="8.1013114754098332"/>
    <n v="65.631247621607045"/>
    <n v="11.415554513675104"/>
    <n v="130.31488485468805"/>
  </r>
  <r>
    <x v="107"/>
    <x v="10"/>
    <x v="9"/>
    <m/>
    <m/>
    <m/>
    <m/>
    <m/>
    <m/>
    <m/>
    <m/>
    <n v="95.409194198882517"/>
    <m/>
    <n v="97.637846000000025"/>
    <m/>
    <m/>
    <n v="97.5"/>
    <n v="93.9"/>
    <m/>
    <m/>
    <m/>
    <m/>
    <n v="5.7913114754098345"/>
    <m/>
    <m/>
    <n v="2.2286518011175076"/>
    <m/>
    <m/>
    <m/>
    <m/>
    <m/>
    <b v="0"/>
    <s v="A"/>
    <s v="OVER"/>
    <n v="0"/>
    <n v="0"/>
    <n v="0"/>
    <n v="5.7913114754098345"/>
    <n v="33.539288605213635"/>
    <n v="2.2286518011175076"/>
    <n v="4.9668888506243105"/>
  </r>
  <r>
    <x v="107"/>
    <x v="21"/>
    <x v="14"/>
    <m/>
    <m/>
    <m/>
    <m/>
    <m/>
    <m/>
    <m/>
    <m/>
    <n v="107.10255584399452"/>
    <m/>
    <n v="102.94336333333335"/>
    <m/>
    <m/>
    <n v="91.5"/>
    <n v="99.5"/>
    <m/>
    <m/>
    <m/>
    <m/>
    <n v="-6.4586885245901655"/>
    <m/>
    <m/>
    <n v="-4.1591925106611711"/>
    <m/>
    <m/>
    <m/>
    <m/>
    <m/>
    <b v="0"/>
    <s v="NW"/>
    <s v="OVER"/>
    <n v="0"/>
    <n v="0"/>
    <n v="0"/>
    <n v="-6.4586885245901655"/>
    <n v="41.714657457672686"/>
    <n v="-4.1591925106611711"/>
    <n v="17.298882340739976"/>
  </r>
  <r>
    <x v="108"/>
    <x v="28"/>
    <x v="27"/>
    <m/>
    <m/>
    <m/>
    <m/>
    <m/>
    <m/>
    <m/>
    <m/>
    <n v="115.44038150317566"/>
    <m/>
    <n v="108.70944400000002"/>
    <m/>
    <m/>
    <n v="95.8"/>
    <n v="95.1"/>
    <m/>
    <m/>
    <m/>
    <m/>
    <n v="3.1113114754098339"/>
    <m/>
    <m/>
    <n v="-6.7309375031756389"/>
    <m/>
    <m/>
    <m/>
    <m/>
    <m/>
    <b v="0"/>
    <s v="NW"/>
    <s v="OVER"/>
    <n v="0"/>
    <n v="0"/>
    <n v="0"/>
    <n v="3.1113114754098339"/>
    <n v="9.6802590970169167"/>
    <n v="-6.7309375031756389"/>
    <n v="45.305519671656306"/>
  </r>
  <r>
    <x v="108"/>
    <x v="24"/>
    <x v="1"/>
    <m/>
    <m/>
    <m/>
    <m/>
    <m/>
    <m/>
    <m/>
    <m/>
    <n v="107.64027945611427"/>
    <m/>
    <n v="108.15398200000001"/>
    <m/>
    <m/>
    <n v="96.2"/>
    <n v="93.3"/>
    <m/>
    <m/>
    <m/>
    <m/>
    <n v="6.101311475409835"/>
    <m/>
    <m/>
    <n v="0.5137025438857421"/>
    <m/>
    <m/>
    <m/>
    <m/>
    <m/>
    <b v="0"/>
    <s v="A"/>
    <s v="OVER"/>
    <n v="0"/>
    <n v="0"/>
    <n v="0"/>
    <n v="6.101311475409835"/>
    <n v="37.226001719967741"/>
    <n v="0.5137025438857421"/>
    <n v="0.2638903035946828"/>
  </r>
  <r>
    <x v="108"/>
    <x v="15"/>
    <x v="25"/>
    <m/>
    <m/>
    <m/>
    <m/>
    <m/>
    <m/>
    <m/>
    <m/>
    <n v="105.71786010654768"/>
    <m/>
    <n v="104.77805866666668"/>
    <m/>
    <m/>
    <n v="94.2"/>
    <n v="98.8"/>
    <m/>
    <m/>
    <m/>
    <m/>
    <n v="-3.458688524590166"/>
    <m/>
    <m/>
    <n v="-0.93980143988099485"/>
    <m/>
    <m/>
    <m/>
    <m/>
    <m/>
    <b v="0"/>
    <s v="P"/>
    <s v="OVER"/>
    <n v="0"/>
    <n v="0"/>
    <n v="0"/>
    <n v="-3.458688524590166"/>
    <n v="11.962526310131699"/>
    <n v="-0.93980143988099485"/>
    <n v="0.88322674640239118"/>
  </r>
  <r>
    <x v="108"/>
    <x v="12"/>
    <x v="12"/>
    <m/>
    <m/>
    <m/>
    <m/>
    <m/>
    <m/>
    <m/>
    <m/>
    <n v="105.14862369203996"/>
    <m/>
    <n v="99.428728000000021"/>
    <m/>
    <m/>
    <n v="95.4"/>
    <n v="94.2"/>
    <m/>
    <m/>
    <m/>
    <m/>
    <n v="-6.0286885245901658"/>
    <m/>
    <m/>
    <n v="-5.7198956920399411"/>
    <m/>
    <m/>
    <m/>
    <m/>
    <m/>
    <b v="0"/>
    <s v="A"/>
    <s v="OVER"/>
    <n v="0"/>
    <n v="0"/>
    <n v="0"/>
    <n v="-6.0286885245901658"/>
    <n v="36.345085326525151"/>
    <n v="-5.7198956920399411"/>
    <n v="32.717206727817079"/>
  </r>
  <r>
    <x v="109"/>
    <x v="16"/>
    <x v="23"/>
    <m/>
    <m/>
    <m/>
    <m/>
    <m/>
    <m/>
    <m/>
    <m/>
    <n v="96.279908012717797"/>
    <m/>
    <n v="102.70376133333336"/>
    <m/>
    <m/>
    <n v="92.9"/>
    <n v="96.2"/>
    <m/>
    <m/>
    <m/>
    <m/>
    <n v="6.6213114754098346"/>
    <m/>
    <m/>
    <n v="6.4238533206155637"/>
    <m/>
    <m/>
    <m/>
    <m/>
    <m/>
    <b v="0"/>
    <s v="A"/>
    <s v="OVER"/>
    <n v="0"/>
    <n v="0"/>
    <n v="0"/>
    <n v="6.6213114754098346"/>
    <n v="43.84176565439396"/>
    <n v="6.4238533206155637"/>
    <n v="41.265891484783602"/>
  </r>
  <r>
    <x v="109"/>
    <x v="22"/>
    <x v="28"/>
    <m/>
    <m/>
    <m/>
    <m/>
    <m/>
    <m/>
    <m/>
    <m/>
    <n v="106.92843196997592"/>
    <m/>
    <n v="95.862650000000016"/>
    <m/>
    <m/>
    <n v="97.3"/>
    <n v="97.5"/>
    <m/>
    <m/>
    <m/>
    <m/>
    <n v="-14.448688524590166"/>
    <m/>
    <m/>
    <n v="-11.065781969975902"/>
    <m/>
    <m/>
    <m/>
    <m/>
    <m/>
    <b v="0"/>
    <s v="SE"/>
    <s v="OVER"/>
    <n v="0"/>
    <n v="0"/>
    <n v="0"/>
    <n v="-14.448688524590166"/>
    <n v="208.76460008062355"/>
    <n v="-11.065781969975902"/>
    <n v="122.45153060704375"/>
  </r>
  <r>
    <x v="109"/>
    <x v="17"/>
    <x v="14"/>
    <m/>
    <m/>
    <m/>
    <m/>
    <m/>
    <m/>
    <m/>
    <m/>
    <n v="96.597623578429079"/>
    <m/>
    <n v="106.68456333333336"/>
    <m/>
    <m/>
    <n v="102"/>
    <n v="99.5"/>
    <m/>
    <m/>
    <m/>
    <m/>
    <n v="6.6513114754098339"/>
    <m/>
    <m/>
    <n v="10.086939754904279"/>
    <m/>
    <m/>
    <m/>
    <m/>
    <m/>
    <b v="0"/>
    <s v="SW"/>
    <s v="OVER"/>
    <n v="0"/>
    <n v="0"/>
    <n v="0"/>
    <n v="6.6513114754098339"/>
    <n v="44.239944342918541"/>
    <n v="10.086939754904279"/>
    <n v="101.74635361906839"/>
  </r>
  <r>
    <x v="109"/>
    <x v="23"/>
    <x v="18"/>
    <m/>
    <m/>
    <m/>
    <m/>
    <m/>
    <m/>
    <m/>
    <m/>
    <n v="102.95354917909572"/>
    <m/>
    <n v="117.98079133333337"/>
    <m/>
    <m/>
    <n v="99.1"/>
    <n v="100.7"/>
    <m/>
    <m/>
    <m/>
    <m/>
    <n v="9.1413114754098324"/>
    <m/>
    <m/>
    <n v="15.027242154237655"/>
    <m/>
    <m/>
    <m/>
    <m/>
    <m/>
    <b v="0"/>
    <s v="NW"/>
    <s v="OVER"/>
    <n v="0"/>
    <n v="0"/>
    <n v="0"/>
    <n v="9.1413114754098324"/>
    <n v="83.563575490459485"/>
    <n v="15.027242154237655"/>
    <n v="225.81800676209716"/>
  </r>
  <r>
    <x v="109"/>
    <x v="4"/>
    <x v="1"/>
    <m/>
    <m/>
    <m/>
    <m/>
    <m/>
    <m/>
    <m/>
    <m/>
    <n v="104.79422341452113"/>
    <m/>
    <n v="106.68917200000003"/>
    <m/>
    <m/>
    <n v="98.3"/>
    <n v="93.3"/>
    <m/>
    <m/>
    <m/>
    <m/>
    <n v="9.2813114754098347"/>
    <m/>
    <m/>
    <n v="1.8949485854789003"/>
    <m/>
    <m/>
    <m/>
    <m/>
    <m/>
    <b v="0"/>
    <s v="C"/>
    <s v="OVER"/>
    <n v="0"/>
    <n v="0"/>
    <n v="0"/>
    <n v="9.2813114754098347"/>
    <n v="86.142742703574285"/>
    <n v="1.8949485854789003"/>
    <n v="3.5908301416084853"/>
  </r>
  <r>
    <x v="109"/>
    <x v="19"/>
    <x v="17"/>
    <m/>
    <m/>
    <m/>
    <m/>
    <m/>
    <m/>
    <m/>
    <m/>
    <n v="100.52527368238519"/>
    <m/>
    <n v="88.981948000000017"/>
    <m/>
    <m/>
    <n v="93.9"/>
    <n v="94.2"/>
    <m/>
    <m/>
    <m/>
    <m/>
    <n v="-10.268688524590166"/>
    <m/>
    <m/>
    <n v="-11.543325682385174"/>
    <m/>
    <m/>
    <m/>
    <m/>
    <m/>
    <b v="1"/>
    <s v="SE"/>
    <s v="OVER"/>
    <n v="0"/>
    <n v="0"/>
    <n v="0"/>
    <n v="-10.268688524590166"/>
    <n v="105.44596401504975"/>
    <n v="-11.543325682385174"/>
    <n v="133.24836780961314"/>
  </r>
  <r>
    <x v="109"/>
    <x v="7"/>
    <x v="12"/>
    <m/>
    <m/>
    <m/>
    <m/>
    <m/>
    <m/>
    <m/>
    <m/>
    <n v="103.13705333230638"/>
    <m/>
    <n v="100.63448800000002"/>
    <m/>
    <m/>
    <n v="96.1"/>
    <n v="94.2"/>
    <m/>
    <m/>
    <m/>
    <m/>
    <n v="2.3713114754098346"/>
    <m/>
    <m/>
    <n v="-2.5025653323063608"/>
    <m/>
    <m/>
    <m/>
    <m/>
    <m/>
    <b v="1"/>
    <s v="C"/>
    <s v="OVER"/>
    <n v="0"/>
    <n v="0"/>
    <n v="0"/>
    <n v="2.3713114754098346"/>
    <n v="5.6231181134103663"/>
    <n v="-2.5025653323063608"/>
    <n v="6.262833242461646"/>
  </r>
  <r>
    <x v="109"/>
    <x v="11"/>
    <x v="25"/>
    <m/>
    <m/>
    <m/>
    <m/>
    <m/>
    <m/>
    <m/>
    <m/>
    <n v="94.165070941007983"/>
    <m/>
    <n v="102.60445866666669"/>
    <m/>
    <m/>
    <n v="101.7"/>
    <n v="98.8"/>
    <m/>
    <m/>
    <m/>
    <m/>
    <n v="0.94131147540983395"/>
    <m/>
    <m/>
    <n v="8.4393877256587047"/>
    <m/>
    <m/>
    <m/>
    <m/>
    <m/>
    <b v="0"/>
    <s v="P"/>
    <s v="OVER"/>
    <n v="0"/>
    <n v="0"/>
    <n v="0"/>
    <n v="0.94131147540983395"/>
    <n v="0.88606729373823845"/>
    <n v="8.4393877256587047"/>
    <n v="71.223265183998805"/>
  </r>
  <r>
    <x v="109"/>
    <x v="2"/>
    <x v="24"/>
    <m/>
    <m/>
    <m/>
    <m/>
    <m/>
    <m/>
    <m/>
    <m/>
    <n v="101.87998413790987"/>
    <m/>
    <n v="106.77954133333336"/>
    <m/>
    <m/>
    <n v="99.3"/>
    <n v="99.2"/>
    <m/>
    <m/>
    <m/>
    <m/>
    <n v="1.9713114754098342"/>
    <m/>
    <m/>
    <n v="4.8995571954234833"/>
    <m/>
    <m/>
    <m/>
    <m/>
    <m/>
    <b v="0"/>
    <s v="NW"/>
    <s v="OVER"/>
    <n v="0"/>
    <n v="0"/>
    <n v="0"/>
    <n v="1.9713114754098342"/>
    <n v="3.8860689330824973"/>
    <n v="4.8995571954234833"/>
    <n v="24.005660711226028"/>
  </r>
  <r>
    <x v="109"/>
    <x v="21"/>
    <x v="15"/>
    <m/>
    <m/>
    <m/>
    <m/>
    <m/>
    <m/>
    <m/>
    <m/>
    <n v="102.78375584399453"/>
    <m/>
    <n v="106.8986026666667"/>
    <m/>
    <m/>
    <n v="91.5"/>
    <n v="96.4"/>
    <m/>
    <m/>
    <m/>
    <m/>
    <n v="5.691311475409834"/>
    <m/>
    <m/>
    <n v="4.1148468226721775"/>
    <m/>
    <m/>
    <m/>
    <m/>
    <m/>
    <b v="0"/>
    <s v="NW"/>
    <s v="OVER"/>
    <n v="0"/>
    <n v="0"/>
    <n v="0"/>
    <n v="5.691311475409834"/>
    <n v="32.391026310131664"/>
    <n v="4.1148468226721775"/>
    <n v="16.931964374055315"/>
  </r>
  <r>
    <x v="109"/>
    <x v="29"/>
    <x v="10"/>
    <m/>
    <m/>
    <m/>
    <m/>
    <m/>
    <m/>
    <m/>
    <m/>
    <n v="107.74779029849834"/>
    <m/>
    <n v="100.71237733333335"/>
    <m/>
    <m/>
    <n v="96.1"/>
    <n v="92.6"/>
    <m/>
    <m/>
    <m/>
    <m/>
    <n v="0.35131147540983426"/>
    <m/>
    <m/>
    <n v="-7.0354129651649941"/>
    <m/>
    <m/>
    <m/>
    <m/>
    <m/>
    <b v="0"/>
    <s v="SE"/>
    <s v="OVER"/>
    <n v="0"/>
    <n v="0"/>
    <n v="0"/>
    <n v="0.35131147540983426"/>
    <n v="0.12341975275463458"/>
    <n v="-7.0354129651649941"/>
    <n v="49.497035590411699"/>
  </r>
  <r>
    <x v="110"/>
    <x v="14"/>
    <x v="29"/>
    <m/>
    <m/>
    <m/>
    <m/>
    <m/>
    <m/>
    <m/>
    <m/>
    <n v="110.44990726701198"/>
    <m/>
    <n v="107.91711600000004"/>
    <m/>
    <m/>
    <n v="95.1"/>
    <n v="95.4"/>
    <m/>
    <m/>
    <m/>
    <m/>
    <n v="-1.478688524590166"/>
    <m/>
    <m/>
    <n v="-2.5327912670119446"/>
    <m/>
    <m/>
    <m/>
    <m/>
    <m/>
    <b v="0"/>
    <s v="C"/>
    <s v="OVER"/>
    <n v="0"/>
    <n v="0"/>
    <n v="0"/>
    <n v="-1.478688524590166"/>
    <n v="2.1865197527546418"/>
    <n v="-2.5327912670119446"/>
    <n v="6.4150316022519718"/>
  </r>
  <r>
    <x v="110"/>
    <x v="5"/>
    <x v="11"/>
    <m/>
    <m/>
    <m/>
    <m/>
    <m/>
    <m/>
    <m/>
    <m/>
    <n v="112.1256314170964"/>
    <m/>
    <n v="106.13576800000003"/>
    <m/>
    <m/>
    <n v="100.2"/>
    <n v="94.2"/>
    <m/>
    <m/>
    <m/>
    <m/>
    <n v="-2.3586885245901659"/>
    <m/>
    <m/>
    <n v="-5.9898634170963732"/>
    <m/>
    <m/>
    <m/>
    <m/>
    <m/>
    <b v="1"/>
    <s v="P"/>
    <s v="OVER"/>
    <n v="0"/>
    <n v="0"/>
    <n v="0"/>
    <n v="-2.3586885245901659"/>
    <n v="5.5634115560333335"/>
    <n v="-5.9898634170963732"/>
    <n v="35.87846375546944"/>
  </r>
  <r>
    <x v="110"/>
    <x v="28"/>
    <x v="20"/>
    <m/>
    <m/>
    <m/>
    <m/>
    <m/>
    <m/>
    <m/>
    <m/>
    <n v="115.25836150317566"/>
    <m/>
    <n v="115.0189786666667"/>
    <m/>
    <m/>
    <n v="95.8"/>
    <n v="97.3"/>
    <m/>
    <m/>
    <m/>
    <m/>
    <n v="7.2013114754098346"/>
    <m/>
    <m/>
    <n v="-0.23938283650896608"/>
    <m/>
    <m/>
    <m/>
    <m/>
    <m/>
    <b v="0"/>
    <s v="NW"/>
    <s v="OVER"/>
    <n v="0"/>
    <n v="0"/>
    <n v="0"/>
    <n v="7.2013114754098346"/>
    <n v="51.858886965869367"/>
    <n v="-0.23938283650896608"/>
    <n v="5.7304142415078384E-2"/>
  </r>
  <r>
    <x v="111"/>
    <x v="3"/>
    <x v="28"/>
    <m/>
    <m/>
    <m/>
    <m/>
    <m/>
    <m/>
    <m/>
    <m/>
    <n v="107.25554124532324"/>
    <m/>
    <n v="97.032650000000018"/>
    <m/>
    <m/>
    <n v="99.5"/>
    <n v="97.5"/>
    <m/>
    <m/>
    <m/>
    <m/>
    <n v="-13.028688524590166"/>
    <m/>
    <m/>
    <n v="-10.222891245323225"/>
    <m/>
    <m/>
    <m/>
    <m/>
    <m/>
    <b v="1"/>
    <s v="A"/>
    <s v="OVER"/>
    <n v="0"/>
    <n v="0"/>
    <n v="0"/>
    <n v="-13.028688524590166"/>
    <n v="169.74672467078747"/>
    <n v="-10.222891245323225"/>
    <n v="104.50750541370624"/>
  </r>
  <r>
    <x v="111"/>
    <x v="16"/>
    <x v="26"/>
    <m/>
    <m/>
    <m/>
    <m/>
    <m/>
    <m/>
    <m/>
    <m/>
    <n v="102.76432801271781"/>
    <m/>
    <n v="106.38334066666668"/>
    <m/>
    <m/>
    <n v="92.9"/>
    <n v="96.1"/>
    <m/>
    <m/>
    <m/>
    <m/>
    <n v="3.5813114754098341"/>
    <m/>
    <m/>
    <n v="3.6190126539488716"/>
    <m/>
    <m/>
    <m/>
    <m/>
    <m/>
    <b v="0"/>
    <s v="A"/>
    <s v="OVER"/>
    <n v="0"/>
    <n v="0"/>
    <n v="0"/>
    <n v="3.5813114754098341"/>
    <n v="12.825791883902163"/>
    <n v="3.6190126539488716"/>
    <n v="13.097252589442055"/>
  </r>
  <r>
    <x v="111"/>
    <x v="0"/>
    <x v="16"/>
    <m/>
    <m/>
    <m/>
    <m/>
    <m/>
    <m/>
    <m/>
    <m/>
    <n v="117.15237692672304"/>
    <m/>
    <n v="101.27914533333336"/>
    <m/>
    <m/>
    <n v="97.3"/>
    <n v="98.3"/>
    <m/>
    <m/>
    <m/>
    <m/>
    <n v="-16.328688524590167"/>
    <m/>
    <m/>
    <n v="-15.873231593389676"/>
    <m/>
    <m/>
    <m/>
    <m/>
    <m/>
    <b v="1"/>
    <s v="C"/>
    <s v="OVER"/>
    <n v="0"/>
    <n v="0"/>
    <n v="0"/>
    <n v="-16.328688524590167"/>
    <n v="266.62606893308259"/>
    <n v="-15.873231593389676"/>
    <n v="251.95948121738414"/>
  </r>
  <r>
    <x v="111"/>
    <x v="23"/>
    <x v="6"/>
    <m/>
    <m/>
    <m/>
    <m/>
    <m/>
    <m/>
    <m/>
    <m/>
    <n v="107.40313917909573"/>
    <m/>
    <n v="104.60465866666668"/>
    <m/>
    <m/>
    <n v="99.1"/>
    <n v="95.8"/>
    <m/>
    <m/>
    <m/>
    <m/>
    <n v="-3.3186885245901658"/>
    <m/>
    <m/>
    <n v="-2.7984805124290517"/>
    <m/>
    <m/>
    <m/>
    <m/>
    <m/>
    <b v="1"/>
    <s v="NW"/>
    <s v="OVER"/>
    <n v="0"/>
    <n v="0"/>
    <n v="0"/>
    <n v="-3.3186885245901658"/>
    <n v="11.013693523246452"/>
    <n v="-2.7984805124290517"/>
    <n v="7.831493178445168"/>
  </r>
  <r>
    <x v="111"/>
    <x v="18"/>
    <x v="4"/>
    <m/>
    <m/>
    <m/>
    <m/>
    <m/>
    <m/>
    <m/>
    <m/>
    <n v="110.1824983347156"/>
    <m/>
    <n v="94.228280000000041"/>
    <m/>
    <m/>
    <n v="94.2"/>
    <n v="102"/>
    <m/>
    <m/>
    <m/>
    <m/>
    <n v="-14.368688524590166"/>
    <m/>
    <m/>
    <n v="-15.954218334715563"/>
    <m/>
    <m/>
    <m/>
    <m/>
    <m/>
    <b v="0"/>
    <s v="C"/>
    <s v="OVER"/>
    <n v="0"/>
    <n v="0"/>
    <n v="0"/>
    <n v="-14.368688524590166"/>
    <n v="206.4592099166891"/>
    <n v="-15.954218334715563"/>
    <n v="254.53708267177421"/>
  </r>
  <r>
    <x v="111"/>
    <x v="1"/>
    <x v="11"/>
    <m/>
    <m/>
    <m/>
    <m/>
    <m/>
    <m/>
    <m/>
    <m/>
    <n v="118.19890298006877"/>
    <m/>
    <n v="100.70984800000002"/>
    <m/>
    <m/>
    <n v="100.7"/>
    <n v="94.2"/>
    <m/>
    <m/>
    <m/>
    <m/>
    <n v="-16.038688524590164"/>
    <m/>
    <m/>
    <n v="-17.489054980068744"/>
    <m/>
    <m/>
    <m/>
    <m/>
    <m/>
    <b v="1"/>
    <s v="P"/>
    <s v="OVER"/>
    <n v="0"/>
    <n v="0"/>
    <n v="0"/>
    <n v="-16.038688524590164"/>
    <n v="257.23952958882023"/>
    <n v="-17.489054980068744"/>
    <n v="305.86704409586736"/>
  </r>
  <r>
    <x v="111"/>
    <x v="26"/>
    <x v="9"/>
    <m/>
    <m/>
    <m/>
    <m/>
    <m/>
    <m/>
    <m/>
    <m/>
    <n v="106.78062549407402"/>
    <m/>
    <n v="98.407826000000043"/>
    <m/>
    <m/>
    <n v="96.9"/>
    <n v="93.9"/>
    <m/>
    <m/>
    <m/>
    <m/>
    <n v="-7.5786885245901665"/>
    <m/>
    <m/>
    <n v="-8.3727994940739734"/>
    <m/>
    <m/>
    <m/>
    <m/>
    <m/>
    <b v="0"/>
    <s v="SW"/>
    <s v="OVER"/>
    <n v="0"/>
    <n v="0"/>
    <n v="0"/>
    <n v="-7.5786885245901665"/>
    <n v="57.436519752754677"/>
    <n v="-8.3727994940739734"/>
    <n v="70.103771367965379"/>
  </r>
  <r>
    <x v="111"/>
    <x v="27"/>
    <x v="24"/>
    <m/>
    <m/>
    <m/>
    <m/>
    <m/>
    <m/>
    <m/>
    <m/>
    <n v="106.01012172355892"/>
    <m/>
    <n v="97.246421333333359"/>
    <m/>
    <m/>
    <n v="96.4"/>
    <n v="99.2"/>
    <m/>
    <m/>
    <m/>
    <m/>
    <n v="-13.178688524590166"/>
    <m/>
    <m/>
    <n v="-8.7637003902255657"/>
    <m/>
    <m/>
    <m/>
    <m/>
    <m/>
    <b v="0"/>
    <s v="P"/>
    <s v="OVER"/>
    <n v="0"/>
    <n v="0"/>
    <n v="0"/>
    <n v="-13.178688524590166"/>
    <n v="173.67783122816454"/>
    <n v="-8.7637003902255657"/>
    <n v="76.802444529639729"/>
  </r>
  <r>
    <x v="111"/>
    <x v="6"/>
    <x v="25"/>
    <m/>
    <m/>
    <m/>
    <m/>
    <m/>
    <m/>
    <m/>
    <m/>
    <n v="99.186574730416396"/>
    <m/>
    <n v="96.755498666666682"/>
    <m/>
    <m/>
    <n v="96.2"/>
    <n v="98.8"/>
    <m/>
    <m/>
    <m/>
    <m/>
    <n v="-6.0886885245901663"/>
    <m/>
    <m/>
    <n v="-2.431076063749714"/>
    <m/>
    <m/>
    <m/>
    <m/>
    <m/>
    <b v="1"/>
    <s v="SW"/>
    <s v="OVER"/>
    <n v="0"/>
    <n v="0"/>
    <n v="0"/>
    <n v="-6.0886885245901663"/>
    <n v="37.072127949475977"/>
    <n v="-2.431076063749714"/>
    <n v="5.9101308277368032"/>
  </r>
  <r>
    <x v="111"/>
    <x v="20"/>
    <x v="0"/>
    <m/>
    <m/>
    <m/>
    <m/>
    <m/>
    <m/>
    <m/>
    <m/>
    <n v="108.70457681965827"/>
    <m/>
    <n v="102.73262133333337"/>
    <m/>
    <m/>
    <n v="92.6"/>
    <n v="96.2"/>
    <m/>
    <m/>
    <m/>
    <m/>
    <n v="-4.7486885245901655"/>
    <m/>
    <m/>
    <n v="-5.9719554863249016"/>
    <m/>
    <m/>
    <m/>
    <m/>
    <m/>
    <b v="0"/>
    <s v="NW"/>
    <s v="OVER"/>
    <n v="0"/>
    <n v="0"/>
    <n v="0"/>
    <n v="-4.7486885245901655"/>
    <n v="22.550042703574324"/>
    <n v="-5.9719554863249016"/>
    <n v="35.664252330646093"/>
  </r>
  <r>
    <x v="111"/>
    <x v="9"/>
    <x v="1"/>
    <m/>
    <m/>
    <m/>
    <m/>
    <m/>
    <m/>
    <m/>
    <m/>
    <n v="96.076354056814665"/>
    <m/>
    <n v="104.92580200000002"/>
    <m/>
    <m/>
    <n v="94.2"/>
    <n v="93.3"/>
    <m/>
    <m/>
    <m/>
    <m/>
    <n v="13.101311475409835"/>
    <m/>
    <m/>
    <n v="8.8494479431853534"/>
    <m/>
    <m/>
    <m/>
    <m/>
    <m/>
    <b v="0"/>
    <s v="SE"/>
    <s v="OVER"/>
    <n v="0"/>
    <n v="0"/>
    <n v="0"/>
    <n v="13.101311475409835"/>
    <n v="171.64436237570544"/>
    <n v="8.8494479431853534"/>
    <n v="78.312728899147487"/>
  </r>
  <r>
    <x v="111"/>
    <x v="11"/>
    <x v="21"/>
    <m/>
    <m/>
    <m/>
    <m/>
    <m/>
    <m/>
    <m/>
    <m/>
    <n v="100.20605094100799"/>
    <m/>
    <n v="110.27076800000002"/>
    <m/>
    <m/>
    <n v="101.7"/>
    <n v="100.2"/>
    <m/>
    <m/>
    <m/>
    <m/>
    <n v="1.2013114754098342"/>
    <m/>
    <m/>
    <n v="10.064717058992031"/>
    <m/>
    <m/>
    <m/>
    <m/>
    <m/>
    <b v="1"/>
    <s v="P"/>
    <s v="OVER"/>
    <n v="0"/>
    <n v="0"/>
    <n v="0"/>
    <n v="1.2013114754098342"/>
    <n v="1.4431492609513525"/>
    <n v="10.064717058992031"/>
    <n v="101.2985294775652"/>
  </r>
  <r>
    <x v="111"/>
    <x v="12"/>
    <x v="7"/>
    <m/>
    <m/>
    <m/>
    <m/>
    <m/>
    <m/>
    <m/>
    <m/>
    <n v="109.16496369203996"/>
    <m/>
    <n v="106.07710866666667"/>
    <m/>
    <m/>
    <n v="95.4"/>
    <n v="97.3"/>
    <m/>
    <m/>
    <m/>
    <m/>
    <n v="-6.768688524590166"/>
    <m/>
    <m/>
    <n v="-3.0878550253732868"/>
    <m/>
    <m/>
    <m/>
    <m/>
    <m/>
    <b v="0"/>
    <s v="A"/>
    <s v="OVER"/>
    <n v="0"/>
    <n v="0"/>
    <n v="0"/>
    <n v="-6.768688524590166"/>
    <n v="45.8151443429186"/>
    <n v="-3.0878550253732868"/>
    <n v="9.534848657723062"/>
  </r>
  <r>
    <x v="111"/>
    <x v="21"/>
    <x v="22"/>
    <m/>
    <m/>
    <m/>
    <m/>
    <m/>
    <m/>
    <m/>
    <m/>
    <n v="111.57690584399452"/>
    <m/>
    <n v="104.61321200000002"/>
    <m/>
    <m/>
    <n v="91.5"/>
    <n v="99.3"/>
    <m/>
    <m/>
    <m/>
    <m/>
    <n v="-9.4586885245901655"/>
    <m/>
    <m/>
    <n v="-6.9636938439945055"/>
    <m/>
    <m/>
    <m/>
    <m/>
    <m/>
    <b v="1"/>
    <s v="NW"/>
    <s v="OVER"/>
    <n v="0"/>
    <n v="0"/>
    <n v="0"/>
    <n v="-9.4586885245901655"/>
    <n v="89.466788605213679"/>
    <n v="-6.9636938439945055"/>
    <n v="48.493031952886973"/>
  </r>
  <r>
    <x v="112"/>
    <x v="14"/>
    <x v="14"/>
    <m/>
    <m/>
    <m/>
    <m/>
    <m/>
    <m/>
    <m/>
    <m/>
    <n v="110.18362726701197"/>
    <m/>
    <n v="106.90346333333335"/>
    <m/>
    <m/>
    <n v="95.1"/>
    <n v="99.5"/>
    <m/>
    <m/>
    <m/>
    <m/>
    <n v="-6.8886885245901652"/>
    <m/>
    <m/>
    <n v="-3.2801639336786224"/>
    <m/>
    <m/>
    <m/>
    <m/>
    <m/>
    <b v="0"/>
    <s v="C"/>
    <s v="OVER"/>
    <n v="0"/>
    <n v="0"/>
    <n v="0"/>
    <n v="-6.8886885245901652"/>
    <n v="47.454029588820227"/>
    <n v="-3.2801639336786224"/>
    <n v="10.759475431806013"/>
  </r>
  <r>
    <x v="112"/>
    <x v="4"/>
    <x v="13"/>
    <m/>
    <m/>
    <m/>
    <m/>
    <m/>
    <m/>
    <m/>
    <m/>
    <n v="109.40449341452113"/>
    <m/>
    <n v="104.74964066666668"/>
    <m/>
    <m/>
    <n v="98.3"/>
    <n v="96.1"/>
    <m/>
    <m/>
    <m/>
    <m/>
    <n v="-0.75868852459016578"/>
    <m/>
    <m/>
    <n v="-4.6548527478544486"/>
    <m/>
    <m/>
    <m/>
    <m/>
    <m/>
    <b v="0"/>
    <s v="C"/>
    <s v="OVER"/>
    <n v="0"/>
    <n v="0"/>
    <n v="0"/>
    <n v="-0.75868852459016578"/>
    <n v="0.57560827734480258"/>
    <n v="-4.6548527478544486"/>
    <n v="21.667654104208111"/>
  </r>
  <r>
    <x v="113"/>
    <x v="0"/>
    <x v="0"/>
    <m/>
    <m/>
    <m/>
    <m/>
    <m/>
    <m/>
    <m/>
    <m/>
    <n v="118.67998692672303"/>
    <m/>
    <n v="103.67538133333338"/>
    <m/>
    <m/>
    <n v="97.3"/>
    <n v="96.2"/>
    <m/>
    <m/>
    <m/>
    <m/>
    <n v="-13.148688524590167"/>
    <m/>
    <m/>
    <n v="-15.004605593389655"/>
    <m/>
    <m/>
    <m/>
    <m/>
    <m/>
    <b v="0"/>
    <s v="C"/>
    <s v="OVER"/>
    <n v="0"/>
    <n v="0"/>
    <n v="0"/>
    <n v="-13.148688524590167"/>
    <n v="172.88800991668913"/>
    <n v="-15.004605593389655"/>
    <n v="225.13818901318012"/>
  </r>
  <r>
    <x v="113"/>
    <x v="18"/>
    <x v="7"/>
    <m/>
    <m/>
    <m/>
    <m/>
    <m/>
    <m/>
    <m/>
    <m/>
    <n v="110.2766983347156"/>
    <m/>
    <n v="100.54073866666668"/>
    <m/>
    <m/>
    <n v="94.2"/>
    <n v="97.3"/>
    <m/>
    <m/>
    <m/>
    <m/>
    <n v="-3.5186885245901656"/>
    <m/>
    <m/>
    <n v="-9.7359596680489204"/>
    <m/>
    <m/>
    <m/>
    <m/>
    <m/>
    <b v="0"/>
    <s v="C"/>
    <s v="OVER"/>
    <n v="0"/>
    <n v="0"/>
    <n v="0"/>
    <n v="-3.5186885245901656"/>
    <n v="12.381168933082517"/>
    <n v="-9.7359596680489204"/>
    <n v="94.788910657875249"/>
  </r>
  <r>
    <x v="113"/>
    <x v="1"/>
    <x v="15"/>
    <m/>
    <m/>
    <m/>
    <m/>
    <m/>
    <m/>
    <m/>
    <m/>
    <n v="110.72696298006876"/>
    <m/>
    <n v="110.10872266666669"/>
    <m/>
    <m/>
    <n v="100.7"/>
    <n v="96.4"/>
    <m/>
    <m/>
    <m/>
    <m/>
    <n v="-1.3086885245901652"/>
    <m/>
    <m/>
    <n v="-0.61824031340206886"/>
    <m/>
    <m/>
    <m/>
    <m/>
    <m/>
    <b v="1"/>
    <s v="P"/>
    <s v="OVER"/>
    <n v="0"/>
    <n v="0"/>
    <n v="0"/>
    <n v="-1.3086885245901652"/>
    <n v="1.7126656543939833"/>
    <n v="-0.61824031340206886"/>
    <n v="0.38222108511548836"/>
  </r>
  <r>
    <x v="113"/>
    <x v="8"/>
    <x v="5"/>
    <m/>
    <m/>
    <m/>
    <m/>
    <m/>
    <m/>
    <m/>
    <m/>
    <n v="105.65615327976012"/>
    <m/>
    <n v="108.34453600000003"/>
    <m/>
    <m/>
    <n v="98.8"/>
    <n v="96.9"/>
    <m/>
    <m/>
    <m/>
    <m/>
    <n v="3.6013114754098345"/>
    <m/>
    <m/>
    <n v="2.6883827202399146"/>
    <m/>
    <m/>
    <m/>
    <m/>
    <m/>
    <b v="1"/>
    <s v="SW"/>
    <s v="OVER"/>
    <n v="0"/>
    <n v="0"/>
    <n v="0"/>
    <n v="3.6013114754098345"/>
    <n v="12.969444342918559"/>
    <n v="2.6883827202399146"/>
    <n v="7.2274016504845635"/>
  </r>
  <r>
    <x v="113"/>
    <x v="9"/>
    <x v="22"/>
    <m/>
    <m/>
    <m/>
    <m/>
    <m/>
    <m/>
    <m/>
    <m/>
    <n v="102.56673405681467"/>
    <m/>
    <n v="108.87318200000003"/>
    <m/>
    <m/>
    <n v="94.2"/>
    <n v="99.3"/>
    <m/>
    <m/>
    <m/>
    <m/>
    <n v="3.3913114754098346"/>
    <m/>
    <m/>
    <n v="6.3064479431853613"/>
    <m/>
    <m/>
    <m/>
    <m/>
    <m/>
    <b v="0"/>
    <s v="SE"/>
    <s v="OVER"/>
    <n v="0"/>
    <n v="0"/>
    <n v="0"/>
    <n v="3.3913114754098346"/>
    <n v="11.500993523246429"/>
    <n v="6.3064479431853613"/>
    <n v="39.771285660106876"/>
  </r>
  <r>
    <x v="113"/>
    <x v="15"/>
    <x v="8"/>
    <m/>
    <m/>
    <m/>
    <m/>
    <m/>
    <m/>
    <m/>
    <m/>
    <n v="107.22506010654767"/>
    <m/>
    <n v="108.68363066666669"/>
    <m/>
    <m/>
    <n v="94.2"/>
    <n v="99.1"/>
    <m/>
    <m/>
    <m/>
    <m/>
    <n v="-1.4386885245901657"/>
    <m/>
    <m/>
    <n v="1.4585705601190142"/>
    <m/>
    <m/>
    <m/>
    <m/>
    <m/>
    <b v="0"/>
    <s v="P"/>
    <s v="OVER"/>
    <n v="0"/>
    <n v="0"/>
    <n v="0"/>
    <n v="-1.4386885245901657"/>
    <n v="2.0698246707874279"/>
    <n v="1.4585705601190142"/>
    <n v="2.1274280788458948"/>
  </r>
  <r>
    <x v="114"/>
    <x v="13"/>
    <x v="9"/>
    <m/>
    <m/>
    <m/>
    <m/>
    <m/>
    <m/>
    <m/>
    <m/>
    <n v="96.576759292911277"/>
    <m/>
    <n v="89.40281600000003"/>
    <m/>
    <m/>
    <n v="99.2"/>
    <n v="93.9"/>
    <m/>
    <m/>
    <m/>
    <m/>
    <n v="-6.2086885245901655"/>
    <m/>
    <m/>
    <n v="-7.1739432929112468"/>
    <m/>
    <m/>
    <m/>
    <m/>
    <m/>
    <b v="1"/>
    <s v="SE"/>
    <s v="OVER"/>
    <n v="0"/>
    <n v="0"/>
    <n v="0"/>
    <n v="-6.2086885245901655"/>
    <n v="38.547813195377607"/>
    <n v="-7.1739432929112468"/>
    <n v="51.465462369906263"/>
  </r>
  <r>
    <x v="114"/>
    <x v="14"/>
    <x v="19"/>
    <m/>
    <m/>
    <m/>
    <m/>
    <m/>
    <m/>
    <m/>
    <m/>
    <n v="110.65912726701198"/>
    <m/>
    <n v="102.67699800000004"/>
    <m/>
    <m/>
    <n v="95.1"/>
    <n v="101.7"/>
    <m/>
    <m/>
    <m/>
    <m/>
    <n v="-13.868688524590166"/>
    <m/>
    <m/>
    <n v="-7.9821292670119419"/>
    <m/>
    <m/>
    <m/>
    <m/>
    <m/>
    <b v="0"/>
    <s v="C"/>
    <s v="OVER"/>
    <n v="0"/>
    <n v="0"/>
    <n v="0"/>
    <n v="-13.868688524590166"/>
    <n v="192.34052139209894"/>
    <n v="-7.9821292670119419"/>
    <n v="63.714387635288602"/>
  </r>
  <r>
    <x v="114"/>
    <x v="23"/>
    <x v="3"/>
    <m/>
    <m/>
    <m/>
    <m/>
    <m/>
    <m/>
    <m/>
    <m/>
    <n v="108.24548917909571"/>
    <m/>
    <n v="95.195249333333351"/>
    <m/>
    <m/>
    <n v="99.1"/>
    <n v="92.9"/>
    <m/>
    <m/>
    <m/>
    <m/>
    <n v="-10.888688524590165"/>
    <m/>
    <m/>
    <n v="-13.050239845762363"/>
    <m/>
    <m/>
    <m/>
    <m/>
    <m/>
    <b v="0"/>
    <s v="NW"/>
    <s v="OVER"/>
    <n v="0"/>
    <n v="0"/>
    <n v="0"/>
    <n v="-10.888688524590165"/>
    <n v="118.56353778554156"/>
    <n v="-13.050239845762363"/>
    <n v="170.30876003192367"/>
  </r>
  <r>
    <x v="114"/>
    <x v="4"/>
    <x v="23"/>
    <m/>
    <m/>
    <m/>
    <m/>
    <m/>
    <m/>
    <m/>
    <m/>
    <n v="101.43236341452113"/>
    <m/>
    <n v="100.30838133333337"/>
    <m/>
    <m/>
    <n v="98.3"/>
    <n v="96.2"/>
    <m/>
    <m/>
    <m/>
    <m/>
    <n v="2.6213114754098341"/>
    <m/>
    <m/>
    <n v="-1.1239820811877621"/>
    <m/>
    <m/>
    <m/>
    <m/>
    <m/>
    <b v="0"/>
    <s v="C"/>
    <s v="OVER"/>
    <n v="0"/>
    <n v="0"/>
    <n v="0"/>
    <n v="2.6213114754098341"/>
    <n v="6.8712738511152818"/>
    <n v="-1.1239820811877621"/>
    <n v="1.2633357188311731"/>
  </r>
  <r>
    <x v="114"/>
    <x v="27"/>
    <x v="1"/>
    <m/>
    <m/>
    <m/>
    <m/>
    <m/>
    <m/>
    <m/>
    <m/>
    <n v="111.33140172355891"/>
    <m/>
    <n v="101.24045200000002"/>
    <m/>
    <m/>
    <n v="96.4"/>
    <n v="93.3"/>
    <m/>
    <m/>
    <m/>
    <m/>
    <n v="-8.2186885245901653"/>
    <m/>
    <m/>
    <n v="-10.090949723558893"/>
    <m/>
    <m/>
    <m/>
    <m/>
    <m/>
    <b v="0"/>
    <s v="P"/>
    <s v="OVER"/>
    <n v="0"/>
    <n v="0"/>
    <n v="0"/>
    <n v="-8.2186885245901653"/>
    <n v="67.546841064230065"/>
    <n v="-10.090949723558893"/>
    <n v="101.8272663233933"/>
  </r>
  <r>
    <x v="114"/>
    <x v="7"/>
    <x v="2"/>
    <m/>
    <m/>
    <m/>
    <m/>
    <m/>
    <m/>
    <m/>
    <m/>
    <n v="103.47340333230638"/>
    <m/>
    <n v="99.470260000000025"/>
    <m/>
    <m/>
    <n v="96.1"/>
    <n v="91.5"/>
    <m/>
    <m/>
    <m/>
    <m/>
    <n v="3.8913114754098346"/>
    <m/>
    <m/>
    <n v="-4.003143332306351"/>
    <m/>
    <m/>
    <m/>
    <m/>
    <m/>
    <b v="0"/>
    <s v="C"/>
    <s v="OVER"/>
    <n v="0"/>
    <n v="0"/>
    <n v="0"/>
    <n v="3.8913114754098346"/>
    <n v="15.142304998656263"/>
    <n v="-4.003143332306351"/>
    <n v="16.025156538988796"/>
  </r>
  <r>
    <x v="114"/>
    <x v="28"/>
    <x v="4"/>
    <m/>
    <m/>
    <m/>
    <m/>
    <m/>
    <m/>
    <m/>
    <m/>
    <n v="115.22962150317565"/>
    <m/>
    <n v="102.56168000000004"/>
    <m/>
    <m/>
    <n v="95.8"/>
    <n v="102"/>
    <m/>
    <m/>
    <m/>
    <m/>
    <n v="-10.428688524590166"/>
    <m/>
    <m/>
    <n v="-12.667941503175612"/>
    <m/>
    <m/>
    <m/>
    <m/>
    <m/>
    <b v="0"/>
    <s v="NW"/>
    <s v="OVER"/>
    <n v="0"/>
    <n v="0"/>
    <n v="0"/>
    <n v="-10.428688524590166"/>
    <n v="108.75754434291862"/>
    <n v="-12.667941503175612"/>
    <n v="160.47674192787917"/>
  </r>
  <r>
    <x v="114"/>
    <x v="20"/>
    <x v="21"/>
    <m/>
    <m/>
    <m/>
    <m/>
    <m/>
    <m/>
    <m/>
    <m/>
    <n v="109.94541681965828"/>
    <m/>
    <n v="107.51526800000002"/>
    <m/>
    <m/>
    <n v="92.6"/>
    <n v="100.2"/>
    <m/>
    <m/>
    <m/>
    <m/>
    <n v="-5.5786885245901656"/>
    <m/>
    <m/>
    <n v="-2.4301488196582568"/>
    <m/>
    <m/>
    <m/>
    <m/>
    <m/>
    <b v="0"/>
    <s v="NW"/>
    <s v="OVER"/>
    <n v="0"/>
    <n v="0"/>
    <n v="0"/>
    <n v="-5.5786885245901656"/>
    <n v="31.121765654394"/>
    <n v="-2.4301488196582568"/>
    <n v="5.9056232856864188"/>
  </r>
  <r>
    <x v="114"/>
    <x v="10"/>
    <x v="13"/>
    <m/>
    <m/>
    <m/>
    <m/>
    <m/>
    <m/>
    <m/>
    <m/>
    <n v="102.04894419888251"/>
    <m/>
    <n v="104.87457066666668"/>
    <m/>
    <m/>
    <n v="97.5"/>
    <n v="96.1"/>
    <m/>
    <m/>
    <m/>
    <m/>
    <n v="4.1413114754098341"/>
    <m/>
    <m/>
    <n v="2.8256264677841756"/>
    <m/>
    <m/>
    <m/>
    <m/>
    <m/>
    <b v="0"/>
    <s v="A"/>
    <s v="OVER"/>
    <n v="0"/>
    <n v="0"/>
    <n v="0"/>
    <n v="4.1413114754098341"/>
    <n v="17.150460736361179"/>
    <n v="2.8256264677841756"/>
    <n v="7.9841649354424771"/>
  </r>
  <r>
    <x v="114"/>
    <x v="12"/>
    <x v="14"/>
    <m/>
    <m/>
    <m/>
    <m/>
    <m/>
    <m/>
    <m/>
    <m/>
    <n v="110.30976369203997"/>
    <m/>
    <n v="108.25666333333335"/>
    <m/>
    <m/>
    <n v="95.4"/>
    <n v="99.5"/>
    <m/>
    <m/>
    <m/>
    <m/>
    <n v="-8.1886885245901659"/>
    <m/>
    <m/>
    <n v="-2.0531003587066152"/>
    <m/>
    <m/>
    <m/>
    <m/>
    <m/>
    <b v="1"/>
    <s v="A"/>
    <s v="OVER"/>
    <n v="0"/>
    <n v="0"/>
    <n v="0"/>
    <n v="-8.1886885245901659"/>
    <n v="67.054619752754675"/>
    <n v="-2.0531003587066152"/>
    <n v="4.2152210829212322"/>
  </r>
  <r>
    <x v="115"/>
    <x v="0"/>
    <x v="27"/>
    <m/>
    <m/>
    <m/>
    <m/>
    <m/>
    <m/>
    <m/>
    <m/>
    <n v="115.01177692672303"/>
    <m/>
    <n v="104.87691400000001"/>
    <m/>
    <m/>
    <n v="97.3"/>
    <n v="95.1"/>
    <m/>
    <m/>
    <m/>
    <m/>
    <n v="-6.8686885245901665"/>
    <m/>
    <m/>
    <n v="-10.134862926723017"/>
    <m/>
    <m/>
    <m/>
    <m/>
    <m/>
    <b v="1"/>
    <s v="C"/>
    <s v="OVER"/>
    <n v="0"/>
    <n v="0"/>
    <n v="0"/>
    <n v="-6.8686885245901665"/>
    <n v="47.178882047836638"/>
    <n v="-10.134862926723017"/>
    <n v="102.71544654346462"/>
  </r>
  <r>
    <x v="115"/>
    <x v="17"/>
    <x v="25"/>
    <m/>
    <m/>
    <m/>
    <m/>
    <m/>
    <m/>
    <m/>
    <m/>
    <n v="94.649423578429094"/>
    <m/>
    <n v="100.82605866666668"/>
    <m/>
    <m/>
    <n v="102"/>
    <n v="98.8"/>
    <m/>
    <m/>
    <m/>
    <m/>
    <n v="3.3913114754098341"/>
    <m/>
    <m/>
    <n v="6.1766350882375889"/>
    <m/>
    <m/>
    <m/>
    <m/>
    <m/>
    <b v="1"/>
    <s v="SW"/>
    <s v="OVER"/>
    <n v="0"/>
    <n v="0"/>
    <n v="0"/>
    <n v="3.3913114754098341"/>
    <n v="11.500993523246427"/>
    <n v="6.1766350882375889"/>
    <n v="38.150821013247764"/>
  </r>
  <r>
    <x v="115"/>
    <x v="1"/>
    <x v="3"/>
    <m/>
    <m/>
    <m/>
    <m/>
    <m/>
    <m/>
    <m/>
    <m/>
    <n v="119.11527298006877"/>
    <m/>
    <n v="93.876069333333362"/>
    <m/>
    <m/>
    <n v="100.7"/>
    <n v="92.9"/>
    <m/>
    <m/>
    <m/>
    <m/>
    <n v="-22.808688524590167"/>
    <m/>
    <m/>
    <n v="-25.239203646735405"/>
    <m/>
    <m/>
    <m/>
    <m/>
    <m/>
    <b v="0"/>
    <s v="P"/>
    <s v="OVER"/>
    <n v="0"/>
    <n v="0"/>
    <n v="0"/>
    <n v="-22.808688524590167"/>
    <n v="520.23627221177117"/>
    <n v="-25.239203646735405"/>
    <n v="637.0174007213817"/>
  </r>
  <r>
    <x v="115"/>
    <x v="26"/>
    <x v="6"/>
    <m/>
    <m/>
    <m/>
    <m/>
    <m/>
    <m/>
    <m/>
    <m/>
    <n v="113.44734549407401"/>
    <m/>
    <n v="106.88469866666669"/>
    <m/>
    <m/>
    <n v="96.9"/>
    <n v="95.8"/>
    <m/>
    <m/>
    <m/>
    <m/>
    <n v="-7.6786885245901662"/>
    <m/>
    <m/>
    <n v="-6.5626468274073204"/>
    <m/>
    <m/>
    <m/>
    <m/>
    <m/>
    <b v="0"/>
    <s v="SW"/>
    <s v="OVER"/>
    <n v="0"/>
    <n v="0"/>
    <n v="0"/>
    <n v="-7.6786885245901662"/>
    <n v="58.962257457672706"/>
    <n v="-6.5626468274073204"/>
    <n v="43.068333381279366"/>
  </r>
  <r>
    <x v="115"/>
    <x v="19"/>
    <x v="16"/>
    <m/>
    <m/>
    <m/>
    <m/>
    <m/>
    <m/>
    <m/>
    <m/>
    <n v="102.29998368238519"/>
    <m/>
    <n v="98.47759533333334"/>
    <m/>
    <m/>
    <n v="93.9"/>
    <n v="98.3"/>
    <m/>
    <m/>
    <m/>
    <m/>
    <n v="-6.4486885245901657"/>
    <m/>
    <m/>
    <n v="-3.8223883490518489"/>
    <m/>
    <m/>
    <m/>
    <m/>
    <m/>
    <b v="0"/>
    <s v="SE"/>
    <s v="OVER"/>
    <n v="0"/>
    <n v="0"/>
    <n v="0"/>
    <n v="-6.4486885245901657"/>
    <n v="41.585583687180886"/>
    <n v="-3.8223883490518489"/>
    <n v="14.610652690967319"/>
  </r>
  <r>
    <x v="115"/>
    <x v="24"/>
    <x v="28"/>
    <m/>
    <m/>
    <m/>
    <m/>
    <m/>
    <m/>
    <m/>
    <m/>
    <n v="110.76677945611426"/>
    <m/>
    <n v="99.655400000000014"/>
    <m/>
    <m/>
    <n v="96.2"/>
    <n v="97.5"/>
    <m/>
    <m/>
    <m/>
    <m/>
    <n v="-10.858688524590166"/>
    <m/>
    <m/>
    <n v="-11.11137945611425"/>
    <m/>
    <m/>
    <m/>
    <m/>
    <m/>
    <b v="1"/>
    <s v="A"/>
    <s v="OVER"/>
    <n v="0"/>
    <n v="0"/>
    <n v="0"/>
    <n v="-10.858688524590166"/>
    <n v="117.91111647406615"/>
    <n v="-11.11137945611425"/>
    <n v="123.4627534177578"/>
  </r>
  <r>
    <x v="115"/>
    <x v="9"/>
    <x v="24"/>
    <m/>
    <m/>
    <m/>
    <m/>
    <m/>
    <m/>
    <m/>
    <m/>
    <n v="90.876514056814671"/>
    <m/>
    <n v="101.16482133333336"/>
    <m/>
    <m/>
    <n v="94.2"/>
    <n v="99.2"/>
    <m/>
    <m/>
    <m/>
    <m/>
    <n v="8.1413114754098341"/>
    <m/>
    <m/>
    <n v="10.288307276518694"/>
    <m/>
    <m/>
    <m/>
    <m/>
    <m/>
    <b v="1"/>
    <s v="SE"/>
    <s v="OVER"/>
    <n v="0"/>
    <n v="0"/>
    <n v="0"/>
    <n v="8.1413114754098341"/>
    <n v="66.280952539639856"/>
    <n v="10.288307276518694"/>
    <n v="105.8492666160675"/>
  </r>
  <r>
    <x v="115"/>
    <x v="15"/>
    <x v="7"/>
    <m/>
    <m/>
    <m/>
    <m/>
    <m/>
    <m/>
    <m/>
    <m/>
    <n v="106.38668010654767"/>
    <m/>
    <n v="108.43176866666668"/>
    <m/>
    <m/>
    <n v="94.2"/>
    <n v="97.3"/>
    <m/>
    <m/>
    <m/>
    <m/>
    <n v="1.2213114754098342"/>
    <m/>
    <m/>
    <n v="2.0450885601190123"/>
    <m/>
    <m/>
    <m/>
    <m/>
    <m/>
    <b v="0"/>
    <s v="P"/>
    <s v="OVER"/>
    <n v="0"/>
    <n v="0"/>
    <n v="0"/>
    <n v="1.2213114754098342"/>
    <n v="1.491601719967746"/>
    <n v="2.0450885601190123"/>
    <n v="4.1823872187296551"/>
  </r>
  <r>
    <x v="116"/>
    <x v="23"/>
    <x v="23"/>
    <m/>
    <m/>
    <m/>
    <m/>
    <m/>
    <m/>
    <m/>
    <m/>
    <n v="99.296759179095716"/>
    <m/>
    <n v="98.932721333333362"/>
    <m/>
    <m/>
    <n v="99.1"/>
    <n v="96.2"/>
    <m/>
    <m/>
    <m/>
    <m/>
    <n v="-1.4886885245901662"/>
    <m/>
    <m/>
    <n v="-0.3640378457623541"/>
    <m/>
    <m/>
    <m/>
    <m/>
    <m/>
    <b v="0"/>
    <s v="NW"/>
    <s v="OVER"/>
    <n v="0"/>
    <n v="0"/>
    <n v="0"/>
    <n v="-1.4886885245901662"/>
    <n v="2.2161935232464458"/>
    <n v="-0.3640378457623541"/>
    <n v="0.1325235531472955"/>
  </r>
  <r>
    <x v="116"/>
    <x v="18"/>
    <x v="14"/>
    <m/>
    <m/>
    <m/>
    <m/>
    <m/>
    <m/>
    <m/>
    <m/>
    <n v="111.4070983347156"/>
    <m/>
    <n v="102.59511333333336"/>
    <m/>
    <m/>
    <n v="94.2"/>
    <n v="99.5"/>
    <m/>
    <m/>
    <m/>
    <m/>
    <n v="-4.9386885245901659"/>
    <m/>
    <m/>
    <n v="-8.8119850013822401"/>
    <m/>
    <m/>
    <m/>
    <m/>
    <m/>
    <b v="0"/>
    <s v="C"/>
    <s v="OVER"/>
    <n v="0"/>
    <n v="0"/>
    <n v="0"/>
    <n v="-4.9386885245901659"/>
    <n v="24.390644342918591"/>
    <n v="-8.8119850013822401"/>
    <n v="77.651079664585552"/>
  </r>
  <r>
    <x v="116"/>
    <x v="27"/>
    <x v="7"/>
    <m/>
    <m/>
    <m/>
    <m/>
    <m/>
    <m/>
    <m/>
    <m/>
    <n v="112.10260172355891"/>
    <m/>
    <n v="101.21210866666668"/>
    <m/>
    <m/>
    <n v="96.4"/>
    <n v="97.3"/>
    <m/>
    <m/>
    <m/>
    <m/>
    <n v="-13.508688524590166"/>
    <m/>
    <m/>
    <n v="-10.890493056892225"/>
    <m/>
    <m/>
    <m/>
    <m/>
    <m/>
    <b v="0"/>
    <s v="P"/>
    <s v="OVER"/>
    <n v="0"/>
    <n v="0"/>
    <n v="0"/>
    <n v="-13.508688524590166"/>
    <n v="182.48466565439404"/>
    <n v="-10.890493056892225"/>
    <n v="118.60283902221776"/>
  </r>
  <r>
    <x v="116"/>
    <x v="5"/>
    <x v="1"/>
    <m/>
    <m/>
    <m/>
    <m/>
    <m/>
    <m/>
    <m/>
    <m/>
    <n v="107.4162314170964"/>
    <m/>
    <n v="109.40420200000001"/>
    <m/>
    <m/>
    <n v="100.2"/>
    <n v="93.3"/>
    <m/>
    <m/>
    <m/>
    <m/>
    <n v="6.9313114754098351"/>
    <m/>
    <m/>
    <n v="1.9879705829036141"/>
    <m/>
    <m/>
    <m/>
    <m/>
    <m/>
    <b v="0"/>
    <s v="P"/>
    <s v="OVER"/>
    <n v="0"/>
    <n v="0"/>
    <n v="0"/>
    <n v="6.9313114754098351"/>
    <n v="48.043078769148067"/>
    <n v="1.9879705829036141"/>
    <n v="3.9520270384901353"/>
  </r>
  <r>
    <x v="116"/>
    <x v="7"/>
    <x v="19"/>
    <m/>
    <m/>
    <m/>
    <m/>
    <m/>
    <m/>
    <m/>
    <m/>
    <n v="108.81656333230639"/>
    <m/>
    <n v="105.36187800000005"/>
    <m/>
    <m/>
    <n v="96.1"/>
    <n v="101.7"/>
    <m/>
    <m/>
    <m/>
    <m/>
    <n v="-6.768688524590166"/>
    <m/>
    <m/>
    <n v="-3.4546853323063402"/>
    <m/>
    <m/>
    <m/>
    <m/>
    <m/>
    <b v="0"/>
    <s v="C"/>
    <s v="OVER"/>
    <n v="0"/>
    <n v="0"/>
    <n v="0"/>
    <n v="-6.768688524590166"/>
    <n v="45.8151443429186"/>
    <n v="-3.4546853323063402"/>
    <n v="11.934850745252568"/>
  </r>
  <r>
    <x v="116"/>
    <x v="20"/>
    <x v="25"/>
    <m/>
    <m/>
    <m/>
    <m/>
    <m/>
    <m/>
    <m/>
    <m/>
    <n v="104.44497681965828"/>
    <m/>
    <n v="99.887458666666689"/>
    <m/>
    <m/>
    <n v="92.6"/>
    <n v="98.8"/>
    <m/>
    <m/>
    <m/>
    <m/>
    <n v="-5.8386885245901663"/>
    <m/>
    <m/>
    <n v="-4.5575181529915909"/>
    <m/>
    <m/>
    <m/>
    <m/>
    <m/>
    <b v="0"/>
    <s v="NW"/>
    <s v="OVER"/>
    <n v="0"/>
    <n v="0"/>
    <n v="0"/>
    <n v="-5.8386885245901663"/>
    <n v="34.090283687180893"/>
    <n v="-4.5575181529915909"/>
    <n v="20.770971714847882"/>
  </r>
  <r>
    <x v="116"/>
    <x v="12"/>
    <x v="22"/>
    <m/>
    <m/>
    <m/>
    <m/>
    <m/>
    <m/>
    <m/>
    <m/>
    <n v="114.97482369203996"/>
    <m/>
    <n v="109.91583200000002"/>
    <m/>
    <m/>
    <n v="95.4"/>
    <n v="99.3"/>
    <m/>
    <m/>
    <m/>
    <m/>
    <n v="-11.188688524590166"/>
    <m/>
    <m/>
    <n v="-5.0589916920399389"/>
    <m/>
    <m/>
    <m/>
    <m/>
    <m/>
    <b v="0"/>
    <s v="A"/>
    <s v="OVER"/>
    <n v="0"/>
    <n v="0"/>
    <n v="0"/>
    <n v="-11.188688524590166"/>
    <n v="125.18675090029566"/>
    <n v="-5.0589916920399389"/>
    <n v="25.593396940129125"/>
  </r>
  <r>
    <x v="116"/>
    <x v="29"/>
    <x v="2"/>
    <m/>
    <m/>
    <m/>
    <m/>
    <m/>
    <m/>
    <m/>
    <m/>
    <n v="105.04738029849834"/>
    <m/>
    <n v="100.50421000000003"/>
    <m/>
    <m/>
    <n v="96.1"/>
    <n v="91.5"/>
    <m/>
    <m/>
    <m/>
    <m/>
    <n v="4.231311475409834"/>
    <m/>
    <m/>
    <n v="-4.5431702984983104"/>
    <m/>
    <m/>
    <m/>
    <m/>
    <m/>
    <b v="0"/>
    <s v="SE"/>
    <s v="OVER"/>
    <n v="0"/>
    <n v="0"/>
    <n v="0"/>
    <n v="4.231311475409834"/>
    <n v="17.903996801934944"/>
    <n v="-4.5431702984983104"/>
    <n v="20.640396361157226"/>
  </r>
  <r>
    <x v="117"/>
    <x v="3"/>
    <x v="24"/>
    <m/>
    <m/>
    <m/>
    <m/>
    <m/>
    <m/>
    <m/>
    <m/>
    <n v="98.529391245323239"/>
    <m/>
    <n v="101.92866133333335"/>
    <m/>
    <m/>
    <n v="99.5"/>
    <n v="99.2"/>
    <m/>
    <m/>
    <m/>
    <m/>
    <n v="-1.0286885245901658"/>
    <m/>
    <m/>
    <n v="3.3992700880101125"/>
    <m/>
    <m/>
    <m/>
    <m/>
    <m/>
    <b v="0"/>
    <s v="A"/>
    <s v="OVER"/>
    <n v="0"/>
    <n v="0"/>
    <n v="0"/>
    <n v="-1.0286885245901658"/>
    <n v="1.0582000806234921"/>
    <n v="3.3992700880101125"/>
    <n v="11.555037131240278"/>
  </r>
  <r>
    <x v="117"/>
    <x v="0"/>
    <x v="26"/>
    <m/>
    <m/>
    <m/>
    <m/>
    <m/>
    <m/>
    <m/>
    <m/>
    <n v="117.58049692672303"/>
    <m/>
    <n v="101.69366066666669"/>
    <m/>
    <m/>
    <n v="97.3"/>
    <n v="96.1"/>
    <m/>
    <m/>
    <m/>
    <m/>
    <n v="-13.968688524590167"/>
    <m/>
    <m/>
    <n v="-15.886836260056342"/>
    <m/>
    <m/>
    <m/>
    <m/>
    <m/>
    <b v="1"/>
    <s v="C"/>
    <s v="OVER"/>
    <n v="0"/>
    <n v="0"/>
    <n v="0"/>
    <n v="-13.968688524590167"/>
    <n v="195.12425909701702"/>
    <n v="-15.886836260056342"/>
    <n v="252.39156635384097"/>
  </r>
  <r>
    <x v="117"/>
    <x v="17"/>
    <x v="9"/>
    <m/>
    <m/>
    <m/>
    <m/>
    <m/>
    <m/>
    <m/>
    <m/>
    <n v="92.395223578429082"/>
    <m/>
    <n v="95.243396000000033"/>
    <m/>
    <m/>
    <n v="102"/>
    <n v="93.9"/>
    <m/>
    <m/>
    <m/>
    <m/>
    <n v="4.9713114754098342"/>
    <m/>
    <m/>
    <n v="2.8481724215709505"/>
    <m/>
    <m/>
    <m/>
    <m/>
    <m/>
    <b v="0"/>
    <s v="SW"/>
    <s v="OVER"/>
    <n v="0"/>
    <n v="0"/>
    <n v="0"/>
    <n v="4.9713114754098342"/>
    <n v="24.713937785541503"/>
    <n v="2.8481724215709505"/>
    <n v="8.1120861429973328"/>
  </r>
  <r>
    <x v="117"/>
    <x v="26"/>
    <x v="16"/>
    <m/>
    <m/>
    <m/>
    <m/>
    <m/>
    <m/>
    <m/>
    <m/>
    <n v="111.85818549407402"/>
    <m/>
    <n v="104.56236533333336"/>
    <m/>
    <m/>
    <n v="96.9"/>
    <n v="98.3"/>
    <m/>
    <m/>
    <m/>
    <m/>
    <n v="-11.248688524590166"/>
    <m/>
    <m/>
    <n v="-7.2958201607406608"/>
    <m/>
    <m/>
    <m/>
    <m/>
    <m/>
    <b v="0"/>
    <s v="SW"/>
    <s v="OVER"/>
    <n v="0"/>
    <n v="0"/>
    <n v="0"/>
    <n v="-11.248688524590166"/>
    <n v="126.53299352324649"/>
    <n v="-7.2958201607406608"/>
    <n v="53.228991817869883"/>
  </r>
  <r>
    <x v="117"/>
    <x v="24"/>
    <x v="29"/>
    <m/>
    <m/>
    <m/>
    <m/>
    <m/>
    <m/>
    <m/>
    <m/>
    <n v="109.83363945611427"/>
    <m/>
    <n v="111.51369600000002"/>
    <m/>
    <m/>
    <n v="96.2"/>
    <n v="95.4"/>
    <m/>
    <m/>
    <m/>
    <m/>
    <n v="4.8013114754098343"/>
    <m/>
    <m/>
    <n v="1.6800565438857546"/>
    <m/>
    <m/>
    <m/>
    <m/>
    <m/>
    <b v="1"/>
    <s v="A"/>
    <s v="OVER"/>
    <n v="0"/>
    <n v="0"/>
    <n v="0"/>
    <n v="4.8013114754098343"/>
    <n v="23.05259188390216"/>
    <n v="1.6800565438857546"/>
    <n v="2.8225899906533467"/>
  </r>
  <r>
    <x v="117"/>
    <x v="10"/>
    <x v="18"/>
    <m/>
    <m/>
    <m/>
    <m/>
    <m/>
    <m/>
    <m/>
    <m/>
    <n v="97.739444198882509"/>
    <m/>
    <n v="119.55171133333337"/>
    <m/>
    <m/>
    <n v="97.5"/>
    <n v="100.7"/>
    <m/>
    <m/>
    <m/>
    <m/>
    <n v="18.151311475409834"/>
    <m/>
    <m/>
    <n v="21.812267134450863"/>
    <m/>
    <m/>
    <m/>
    <m/>
    <m/>
    <b v="0"/>
    <s v="A"/>
    <s v="OVER"/>
    <n v="0"/>
    <n v="0"/>
    <n v="0"/>
    <n v="18.151311475409834"/>
    <n v="329.47010827734471"/>
    <n v="21.812267134450863"/>
    <n v="475.77499754464526"/>
  </r>
  <r>
    <x v="117"/>
    <x v="15"/>
    <x v="6"/>
    <m/>
    <m/>
    <m/>
    <m/>
    <m/>
    <m/>
    <m/>
    <m/>
    <n v="110.11700010654768"/>
    <m/>
    <n v="107.48823866666669"/>
    <m/>
    <m/>
    <n v="94.2"/>
    <n v="95.8"/>
    <m/>
    <m/>
    <m/>
    <m/>
    <n v="-1.9786885245901658"/>
    <m/>
    <m/>
    <n v="-2.6287614398809893"/>
    <m/>
    <m/>
    <m/>
    <m/>
    <m/>
    <b v="0"/>
    <s v="P"/>
    <s v="OVER"/>
    <n v="0"/>
    <n v="0"/>
    <n v="0"/>
    <n v="-1.9786885245901658"/>
    <n v="3.9152082773448069"/>
    <n v="-2.6287614398809893"/>
    <n v="6.9103867078051726"/>
  </r>
  <r>
    <x v="118"/>
    <x v="14"/>
    <x v="8"/>
    <m/>
    <m/>
    <m/>
    <m/>
    <m/>
    <m/>
    <m/>
    <m/>
    <n v="109.88881726701197"/>
    <m/>
    <n v="104.93765066666668"/>
    <m/>
    <m/>
    <n v="95.1"/>
    <n v="99.1"/>
    <m/>
    <m/>
    <m/>
    <m/>
    <n v="-8.1286885245901654"/>
    <m/>
    <m/>
    <n v="-4.9511666003452888"/>
    <m/>
    <m/>
    <m/>
    <m/>
    <m/>
    <b v="0"/>
    <s v="C"/>
    <s v="OVER"/>
    <n v="0"/>
    <n v="0"/>
    <n v="0"/>
    <n v="-8.1286885245901654"/>
    <n v="66.075577129803847"/>
    <n v="-4.9511666003452888"/>
    <n v="24.514050704374725"/>
  </r>
  <r>
    <x v="118"/>
    <x v="18"/>
    <x v="22"/>
    <m/>
    <m/>
    <m/>
    <m/>
    <m/>
    <m/>
    <m/>
    <m/>
    <n v="116.0134783347156"/>
    <m/>
    <n v="104.26566200000002"/>
    <m/>
    <m/>
    <n v="94.2"/>
    <n v="99.3"/>
    <m/>
    <m/>
    <m/>
    <m/>
    <n v="-7.9386885245901659"/>
    <m/>
    <m/>
    <n v="-11.74781633471558"/>
    <m/>
    <m/>
    <m/>
    <m/>
    <m/>
    <b v="0"/>
    <s v="C"/>
    <s v="OVER"/>
    <n v="0"/>
    <n v="0"/>
    <n v="0"/>
    <n v="-7.9386885245901659"/>
    <n v="63.022775490459587"/>
    <n v="-11.74781633471558"/>
    <n v="138.01118863421021"/>
  </r>
  <r>
    <x v="118"/>
    <x v="5"/>
    <x v="7"/>
    <m/>
    <m/>
    <m/>
    <m/>
    <m/>
    <m/>
    <m/>
    <m/>
    <n v="108.21783141709641"/>
    <m/>
    <n v="109.72585866666668"/>
    <m/>
    <m/>
    <n v="100.2"/>
    <n v="97.3"/>
    <m/>
    <m/>
    <m/>
    <m/>
    <n v="1.6413114754098341"/>
    <m/>
    <m/>
    <n v="1.5080272495702758"/>
    <m/>
    <m/>
    <m/>
    <m/>
    <m/>
    <b v="0"/>
    <s v="P"/>
    <s v="OVER"/>
    <n v="0"/>
    <n v="0"/>
    <n v="0"/>
    <n v="1.6413114754098341"/>
    <n v="2.6939033593120065"/>
    <n v="1.5080272495702758"/>
    <n v="2.2741461854464911"/>
  </r>
  <r>
    <x v="118"/>
    <x v="6"/>
    <x v="19"/>
    <m/>
    <m/>
    <m/>
    <m/>
    <m/>
    <m/>
    <m/>
    <m/>
    <n v="101.5049947304164"/>
    <m/>
    <n v="98.263218000000037"/>
    <m/>
    <m/>
    <n v="96.2"/>
    <n v="101.7"/>
    <m/>
    <m/>
    <m/>
    <m/>
    <n v="-9.8086885245901652"/>
    <m/>
    <m/>
    <n v="-3.2417767304163618"/>
    <m/>
    <m/>
    <m/>
    <m/>
    <m/>
    <b v="0"/>
    <s v="SW"/>
    <s v="OVER"/>
    <n v="0"/>
    <n v="0"/>
    <n v="0"/>
    <n v="-9.8086885245901652"/>
    <n v="96.210370572426797"/>
    <n v="-3.2417767304163618"/>
    <n v="10.509116369868996"/>
  </r>
  <r>
    <x v="118"/>
    <x v="20"/>
    <x v="2"/>
    <m/>
    <m/>
    <m/>
    <m/>
    <m/>
    <m/>
    <m/>
    <m/>
    <n v="101.52807681965827"/>
    <m/>
    <n v="95.98411000000003"/>
    <m/>
    <m/>
    <n v="92.6"/>
    <n v="91.5"/>
    <m/>
    <m/>
    <m/>
    <m/>
    <n v="1.1013114754098345"/>
    <m/>
    <m/>
    <n v="-5.5439668196582375"/>
    <m/>
    <m/>
    <m/>
    <m/>
    <m/>
    <b v="1"/>
    <s v="NW"/>
    <s v="OVER"/>
    <n v="0"/>
    <n v="0"/>
    <n v="0"/>
    <n v="1.1013114754098345"/>
    <n v="1.2128869658693866"/>
    <n v="-5.5439668196582375"/>
    <n v="30.735568097471472"/>
  </r>
  <r>
    <x v="118"/>
    <x v="29"/>
    <x v="18"/>
    <m/>
    <m/>
    <m/>
    <m/>
    <m/>
    <m/>
    <m/>
    <m/>
    <n v="108.24751029849834"/>
    <m/>
    <n v="121.00179133333337"/>
    <m/>
    <m/>
    <n v="96.1"/>
    <n v="100.7"/>
    <m/>
    <m/>
    <m/>
    <m/>
    <n v="11.231311475409834"/>
    <m/>
    <m/>
    <n v="12.754281034835032"/>
    <m/>
    <m/>
    <m/>
    <m/>
    <m/>
    <b v="0"/>
    <s v="SE"/>
    <s v="OVER"/>
    <n v="0"/>
    <n v="0"/>
    <n v="0"/>
    <n v="11.231311475409834"/>
    <n v="126.14235745767262"/>
    <n v="12.754281034835032"/>
    <n v="162.67168471555257"/>
  </r>
  <r>
    <x v="119"/>
    <x v="13"/>
    <x v="4"/>
    <m/>
    <m/>
    <m/>
    <m/>
    <m/>
    <m/>
    <m/>
    <m/>
    <n v="99.374199292911285"/>
    <m/>
    <n v="92.076080000000033"/>
    <m/>
    <m/>
    <n v="99.2"/>
    <n v="102"/>
    <m/>
    <m/>
    <m/>
    <m/>
    <n v="-13.958688524590166"/>
    <m/>
    <m/>
    <n v="-7.2981192929112524"/>
    <m/>
    <m/>
    <m/>
    <m/>
    <m/>
    <b v="0"/>
    <s v="SE"/>
    <s v="OVER"/>
    <n v="0"/>
    <n v="0"/>
    <n v="0"/>
    <n v="-13.958688524590166"/>
    <n v="194.84498532652518"/>
    <n v="-7.2981192929112524"/>
    <n v="53.262545213563442"/>
  </r>
  <r>
    <x v="119"/>
    <x v="3"/>
    <x v="20"/>
    <m/>
    <m/>
    <m/>
    <m/>
    <m/>
    <m/>
    <m/>
    <m/>
    <n v="104.74814124532324"/>
    <m/>
    <n v="112.33349866666669"/>
    <m/>
    <m/>
    <n v="99.5"/>
    <n v="97.3"/>
    <m/>
    <m/>
    <m/>
    <m/>
    <n v="5.4213114754098353"/>
    <m/>
    <m/>
    <n v="7.5853574213434456"/>
    <m/>
    <m/>
    <m/>
    <m/>
    <m/>
    <b v="0"/>
    <s v="A"/>
    <s v="OVER"/>
    <n v="0"/>
    <n v="0"/>
    <n v="0"/>
    <n v="5.4213114754098353"/>
    <n v="29.390618113410365"/>
    <n v="7.5853574213434456"/>
    <n v="57.537647209530085"/>
  </r>
  <r>
    <x v="119"/>
    <x v="27"/>
    <x v="5"/>
    <m/>
    <m/>
    <m/>
    <m/>
    <m/>
    <m/>
    <m/>
    <m/>
    <n v="115.25488172355892"/>
    <m/>
    <n v="105.62164600000003"/>
    <m/>
    <m/>
    <n v="96.4"/>
    <n v="96.9"/>
    <m/>
    <m/>
    <m/>
    <m/>
    <n v="-11.808688524590165"/>
    <m/>
    <m/>
    <n v="-9.6332357235588972"/>
    <m/>
    <m/>
    <m/>
    <m/>
    <m/>
    <b v="0"/>
    <s v="P"/>
    <s v="OVER"/>
    <n v="0"/>
    <n v="0"/>
    <n v="0"/>
    <n v="-11.808688524590165"/>
    <n v="139.44512467078746"/>
    <n v="-9.6332357235588972"/>
    <n v="92.799230505651309"/>
  </r>
  <r>
    <x v="119"/>
    <x v="19"/>
    <x v="28"/>
    <m/>
    <m/>
    <m/>
    <m/>
    <m/>
    <m/>
    <m/>
    <m/>
    <n v="102.42205368238518"/>
    <m/>
    <n v="93.015650000000008"/>
    <m/>
    <m/>
    <n v="93.9"/>
    <n v="97.5"/>
    <m/>
    <m/>
    <m/>
    <m/>
    <n v="-11.348688524590166"/>
    <m/>
    <m/>
    <n v="-9.4064036823851751"/>
    <m/>
    <m/>
    <m/>
    <m/>
    <m/>
    <b v="0"/>
    <s v="SE"/>
    <s v="OVER"/>
    <n v="0"/>
    <n v="0"/>
    <n v="0"/>
    <n v="-11.348688524590166"/>
    <n v="128.79273122816451"/>
    <n v="-9.4064036823851751"/>
    <n v="88.480430235989388"/>
  </r>
  <r>
    <x v="119"/>
    <x v="7"/>
    <x v="8"/>
    <m/>
    <m/>
    <m/>
    <m/>
    <m/>
    <m/>
    <m/>
    <m/>
    <n v="108.03815333230638"/>
    <m/>
    <n v="107.55389066666669"/>
    <m/>
    <m/>
    <n v="96.1"/>
    <n v="99.1"/>
    <m/>
    <m/>
    <m/>
    <m/>
    <n v="-1.0286885245901656"/>
    <m/>
    <m/>
    <n v="-0.48426266563969023"/>
    <m/>
    <m/>
    <m/>
    <m/>
    <m/>
    <b v="0"/>
    <s v="C"/>
    <s v="OVER"/>
    <n v="0"/>
    <n v="0"/>
    <n v="0"/>
    <n v="-1.0286885245901656"/>
    <n v="1.0582000806234917"/>
    <n v="-0.48426266563969023"/>
    <n v="0.23451032933245841"/>
  </r>
  <r>
    <x v="119"/>
    <x v="8"/>
    <x v="12"/>
    <m/>
    <m/>
    <m/>
    <m/>
    <m/>
    <m/>
    <m/>
    <m/>
    <n v="98.265913279760113"/>
    <m/>
    <n v="97.365748000000025"/>
    <m/>
    <m/>
    <n v="98.8"/>
    <n v="94.2"/>
    <m/>
    <m/>
    <m/>
    <m/>
    <n v="2.6413114754098346"/>
    <m/>
    <m/>
    <n v="-0.90016527976008831"/>
    <m/>
    <m/>
    <m/>
    <m/>
    <m/>
    <b v="0"/>
    <s v="SW"/>
    <s v="OVER"/>
    <n v="0"/>
    <n v="0"/>
    <n v="0"/>
    <n v="2.6413114754098346"/>
    <n v="6.9765263101316775"/>
    <n v="-0.90016527976008831"/>
    <n v="0.810297530885558"/>
  </r>
  <r>
    <x v="119"/>
    <x v="9"/>
    <x v="0"/>
    <m/>
    <m/>
    <m/>
    <m/>
    <m/>
    <m/>
    <m/>
    <m/>
    <n v="100.49433405681467"/>
    <m/>
    <n v="104.15638133333337"/>
    <m/>
    <m/>
    <n v="94.2"/>
    <n v="96.2"/>
    <m/>
    <m/>
    <m/>
    <m/>
    <n v="4.2213114754098342"/>
    <m/>
    <m/>
    <n v="3.662047276518706"/>
    <m/>
    <m/>
    <m/>
    <m/>
    <m/>
    <b v="0"/>
    <s v="SE"/>
    <s v="OVER"/>
    <n v="0"/>
    <n v="0"/>
    <n v="0"/>
    <n v="4.2213114754098342"/>
    <n v="17.819470572426752"/>
    <n v="3.662047276518706"/>
    <n v="13.410590255458072"/>
  </r>
  <r>
    <x v="119"/>
    <x v="15"/>
    <x v="3"/>
    <m/>
    <m/>
    <m/>
    <m/>
    <m/>
    <m/>
    <m/>
    <m/>
    <n v="110.91770010654767"/>
    <m/>
    <n v="97.991539333333364"/>
    <m/>
    <m/>
    <n v="94.2"/>
    <n v="92.9"/>
    <m/>
    <m/>
    <m/>
    <m/>
    <n v="-9.5486885245901654"/>
    <m/>
    <m/>
    <n v="-12.926160773214306"/>
    <m/>
    <m/>
    <m/>
    <m/>
    <m/>
    <b v="0"/>
    <s v="P"/>
    <s v="OVER"/>
    <n v="0"/>
    <n v="0"/>
    <n v="0"/>
    <n v="-9.5486885245901654"/>
    <n v="91.177452539639916"/>
    <n v="-12.926160773214306"/>
    <n v="167.08563233498427"/>
  </r>
  <r>
    <x v="119"/>
    <x v="25"/>
    <x v="16"/>
    <m/>
    <m/>
    <m/>
    <m/>
    <m/>
    <m/>
    <m/>
    <m/>
    <n v="103.43078525149296"/>
    <m/>
    <n v="100.56155533333335"/>
    <m/>
    <m/>
    <n v="93.3"/>
    <n v="98.3"/>
    <m/>
    <m/>
    <m/>
    <m/>
    <n v="-14.838688524590166"/>
    <m/>
    <m/>
    <n v="-2.8692299181596184"/>
    <m/>
    <m/>
    <m/>
    <m/>
    <m/>
    <b v="0"/>
    <s v="SW"/>
    <s v="OVER"/>
    <n v="0"/>
    <n v="0"/>
    <n v="0"/>
    <n v="-14.838688524590166"/>
    <n v="220.18667712980388"/>
    <n v="-2.8692299181596184"/>
    <n v="8.2324803232622497"/>
  </r>
  <r>
    <x v="119"/>
    <x v="12"/>
    <x v="13"/>
    <m/>
    <m/>
    <m/>
    <m/>
    <m/>
    <m/>
    <m/>
    <m/>
    <n v="112.87602369203996"/>
    <m/>
    <n v="103.94240066666669"/>
    <m/>
    <m/>
    <n v="95.4"/>
    <n v="96.1"/>
    <m/>
    <m/>
    <m/>
    <m/>
    <n v="-11.518688524590166"/>
    <m/>
    <m/>
    <n v="-8.9336230253732793"/>
    <m/>
    <m/>
    <m/>
    <m/>
    <m/>
    <b v="0"/>
    <s v="A"/>
    <s v="OVER"/>
    <n v="0"/>
    <n v="0"/>
    <n v="0"/>
    <n v="-11.518688524590166"/>
    <n v="132.68018532652516"/>
    <n v="-8.9336230253732793"/>
    <n v="79.809620359479624"/>
  </r>
  <r>
    <x v="119"/>
    <x v="21"/>
    <x v="6"/>
    <m/>
    <m/>
    <m/>
    <m/>
    <m/>
    <m/>
    <m/>
    <m/>
    <n v="109.62795584399453"/>
    <m/>
    <n v="100.05415866666668"/>
    <m/>
    <m/>
    <n v="91.5"/>
    <n v="95.8"/>
    <m/>
    <m/>
    <m/>
    <m/>
    <n v="-8.2386885245901667"/>
    <m/>
    <m/>
    <n v="-9.5737971773278474"/>
    <m/>
    <m/>
    <m/>
    <m/>
    <m/>
    <b v="1"/>
    <s v="NW"/>
    <s v="OVER"/>
    <n v="0"/>
    <n v="0"/>
    <n v="0"/>
    <n v="-8.2386885245901667"/>
    <n v="67.875988605213692"/>
    <n v="-9.5737971773278474"/>
    <n v="91.657592392610653"/>
  </r>
  <r>
    <x v="120"/>
    <x v="14"/>
    <x v="18"/>
    <m/>
    <m/>
    <m/>
    <m/>
    <m/>
    <m/>
    <m/>
    <m/>
    <n v="108.53839726701197"/>
    <m/>
    <n v="117.20540133333337"/>
    <m/>
    <m/>
    <n v="95.1"/>
    <n v="100.7"/>
    <m/>
    <m/>
    <m/>
    <m/>
    <n v="3.7913114754098336"/>
    <m/>
    <m/>
    <n v="8.6670040663213967"/>
    <m/>
    <m/>
    <m/>
    <m/>
    <m/>
    <b v="0"/>
    <s v="C"/>
    <s v="OVER"/>
    <n v="0"/>
    <n v="0"/>
    <n v="0"/>
    <n v="3.7913114754098336"/>
    <n v="14.37404270357429"/>
    <n v="8.6670040663213967"/>
    <n v="75.116959485631625"/>
  </r>
  <r>
    <x v="120"/>
    <x v="11"/>
    <x v="7"/>
    <m/>
    <m/>
    <m/>
    <m/>
    <m/>
    <m/>
    <m/>
    <m/>
    <n v="94.887140941007985"/>
    <m/>
    <n v="106.29116866666668"/>
    <m/>
    <m/>
    <n v="101.7"/>
    <n v="97.3"/>
    <m/>
    <m/>
    <m/>
    <m/>
    <n v="5.6213114754098346"/>
    <m/>
    <m/>
    <n v="11.404027725658693"/>
    <m/>
    <m/>
    <m/>
    <m/>
    <m/>
    <b v="0"/>
    <s v="P"/>
    <s v="OVER"/>
    <n v="0"/>
    <n v="0"/>
    <n v="0"/>
    <n v="5.6213114754098346"/>
    <n v="31.599142703574291"/>
    <n v="11.404027725658693"/>
    <n v="130.05184836759219"/>
  </r>
  <r>
    <x v="120"/>
    <x v="2"/>
    <x v="10"/>
    <m/>
    <m/>
    <m/>
    <m/>
    <m/>
    <m/>
    <m/>
    <m/>
    <n v="107.11309413790987"/>
    <m/>
    <n v="102.74957733333335"/>
    <m/>
    <m/>
    <n v="99.3"/>
    <n v="92.6"/>
    <m/>
    <m/>
    <m/>
    <m/>
    <n v="2.1311475409834191E-2"/>
    <m/>
    <m/>
    <n v="-4.3635168045765198"/>
    <m/>
    <m/>
    <m/>
    <m/>
    <m/>
    <b v="1"/>
    <s v="NW"/>
    <s v="OVER"/>
    <n v="0"/>
    <n v="0"/>
    <n v="0"/>
    <n v="2.1311475409834191E-2"/>
    <n v="4.541789841439674E-4"/>
    <n v="-4.3635168045765198"/>
    <n v="19.040278903821683"/>
  </r>
  <r>
    <x v="121"/>
    <x v="13"/>
    <x v="20"/>
    <m/>
    <m/>
    <m/>
    <m/>
    <m/>
    <m/>
    <m/>
    <m/>
    <n v="99.403959292911296"/>
    <m/>
    <n v="105.01653866666669"/>
    <m/>
    <m/>
    <n v="99.2"/>
    <n v="97.3"/>
    <m/>
    <m/>
    <m/>
    <m/>
    <n v="3.6713114754098353"/>
    <m/>
    <m/>
    <n v="5.6125793737553948"/>
    <m/>
    <m/>
    <m/>
    <m/>
    <m/>
    <b v="0"/>
    <s v="SE"/>
    <s v="OVER"/>
    <n v="0"/>
    <n v="0"/>
    <n v="0"/>
    <n v="3.6713114754098353"/>
    <n v="13.478527949475941"/>
    <n v="5.6125793737553948"/>
    <n v="31.5010472267045"/>
  </r>
  <r>
    <x v="121"/>
    <x v="17"/>
    <x v="23"/>
    <m/>
    <m/>
    <m/>
    <m/>
    <m/>
    <m/>
    <m/>
    <m/>
    <n v="91.069223578429089"/>
    <m/>
    <n v="97.980341333333371"/>
    <m/>
    <m/>
    <n v="102"/>
    <n v="96.2"/>
    <m/>
    <m/>
    <m/>
    <m/>
    <n v="6.7013114754098346"/>
    <m/>
    <m/>
    <n v="6.9111177549042822"/>
    <m/>
    <m/>
    <m/>
    <m/>
    <m/>
    <b v="1"/>
    <s v="SW"/>
    <s v="OVER"/>
    <n v="0"/>
    <n v="0"/>
    <n v="0"/>
    <n v="6.7013114754098346"/>
    <n v="44.907575490459536"/>
    <n v="6.9111177549042822"/>
    <n v="47.763548622153202"/>
  </r>
  <r>
    <x v="121"/>
    <x v="5"/>
    <x v="14"/>
    <m/>
    <m/>
    <m/>
    <m/>
    <m/>
    <m/>
    <m/>
    <m/>
    <n v="109.4202314170964"/>
    <m/>
    <n v="111.98791333333335"/>
    <m/>
    <m/>
    <n v="100.2"/>
    <n v="99.5"/>
    <m/>
    <m/>
    <m/>
    <m/>
    <n v="0.2213114754098342"/>
    <m/>
    <m/>
    <n v="2.5676819162369497"/>
    <m/>
    <m/>
    <m/>
    <m/>
    <m/>
    <b v="0"/>
    <s v="P"/>
    <s v="OVER"/>
    <n v="0"/>
    <n v="0"/>
    <n v="0"/>
    <n v="0.2213114754098342"/>
    <n v="4.8978769148077646E-2"/>
    <n v="2.5676819162369497"/>
    <n v="6.5929904229702538"/>
  </r>
  <r>
    <x v="121"/>
    <x v="7"/>
    <x v="15"/>
    <m/>
    <m/>
    <m/>
    <m/>
    <m/>
    <m/>
    <m/>
    <m/>
    <n v="103.80014333230639"/>
    <m/>
    <n v="113.28028266666671"/>
    <m/>
    <m/>
    <n v="96.1"/>
    <n v="96.4"/>
    <m/>
    <m/>
    <m/>
    <m/>
    <n v="12.361311475409835"/>
    <m/>
    <m/>
    <n v="9.4801393343603166"/>
    <m/>
    <m/>
    <m/>
    <m/>
    <m/>
    <b v="0"/>
    <s v="C"/>
    <s v="OVER"/>
    <n v="0"/>
    <n v="0"/>
    <n v="0"/>
    <n v="12.361311475409835"/>
    <n v="152.80202139209888"/>
    <n v="9.4801393343603166"/>
    <n v="89.873041798885666"/>
  </r>
  <r>
    <x v="121"/>
    <x v="8"/>
    <x v="1"/>
    <m/>
    <m/>
    <m/>
    <m/>
    <m/>
    <m/>
    <m/>
    <m/>
    <n v="101.63499327976011"/>
    <m/>
    <n v="103.86218200000002"/>
    <m/>
    <m/>
    <n v="98.8"/>
    <n v="93.3"/>
    <m/>
    <m/>
    <m/>
    <m/>
    <n v="7.1913114754098348"/>
    <m/>
    <m/>
    <n v="2.2271887202399085"/>
    <m/>
    <m/>
    <m/>
    <m/>
    <m/>
    <b v="1"/>
    <s v="SW"/>
    <s v="OVER"/>
    <n v="0"/>
    <n v="0"/>
    <n v="0"/>
    <n v="7.1913114754098348"/>
    <n v="51.714960736361178"/>
    <n v="2.2271887202399085"/>
    <n v="4.9603695955638818"/>
  </r>
  <r>
    <x v="121"/>
    <x v="9"/>
    <x v="9"/>
    <m/>
    <m/>
    <m/>
    <m/>
    <m/>
    <m/>
    <m/>
    <m/>
    <n v="94.079314056814653"/>
    <m/>
    <n v="95.741066000000032"/>
    <m/>
    <m/>
    <n v="94.2"/>
    <n v="93.9"/>
    <m/>
    <m/>
    <m/>
    <m/>
    <n v="4.7113114754098344"/>
    <m/>
    <m/>
    <n v="1.6617519431853793"/>
    <m/>
    <m/>
    <m/>
    <m/>
    <m/>
    <b v="1"/>
    <s v="SE"/>
    <s v="OVER"/>
    <n v="0"/>
    <n v="0"/>
    <n v="0"/>
    <n v="4.7113114754098344"/>
    <n v="22.196455818328392"/>
    <n v="1.6617519431853793"/>
    <n v="2.7614195206803842"/>
  </r>
  <r>
    <x v="121"/>
    <x v="10"/>
    <x v="0"/>
    <m/>
    <m/>
    <m/>
    <m/>
    <m/>
    <m/>
    <m/>
    <m/>
    <n v="102.04894419888251"/>
    <m/>
    <n v="106.09962133333337"/>
    <m/>
    <m/>
    <n v="97.5"/>
    <n v="96.2"/>
    <m/>
    <m/>
    <m/>
    <m/>
    <n v="5.3013114754098343"/>
    <m/>
    <m/>
    <n v="4.050677134450865"/>
    <m/>
    <m/>
    <m/>
    <m/>
    <m/>
    <b v="1"/>
    <s v="A"/>
    <s v="OVER"/>
    <n v="0"/>
    <n v="0"/>
    <n v="0"/>
    <n v="5.3013114754098343"/>
    <n v="28.103903359311992"/>
    <n v="4.050677134450865"/>
    <n v="16.407985247563072"/>
  </r>
  <r>
    <x v="121"/>
    <x v="11"/>
    <x v="10"/>
    <m/>
    <m/>
    <m/>
    <m/>
    <m/>
    <m/>
    <m/>
    <m/>
    <n v="93.819290941007978"/>
    <m/>
    <n v="98.684437333333349"/>
    <m/>
    <m/>
    <n v="101.7"/>
    <n v="92.6"/>
    <m/>
    <m/>
    <m/>
    <m/>
    <n v="4.0013114754098345"/>
    <m/>
    <m/>
    <n v="4.8651463923253715"/>
    <m/>
    <m/>
    <m/>
    <m/>
    <m/>
    <b v="0"/>
    <s v="P"/>
    <s v="OVER"/>
    <n v="0"/>
    <n v="0"/>
    <n v="0"/>
    <n v="4.0013114754098345"/>
    <n v="16.010493523246428"/>
    <n v="4.8651463923253715"/>
    <n v="23.669649418756578"/>
  </r>
  <r>
    <x v="121"/>
    <x v="21"/>
    <x v="3"/>
    <m/>
    <m/>
    <m/>
    <m/>
    <m/>
    <m/>
    <m/>
    <m/>
    <n v="110.40570584399453"/>
    <m/>
    <n v="90.782499333333362"/>
    <m/>
    <m/>
    <n v="91.5"/>
    <n v="92.9"/>
    <m/>
    <m/>
    <m/>
    <m/>
    <n v="-15.808688524590167"/>
    <m/>
    <m/>
    <n v="-19.623206510661163"/>
    <m/>
    <m/>
    <m/>
    <m/>
    <m/>
    <b v="0"/>
    <s v="NW"/>
    <s v="OVER"/>
    <n v="0"/>
    <n v="0"/>
    <n v="0"/>
    <n v="-15.808688524590167"/>
    <n v="249.91463286750883"/>
    <n v="-19.623206510661163"/>
    <n v="385.07023376005463"/>
  </r>
  <r>
    <x v="121"/>
    <x v="29"/>
    <x v="29"/>
    <m/>
    <m/>
    <m/>
    <m/>
    <m/>
    <m/>
    <m/>
    <m/>
    <n v="110.17912029849835"/>
    <m/>
    <n v="111.51369600000002"/>
    <m/>
    <m/>
    <n v="96.1"/>
    <n v="95.4"/>
    <m/>
    <m/>
    <m/>
    <m/>
    <n v="5.9613114754098344"/>
    <m/>
    <m/>
    <n v="1.3345757015016773"/>
    <m/>
    <m/>
    <m/>
    <m/>
    <m/>
    <b v="0"/>
    <s v="SE"/>
    <s v="OVER"/>
    <n v="0"/>
    <n v="0"/>
    <n v="0"/>
    <n v="5.9613114754098344"/>
    <n v="35.537234506852975"/>
    <n v="1.3345757015016773"/>
    <n v="1.781092303038694"/>
  </r>
  <r>
    <x v="122"/>
    <x v="14"/>
    <x v="15"/>
    <m/>
    <m/>
    <m/>
    <m/>
    <m/>
    <m/>
    <m/>
    <m/>
    <n v="105.69490726701197"/>
    <m/>
    <n v="110.7353226666667"/>
    <m/>
    <m/>
    <n v="95.1"/>
    <n v="96.4"/>
    <m/>
    <m/>
    <m/>
    <m/>
    <n v="5.2613114754098342"/>
    <m/>
    <m/>
    <n v="5.0404153996547336"/>
    <m/>
    <m/>
    <m/>
    <m/>
    <m/>
    <b v="0"/>
    <s v="C"/>
    <s v="OVER"/>
    <n v="0"/>
    <n v="0"/>
    <n v="0"/>
    <n v="5.2613114754098342"/>
    <n v="27.681398441279207"/>
    <n v="5.0404153996547336"/>
    <n v="25.405787401076587"/>
  </r>
  <r>
    <x v="122"/>
    <x v="23"/>
    <x v="7"/>
    <m/>
    <m/>
    <m/>
    <m/>
    <m/>
    <m/>
    <m/>
    <m/>
    <n v="103.47877917909571"/>
    <m/>
    <n v="105.50303866666668"/>
    <m/>
    <m/>
    <n v="99.1"/>
    <n v="97.3"/>
    <m/>
    <m/>
    <m/>
    <m/>
    <n v="-0.1186885245901661"/>
    <m/>
    <m/>
    <n v="2.0242594875709727"/>
    <m/>
    <m/>
    <m/>
    <m/>
    <m/>
    <b v="0"/>
    <s v="NW"/>
    <s v="OVER"/>
    <n v="0"/>
    <n v="0"/>
    <n v="0"/>
    <n v="-0.1186885245901661"/>
    <n v="1.4086965869390462E-2"/>
    <n v="2.0242594875709727"/>
    <n v="4.0976264730210969"/>
  </r>
  <r>
    <x v="122"/>
    <x v="26"/>
    <x v="23"/>
    <m/>
    <m/>
    <m/>
    <m/>
    <m/>
    <m/>
    <m/>
    <m/>
    <n v="105.52092549407401"/>
    <m/>
    <n v="101.22228133333337"/>
    <m/>
    <m/>
    <n v="96.9"/>
    <n v="96.2"/>
    <m/>
    <m/>
    <m/>
    <m/>
    <n v="-5.8486885245901661"/>
    <m/>
    <m/>
    <n v="-4.2986441607406363"/>
    <m/>
    <m/>
    <m/>
    <m/>
    <m/>
    <b v="1"/>
    <s v="SW"/>
    <s v="OVER"/>
    <n v="0"/>
    <n v="0"/>
    <n v="0"/>
    <n v="-5.8486885245901661"/>
    <n v="34.207157457672693"/>
    <n v="-4.2986441607406363"/>
    <n v="18.478341620669568"/>
  </r>
  <r>
    <x v="122"/>
    <x v="19"/>
    <x v="20"/>
    <m/>
    <m/>
    <m/>
    <m/>
    <m/>
    <m/>
    <m/>
    <m/>
    <n v="100.05577368238519"/>
    <m/>
    <n v="108.32473866666669"/>
    <m/>
    <m/>
    <n v="93.9"/>
    <n v="97.3"/>
    <m/>
    <m/>
    <m/>
    <m/>
    <n v="7.101311475409835"/>
    <m/>
    <m/>
    <n v="8.2689649842814958"/>
    <m/>
    <m/>
    <m/>
    <m/>
    <m/>
    <b v="0"/>
    <s v="SE"/>
    <s v="OVER"/>
    <n v="0"/>
    <n v="0"/>
    <n v="0"/>
    <n v="7.101311475409835"/>
    <n v="50.428624670787407"/>
    <n v="8.2689649842814958"/>
    <n v="68.375781911273478"/>
  </r>
  <r>
    <x v="122"/>
    <x v="7"/>
    <x v="29"/>
    <m/>
    <m/>
    <m/>
    <m/>
    <m/>
    <m/>
    <m/>
    <m/>
    <n v="108.60514333230638"/>
    <m/>
    <n v="110.43567600000003"/>
    <m/>
    <m/>
    <n v="96.1"/>
    <n v="95.4"/>
    <m/>
    <m/>
    <m/>
    <m/>
    <n v="5.6213114754098346"/>
    <m/>
    <m/>
    <n v="1.830532667693646"/>
    <m/>
    <m/>
    <m/>
    <m/>
    <m/>
    <b v="0"/>
    <s v="C"/>
    <s v="OVER"/>
    <n v="0"/>
    <n v="0"/>
    <n v="0"/>
    <n v="5.6213114754098346"/>
    <n v="31.599142703574291"/>
    <n v="1.830532667693646"/>
    <n v="3.3508498474936159"/>
  </r>
  <r>
    <x v="122"/>
    <x v="10"/>
    <x v="12"/>
    <m/>
    <m/>
    <m/>
    <m/>
    <m/>
    <m/>
    <m/>
    <m/>
    <n v="94.151444198882515"/>
    <m/>
    <n v="100.34246800000003"/>
    <m/>
    <m/>
    <n v="97.5"/>
    <n v="94.2"/>
    <m/>
    <m/>
    <m/>
    <m/>
    <n v="9.6313114754098343"/>
    <m/>
    <m/>
    <n v="6.1910238011175096"/>
    <m/>
    <m/>
    <m/>
    <m/>
    <m/>
    <b v="0"/>
    <s v="A"/>
    <s v="OVER"/>
    <n v="0"/>
    <n v="0"/>
    <n v="0"/>
    <n v="9.6313114754098343"/>
    <n v="92.762160736361153"/>
    <n v="6.1910238011175096"/>
    <n v="38.328775706003498"/>
  </r>
  <r>
    <x v="122"/>
    <x v="2"/>
    <x v="3"/>
    <m/>
    <m/>
    <m/>
    <m/>
    <m/>
    <m/>
    <m/>
    <m/>
    <n v="112.93207413790986"/>
    <m/>
    <n v="100.02604933333336"/>
    <m/>
    <m/>
    <n v="99.3"/>
    <n v="92.9"/>
    <m/>
    <m/>
    <m/>
    <m/>
    <n v="-9.1286885245901654"/>
    <m/>
    <m/>
    <n v="-12.906024804576504"/>
    <m/>
    <m/>
    <m/>
    <m/>
    <m/>
    <b v="0"/>
    <s v="NW"/>
    <s v="OVER"/>
    <n v="0"/>
    <n v="0"/>
    <n v="0"/>
    <n v="-9.1286885245901654"/>
    <n v="83.332954178984167"/>
    <n v="-12.906024804576504"/>
    <n v="166.56547625634397"/>
  </r>
  <r>
    <x v="122"/>
    <x v="25"/>
    <x v="6"/>
    <m/>
    <m/>
    <m/>
    <m/>
    <m/>
    <m/>
    <m/>
    <m/>
    <n v="104.96090525149296"/>
    <m/>
    <n v="102.98563866666669"/>
    <m/>
    <m/>
    <n v="93.3"/>
    <n v="95.8"/>
    <m/>
    <m/>
    <m/>
    <m/>
    <n v="-11.268688524590166"/>
    <m/>
    <m/>
    <n v="-1.9752665848262723"/>
    <m/>
    <m/>
    <m/>
    <m/>
    <m/>
    <b v="0"/>
    <s v="SW"/>
    <s v="OVER"/>
    <n v="0"/>
    <n v="0"/>
    <n v="0"/>
    <n v="-11.268688524590166"/>
    <n v="126.98334106423009"/>
    <n v="-1.9752665848262723"/>
    <n v="3.9016780811312453"/>
  </r>
  <r>
    <x v="123"/>
    <x v="13"/>
    <x v="16"/>
    <m/>
    <m/>
    <m/>
    <m/>
    <m/>
    <m/>
    <m/>
    <m/>
    <n v="101.7748392929113"/>
    <m/>
    <n v="95.135395333333349"/>
    <m/>
    <m/>
    <n v="99.2"/>
    <n v="98.3"/>
    <m/>
    <m/>
    <m/>
    <m/>
    <n v="-9.8786885245901654"/>
    <m/>
    <m/>
    <n v="-6.639443959577946"/>
    <m/>
    <m/>
    <m/>
    <m/>
    <m/>
    <b v="0"/>
    <s v="SE"/>
    <s v="OVER"/>
    <n v="0"/>
    <n v="0"/>
    <n v="0"/>
    <n v="-9.8786885245901654"/>
    <n v="97.588486965869421"/>
    <n v="-6.639443959577946"/>
    <n v="44.082216092376072"/>
  </r>
  <r>
    <x v="123"/>
    <x v="17"/>
    <x v="10"/>
    <m/>
    <m/>
    <m/>
    <m/>
    <m/>
    <m/>
    <m/>
    <m/>
    <n v="94.302623578429092"/>
    <m/>
    <n v="97.017637333333354"/>
    <m/>
    <m/>
    <n v="102"/>
    <n v="92.6"/>
    <m/>
    <m/>
    <m/>
    <m/>
    <n v="6.4513114754098346"/>
    <m/>
    <m/>
    <n v="2.7150137549042626"/>
    <m/>
    <m/>
    <m/>
    <m/>
    <m/>
    <b v="0"/>
    <s v="SW"/>
    <s v="OVER"/>
    <n v="0"/>
    <n v="0"/>
    <n v="0"/>
    <n v="6.4513114754098346"/>
    <n v="41.619419752754617"/>
    <n v="2.7150137549042626"/>
    <n v="7.3712996893193434"/>
  </r>
  <r>
    <x v="123"/>
    <x v="5"/>
    <x v="25"/>
    <m/>
    <m/>
    <m/>
    <m/>
    <m/>
    <m/>
    <m/>
    <m/>
    <n v="107.5064114170964"/>
    <m/>
    <n v="106.09209866666669"/>
    <m/>
    <m/>
    <n v="100.2"/>
    <n v="98.8"/>
    <m/>
    <m/>
    <m/>
    <m/>
    <n v="-3.038688524590166"/>
    <m/>
    <m/>
    <n v="-1.4143127504297155"/>
    <m/>
    <m/>
    <m/>
    <m/>
    <m/>
    <b v="0"/>
    <s v="P"/>
    <s v="OVER"/>
    <n v="0"/>
    <n v="0"/>
    <n v="0"/>
    <n v="-3.038688524590166"/>
    <n v="9.2336279494759594"/>
    <n v="-1.4143127504297155"/>
    <n v="2.0002805560280668"/>
  </r>
  <r>
    <x v="123"/>
    <x v="24"/>
    <x v="18"/>
    <m/>
    <m/>
    <m/>
    <m/>
    <m/>
    <m/>
    <m/>
    <m/>
    <n v="107.90001945611426"/>
    <m/>
    <n v="121.00179133333337"/>
    <m/>
    <m/>
    <n v="96.2"/>
    <n v="100.7"/>
    <m/>
    <m/>
    <m/>
    <m/>
    <n v="10.071311475409834"/>
    <m/>
    <m/>
    <n v="13.101771877219107"/>
    <m/>
    <m/>
    <m/>
    <m/>
    <m/>
    <b v="0"/>
    <s v="A"/>
    <s v="OVER"/>
    <n v="0"/>
    <n v="0"/>
    <n v="0"/>
    <n v="10.071311475409834"/>
    <n v="101.4313148347218"/>
    <n v="13.101771877219107"/>
    <n v="171.6564263226895"/>
  </r>
  <r>
    <x v="123"/>
    <x v="11"/>
    <x v="14"/>
    <m/>
    <m/>
    <m/>
    <m/>
    <m/>
    <m/>
    <m/>
    <m/>
    <n v="96.107540941007983"/>
    <m/>
    <n v="108.47556333333335"/>
    <m/>
    <m/>
    <n v="101.7"/>
    <n v="99.5"/>
    <m/>
    <m/>
    <m/>
    <m/>
    <n v="4.2013114754098346"/>
    <m/>
    <m/>
    <n v="12.368022392325372"/>
    <m/>
    <m/>
    <m/>
    <m/>
    <m/>
    <b v="0"/>
    <s v="P"/>
    <s v="OVER"/>
    <n v="0"/>
    <n v="0"/>
    <n v="0"/>
    <n v="4.2013114754098346"/>
    <n v="17.651018113410363"/>
    <n v="12.368022392325372"/>
    <n v="152.96797789706181"/>
  </r>
  <r>
    <x v="123"/>
    <x v="15"/>
    <x v="2"/>
    <m/>
    <m/>
    <m/>
    <m/>
    <m/>
    <m/>
    <m/>
    <m/>
    <n v="102.75056010654767"/>
    <m/>
    <n v="100.51336000000003"/>
    <m/>
    <m/>
    <n v="94.2"/>
    <n v="91.5"/>
    <m/>
    <m/>
    <m/>
    <m/>
    <n v="3.4813114754098344"/>
    <m/>
    <m/>
    <n v="-2.2372001065476326"/>
    <m/>
    <m/>
    <m/>
    <m/>
    <m/>
    <b v="0"/>
    <s v="P"/>
    <s v="OVER"/>
    <n v="0"/>
    <n v="0"/>
    <n v="0"/>
    <n v="3.4813114754098344"/>
    <n v="12.119529588820198"/>
    <n v="-2.2372001065476326"/>
    <n v="5.0050643167367381"/>
  </r>
  <r>
    <x v="123"/>
    <x v="29"/>
    <x v="17"/>
    <m/>
    <m/>
    <m/>
    <m/>
    <m/>
    <m/>
    <m/>
    <m/>
    <n v="109.17007029849835"/>
    <m/>
    <n v="95.39696800000003"/>
    <m/>
    <m/>
    <n v="96.1"/>
    <n v="94.2"/>
    <m/>
    <m/>
    <m/>
    <m/>
    <n v="-8.6186885245901657"/>
    <m/>
    <m/>
    <n v="-13.773102298498316"/>
    <m/>
    <m/>
    <m/>
    <m/>
    <m/>
    <b v="1"/>
    <s v="SE"/>
    <s v="OVER"/>
    <n v="0"/>
    <n v="0"/>
    <n v="0"/>
    <n v="-8.6186885245901657"/>
    <n v="74.281791883902201"/>
    <n v="-13.773102298498316"/>
    <n v="189.6983469248996"/>
  </r>
  <r>
    <x v="124"/>
    <x v="13"/>
    <x v="18"/>
    <m/>
    <m/>
    <m/>
    <m/>
    <m/>
    <m/>
    <m/>
    <m/>
    <n v="98.947639292911276"/>
    <m/>
    <n v="110.72032133333337"/>
    <m/>
    <m/>
    <n v="99.2"/>
    <n v="100.7"/>
    <m/>
    <m/>
    <m/>
    <m/>
    <n v="6.1513114754098339"/>
    <m/>
    <m/>
    <n v="11.772682040422097"/>
    <m/>
    <m/>
    <m/>
    <m/>
    <m/>
    <b v="0"/>
    <s v="SE"/>
    <s v="OVER"/>
    <n v="0"/>
    <n v="0"/>
    <n v="0"/>
    <n v="6.1513114754098339"/>
    <n v="37.838632867508707"/>
    <n v="11.772682040422097"/>
    <n v="138.596042424877"/>
  </r>
  <r>
    <x v="124"/>
    <x v="22"/>
    <x v="16"/>
    <m/>
    <m/>
    <m/>
    <m/>
    <m/>
    <m/>
    <m/>
    <m/>
    <n v="106.80194196997593"/>
    <m/>
    <n v="101.34795533333335"/>
    <m/>
    <m/>
    <n v="97.3"/>
    <n v="98.3"/>
    <m/>
    <m/>
    <m/>
    <m/>
    <n v="-9.5486885245901654"/>
    <m/>
    <m/>
    <n v="-5.4539866366425827"/>
    <m/>
    <m/>
    <m/>
    <m/>
    <m/>
    <b v="0"/>
    <s v="SE"/>
    <s v="OVER"/>
    <n v="0"/>
    <n v="0"/>
    <n v="0"/>
    <n v="-9.5486885245901654"/>
    <n v="91.177452539639916"/>
    <n v="-5.4539866366425827"/>
    <n v="29.745970232675869"/>
  </r>
  <r>
    <x v="124"/>
    <x v="0"/>
    <x v="9"/>
    <m/>
    <m/>
    <m/>
    <m/>
    <m/>
    <m/>
    <m/>
    <m/>
    <n v="112.05385692672303"/>
    <m/>
    <n v="95.271566000000036"/>
    <m/>
    <m/>
    <n v="97.3"/>
    <n v="93.9"/>
    <m/>
    <m/>
    <m/>
    <m/>
    <n v="-12.658688524590167"/>
    <m/>
    <m/>
    <n v="-16.782290926722993"/>
    <m/>
    <m/>
    <m/>
    <m/>
    <m/>
    <b v="0"/>
    <s v="C"/>
    <s v="OVER"/>
    <n v="0"/>
    <n v="0"/>
    <n v="0"/>
    <n v="-12.658688524590167"/>
    <n v="160.24239516259078"/>
    <n v="-16.782290926722993"/>
    <n v="281.64528874916891"/>
  </r>
  <r>
    <x v="124"/>
    <x v="23"/>
    <x v="11"/>
    <m/>
    <m/>
    <m/>
    <m/>
    <m/>
    <m/>
    <m/>
    <m/>
    <n v="107.34367917909572"/>
    <m/>
    <n v="102.04748800000003"/>
    <m/>
    <m/>
    <n v="99.1"/>
    <n v="94.2"/>
    <m/>
    <m/>
    <m/>
    <m/>
    <n v="-4.1186885245901657"/>
    <m/>
    <m/>
    <n v="-5.2961911790956862"/>
    <m/>
    <m/>
    <m/>
    <m/>
    <m/>
    <b v="0"/>
    <s v="NW"/>
    <s v="OVER"/>
    <n v="0"/>
    <n v="0"/>
    <n v="0"/>
    <n v="-4.1186885245901657"/>
    <n v="16.963595162590714"/>
    <n v="-5.2961911790956862"/>
    <n v="28.049641005530955"/>
  </r>
  <r>
    <x v="124"/>
    <x v="18"/>
    <x v="27"/>
    <m/>
    <m/>
    <m/>
    <m/>
    <m/>
    <m/>
    <m/>
    <m/>
    <n v="110.3897383347156"/>
    <m/>
    <n v="100.93977400000001"/>
    <m/>
    <m/>
    <n v="94.2"/>
    <n v="95.1"/>
    <m/>
    <m/>
    <m/>
    <m/>
    <n v="-0.82868852459016562"/>
    <m/>
    <m/>
    <n v="-9.4499643347155882"/>
    <m/>
    <m/>
    <m/>
    <m/>
    <m/>
    <b v="1"/>
    <s v="C"/>
    <s v="OVER"/>
    <n v="0"/>
    <n v="0"/>
    <n v="0"/>
    <n v="-0.82868852459016562"/>
    <n v="0.6867246707874255"/>
    <n v="-9.4499643347155882"/>
    <n v="89.301825927396635"/>
  </r>
  <r>
    <x v="124"/>
    <x v="27"/>
    <x v="14"/>
    <m/>
    <m/>
    <m/>
    <m/>
    <m/>
    <m/>
    <m/>
    <m/>
    <n v="113.25940172355891"/>
    <m/>
    <n v="103.28166333333336"/>
    <m/>
    <m/>
    <n v="96.4"/>
    <n v="99.5"/>
    <m/>
    <m/>
    <m/>
    <m/>
    <n v="-14.928688524590166"/>
    <m/>
    <m/>
    <n v="-9.9777383902255536"/>
    <m/>
    <m/>
    <m/>
    <m/>
    <m/>
    <b v="0"/>
    <s v="P"/>
    <s v="OVER"/>
    <n v="0"/>
    <n v="0"/>
    <n v="0"/>
    <n v="-14.928688524590166"/>
    <n v="222.86574106423012"/>
    <n v="-9.9777383902255536"/>
    <n v="99.555263383780826"/>
  </r>
  <r>
    <x v="124"/>
    <x v="6"/>
    <x v="3"/>
    <m/>
    <m/>
    <m/>
    <m/>
    <m/>
    <m/>
    <m/>
    <m/>
    <n v="104.49681473041639"/>
    <m/>
    <n v="90.448059333333362"/>
    <m/>
    <m/>
    <n v="96.2"/>
    <n v="92.9"/>
    <m/>
    <m/>
    <m/>
    <m/>
    <n v="-12.178688524590166"/>
    <m/>
    <m/>
    <n v="-14.048755397083028"/>
    <m/>
    <m/>
    <m/>
    <m/>
    <m/>
    <b v="0"/>
    <s v="SW"/>
    <s v="OVER"/>
    <n v="0"/>
    <n v="0"/>
    <n v="0"/>
    <n v="-12.178688524590166"/>
    <n v="148.32045417898419"/>
    <n v="-14.048755397083028"/>
    <n v="197.36752820706951"/>
  </r>
  <r>
    <x v="124"/>
    <x v="28"/>
    <x v="22"/>
    <m/>
    <m/>
    <m/>
    <m/>
    <m/>
    <m/>
    <m/>
    <m/>
    <n v="121.15964150317565"/>
    <m/>
    <n v="112.37847200000002"/>
    <m/>
    <m/>
    <n v="95.8"/>
    <n v="99.3"/>
    <m/>
    <m/>
    <m/>
    <m/>
    <n v="-3.9986885245901655"/>
    <m/>
    <m/>
    <n v="-8.7811695031756329"/>
    <m/>
    <m/>
    <m/>
    <m/>
    <m/>
    <b v="1"/>
    <s v="NW"/>
    <s v="OVER"/>
    <n v="0"/>
    <n v="0"/>
    <n v="0"/>
    <n v="-3.9986885245901655"/>
    <n v="15.989509916689075"/>
    <n v="-8.7811695031756329"/>
    <n v="77.108937843501792"/>
  </r>
  <r>
    <x v="124"/>
    <x v="9"/>
    <x v="0"/>
    <m/>
    <m/>
    <m/>
    <m/>
    <m/>
    <m/>
    <m/>
    <m/>
    <n v="100.49433405681467"/>
    <m/>
    <n v="104.15638133333337"/>
    <m/>
    <m/>
    <n v="94.2"/>
    <n v="96.2"/>
    <m/>
    <m/>
    <m/>
    <m/>
    <n v="4.2213114754098342"/>
    <m/>
    <m/>
    <n v="3.662047276518706"/>
    <m/>
    <m/>
    <m/>
    <m/>
    <m/>
    <b v="0"/>
    <s v="SE"/>
    <s v="OVER"/>
    <n v="0"/>
    <n v="0"/>
    <n v="0"/>
    <n v="4.2213114754098342"/>
    <n v="17.819470572426752"/>
    <n v="3.662047276518706"/>
    <n v="13.410590255458072"/>
  </r>
  <r>
    <x v="124"/>
    <x v="10"/>
    <x v="26"/>
    <m/>
    <m/>
    <m/>
    <m/>
    <m/>
    <m/>
    <m/>
    <m/>
    <n v="100.94719419888251"/>
    <m/>
    <n v="104.11538066666668"/>
    <m/>
    <m/>
    <n v="97.5"/>
    <n v="96.1"/>
    <m/>
    <m/>
    <m/>
    <m/>
    <n v="4.481311475409834"/>
    <m/>
    <m/>
    <n v="3.1681864677841673"/>
    <m/>
    <m/>
    <m/>
    <m/>
    <m/>
    <b v="0"/>
    <s v="A"/>
    <s v="OVER"/>
    <n v="0"/>
    <n v="0"/>
    <n v="0"/>
    <n v="4.481311475409834"/>
    <n v="20.082152539639864"/>
    <n v="3.1681864677841673"/>
    <n v="10.037405494650718"/>
  </r>
  <r>
    <x v="124"/>
    <x v="25"/>
    <x v="5"/>
    <m/>
    <m/>
    <m/>
    <m/>
    <m/>
    <m/>
    <m/>
    <m/>
    <n v="104.31713525149296"/>
    <m/>
    <n v="108.25732600000003"/>
    <m/>
    <m/>
    <n v="93.3"/>
    <n v="96.9"/>
    <m/>
    <m/>
    <m/>
    <m/>
    <n v="-6.3686885245901657"/>
    <m/>
    <m/>
    <n v="3.940190748507078"/>
    <m/>
    <m/>
    <m/>
    <m/>
    <m/>
    <b v="1"/>
    <s v="SW"/>
    <s v="OVER"/>
    <n v="0"/>
    <n v="0"/>
    <n v="0"/>
    <n v="-6.3686885245901657"/>
    <n v="40.560193523246461"/>
    <n v="3.940190748507078"/>
    <n v="15.525103134620768"/>
  </r>
  <r>
    <x v="124"/>
    <x v="21"/>
    <x v="25"/>
    <m/>
    <m/>
    <m/>
    <m/>
    <m/>
    <m/>
    <m/>
    <m/>
    <n v="105.35490584399453"/>
    <m/>
    <n v="97.111178666666675"/>
    <m/>
    <m/>
    <n v="91.5"/>
    <n v="98.8"/>
    <m/>
    <m/>
    <m/>
    <m/>
    <n v="-9.7186885245901671"/>
    <m/>
    <m/>
    <n v="-8.2437271773278553"/>
    <m/>
    <m/>
    <m/>
    <m/>
    <m/>
    <b v="0"/>
    <s v="NW"/>
    <s v="OVER"/>
    <n v="0"/>
    <n v="0"/>
    <n v="0"/>
    <n v="-9.7186885245901671"/>
    <n v="94.452906638000599"/>
    <n v="-8.2437271773278553"/>
    <n v="67.959037774213883"/>
  </r>
  <r>
    <x v="125"/>
    <x v="17"/>
    <x v="21"/>
    <m/>
    <m/>
    <m/>
    <m/>
    <m/>
    <m/>
    <m/>
    <m/>
    <n v="100.70822357842908"/>
    <m/>
    <n v="108.46716800000003"/>
    <m/>
    <m/>
    <n v="102"/>
    <n v="100.2"/>
    <m/>
    <m/>
    <m/>
    <m/>
    <n v="3.6513114754098344"/>
    <m/>
    <m/>
    <n v="7.7589444215709449"/>
    <m/>
    <m/>
    <m/>
    <m/>
    <m/>
    <b v="0"/>
    <s v="SW"/>
    <s v="OVER"/>
    <n v="0"/>
    <n v="0"/>
    <n v="0"/>
    <n v="3.6513114754098344"/>
    <n v="13.332075490459541"/>
    <n v="7.7589444215709449"/>
    <n v="60.201218537026882"/>
  </r>
  <r>
    <x v="125"/>
    <x v="20"/>
    <x v="22"/>
    <m/>
    <m/>
    <m/>
    <m/>
    <m/>
    <m/>
    <m/>
    <m/>
    <n v="110.74177681965827"/>
    <m/>
    <n v="107.40354200000002"/>
    <m/>
    <m/>
    <n v="92.6"/>
    <n v="99.3"/>
    <m/>
    <m/>
    <m/>
    <m/>
    <n v="-5.5786885245901656"/>
    <m/>
    <m/>
    <n v="-3.3382348196582541"/>
    <m/>
    <m/>
    <m/>
    <m/>
    <m/>
    <b v="1"/>
    <s v="NW"/>
    <s v="OVER"/>
    <n v="0"/>
    <n v="0"/>
    <n v="0"/>
    <n v="-5.5786885245901656"/>
    <n v="31.121765654394"/>
    <n v="-3.3382348196582541"/>
    <n v="11.143811711178776"/>
  </r>
  <r>
    <x v="125"/>
    <x v="11"/>
    <x v="13"/>
    <m/>
    <m/>
    <m/>
    <m/>
    <m/>
    <m/>
    <m/>
    <m/>
    <n v="98.843270941007987"/>
    <m/>
    <n v="104.15382066666668"/>
    <m/>
    <m/>
    <n v="101.7"/>
    <n v="96.1"/>
    <m/>
    <m/>
    <m/>
    <m/>
    <n v="0.87131147540983411"/>
    <m/>
    <m/>
    <n v="5.3105497256586887"/>
    <m/>
    <m/>
    <m/>
    <m/>
    <m/>
    <b v="0"/>
    <s v="P"/>
    <s v="OVER"/>
    <n v="0"/>
    <n v="0"/>
    <n v="0"/>
    <n v="0.87131147540983411"/>
    <n v="0.75918368718086193"/>
    <n v="5.3105497256586887"/>
    <n v="28.201938388693574"/>
  </r>
  <r>
    <x v="126"/>
    <x v="13"/>
    <x v="3"/>
    <m/>
    <m/>
    <m/>
    <m/>
    <m/>
    <m/>
    <m/>
    <m/>
    <n v="104.24491929291129"/>
    <m/>
    <n v="88.497159333333357"/>
    <m/>
    <m/>
    <n v="99.2"/>
    <n v="92.9"/>
    <m/>
    <m/>
    <m/>
    <m/>
    <n v="-13.878688524590165"/>
    <m/>
    <m/>
    <n v="-15.747759959577934"/>
    <m/>
    <m/>
    <m/>
    <m/>
    <m/>
    <b v="0"/>
    <s v="SE"/>
    <s v="OVER"/>
    <n v="0"/>
    <n v="0"/>
    <n v="0"/>
    <n v="-13.878688524590165"/>
    <n v="192.61799516259074"/>
    <n v="-15.747759959577934"/>
    <n v="247.99194374448601"/>
  </r>
  <r>
    <x v="126"/>
    <x v="23"/>
    <x v="13"/>
    <m/>
    <m/>
    <m/>
    <m/>
    <m/>
    <m/>
    <m/>
    <m/>
    <n v="107.33376917909571"/>
    <m/>
    <n v="103.37541066666668"/>
    <m/>
    <m/>
    <n v="99.1"/>
    <n v="96.1"/>
    <m/>
    <m/>
    <m/>
    <m/>
    <n v="-4.8686885245901657"/>
    <m/>
    <m/>
    <n v="-3.9583585124290295"/>
    <m/>
    <m/>
    <m/>
    <m/>
    <m/>
    <b v="0"/>
    <s v="NW"/>
    <s v="OVER"/>
    <n v="0"/>
    <n v="0"/>
    <n v="0"/>
    <n v="-4.8686885245901657"/>
    <n v="23.704127949475964"/>
    <n v="-3.9583585124290295"/>
    <n v="15.668602112919359"/>
  </r>
  <r>
    <x v="126"/>
    <x v="1"/>
    <x v="14"/>
    <m/>
    <m/>
    <m/>
    <m/>
    <m/>
    <m/>
    <m/>
    <m/>
    <n v="115.48000298006876"/>
    <m/>
    <n v="106.25671333333335"/>
    <m/>
    <m/>
    <n v="100.7"/>
    <n v="99.5"/>
    <m/>
    <m/>
    <m/>
    <m/>
    <n v="-13.458688524590166"/>
    <m/>
    <m/>
    <n v="-9.2232896467354095"/>
    <m/>
    <m/>
    <m/>
    <m/>
    <m/>
    <b v="0"/>
    <s v="P"/>
    <s v="OVER"/>
    <n v="0"/>
    <n v="0"/>
    <n v="0"/>
    <n v="-13.458688524590166"/>
    <n v="181.136296801935"/>
    <n v="-9.2232896467354095"/>
    <n v="85.0690719075766"/>
  </r>
  <r>
    <x v="126"/>
    <x v="26"/>
    <x v="2"/>
    <m/>
    <m/>
    <m/>
    <m/>
    <m/>
    <m/>
    <m/>
    <m/>
    <n v="105.86976549407402"/>
    <m/>
    <n v="99.93691000000004"/>
    <m/>
    <m/>
    <n v="96.9"/>
    <n v="91.5"/>
    <m/>
    <m/>
    <m/>
    <m/>
    <n v="-2.2186885245901662"/>
    <m/>
    <m/>
    <n v="-5.9328554940739764"/>
    <m/>
    <m/>
    <m/>
    <m/>
    <m/>
    <b v="0"/>
    <s v="SW"/>
    <s v="OVER"/>
    <n v="0"/>
    <n v="0"/>
    <n v="0"/>
    <n v="-2.2186885245901662"/>
    <n v="4.9225787691480889"/>
    <n v="-5.9328554940739764"/>
    <n v="35.198774313563767"/>
  </r>
  <r>
    <x v="126"/>
    <x v="4"/>
    <x v="12"/>
    <m/>
    <m/>
    <m/>
    <m/>
    <m/>
    <m/>
    <m/>
    <m/>
    <n v="101.44219341452114"/>
    <m/>
    <n v="100.22000800000002"/>
    <m/>
    <m/>
    <n v="98.3"/>
    <n v="94.2"/>
    <m/>
    <m/>
    <m/>
    <m/>
    <n v="4.731311475409834"/>
    <m/>
    <m/>
    <n v="-1.2221854145211211"/>
    <m/>
    <m/>
    <m/>
    <m/>
    <m/>
    <b v="1"/>
    <s v="C"/>
    <s v="OVER"/>
    <n v="0"/>
    <n v="0"/>
    <n v="0"/>
    <n v="4.731311475409834"/>
    <n v="22.38530827734478"/>
    <n v="-1.2221854145211211"/>
    <n v="1.4937371874681644"/>
  </r>
  <r>
    <x v="126"/>
    <x v="19"/>
    <x v="7"/>
    <m/>
    <m/>
    <m/>
    <m/>
    <m/>
    <m/>
    <m/>
    <m/>
    <n v="100.12150368238518"/>
    <m/>
    <n v="101.79590866666668"/>
    <m/>
    <m/>
    <n v="93.9"/>
    <n v="97.3"/>
    <m/>
    <m/>
    <m/>
    <m/>
    <n v="0.32131147540983407"/>
    <m/>
    <m/>
    <n v="1.6744049842814945"/>
    <m/>
    <m/>
    <m/>
    <m/>
    <m/>
    <b v="1"/>
    <s v="SE"/>
    <s v="OVER"/>
    <n v="0"/>
    <n v="0"/>
    <n v="0"/>
    <n v="0.32131147540983407"/>
    <n v="0.10324106423004441"/>
    <n v="1.6744049842814945"/>
    <n v="2.8036320513867121"/>
  </r>
  <r>
    <x v="126"/>
    <x v="7"/>
    <x v="0"/>
    <m/>
    <m/>
    <m/>
    <m/>
    <m/>
    <m/>
    <m/>
    <m/>
    <n v="110.92115333230637"/>
    <m/>
    <n v="106.39784133333337"/>
    <m/>
    <m/>
    <n v="96.1"/>
    <n v="96.2"/>
    <m/>
    <m/>
    <m/>
    <m/>
    <n v="-1.9586885245901655"/>
    <m/>
    <m/>
    <n v="-4.523311998973"/>
    <m/>
    <m/>
    <m/>
    <m/>
    <m/>
    <b v="0"/>
    <s v="C"/>
    <s v="OVER"/>
    <n v="0"/>
    <n v="0"/>
    <n v="0"/>
    <n v="-1.9586885245901655"/>
    <n v="3.8364607363611993"/>
    <n v="-4.523311998973"/>
    <n v="20.460351440053117"/>
  </r>
  <r>
    <x v="126"/>
    <x v="28"/>
    <x v="15"/>
    <m/>
    <m/>
    <m/>
    <m/>
    <m/>
    <m/>
    <m/>
    <m/>
    <n v="111.95326150317565"/>
    <m/>
    <n v="114.43708266666671"/>
    <m/>
    <m/>
    <n v="95.8"/>
    <n v="96.4"/>
    <m/>
    <m/>
    <m/>
    <m/>
    <n v="11.151311475409834"/>
    <m/>
    <m/>
    <n v="2.4838211634910579"/>
    <m/>
    <m/>
    <m/>
    <m/>
    <m/>
    <b v="0"/>
    <s v="NW"/>
    <s v="OVER"/>
    <n v="0"/>
    <n v="0"/>
    <n v="0"/>
    <n v="11.151311475409834"/>
    <n v="124.35174762160705"/>
    <n v="2.4838211634910579"/>
    <n v="6.1693675722060721"/>
  </r>
  <r>
    <x v="126"/>
    <x v="8"/>
    <x v="29"/>
    <m/>
    <m/>
    <m/>
    <m/>
    <m/>
    <m/>
    <m/>
    <m/>
    <n v="103.88763327976011"/>
    <m/>
    <n v="107.12529600000003"/>
    <m/>
    <m/>
    <n v="98.8"/>
    <n v="95.4"/>
    <m/>
    <m/>
    <m/>
    <m/>
    <n v="5.8913114754098341"/>
    <m/>
    <m/>
    <n v="3.2376627202399249"/>
    <m/>
    <m/>
    <m/>
    <m/>
    <m/>
    <b v="0"/>
    <s v="SW"/>
    <s v="OVER"/>
    <n v="0"/>
    <n v="0"/>
    <n v="0"/>
    <n v="5.8913114754098341"/>
    <n v="34.707550900295594"/>
    <n v="3.2376627202399249"/>
    <n v="10.482459890031389"/>
  </r>
  <r>
    <x v="126"/>
    <x v="9"/>
    <x v="27"/>
    <m/>
    <m/>
    <m/>
    <m/>
    <m/>
    <m/>
    <m/>
    <m/>
    <n v="96.942994056814655"/>
    <m/>
    <n v="105.35241400000001"/>
    <m/>
    <m/>
    <n v="94.2"/>
    <n v="95.1"/>
    <m/>
    <m/>
    <m/>
    <m/>
    <n v="10.501311475409835"/>
    <m/>
    <m/>
    <n v="8.4094199431853554"/>
    <m/>
    <m/>
    <m/>
    <m/>
    <m/>
    <b v="0"/>
    <s v="SE"/>
    <s v="OVER"/>
    <n v="0"/>
    <n v="0"/>
    <n v="0"/>
    <n v="10.501311475409835"/>
    <n v="110.2775427035743"/>
    <n v="8.4094199431853554"/>
    <n v="70.718343780843583"/>
  </r>
  <r>
    <x v="126"/>
    <x v="25"/>
    <x v="11"/>
    <m/>
    <m/>
    <m/>
    <m/>
    <m/>
    <m/>
    <m/>
    <m/>
    <n v="104.90492525149295"/>
    <m/>
    <n v="100.45550800000002"/>
    <m/>
    <m/>
    <n v="93.3"/>
    <n v="94.2"/>
    <m/>
    <m/>
    <m/>
    <m/>
    <n v="-12.068688524590167"/>
    <m/>
    <m/>
    <n v="-4.4494172514929318"/>
    <m/>
    <m/>
    <m/>
    <m/>
    <m/>
    <b v="0"/>
    <s v="SW"/>
    <s v="OVER"/>
    <n v="0"/>
    <n v="0"/>
    <n v="0"/>
    <n v="-12.068688524590167"/>
    <n v="145.65324270357436"/>
    <n v="-4.4494172514929318"/>
    <n v="19.797313877882914"/>
  </r>
  <r>
    <x v="127"/>
    <x v="18"/>
    <x v="20"/>
    <m/>
    <m/>
    <m/>
    <m/>
    <m/>
    <m/>
    <m/>
    <m/>
    <n v="110.21075833471561"/>
    <m/>
    <n v="107.0695686666667"/>
    <m/>
    <m/>
    <n v="94.2"/>
    <n v="97.3"/>
    <m/>
    <m/>
    <m/>
    <m/>
    <n v="3.2613114754098351"/>
    <m/>
    <m/>
    <n v="-3.1411896680489093"/>
    <m/>
    <m/>
    <m/>
    <m/>
    <m/>
    <b v="1"/>
    <s v="C"/>
    <s v="OVER"/>
    <n v="0"/>
    <n v="0"/>
    <n v="0"/>
    <n v="3.2613114754098351"/>
    <n v="10.636152539639875"/>
    <n v="-3.1411896680489093"/>
    <n v="9.8670725306572162"/>
  </r>
  <r>
    <x v="127"/>
    <x v="6"/>
    <x v="15"/>
    <m/>
    <m/>
    <m/>
    <m/>
    <m/>
    <m/>
    <m/>
    <m/>
    <n v="96.483354730416394"/>
    <m/>
    <n v="106.5515626666667"/>
    <m/>
    <m/>
    <n v="96.2"/>
    <n v="96.4"/>
    <m/>
    <m/>
    <m/>
    <m/>
    <n v="9.3213114754098338"/>
    <m/>
    <m/>
    <n v="10.068207936250303"/>
    <m/>
    <m/>
    <m/>
    <m/>
    <m/>
    <b v="0"/>
    <s v="SW"/>
    <s v="OVER"/>
    <n v="0"/>
    <n v="0"/>
    <n v="0"/>
    <n v="9.3213114754098338"/>
    <n v="86.88684762160706"/>
    <n v="10.068207936250303"/>
    <n v="101.36881104757359"/>
  </r>
  <r>
    <x v="127"/>
    <x v="20"/>
    <x v="1"/>
    <m/>
    <m/>
    <m/>
    <m/>
    <m/>
    <m/>
    <m/>
    <m/>
    <n v="104.36163681965827"/>
    <m/>
    <n v="103.54496200000001"/>
    <m/>
    <m/>
    <n v="92.6"/>
    <n v="93.3"/>
    <m/>
    <m/>
    <m/>
    <m/>
    <n v="4.1313114754098343"/>
    <m/>
    <m/>
    <n v="-0.81667481965826028"/>
    <m/>
    <m/>
    <m/>
    <m/>
    <m/>
    <b v="0"/>
    <s v="NW"/>
    <s v="OVER"/>
    <n v="0"/>
    <n v="0"/>
    <n v="0"/>
    <n v="4.1313114754098343"/>
    <n v="17.067734506852982"/>
    <n v="-0.81667481965826028"/>
    <n v="0.66695776106385196"/>
  </r>
  <r>
    <x v="127"/>
    <x v="11"/>
    <x v="21"/>
    <m/>
    <m/>
    <m/>
    <m/>
    <m/>
    <m/>
    <m/>
    <m/>
    <n v="100.20605094100799"/>
    <m/>
    <n v="110.27076800000002"/>
    <m/>
    <m/>
    <n v="101.7"/>
    <n v="100.2"/>
    <m/>
    <m/>
    <m/>
    <m/>
    <n v="1.2013114754098342"/>
    <m/>
    <m/>
    <n v="10.064717058992031"/>
    <m/>
    <m/>
    <m/>
    <m/>
    <m/>
    <b v="1"/>
    <s v="P"/>
    <s v="OVER"/>
    <n v="0"/>
    <n v="0"/>
    <n v="0"/>
    <n v="1.2013114754098342"/>
    <n v="1.4431492609513525"/>
    <n v="10.064717058992031"/>
    <n v="101.2985294775652"/>
  </r>
  <r>
    <x v="127"/>
    <x v="2"/>
    <x v="28"/>
    <m/>
    <m/>
    <m/>
    <m/>
    <m/>
    <m/>
    <m/>
    <m/>
    <n v="110.58859413790987"/>
    <m/>
    <n v="101.80040000000001"/>
    <m/>
    <m/>
    <n v="99.3"/>
    <n v="97.5"/>
    <m/>
    <m/>
    <m/>
    <m/>
    <n v="-10.028688524590166"/>
    <m/>
    <m/>
    <n v="-8.7881941379098549"/>
    <m/>
    <m/>
    <m/>
    <m/>
    <m/>
    <b v="0"/>
    <s v="NW"/>
    <s v="OVER"/>
    <n v="0"/>
    <n v="0"/>
    <n v="0"/>
    <n v="-10.028688524590166"/>
    <n v="100.57459352324648"/>
    <n v="-8.7881941379098549"/>
    <n v="77.232356205593135"/>
  </r>
  <r>
    <x v="128"/>
    <x v="13"/>
    <x v="29"/>
    <m/>
    <m/>
    <m/>
    <m/>
    <m/>
    <m/>
    <m/>
    <m/>
    <n v="100.94155929291129"/>
    <m/>
    <n v="101.77335600000004"/>
    <m/>
    <m/>
    <n v="99.2"/>
    <n v="95.4"/>
    <m/>
    <m/>
    <m/>
    <m/>
    <n v="0.88131147540983434"/>
    <m/>
    <m/>
    <n v="0.83179670708874198"/>
    <m/>
    <m/>
    <m/>
    <m/>
    <m/>
    <b v="0"/>
    <s v="SE"/>
    <s v="OVER"/>
    <n v="0"/>
    <n v="0"/>
    <n v="0"/>
    <n v="0.88131147540983434"/>
    <n v="0.77670991668905909"/>
    <n v="0.83179670708874198"/>
    <n v="0.69188576192367446"/>
  </r>
  <r>
    <x v="128"/>
    <x v="14"/>
    <x v="5"/>
    <m/>
    <m/>
    <m/>
    <m/>
    <m/>
    <m/>
    <m/>
    <m/>
    <n v="112.15219726701199"/>
    <m/>
    <n v="109.14880600000004"/>
    <m/>
    <m/>
    <n v="95.1"/>
    <n v="96.9"/>
    <m/>
    <m/>
    <m/>
    <m/>
    <n v="-3.7686885245901656"/>
    <m/>
    <m/>
    <n v="-3.0033912670119491"/>
    <m/>
    <m/>
    <m/>
    <m/>
    <m/>
    <b v="0"/>
    <s v="C"/>
    <s v="OVER"/>
    <n v="0"/>
    <n v="0"/>
    <n v="0"/>
    <n v="-3.7686885245901656"/>
    <n v="14.203013195377599"/>
    <n v="-3.0033912670119491"/>
    <n v="9.0203591027636421"/>
  </r>
  <r>
    <x v="128"/>
    <x v="22"/>
    <x v="17"/>
    <m/>
    <m/>
    <m/>
    <m/>
    <m/>
    <m/>
    <m/>
    <m/>
    <n v="104.96297196997592"/>
    <m/>
    <n v="91.732588000000021"/>
    <m/>
    <m/>
    <n v="97.3"/>
    <n v="94.2"/>
    <m/>
    <m/>
    <m/>
    <m/>
    <n v="-13.368688524590166"/>
    <m/>
    <m/>
    <n v="-13.230383969975904"/>
    <m/>
    <m/>
    <m/>
    <m/>
    <m/>
    <b v="1"/>
    <s v="SE"/>
    <s v="OVER"/>
    <n v="0"/>
    <n v="0"/>
    <n v="0"/>
    <n v="-13.368688524590166"/>
    <n v="178.72183286750877"/>
    <n v="-13.230383969975904"/>
    <n v="175.04305999299535"/>
  </r>
  <r>
    <x v="128"/>
    <x v="17"/>
    <x v="3"/>
    <m/>
    <m/>
    <m/>
    <m/>
    <m/>
    <m/>
    <m/>
    <m/>
    <n v="100.27982357842909"/>
    <m/>
    <n v="94.275539333333356"/>
    <m/>
    <m/>
    <n v="102"/>
    <n v="92.9"/>
    <m/>
    <m/>
    <m/>
    <m/>
    <n v="-2.6986885245901657"/>
    <m/>
    <m/>
    <n v="-6.0042842450957323"/>
    <m/>
    <m/>
    <m/>
    <m/>
    <m/>
    <b v="0"/>
    <s v="SW"/>
    <s v="OVER"/>
    <n v="0"/>
    <n v="0"/>
    <n v="0"/>
    <n v="-2.6986885245901657"/>
    <n v="7.2829197527546459"/>
    <n v="-6.0042842450957323"/>
    <n v="36.051429295904825"/>
  </r>
  <r>
    <x v="128"/>
    <x v="23"/>
    <x v="14"/>
    <m/>
    <m/>
    <m/>
    <m/>
    <m/>
    <m/>
    <m/>
    <m/>
    <n v="104.66797917909572"/>
    <m/>
    <n v="107.66961333333334"/>
    <m/>
    <m/>
    <n v="99.1"/>
    <n v="99.5"/>
    <m/>
    <m/>
    <m/>
    <m/>
    <n v="-1.538688524590166"/>
    <m/>
    <m/>
    <n v="3.001634154237621"/>
    <m/>
    <m/>
    <m/>
    <m/>
    <m/>
    <b v="0"/>
    <s v="NW"/>
    <s v="OVER"/>
    <n v="0"/>
    <n v="0"/>
    <n v="0"/>
    <n v="-1.538688524590166"/>
    <n v="2.3675623757054618"/>
    <n v="3.001634154237621"/>
    <n v="9.0098075958857979"/>
  </r>
  <r>
    <x v="128"/>
    <x v="7"/>
    <x v="16"/>
    <m/>
    <m/>
    <m/>
    <m/>
    <m/>
    <m/>
    <m/>
    <m/>
    <n v="109.41238333230639"/>
    <m/>
    <n v="104.06103533333335"/>
    <m/>
    <m/>
    <n v="96.1"/>
    <n v="98.3"/>
    <m/>
    <m/>
    <m/>
    <m/>
    <n v="-5.1386885245901652"/>
    <m/>
    <m/>
    <n v="-5.3513479989730399"/>
    <m/>
    <m/>
    <m/>
    <m/>
    <m/>
    <b v="1"/>
    <s v="C"/>
    <s v="OVER"/>
    <n v="0"/>
    <n v="0"/>
    <n v="0"/>
    <n v="-5.1386885245901652"/>
    <n v="26.406119752754648"/>
    <n v="-5.3513479989730399"/>
    <n v="28.636925406112759"/>
  </r>
  <r>
    <x v="128"/>
    <x v="28"/>
    <x v="18"/>
    <m/>
    <m/>
    <m/>
    <m/>
    <m/>
    <m/>
    <m/>
    <m/>
    <n v="114.81768150317565"/>
    <m/>
    <n v="121.07228133333338"/>
    <m/>
    <m/>
    <n v="95.8"/>
    <n v="100.7"/>
    <m/>
    <m/>
    <m/>
    <m/>
    <n v="9.6813114754098333"/>
    <m/>
    <m/>
    <n v="6.2545998301577299"/>
    <m/>
    <m/>
    <m/>
    <m/>
    <m/>
    <b v="0"/>
    <s v="NW"/>
    <s v="OVER"/>
    <n v="0"/>
    <n v="0"/>
    <n v="0"/>
    <n v="9.6813114754098333"/>
    <n v="93.727791883902128"/>
    <n v="6.2545998301577299"/>
    <n v="39.120019035409101"/>
  </r>
  <r>
    <x v="128"/>
    <x v="15"/>
    <x v="13"/>
    <m/>
    <m/>
    <m/>
    <m/>
    <m/>
    <m/>
    <m/>
    <m/>
    <n v="110.05106010654767"/>
    <m/>
    <n v="106.26802066666669"/>
    <m/>
    <m/>
    <n v="94.2"/>
    <n v="96.1"/>
    <m/>
    <m/>
    <m/>
    <m/>
    <n v="-3.5286885245901658"/>
    <m/>
    <m/>
    <n v="-3.7830394398809801"/>
    <m/>
    <m/>
    <m/>
    <m/>
    <m/>
    <b v="0"/>
    <s v="P"/>
    <s v="OVER"/>
    <n v="0"/>
    <n v="0"/>
    <n v="0"/>
    <n v="-3.5286885245901658"/>
    <n v="12.451642703574322"/>
    <n v="-3.7830394398809801"/>
    <n v="14.311387403694999"/>
  </r>
  <r>
    <x v="129"/>
    <x v="22"/>
    <x v="25"/>
    <m/>
    <m/>
    <m/>
    <m/>
    <m/>
    <m/>
    <m/>
    <m/>
    <n v="103.85375196997592"/>
    <m/>
    <n v="100.92485866666668"/>
    <m/>
    <m/>
    <n v="97.3"/>
    <n v="98.8"/>
    <m/>
    <m/>
    <m/>
    <m/>
    <n v="-7.4586885245901655"/>
    <m/>
    <m/>
    <n v="-2.9288933033092377"/>
    <m/>
    <m/>
    <m/>
    <m/>
    <m/>
    <b v="0"/>
    <s v="SE"/>
    <s v="OVER"/>
    <n v="0"/>
    <n v="0"/>
    <n v="0"/>
    <n v="-7.4586885245901655"/>
    <n v="55.632034506853017"/>
    <n v="-2.9288933033092377"/>
    <n v="8.5784159821696981"/>
  </r>
  <r>
    <x v="129"/>
    <x v="17"/>
    <x v="19"/>
    <m/>
    <m/>
    <m/>
    <m/>
    <m/>
    <m/>
    <m/>
    <m/>
    <n v="97.107623578429084"/>
    <m/>
    <n v="102.45325800000005"/>
    <m/>
    <m/>
    <n v="102"/>
    <n v="101.7"/>
    <m/>
    <m/>
    <m/>
    <m/>
    <n v="-0.32868852459016562"/>
    <m/>
    <m/>
    <n v="5.3456344215709635"/>
    <m/>
    <m/>
    <m/>
    <m/>
    <m/>
    <b v="0"/>
    <s v="SW"/>
    <s v="OVER"/>
    <n v="0"/>
    <n v="0"/>
    <n v="0"/>
    <n v="-0.32868852459016562"/>
    <n v="0.10803614619725992"/>
    <n v="5.3456344215709635"/>
    <n v="28.57580736908433"/>
  </r>
  <r>
    <x v="129"/>
    <x v="18"/>
    <x v="0"/>
    <m/>
    <m/>
    <m/>
    <m/>
    <m/>
    <m/>
    <m/>
    <m/>
    <n v="113.9410783347156"/>
    <m/>
    <n v="99.692701333333375"/>
    <m/>
    <m/>
    <n v="94.2"/>
    <n v="96.2"/>
    <m/>
    <m/>
    <m/>
    <m/>
    <n v="-7.1086885245901659"/>
    <m/>
    <m/>
    <n v="-14.248377001382224"/>
    <m/>
    <m/>
    <m/>
    <m/>
    <m/>
    <b v="0"/>
    <s v="C"/>
    <s v="OVER"/>
    <n v="0"/>
    <n v="0"/>
    <n v="0"/>
    <n v="-7.1086885245901659"/>
    <n v="50.53345253963991"/>
    <n v="-14.248377001382224"/>
    <n v="203.01624717351788"/>
  </r>
  <r>
    <x v="129"/>
    <x v="27"/>
    <x v="28"/>
    <m/>
    <m/>
    <m/>
    <m/>
    <m/>
    <m/>
    <m/>
    <m/>
    <n v="114.46440172355892"/>
    <m/>
    <n v="92.430650000000014"/>
    <m/>
    <m/>
    <n v="96.4"/>
    <n v="97.5"/>
    <m/>
    <m/>
    <m/>
    <m/>
    <n v="-25.178688524590164"/>
    <m/>
    <m/>
    <n v="-22.033751723558908"/>
    <m/>
    <m/>
    <m/>
    <m/>
    <m/>
    <b v="0"/>
    <s v="P"/>
    <s v="OVER"/>
    <n v="0"/>
    <n v="0"/>
    <n v="0"/>
    <n v="-25.178688524590164"/>
    <n v="633.96635581832845"/>
    <n v="-22.033751723558908"/>
    <n v="485.48621501543511"/>
  </r>
  <r>
    <x v="129"/>
    <x v="6"/>
    <x v="24"/>
    <m/>
    <m/>
    <m/>
    <m/>
    <m/>
    <m/>
    <m/>
    <m/>
    <n v="93.789754730416405"/>
    <m/>
    <n v="96.552021333333357"/>
    <m/>
    <m/>
    <n v="96.2"/>
    <n v="99.2"/>
    <m/>
    <m/>
    <m/>
    <m/>
    <n v="-1.0786885245901656"/>
    <m/>
    <m/>
    <n v="2.7622666029169523"/>
    <m/>
    <m/>
    <m/>
    <m/>
    <m/>
    <b v="0"/>
    <s v="SW"/>
    <s v="OVER"/>
    <n v="0"/>
    <n v="0"/>
    <n v="0"/>
    <n v="-1.0786885245901656"/>
    <n v="1.1635689330825083"/>
    <n v="2.7622666029169523"/>
    <n v="7.63011678559036"/>
  </r>
  <r>
    <x v="129"/>
    <x v="19"/>
    <x v="29"/>
    <m/>
    <m/>
    <m/>
    <m/>
    <m/>
    <m/>
    <m/>
    <m/>
    <n v="101.51122368238519"/>
    <m/>
    <n v="105.01695600000002"/>
    <m/>
    <m/>
    <n v="93.9"/>
    <n v="95.4"/>
    <m/>
    <m/>
    <m/>
    <m/>
    <n v="4.3113114754098341"/>
    <m/>
    <m/>
    <n v="3.5057323176148287"/>
    <m/>
    <m/>
    <m/>
    <m/>
    <m/>
    <b v="0"/>
    <s v="SE"/>
    <s v="OVER"/>
    <n v="0"/>
    <n v="0"/>
    <n v="0"/>
    <n v="4.3113114754098341"/>
    <n v="18.58740663800052"/>
    <n v="3.5057323176148287"/>
    <n v="12.290159082769039"/>
  </r>
  <r>
    <x v="129"/>
    <x v="7"/>
    <x v="6"/>
    <m/>
    <m/>
    <m/>
    <m/>
    <m/>
    <m/>
    <m/>
    <m/>
    <n v="110.98842333230638"/>
    <m/>
    <n v="106.39611866666668"/>
    <m/>
    <m/>
    <n v="96.1"/>
    <n v="95.8"/>
    <m/>
    <m/>
    <m/>
    <m/>
    <n v="-1.5686885245901656"/>
    <m/>
    <m/>
    <n v="-4.592304665639702"/>
    <m/>
    <m/>
    <m/>
    <m/>
    <m/>
    <b v="0"/>
    <s v="C"/>
    <s v="OVER"/>
    <n v="0"/>
    <n v="0"/>
    <n v="0"/>
    <n v="-1.5686885245901656"/>
    <n v="2.4607836871808706"/>
    <n v="-4.592304665639702"/>
    <n v="21.089262142056175"/>
  </r>
  <r>
    <x v="129"/>
    <x v="20"/>
    <x v="2"/>
    <m/>
    <m/>
    <m/>
    <m/>
    <m/>
    <m/>
    <m/>
    <m/>
    <n v="101.52807681965827"/>
    <m/>
    <n v="95.98411000000003"/>
    <m/>
    <m/>
    <n v="92.6"/>
    <n v="91.5"/>
    <m/>
    <m/>
    <m/>
    <m/>
    <n v="1.1013114754098345"/>
    <m/>
    <m/>
    <n v="-5.5439668196582375"/>
    <m/>
    <m/>
    <m/>
    <m/>
    <m/>
    <b v="1"/>
    <s v="NW"/>
    <s v="OVER"/>
    <n v="0"/>
    <n v="0"/>
    <n v="0"/>
    <n v="1.1013114754098345"/>
    <n v="1.2128869658693866"/>
    <n v="-5.5439668196582375"/>
    <n v="30.735568097471472"/>
  </r>
  <r>
    <x v="129"/>
    <x v="9"/>
    <x v="20"/>
    <m/>
    <m/>
    <m/>
    <m/>
    <m/>
    <m/>
    <m/>
    <m/>
    <n v="96.764014056814659"/>
    <m/>
    <n v="111.58428866666669"/>
    <m/>
    <m/>
    <n v="94.2"/>
    <n v="97.3"/>
    <m/>
    <m/>
    <m/>
    <m/>
    <n v="14.591311475409835"/>
    <m/>
    <m/>
    <n v="14.820274609852035"/>
    <m/>
    <m/>
    <m/>
    <m/>
    <m/>
    <b v="0"/>
    <s v="SE"/>
    <s v="OVER"/>
    <n v="0"/>
    <n v="0"/>
    <n v="0"/>
    <n v="14.591311475409835"/>
    <n v="212.90637057242674"/>
    <n v="14.820274609852035"/>
    <n v="219.64053951142489"/>
  </r>
  <r>
    <x v="129"/>
    <x v="2"/>
    <x v="13"/>
    <m/>
    <m/>
    <m/>
    <m/>
    <m/>
    <m/>
    <m/>
    <m/>
    <n v="112.01851413790986"/>
    <m/>
    <n v="108.37261066666667"/>
    <m/>
    <m/>
    <n v="99.3"/>
    <n v="96.1"/>
    <m/>
    <m/>
    <m/>
    <m/>
    <n v="-3.1086885245901659"/>
    <m/>
    <m/>
    <n v="-3.6459034712431873"/>
    <m/>
    <m/>
    <m/>
    <m/>
    <m/>
    <b v="0"/>
    <s v="NW"/>
    <s v="OVER"/>
    <n v="0"/>
    <n v="0"/>
    <n v="0"/>
    <n v="-3.1086885245901659"/>
    <n v="9.6639443429185832"/>
    <n v="-3.6459034712431873"/>
    <n v="13.292612121623122"/>
  </r>
  <r>
    <x v="129"/>
    <x v="15"/>
    <x v="8"/>
    <m/>
    <m/>
    <m/>
    <m/>
    <m/>
    <m/>
    <m/>
    <m/>
    <n v="107.22506010654767"/>
    <m/>
    <n v="108.68363066666669"/>
    <m/>
    <m/>
    <n v="94.2"/>
    <n v="99.1"/>
    <m/>
    <m/>
    <m/>
    <m/>
    <n v="-1.4386885245901657"/>
    <m/>
    <m/>
    <n v="1.4585705601190142"/>
    <m/>
    <m/>
    <m/>
    <m/>
    <m/>
    <b v="0"/>
    <s v="P"/>
    <s v="OVER"/>
    <n v="0"/>
    <n v="0"/>
    <n v="0"/>
    <n v="-1.4386885245901657"/>
    <n v="2.0698246707874279"/>
    <n v="1.4585705601190142"/>
    <n v="2.1274280788458948"/>
  </r>
  <r>
    <x v="129"/>
    <x v="25"/>
    <x v="18"/>
    <m/>
    <m/>
    <m/>
    <m/>
    <m/>
    <m/>
    <m/>
    <m/>
    <n v="100.77173525149296"/>
    <m/>
    <n v="116.27896133333337"/>
    <m/>
    <m/>
    <n v="93.3"/>
    <n v="100.7"/>
    <m/>
    <m/>
    <m/>
    <m/>
    <n v="1.1913114754098331"/>
    <m/>
    <m/>
    <n v="15.507226081840415"/>
    <m/>
    <m/>
    <m/>
    <m/>
    <m/>
    <b v="0"/>
    <s v="SW"/>
    <s v="OVER"/>
    <n v="0"/>
    <n v="0"/>
    <n v="0"/>
    <n v="1.1913114754098331"/>
    <n v="1.4192230314431533"/>
    <n v="15.507226081840415"/>
    <n v="240.47406075331162"/>
  </r>
  <r>
    <x v="130"/>
    <x v="3"/>
    <x v="27"/>
    <m/>
    <m/>
    <m/>
    <m/>
    <m/>
    <m/>
    <m/>
    <m/>
    <n v="104.93719124532325"/>
    <m/>
    <n v="106.08468400000001"/>
    <m/>
    <m/>
    <n v="99.5"/>
    <n v="95.1"/>
    <m/>
    <m/>
    <m/>
    <m/>
    <n v="1.3313114754098341"/>
    <m/>
    <m/>
    <n v="1.1474927546767617"/>
    <m/>
    <m/>
    <m/>
    <m/>
    <m/>
    <b v="0"/>
    <s v="A"/>
    <s v="OVER"/>
    <n v="0"/>
    <n v="0"/>
    <n v="0"/>
    <n v="1.3313114754098341"/>
    <n v="1.7723902445579092"/>
    <n v="1.1474927546767617"/>
    <n v="1.3167396220356629"/>
  </r>
  <r>
    <x v="130"/>
    <x v="16"/>
    <x v="0"/>
    <m/>
    <m/>
    <m/>
    <m/>
    <m/>
    <m/>
    <m/>
    <m/>
    <n v="103.81409801271781"/>
    <m/>
    <n v="108.36994133333337"/>
    <m/>
    <m/>
    <n v="92.9"/>
    <n v="96.2"/>
    <m/>
    <m/>
    <m/>
    <m/>
    <n v="4.4013114754098339"/>
    <m/>
    <m/>
    <n v="4.5558433206155655"/>
    <m/>
    <m/>
    <m/>
    <m/>
    <m/>
    <b v="1"/>
    <s v="A"/>
    <s v="OVER"/>
    <n v="0"/>
    <n v="0"/>
    <n v="0"/>
    <n v="4.4013114754098339"/>
    <n v="19.371542703574288"/>
    <n v="4.5558433206155655"/>
    <n v="20.755708361997463"/>
  </r>
  <r>
    <x v="130"/>
    <x v="26"/>
    <x v="20"/>
    <m/>
    <m/>
    <m/>
    <m/>
    <m/>
    <m/>
    <m/>
    <m/>
    <n v="109.54227549407402"/>
    <m/>
    <n v="114.3476086666667"/>
    <m/>
    <m/>
    <n v="96.9"/>
    <n v="97.3"/>
    <m/>
    <m/>
    <m/>
    <m/>
    <n v="2.3013114754098343"/>
    <m/>
    <m/>
    <n v="4.8053331725926824"/>
    <m/>
    <m/>
    <m/>
    <m/>
    <m/>
    <b v="0"/>
    <s v="SW"/>
    <s v="OVER"/>
    <n v="0"/>
    <n v="0"/>
    <n v="0"/>
    <n v="2.3013114754098343"/>
    <n v="5.2960345068529886"/>
    <n v="4.8053331725926824"/>
    <n v="23.091226899619656"/>
  </r>
  <r>
    <x v="130"/>
    <x v="4"/>
    <x v="9"/>
    <m/>
    <m/>
    <m/>
    <m/>
    <m/>
    <m/>
    <m/>
    <m/>
    <n v="102.71026341452112"/>
    <m/>
    <n v="97.515776000000031"/>
    <m/>
    <m/>
    <n v="98.3"/>
    <n v="93.9"/>
    <m/>
    <m/>
    <m/>
    <m/>
    <n v="0.89131147540983435"/>
    <m/>
    <m/>
    <n v="-5.1944874145210918"/>
    <m/>
    <m/>
    <m/>
    <m/>
    <m/>
    <b v="0"/>
    <s v="C"/>
    <s v="OVER"/>
    <n v="0"/>
    <n v="0"/>
    <n v="0"/>
    <n v="0.89131147540983435"/>
    <n v="0.79443614619725578"/>
    <n v="-5.1944874145210918"/>
    <n v="26.982699499618015"/>
  </r>
  <r>
    <x v="130"/>
    <x v="5"/>
    <x v="28"/>
    <m/>
    <m/>
    <m/>
    <m/>
    <m/>
    <m/>
    <m/>
    <m/>
    <n v="110.6727314170964"/>
    <m/>
    <n v="100.96190000000001"/>
    <m/>
    <m/>
    <n v="100.2"/>
    <n v="97.5"/>
    <m/>
    <m/>
    <m/>
    <m/>
    <n v="-10.028688524590166"/>
    <m/>
    <m/>
    <n v="-9.7108314170963865"/>
    <m/>
    <m/>
    <m/>
    <m/>
    <m/>
    <b v="0"/>
    <s v="P"/>
    <s v="OVER"/>
    <n v="0"/>
    <n v="0"/>
    <n v="0"/>
    <n v="-10.028688524590166"/>
    <n v="100.57459352324648"/>
    <n v="-9.7108314170963865"/>
    <n v="94.30024681126622"/>
  </r>
  <r>
    <x v="130"/>
    <x v="11"/>
    <x v="22"/>
    <m/>
    <m/>
    <m/>
    <m/>
    <m/>
    <m/>
    <m/>
    <m/>
    <n v="101.08067094100798"/>
    <m/>
    <n v="110.13429200000002"/>
    <m/>
    <m/>
    <n v="101.7"/>
    <n v="99.3"/>
    <m/>
    <m/>
    <m/>
    <m/>
    <n v="1.2013114754098342"/>
    <m/>
    <m/>
    <n v="9.0536210589920358"/>
    <m/>
    <m/>
    <m/>
    <m/>
    <m/>
    <b v="0"/>
    <s v="P"/>
    <s v="OVER"/>
    <n v="0"/>
    <n v="0"/>
    <n v="0"/>
    <n v="1.2013114754098342"/>
    <n v="1.4431492609513525"/>
    <n v="9.0536210589920358"/>
    <n v="81.968054279824074"/>
  </r>
  <r>
    <x v="131"/>
    <x v="22"/>
    <x v="27"/>
    <m/>
    <m/>
    <m/>
    <m/>
    <m/>
    <m/>
    <m/>
    <m/>
    <n v="104.66134196997592"/>
    <m/>
    <n v="104.94348400000001"/>
    <m/>
    <m/>
    <n v="97.3"/>
    <n v="95.1"/>
    <m/>
    <m/>
    <m/>
    <m/>
    <n v="-8.8688524590165407E-2"/>
    <m/>
    <m/>
    <n v="0.28214203002409022"/>
    <m/>
    <m/>
    <m/>
    <m/>
    <m/>
    <b v="0"/>
    <s v="SE"/>
    <s v="OVER"/>
    <n v="0"/>
    <n v="0"/>
    <n v="0"/>
    <n v="-8.8688524590165407E-2"/>
    <n v="7.8656543939803741E-3"/>
    <n v="0.28214203002409022"/>
    <n v="7.9604125106114629E-2"/>
  </r>
  <r>
    <x v="131"/>
    <x v="23"/>
    <x v="21"/>
    <m/>
    <m/>
    <m/>
    <m/>
    <m/>
    <m/>
    <m/>
    <m/>
    <n v="108.66170917909572"/>
    <m/>
    <n v="109.45914800000001"/>
    <m/>
    <m/>
    <n v="99.1"/>
    <n v="100.2"/>
    <m/>
    <m/>
    <m/>
    <m/>
    <n v="-4.5386885245901656"/>
    <m/>
    <m/>
    <n v="0.79743882090428997"/>
    <m/>
    <m/>
    <m/>
    <m/>
    <m/>
    <b v="0"/>
    <s v="NW"/>
    <s v="OVER"/>
    <n v="0"/>
    <n v="0"/>
    <n v="0"/>
    <n v="-4.5386885245901656"/>
    <n v="20.599693523246454"/>
    <n v="0.79743882090428997"/>
    <n v="0.63590867308522425"/>
  </r>
  <r>
    <x v="131"/>
    <x v="6"/>
    <x v="26"/>
    <m/>
    <m/>
    <m/>
    <m/>
    <m/>
    <m/>
    <m/>
    <m/>
    <n v="102.52471473041639"/>
    <m/>
    <n v="97.705510666666683"/>
    <m/>
    <m/>
    <n v="96.2"/>
    <n v="96.1"/>
    <m/>
    <m/>
    <m/>
    <m/>
    <n v="-5.8186885245901658"/>
    <m/>
    <m/>
    <n v="-4.8192040637497087"/>
    <m/>
    <m/>
    <m/>
    <m/>
    <m/>
    <b v="0"/>
    <s v="SW"/>
    <s v="OVER"/>
    <n v="0"/>
    <n v="0"/>
    <n v="0"/>
    <n v="-5.8186885245901658"/>
    <n v="33.857136146197284"/>
    <n v="-4.8192040637497087"/>
    <n v="23.224727808061704"/>
  </r>
  <r>
    <x v="131"/>
    <x v="28"/>
    <x v="13"/>
    <m/>
    <m/>
    <m/>
    <m/>
    <m/>
    <m/>
    <m/>
    <m/>
    <n v="119.05204150317566"/>
    <m/>
    <n v="106.32568066666668"/>
    <m/>
    <m/>
    <n v="95.8"/>
    <n v="96.1"/>
    <m/>
    <m/>
    <m/>
    <m/>
    <n v="-4.3286885245901656"/>
    <m/>
    <m/>
    <n v="-12.726360836508974"/>
    <m/>
    <m/>
    <m/>
    <m/>
    <m/>
    <b v="0"/>
    <s v="NW"/>
    <s v="OVER"/>
    <n v="0"/>
    <n v="0"/>
    <n v="0"/>
    <n v="-4.3286885245901656"/>
    <n v="18.737544342918586"/>
    <n v="-12.726360836508974"/>
    <n v="161.96026014102938"/>
  </r>
  <r>
    <x v="131"/>
    <x v="15"/>
    <x v="17"/>
    <m/>
    <m/>
    <m/>
    <m/>
    <m/>
    <m/>
    <m/>
    <m/>
    <n v="106.79174010654768"/>
    <m/>
    <n v="95.406388000000021"/>
    <m/>
    <m/>
    <n v="94.2"/>
    <n v="94.2"/>
    <m/>
    <m/>
    <m/>
    <m/>
    <n v="-9.3686885245901657"/>
    <m/>
    <m/>
    <n v="-11.385352106547657"/>
    <m/>
    <m/>
    <m/>
    <m/>
    <m/>
    <b v="0"/>
    <s v="P"/>
    <s v="OVER"/>
    <n v="0"/>
    <n v="0"/>
    <n v="0"/>
    <n v="-9.3686885245901657"/>
    <n v="87.772324670787455"/>
    <n v="-11.385352106547657"/>
    <n v="129.62624259006918"/>
  </r>
  <r>
    <x v="131"/>
    <x v="25"/>
    <x v="24"/>
    <m/>
    <m/>
    <m/>
    <m/>
    <m/>
    <m/>
    <m/>
    <m/>
    <n v="95.369665251492961"/>
    <m/>
    <n v="99.944661333333357"/>
    <m/>
    <m/>
    <n v="93.3"/>
    <n v="99.2"/>
    <m/>
    <m/>
    <m/>
    <m/>
    <n v="-7.7386885245901667"/>
    <m/>
    <m/>
    <n v="4.5749960818403963"/>
    <m/>
    <m/>
    <m/>
    <m/>
    <m/>
    <b v="0"/>
    <s v="SW"/>
    <s v="OVER"/>
    <n v="0"/>
    <n v="0"/>
    <n v="0"/>
    <n v="-7.7386885245901667"/>
    <n v="59.887300080623532"/>
    <n v="4.5749960818403963"/>
    <n v="20.930589148854978"/>
  </r>
  <r>
    <x v="131"/>
    <x v="12"/>
    <x v="4"/>
    <m/>
    <m/>
    <m/>
    <m/>
    <m/>
    <m/>
    <m/>
    <m/>
    <n v="109.06956369203996"/>
    <m/>
    <n v="100.03208000000004"/>
    <m/>
    <m/>
    <n v="95.4"/>
    <n v="102"/>
    <m/>
    <m/>
    <m/>
    <m/>
    <n v="-17.618688524590166"/>
    <m/>
    <m/>
    <n v="-9.0374836920399275"/>
    <m/>
    <m/>
    <m/>
    <m/>
    <m/>
    <b v="0"/>
    <s v="A"/>
    <s v="OVER"/>
    <n v="0"/>
    <n v="0"/>
    <n v="0"/>
    <n v="-17.618688524590166"/>
    <n v="310.41818532652519"/>
    <n v="-9.0374836920399275"/>
    <n v="81.676111483887638"/>
  </r>
  <r>
    <x v="131"/>
    <x v="21"/>
    <x v="15"/>
    <m/>
    <m/>
    <m/>
    <m/>
    <m/>
    <m/>
    <m/>
    <m/>
    <n v="102.78375584399453"/>
    <m/>
    <n v="106.8986026666667"/>
    <m/>
    <m/>
    <n v="91.5"/>
    <n v="96.4"/>
    <m/>
    <m/>
    <m/>
    <m/>
    <n v="5.691311475409834"/>
    <m/>
    <m/>
    <n v="4.1148468226721775"/>
    <m/>
    <m/>
    <m/>
    <m/>
    <m/>
    <b v="0"/>
    <s v="NW"/>
    <s v="OVER"/>
    <n v="0"/>
    <n v="0"/>
    <n v="0"/>
    <n v="5.691311475409834"/>
    <n v="32.391026310131664"/>
    <n v="4.1148468226721775"/>
    <n v="16.931964374055315"/>
  </r>
  <r>
    <x v="132"/>
    <x v="16"/>
    <x v="10"/>
    <m/>
    <m/>
    <m/>
    <m/>
    <m/>
    <m/>
    <m/>
    <m/>
    <n v="99.224838012717797"/>
    <m/>
    <n v="101.56429733333336"/>
    <m/>
    <m/>
    <n v="92.9"/>
    <n v="92.6"/>
    <m/>
    <m/>
    <m/>
    <m/>
    <n v="6.3713114754098346"/>
    <m/>
    <m/>
    <n v="2.3394593206155605"/>
    <m/>
    <m/>
    <m/>
    <m/>
    <m/>
    <b v="0"/>
    <s v="A"/>
    <s v="OVER"/>
    <n v="0"/>
    <n v="0"/>
    <n v="0"/>
    <n v="6.3713114754098346"/>
    <n v="40.59360991668904"/>
    <n v="2.3394593206155605"/>
    <n v="5.4730699128150198"/>
  </r>
  <r>
    <x v="132"/>
    <x v="0"/>
    <x v="12"/>
    <m/>
    <m/>
    <m/>
    <m/>
    <m/>
    <m/>
    <m/>
    <m/>
    <n v="110.79868692672304"/>
    <m/>
    <n v="97.968628000000024"/>
    <m/>
    <m/>
    <n v="97.3"/>
    <n v="94.2"/>
    <m/>
    <m/>
    <m/>
    <m/>
    <n v="-8.8186885245901667"/>
    <m/>
    <m/>
    <n v="-12.830058926723012"/>
    <m/>
    <m/>
    <m/>
    <m/>
    <m/>
    <b v="1"/>
    <s v="C"/>
    <s v="OVER"/>
    <n v="0"/>
    <n v="0"/>
    <n v="0"/>
    <n v="-8.8186885245901667"/>
    <n v="77.769267293738295"/>
    <n v="-12.830058926723012"/>
    <n v="164.61041206318487"/>
  </r>
  <r>
    <x v="132"/>
    <x v="1"/>
    <x v="28"/>
    <m/>
    <m/>
    <m/>
    <m/>
    <m/>
    <m/>
    <m/>
    <m/>
    <n v="116.73875298006877"/>
    <m/>
    <n v="95.345900000000015"/>
    <m/>
    <m/>
    <n v="100.7"/>
    <n v="97.5"/>
    <m/>
    <m/>
    <m/>
    <m/>
    <n v="-23.708688524590166"/>
    <m/>
    <m/>
    <n v="-21.392852980068753"/>
    <m/>
    <m/>
    <m/>
    <m/>
    <m/>
    <b v="0"/>
    <s v="P"/>
    <s v="OVER"/>
    <n v="0"/>
    <n v="0"/>
    <n v="0"/>
    <n v="-23.708688524590166"/>
    <n v="562.10191155603343"/>
    <n v="-21.392852980068753"/>
    <n v="457.65415862683653"/>
  </r>
  <r>
    <x v="132"/>
    <x v="8"/>
    <x v="22"/>
    <m/>
    <m/>
    <m/>
    <m/>
    <m/>
    <m/>
    <m/>
    <m/>
    <n v="108.44231327976011"/>
    <m/>
    <n v="107.74116200000002"/>
    <m/>
    <m/>
    <n v="98.8"/>
    <n v="99.3"/>
    <m/>
    <m/>
    <m/>
    <m/>
    <n v="-2.5186885245901656"/>
    <m/>
    <m/>
    <n v="-0.70115127976009717"/>
    <m/>
    <m/>
    <m/>
    <m/>
    <m/>
    <b v="0"/>
    <s v="SW"/>
    <s v="OVER"/>
    <n v="0"/>
    <n v="0"/>
    <n v="0"/>
    <n v="-2.5186885245901656"/>
    <n v="6.3437918839021847"/>
    <n v="-0.70115127976009717"/>
    <n v="0.49161311710922206"/>
  </r>
  <r>
    <x v="132"/>
    <x v="24"/>
    <x v="16"/>
    <m/>
    <m/>
    <m/>
    <m/>
    <m/>
    <m/>
    <m/>
    <m/>
    <n v="110.64171945611427"/>
    <m/>
    <n v="105.17182533333335"/>
    <m/>
    <m/>
    <n v="96.2"/>
    <n v="98.3"/>
    <m/>
    <m/>
    <m/>
    <m/>
    <n v="-5.9586885245901655"/>
    <m/>
    <m/>
    <n v="-5.4698941227809286"/>
    <m/>
    <m/>
    <m/>
    <m/>
    <m/>
    <b v="0"/>
    <s v="A"/>
    <s v="OVER"/>
    <n v="0"/>
    <n v="0"/>
    <n v="0"/>
    <n v="-5.9586885245901655"/>
    <n v="35.505968933082521"/>
    <n v="-5.4698941227809286"/>
    <n v="29.919741714433343"/>
  </r>
  <r>
    <x v="133"/>
    <x v="3"/>
    <x v="6"/>
    <m/>
    <m/>
    <m/>
    <m/>
    <m/>
    <m/>
    <m/>
    <m/>
    <n v="108.75799124532324"/>
    <m/>
    <n v="104.90163866666668"/>
    <m/>
    <m/>
    <n v="99.5"/>
    <n v="95.8"/>
    <m/>
    <m/>
    <m/>
    <m/>
    <n v="-4.558688524590166"/>
    <m/>
    <m/>
    <n v="-3.8563525786565549"/>
    <m/>
    <m/>
    <m/>
    <m/>
    <m/>
    <b v="0"/>
    <s v="A"/>
    <s v="OVER"/>
    <n v="0"/>
    <n v="0"/>
    <n v="0"/>
    <n v="-4.558688524590166"/>
    <n v="20.781641064230065"/>
    <n v="-3.8563525786565549"/>
    <n v="14.87145521091106"/>
  </r>
  <r>
    <x v="133"/>
    <x v="14"/>
    <x v="23"/>
    <m/>
    <m/>
    <m/>
    <m/>
    <m/>
    <m/>
    <m/>
    <m/>
    <n v="105.02920726701197"/>
    <m/>
    <n v="98.191981333333374"/>
    <m/>
    <m/>
    <n v="95.1"/>
    <n v="96.2"/>
    <m/>
    <m/>
    <m/>
    <m/>
    <n v="-6.8386885245901654"/>
    <m/>
    <m/>
    <n v="-6.8372259336785959"/>
    <m/>
    <m/>
    <m/>
    <m/>
    <m/>
    <b v="0"/>
    <s v="C"/>
    <s v="OVER"/>
    <n v="0"/>
    <n v="0"/>
    <n v="0"/>
    <n v="-6.8386885245901654"/>
    <n v="46.767660736361215"/>
    <n v="-6.8372259336785959"/>
    <n v="46.747658468167145"/>
  </r>
  <r>
    <x v="133"/>
    <x v="18"/>
    <x v="2"/>
    <m/>
    <m/>
    <m/>
    <m/>
    <m/>
    <m/>
    <m/>
    <m/>
    <n v="106.6405783347156"/>
    <m/>
    <n v="93.092710000000025"/>
    <m/>
    <m/>
    <n v="94.2"/>
    <n v="91.5"/>
    <m/>
    <m/>
    <m/>
    <m/>
    <n v="-1.2586885245901653"/>
    <m/>
    <m/>
    <n v="-13.547868334715574"/>
    <m/>
    <m/>
    <m/>
    <m/>
    <m/>
    <b v="0"/>
    <s v="C"/>
    <s v="OVER"/>
    <n v="0"/>
    <n v="0"/>
    <n v="0"/>
    <n v="-1.2586885245901653"/>
    <n v="1.5842968019349672"/>
    <n v="-13.547868334715574"/>
    <n v="183.54473641478893"/>
  </r>
  <r>
    <x v="133"/>
    <x v="26"/>
    <x v="21"/>
    <m/>
    <m/>
    <m/>
    <m/>
    <m/>
    <m/>
    <m/>
    <m/>
    <n v="114.67797549407402"/>
    <m/>
    <n v="111.84390800000003"/>
    <m/>
    <m/>
    <n v="96.9"/>
    <n v="100.2"/>
    <m/>
    <m/>
    <m/>
    <m/>
    <n v="-8.8986885245901668"/>
    <m/>
    <m/>
    <n v="-2.8340674940739916"/>
    <m/>
    <m/>
    <m/>
    <m/>
    <m/>
    <b v="0"/>
    <s v="SW"/>
    <s v="OVER"/>
    <n v="0"/>
    <n v="0"/>
    <n v="0"/>
    <n v="-8.8986885245901668"/>
    <n v="79.186657457672723"/>
    <n v="-2.8340674940739916"/>
    <n v="8.0319385609668341"/>
  </r>
  <r>
    <x v="133"/>
    <x v="4"/>
    <x v="7"/>
    <m/>
    <m/>
    <m/>
    <m/>
    <m/>
    <m/>
    <m/>
    <m/>
    <n v="105.58062341452113"/>
    <m/>
    <n v="106.89442866666668"/>
    <m/>
    <m/>
    <n v="98.3"/>
    <n v="97.3"/>
    <m/>
    <m/>
    <m/>
    <m/>
    <n v="3.9913114754098342"/>
    <m/>
    <m/>
    <n v="1.3138052521455563"/>
    <m/>
    <m/>
    <m/>
    <m/>
    <m/>
    <b v="0"/>
    <s v="C"/>
    <s v="OVER"/>
    <n v="0"/>
    <n v="0"/>
    <n v="0"/>
    <n v="3.9913114754098342"/>
    <n v="15.930567293738228"/>
    <n v="1.3138052521455563"/>
    <n v="1.7260842405652488"/>
  </r>
  <r>
    <x v="133"/>
    <x v="27"/>
    <x v="26"/>
    <m/>
    <m/>
    <m/>
    <m/>
    <m/>
    <m/>
    <m/>
    <m/>
    <n v="114.76324172355892"/>
    <m/>
    <n v="98.378210666666689"/>
    <m/>
    <m/>
    <n v="96.4"/>
    <n v="96.1"/>
    <m/>
    <m/>
    <m/>
    <m/>
    <n v="-17.918688524590166"/>
    <m/>
    <m/>
    <n v="-16.385031056892231"/>
    <m/>
    <m/>
    <m/>
    <m/>
    <m/>
    <b v="0"/>
    <s v="P"/>
    <s v="OVER"/>
    <n v="0"/>
    <n v="0"/>
    <n v="0"/>
    <n v="-17.918688524590166"/>
    <n v="321.0793984412793"/>
    <n v="-16.385031056892231"/>
    <n v="268.46924273532295"/>
  </r>
  <r>
    <x v="133"/>
    <x v="19"/>
    <x v="25"/>
    <m/>
    <m/>
    <m/>
    <m/>
    <m/>
    <m/>
    <m/>
    <m/>
    <n v="99.454813682385193"/>
    <m/>
    <n v="98.039898666666673"/>
    <m/>
    <m/>
    <n v="93.9"/>
    <n v="98.8"/>
    <m/>
    <m/>
    <m/>
    <m/>
    <n v="-4.3586885245901659"/>
    <m/>
    <m/>
    <n v="-1.4149150157185204"/>
    <m/>
    <m/>
    <m/>
    <m/>
    <m/>
    <b v="0"/>
    <s v="SE"/>
    <s v="OVER"/>
    <n v="0"/>
    <n v="0"/>
    <n v="0"/>
    <n v="-4.3586885245901659"/>
    <n v="18.998165654393997"/>
    <n v="-1.4149150157185204"/>
    <n v="2.0019845017057407"/>
  </r>
  <r>
    <x v="133"/>
    <x v="11"/>
    <x v="11"/>
    <m/>
    <m/>
    <m/>
    <m/>
    <m/>
    <m/>
    <m/>
    <m/>
    <n v="98.853440941007989"/>
    <m/>
    <n v="102.81050800000003"/>
    <m/>
    <m/>
    <n v="101.7"/>
    <n v="94.2"/>
    <m/>
    <m/>
    <m/>
    <m/>
    <n v="1.6213114754098341"/>
    <m/>
    <m/>
    <n v="3.9570670589920383"/>
    <m/>
    <m/>
    <m/>
    <m/>
    <m/>
    <b v="1"/>
    <s v="P"/>
    <s v="OVER"/>
    <n v="0"/>
    <n v="0"/>
    <n v="0"/>
    <n v="1.6213114754098341"/>
    <n v="2.6286509002956131"/>
    <n v="3.9570670589920383"/>
    <n v="15.658379709359899"/>
  </r>
  <r>
    <x v="133"/>
    <x v="25"/>
    <x v="22"/>
    <m/>
    <m/>
    <m/>
    <m/>
    <m/>
    <m/>
    <m/>
    <m/>
    <n v="106.94819525149296"/>
    <m/>
    <n v="107.65179200000001"/>
    <m/>
    <m/>
    <n v="93.3"/>
    <n v="99.3"/>
    <m/>
    <m/>
    <m/>
    <m/>
    <n v="-12.488688524590167"/>
    <m/>
    <m/>
    <n v="0.70359674850705289"/>
    <m/>
    <m/>
    <m/>
    <m/>
    <m/>
    <b v="0"/>
    <s v="SW"/>
    <s v="OVER"/>
    <n v="0"/>
    <n v="0"/>
    <n v="0"/>
    <n v="-12.488688524590167"/>
    <n v="155.96734106423011"/>
    <n v="0.70359674850705289"/>
    <n v="0.49504838450969701"/>
  </r>
  <r>
    <x v="133"/>
    <x v="29"/>
    <x v="4"/>
    <m/>
    <m/>
    <m/>
    <m/>
    <m/>
    <m/>
    <m/>
    <m/>
    <n v="108.66074029849834"/>
    <m/>
    <n v="102.49028000000003"/>
    <m/>
    <m/>
    <n v="96.1"/>
    <n v="102"/>
    <m/>
    <m/>
    <m/>
    <m/>
    <n v="-8.8786885245901654"/>
    <m/>
    <m/>
    <n v="-6.1704602984983126"/>
    <m/>
    <m/>
    <m/>
    <m/>
    <m/>
    <b v="0"/>
    <s v="SE"/>
    <s v="OVER"/>
    <n v="0"/>
    <n v="0"/>
    <n v="0"/>
    <n v="-8.8786885245901654"/>
    <n v="78.831109916689087"/>
    <n v="-6.1704602984983126"/>
    <n v="38.074580295343885"/>
  </r>
  <r>
    <x v="134"/>
    <x v="13"/>
    <x v="23"/>
    <m/>
    <m/>
    <m/>
    <m/>
    <m/>
    <m/>
    <m/>
    <m/>
    <n v="95.287159292911284"/>
    <m/>
    <n v="91.996701333333377"/>
    <m/>
    <m/>
    <n v="99.2"/>
    <n v="96.2"/>
    <m/>
    <m/>
    <m/>
    <m/>
    <n v="-4.4786885245901651"/>
    <m/>
    <m/>
    <n v="-3.2904579595779069"/>
    <m/>
    <m/>
    <m/>
    <m/>
    <m/>
    <b v="0"/>
    <s v="SE"/>
    <s v="OVER"/>
    <n v="0"/>
    <n v="0"/>
    <n v="0"/>
    <n v="-4.4786885245901651"/>
    <n v="20.058650900295628"/>
    <n v="-3.2904579595779069"/>
    <n v="10.827113583749602"/>
  </r>
  <r>
    <x v="134"/>
    <x v="0"/>
    <x v="2"/>
    <m/>
    <m/>
    <m/>
    <m/>
    <m/>
    <m/>
    <m/>
    <m/>
    <n v="111.13923692672303"/>
    <m/>
    <n v="96.880810000000039"/>
    <m/>
    <m/>
    <n v="97.3"/>
    <n v="91.5"/>
    <m/>
    <m/>
    <m/>
    <m/>
    <n v="-7.2986885245901663"/>
    <m/>
    <m/>
    <n v="-14.25842692672299"/>
    <m/>
    <m/>
    <m/>
    <m/>
    <m/>
    <b v="0"/>
    <s v="C"/>
    <s v="OVER"/>
    <n v="0"/>
    <n v="0"/>
    <n v="0"/>
    <n v="-7.2986885245901663"/>
    <n v="53.27085417898418"/>
    <n v="-14.25842692672299"/>
    <n v="203.30273842469921"/>
  </r>
  <r>
    <x v="134"/>
    <x v="23"/>
    <x v="15"/>
    <m/>
    <m/>
    <m/>
    <m/>
    <m/>
    <m/>
    <m/>
    <m/>
    <n v="99.990459179095723"/>
    <m/>
    <n v="111.4776026666667"/>
    <m/>
    <m/>
    <n v="99.1"/>
    <n v="96.4"/>
    <m/>
    <m/>
    <m/>
    <m/>
    <n v="10.611311475409835"/>
    <m/>
    <m/>
    <n v="11.487143487570975"/>
    <m/>
    <m/>
    <m/>
    <m/>
    <m/>
    <b v="0"/>
    <s v="NW"/>
    <s v="OVER"/>
    <n v="0"/>
    <n v="0"/>
    <n v="0"/>
    <n v="10.611311475409835"/>
    <n v="112.59993122816445"/>
    <n v="11.487143487570975"/>
    <n v="131.95446550404426"/>
  </r>
  <r>
    <x v="134"/>
    <x v="1"/>
    <x v="17"/>
    <m/>
    <m/>
    <m/>
    <m/>
    <m/>
    <m/>
    <m/>
    <m/>
    <n v="114.70461298006877"/>
    <m/>
    <n v="91.233328000000014"/>
    <m/>
    <m/>
    <n v="100.7"/>
    <n v="94.2"/>
    <m/>
    <m/>
    <m/>
    <m/>
    <n v="-22.628688524590167"/>
    <m/>
    <m/>
    <n v="-23.471284980068759"/>
    <m/>
    <m/>
    <m/>
    <m/>
    <m/>
    <b v="0"/>
    <s v="P"/>
    <s v="OVER"/>
    <n v="0"/>
    <n v="0"/>
    <n v="0"/>
    <n v="-22.628688524590167"/>
    <n v="512.05754434291873"/>
    <n v="-23.471284980068759"/>
    <n v="550.90121861560135"/>
  </r>
  <r>
    <x v="134"/>
    <x v="24"/>
    <x v="3"/>
    <m/>
    <m/>
    <m/>
    <m/>
    <m/>
    <m/>
    <m/>
    <m/>
    <n v="113.03709945611428"/>
    <m/>
    <n v="97.982249333333357"/>
    <m/>
    <m/>
    <n v="96.2"/>
    <n v="92.9"/>
    <m/>
    <m/>
    <m/>
    <m/>
    <n v="-9.9586885245901655"/>
    <m/>
    <m/>
    <n v="-15.05485012278092"/>
    <m/>
    <m/>
    <m/>
    <m/>
    <m/>
    <b v="1"/>
    <s v="A"/>
    <s v="OVER"/>
    <n v="0"/>
    <n v="0"/>
    <n v="0"/>
    <n v="-9.9586885245901655"/>
    <n v="99.175477129803852"/>
    <n v="-15.05485012278092"/>
    <n v="226.64851221939668"/>
  </r>
  <r>
    <x v="134"/>
    <x v="12"/>
    <x v="10"/>
    <m/>
    <m/>
    <m/>
    <m/>
    <m/>
    <m/>
    <m/>
    <m/>
    <n v="108.16326369203996"/>
    <m/>
    <n v="98.480717333333359"/>
    <m/>
    <m/>
    <n v="95.4"/>
    <n v="92.6"/>
    <m/>
    <m/>
    <m/>
    <m/>
    <n v="-8.3886885245901652"/>
    <m/>
    <m/>
    <n v="-9.6825463587066025"/>
    <m/>
    <m/>
    <m/>
    <m/>
    <m/>
    <b v="0"/>
    <s v="A"/>
    <s v="OVER"/>
    <n v="0"/>
    <n v="0"/>
    <n v="0"/>
    <n v="-8.3886885245901652"/>
    <n v="70.370095162590729"/>
    <n v="-9.6825463587066025"/>
    <n v="93.751703988502484"/>
  </r>
  <r>
    <x v="135"/>
    <x v="16"/>
    <x v="14"/>
    <m/>
    <m/>
    <m/>
    <m/>
    <m/>
    <m/>
    <m/>
    <m/>
    <n v="101.31508801271781"/>
    <m/>
    <n v="111.57001333333335"/>
    <m/>
    <m/>
    <n v="92.9"/>
    <n v="99.5"/>
    <m/>
    <m/>
    <m/>
    <m/>
    <n v="6.5713114754098338"/>
    <m/>
    <m/>
    <n v="10.254925320615541"/>
    <m/>
    <m/>
    <m/>
    <m/>
    <m/>
    <b v="1"/>
    <s v="A"/>
    <s v="OVER"/>
    <n v="0"/>
    <n v="0"/>
    <n v="0"/>
    <n v="6.5713114754098338"/>
    <n v="43.182134506852968"/>
    <n v="10.254925320615541"/>
    <n v="105.16349333140177"/>
  </r>
  <r>
    <x v="135"/>
    <x v="18"/>
    <x v="29"/>
    <m/>
    <m/>
    <m/>
    <m/>
    <m/>
    <m/>
    <m/>
    <m/>
    <n v="111.6708583347156"/>
    <m/>
    <n v="103.78629600000004"/>
    <m/>
    <m/>
    <n v="94.2"/>
    <n v="95.4"/>
    <m/>
    <m/>
    <m/>
    <m/>
    <n v="0.4713114754098342"/>
    <m/>
    <m/>
    <n v="-7.884562334715568"/>
    <m/>
    <m/>
    <m/>
    <m/>
    <m/>
    <b v="0"/>
    <s v="C"/>
    <s v="OVER"/>
    <n v="0"/>
    <n v="0"/>
    <n v="0"/>
    <n v="0.4713114754098342"/>
    <n v="0.22213450685299474"/>
    <n v="-7.884562334715568"/>
    <n v="62.166323210015406"/>
  </r>
  <r>
    <x v="135"/>
    <x v="5"/>
    <x v="26"/>
    <m/>
    <m/>
    <m/>
    <m/>
    <m/>
    <m/>
    <m/>
    <m/>
    <n v="110.9833514170964"/>
    <m/>
    <n v="106.78696066666669"/>
    <m/>
    <m/>
    <n v="100.2"/>
    <n v="96.1"/>
    <m/>
    <m/>
    <m/>
    <m/>
    <n v="-2.768688524590166"/>
    <m/>
    <m/>
    <n v="-4.196390750429714"/>
    <m/>
    <m/>
    <m/>
    <m/>
    <m/>
    <b v="0"/>
    <s v="P"/>
    <s v="OVER"/>
    <n v="0"/>
    <n v="0"/>
    <n v="0"/>
    <n v="-2.768688524590166"/>
    <n v="7.6656361461972704"/>
    <n v="-4.196390750429714"/>
    <n v="17.609695330292059"/>
  </r>
  <r>
    <x v="135"/>
    <x v="19"/>
    <x v="6"/>
    <m/>
    <m/>
    <m/>
    <m/>
    <m/>
    <m/>
    <m/>
    <m/>
    <n v="103.83994368238518"/>
    <m/>
    <n v="100.95467866666668"/>
    <m/>
    <m/>
    <n v="93.9"/>
    <n v="95.8"/>
    <m/>
    <m/>
    <m/>
    <m/>
    <n v="-2.8786885245901659"/>
    <m/>
    <m/>
    <n v="-2.8852650157185025"/>
    <m/>
    <m/>
    <m/>
    <m/>
    <m/>
    <b v="0"/>
    <s v="SE"/>
    <s v="OVER"/>
    <n v="0"/>
    <n v="0"/>
    <n v="0"/>
    <n v="-2.8786885245901659"/>
    <n v="8.286847621607107"/>
    <n v="-2.8852650157185025"/>
    <n v="8.3247542109290897"/>
  </r>
  <r>
    <x v="135"/>
    <x v="8"/>
    <x v="5"/>
    <m/>
    <m/>
    <m/>
    <m/>
    <m/>
    <m/>
    <m/>
    <m/>
    <n v="105.65615327976012"/>
    <m/>
    <n v="108.34453600000003"/>
    <m/>
    <m/>
    <n v="98.8"/>
    <n v="96.9"/>
    <m/>
    <m/>
    <m/>
    <m/>
    <n v="3.6013114754098345"/>
    <m/>
    <m/>
    <n v="2.6883827202399146"/>
    <m/>
    <m/>
    <m/>
    <m/>
    <m/>
    <b v="1"/>
    <s v="SW"/>
    <s v="OVER"/>
    <n v="0"/>
    <n v="0"/>
    <n v="0"/>
    <n v="3.6013114754098345"/>
    <n v="12.969444342918559"/>
    <n v="2.6883827202399146"/>
    <n v="7.2274016504845635"/>
  </r>
  <r>
    <x v="135"/>
    <x v="10"/>
    <x v="4"/>
    <m/>
    <m/>
    <m/>
    <m/>
    <m/>
    <m/>
    <m/>
    <m/>
    <n v="98.158694198882515"/>
    <m/>
    <n v="101.02148000000003"/>
    <m/>
    <m/>
    <n v="97.5"/>
    <n v="102"/>
    <m/>
    <m/>
    <m/>
    <m/>
    <n v="-1.9586885245901655"/>
    <m/>
    <m/>
    <n v="2.8627858011175107"/>
    <m/>
    <m/>
    <m/>
    <m/>
    <m/>
    <b v="0"/>
    <s v="A"/>
    <s v="OVER"/>
    <n v="0"/>
    <n v="0"/>
    <n v="0"/>
    <n v="-1.9586885245901655"/>
    <n v="3.8364607363611993"/>
    <n v="2.8627858011175107"/>
    <n v="8.1955425430800268"/>
  </r>
  <r>
    <x v="135"/>
    <x v="11"/>
    <x v="17"/>
    <m/>
    <m/>
    <m/>
    <m/>
    <m/>
    <m/>
    <m/>
    <m/>
    <n v="95.324450941007981"/>
    <m/>
    <n v="93.333988000000019"/>
    <m/>
    <m/>
    <n v="101.7"/>
    <n v="94.2"/>
    <m/>
    <m/>
    <m/>
    <m/>
    <n v="-4.9686885245901662"/>
    <m/>
    <m/>
    <n v="-1.9904629410079622"/>
    <m/>
    <m/>
    <m/>
    <m/>
    <m/>
    <b v="0"/>
    <s v="P"/>
    <s v="OVER"/>
    <n v="0"/>
    <n v="0"/>
    <n v="0"/>
    <n v="-4.9686885245901662"/>
    <n v="24.687865654394002"/>
    <n v="-1.9904629410079622"/>
    <n v="3.9619427195260664"/>
  </r>
  <r>
    <x v="135"/>
    <x v="29"/>
    <x v="27"/>
    <m/>
    <m/>
    <m/>
    <m/>
    <m/>
    <m/>
    <m/>
    <m/>
    <n v="108.87216029849834"/>
    <m/>
    <n v="108.64287400000001"/>
    <m/>
    <m/>
    <n v="96.1"/>
    <n v="95.1"/>
    <m/>
    <m/>
    <m/>
    <m/>
    <n v="4.6613114754098337"/>
    <m/>
    <m/>
    <n v="-0.22928629849833726"/>
    <m/>
    <m/>
    <m/>
    <m/>
    <m/>
    <b v="0"/>
    <s v="SE"/>
    <s v="OVER"/>
    <n v="0"/>
    <n v="0"/>
    <n v="0"/>
    <n v="4.6613114754098337"/>
    <n v="21.727824670787399"/>
    <n v="-0.22928629849833726"/>
    <n v="5.2572206679068617E-2"/>
  </r>
  <r>
    <x v="136"/>
    <x v="13"/>
    <x v="22"/>
    <m/>
    <m/>
    <m/>
    <m/>
    <m/>
    <m/>
    <m/>
    <m/>
    <n v="105.51467929291128"/>
    <m/>
    <n v="102.17043200000002"/>
    <m/>
    <m/>
    <n v="99.2"/>
    <n v="99.3"/>
    <m/>
    <m/>
    <m/>
    <m/>
    <n v="-7.5286885245901658"/>
    <m/>
    <m/>
    <n v="-3.3442472929112625"/>
    <m/>
    <m/>
    <m/>
    <m/>
    <m/>
    <b v="0"/>
    <s v="SE"/>
    <s v="OVER"/>
    <n v="0"/>
    <n v="0"/>
    <n v="0"/>
    <n v="-7.5286885245901658"/>
    <n v="56.681150900295648"/>
    <n v="-3.3442472929112625"/>
    <n v="11.183989956144307"/>
  </r>
  <r>
    <x v="136"/>
    <x v="14"/>
    <x v="2"/>
    <m/>
    <m/>
    <m/>
    <m/>
    <m/>
    <m/>
    <m/>
    <m/>
    <n v="105.37156726701197"/>
    <m/>
    <n v="97.054660000000027"/>
    <m/>
    <m/>
    <n v="95.1"/>
    <n v="91.5"/>
    <m/>
    <m/>
    <m/>
    <m/>
    <n v="-3.2086885245901655"/>
    <m/>
    <m/>
    <n v="-8.3169072670119419"/>
    <m/>
    <m/>
    <m/>
    <m/>
    <m/>
    <b v="0"/>
    <s v="C"/>
    <s v="OVER"/>
    <n v="0"/>
    <n v="0"/>
    <n v="0"/>
    <n v="-3.2086885245901655"/>
    <n v="10.295682047836614"/>
    <n v="-8.3169072670119419"/>
    <n v="69.170946488076055"/>
  </r>
  <r>
    <x v="136"/>
    <x v="22"/>
    <x v="13"/>
    <m/>
    <m/>
    <m/>
    <m/>
    <m/>
    <m/>
    <m/>
    <m/>
    <n v="108.32955196997592"/>
    <m/>
    <n v="102.52012066666667"/>
    <m/>
    <m/>
    <n v="97.3"/>
    <n v="96.1"/>
    <m/>
    <m/>
    <m/>
    <m/>
    <n v="-7.5286885245901658"/>
    <m/>
    <m/>
    <n v="-5.8094313033092533"/>
    <m/>
    <m/>
    <m/>
    <m/>
    <m/>
    <b v="1"/>
    <s v="SE"/>
    <s v="OVER"/>
    <n v="0"/>
    <n v="0"/>
    <n v="0"/>
    <n v="-7.5286885245901658"/>
    <n v="56.681150900295648"/>
    <n v="-5.8094313033092533"/>
    <n v="33.749492067869447"/>
  </r>
  <r>
    <x v="136"/>
    <x v="23"/>
    <x v="5"/>
    <m/>
    <m/>
    <m/>
    <m/>
    <m/>
    <m/>
    <m/>
    <m/>
    <n v="106.71934917909573"/>
    <m/>
    <n v="109.89493600000003"/>
    <m/>
    <m/>
    <n v="99.1"/>
    <n v="96.9"/>
    <m/>
    <m/>
    <m/>
    <m/>
    <n v="1.5813114754098341"/>
    <m/>
    <m/>
    <n v="3.1755868209043001"/>
    <m/>
    <m/>
    <m/>
    <m/>
    <m/>
    <b v="0"/>
    <s v="NW"/>
    <s v="OVER"/>
    <n v="0"/>
    <n v="0"/>
    <n v="0"/>
    <n v="1.5813114754098341"/>
    <n v="2.5005459822628264"/>
    <n v="3.1755868209043001"/>
    <n v="10.084351657101079"/>
  </r>
  <r>
    <x v="136"/>
    <x v="1"/>
    <x v="26"/>
    <m/>
    <m/>
    <m/>
    <m/>
    <m/>
    <m/>
    <m/>
    <m/>
    <n v="117.05092298006876"/>
    <m/>
    <n v="101.25160066666669"/>
    <m/>
    <m/>
    <n v="100.7"/>
    <n v="96.1"/>
    <m/>
    <m/>
    <m/>
    <m/>
    <n v="-16.448688524590164"/>
    <m/>
    <m/>
    <n v="-15.799322313402072"/>
    <m/>
    <m/>
    <m/>
    <m/>
    <m/>
    <b v="0"/>
    <s v="P"/>
    <s v="OVER"/>
    <n v="0"/>
    <n v="0"/>
    <n v="0"/>
    <n v="-16.448688524590164"/>
    <n v="270.55935417898417"/>
    <n v="-15.799322313402072"/>
    <n v="249.61858556276462"/>
  </r>
  <r>
    <x v="136"/>
    <x v="27"/>
    <x v="20"/>
    <m/>
    <m/>
    <m/>
    <m/>
    <m/>
    <m/>
    <m/>
    <m/>
    <n v="112.03512172355892"/>
    <m/>
    <n v="107.74093866666669"/>
    <m/>
    <m/>
    <n v="96.4"/>
    <n v="97.3"/>
    <m/>
    <m/>
    <m/>
    <m/>
    <n v="-6.7286885245901651"/>
    <m/>
    <m/>
    <n v="-4.2941830568922228"/>
    <m/>
    <m/>
    <m/>
    <m/>
    <m/>
    <b v="0"/>
    <s v="P"/>
    <s v="OVER"/>
    <n v="0"/>
    <n v="0"/>
    <n v="0"/>
    <n v="-6.7286885245901651"/>
    <n v="45.275249260951369"/>
    <n v="-4.2941830568922228"/>
    <n v="18.440008126100235"/>
  </r>
  <r>
    <x v="136"/>
    <x v="6"/>
    <x v="1"/>
    <m/>
    <m/>
    <m/>
    <m/>
    <m/>
    <m/>
    <m/>
    <m/>
    <n v="99.099994730416398"/>
    <m/>
    <n v="100.58735200000001"/>
    <m/>
    <m/>
    <n v="96.2"/>
    <n v="93.3"/>
    <m/>
    <m/>
    <m/>
    <m/>
    <n v="3.8813114754098348"/>
    <m/>
    <m/>
    <n v="1.4873572695836117"/>
    <m/>
    <m/>
    <m/>
    <m/>
    <m/>
    <b v="1"/>
    <s v="SW"/>
    <s v="OVER"/>
    <n v="0"/>
    <n v="0"/>
    <n v="0"/>
    <n v="3.8813114754098348"/>
    <n v="15.064578769148069"/>
    <n v="1.4873572695836117"/>
    <n v="2.2122316473832164"/>
  </r>
  <r>
    <x v="136"/>
    <x v="20"/>
    <x v="11"/>
    <m/>
    <m/>
    <m/>
    <m/>
    <m/>
    <m/>
    <m/>
    <m/>
    <n v="108.71383681965827"/>
    <m/>
    <n v="100.22000800000002"/>
    <m/>
    <m/>
    <n v="92.6"/>
    <n v="94.2"/>
    <m/>
    <m/>
    <m/>
    <m/>
    <n v="-5.1586885245901657"/>
    <m/>
    <m/>
    <n v="-8.4938288196582477"/>
    <m/>
    <m/>
    <m/>
    <m/>
    <m/>
    <b v="0"/>
    <s v="NW"/>
    <s v="OVER"/>
    <n v="0"/>
    <n v="0"/>
    <n v="0"/>
    <n v="-5.1586885245901657"/>
    <n v="26.61206729373826"/>
    <n v="-8.4938288196582477"/>
    <n v="72.145128017657015"/>
  </r>
  <r>
    <x v="137"/>
    <x v="16"/>
    <x v="4"/>
    <m/>
    <m/>
    <m/>
    <m/>
    <m/>
    <m/>
    <m/>
    <m/>
    <n v="100.10738801271781"/>
    <m/>
    <n v="103.42868000000003"/>
    <m/>
    <m/>
    <n v="92.9"/>
    <n v="102"/>
    <m/>
    <m/>
    <m/>
    <m/>
    <n v="-2.8586885245901659"/>
    <m/>
    <m/>
    <n v="3.3212919872822226"/>
    <m/>
    <m/>
    <m/>
    <m/>
    <m/>
    <b v="0"/>
    <s v="A"/>
    <s v="OVER"/>
    <n v="0"/>
    <n v="0"/>
    <n v="0"/>
    <n v="-2.8586885245901659"/>
    <n v="8.1721000806234994"/>
    <n v="3.3212919872822226"/>
    <n v="11.030980464785095"/>
  </r>
  <r>
    <x v="137"/>
    <x v="18"/>
    <x v="19"/>
    <m/>
    <m/>
    <m/>
    <m/>
    <m/>
    <m/>
    <m/>
    <m/>
    <n v="111.8780983347156"/>
    <m/>
    <n v="98.27338800000004"/>
    <m/>
    <m/>
    <n v="94.2"/>
    <n v="101.7"/>
    <m/>
    <m/>
    <m/>
    <m/>
    <n v="-11.918688524590166"/>
    <m/>
    <m/>
    <n v="-13.604710334715563"/>
    <m/>
    <m/>
    <m/>
    <m/>
    <m/>
    <b v="0"/>
    <s v="C"/>
    <s v="OVER"/>
    <n v="0"/>
    <n v="0"/>
    <n v="0"/>
    <n v="-11.918688524590166"/>
    <n v="142.05513614619733"/>
    <n v="-13.604710334715563"/>
    <n v="185.08814329151645"/>
  </r>
  <r>
    <x v="137"/>
    <x v="5"/>
    <x v="20"/>
    <m/>
    <m/>
    <m/>
    <m/>
    <m/>
    <m/>
    <m/>
    <m/>
    <n v="108.14769141709641"/>
    <m/>
    <n v="116.25468866666669"/>
    <m/>
    <m/>
    <n v="100.2"/>
    <n v="97.3"/>
    <m/>
    <m/>
    <m/>
    <m/>
    <n v="8.4213114754098353"/>
    <m/>
    <m/>
    <n v="8.1069972495702842"/>
    <m/>
    <m/>
    <m/>
    <m/>
    <m/>
    <b v="0"/>
    <s v="P"/>
    <s v="OVER"/>
    <n v="0"/>
    <n v="0"/>
    <n v="0"/>
    <n v="8.4213114754098353"/>
    <n v="70.918486965869377"/>
    <n v="8.1069972495702842"/>
    <n v="65.723404404540148"/>
  </r>
  <r>
    <x v="137"/>
    <x v="19"/>
    <x v="22"/>
    <m/>
    <m/>
    <m/>
    <m/>
    <m/>
    <m/>
    <m/>
    <m/>
    <n v="105.84001368238519"/>
    <m/>
    <n v="105.54663200000002"/>
    <m/>
    <m/>
    <n v="93.9"/>
    <n v="99.3"/>
    <m/>
    <m/>
    <m/>
    <m/>
    <n v="-4.0986885245901661"/>
    <m/>
    <m/>
    <n v="-0.29338168238517426"/>
    <m/>
    <m/>
    <m/>
    <m/>
    <m/>
    <b v="0"/>
    <s v="SE"/>
    <s v="OVER"/>
    <n v="0"/>
    <n v="0"/>
    <n v="0"/>
    <n v="-4.0986885245901661"/>
    <n v="16.799247621607112"/>
    <n v="-0.29338168238517426"/>
    <n v="8.6072811559155263E-2"/>
  </r>
  <r>
    <x v="137"/>
    <x v="8"/>
    <x v="6"/>
    <m/>
    <m/>
    <m/>
    <m/>
    <m/>
    <m/>
    <m/>
    <m/>
    <n v="106.33787327976012"/>
    <m/>
    <n v="103.07185866666669"/>
    <m/>
    <m/>
    <n v="98.8"/>
    <n v="95.8"/>
    <m/>
    <m/>
    <m/>
    <m/>
    <n v="-1.2986885245901656"/>
    <m/>
    <m/>
    <n v="-3.2660146130934322"/>
    <m/>
    <m/>
    <m/>
    <m/>
    <m/>
    <b v="0"/>
    <s v="SW"/>
    <s v="OVER"/>
    <n v="0"/>
    <n v="0"/>
    <n v="0"/>
    <n v="-1.2986885245901656"/>
    <n v="1.6865918839021812"/>
    <n v="-3.2660146130934322"/>
    <n v="10.666851452939841"/>
  </r>
  <r>
    <x v="137"/>
    <x v="10"/>
    <x v="14"/>
    <m/>
    <m/>
    <m/>
    <m/>
    <m/>
    <m/>
    <m/>
    <m/>
    <n v="99.426194198882513"/>
    <m/>
    <n v="109.22181333333334"/>
    <m/>
    <m/>
    <n v="97.5"/>
    <n v="99.5"/>
    <m/>
    <m/>
    <m/>
    <m/>
    <n v="7.4713114754098342"/>
    <m/>
    <m/>
    <n v="9.7956191344508312"/>
    <m/>
    <m/>
    <m/>
    <m/>
    <m/>
    <b v="1"/>
    <s v="A"/>
    <s v="OVER"/>
    <n v="0"/>
    <n v="0"/>
    <n v="0"/>
    <n v="7.4713114754098342"/>
    <n v="55.820495162590674"/>
    <n v="9.7956191344508312"/>
    <n v="95.954154227219249"/>
  </r>
  <r>
    <x v="137"/>
    <x v="25"/>
    <x v="11"/>
    <m/>
    <m/>
    <m/>
    <m/>
    <m/>
    <m/>
    <m/>
    <m/>
    <n v="104.90492525149295"/>
    <m/>
    <n v="100.45550800000002"/>
    <m/>
    <m/>
    <n v="93.3"/>
    <n v="94.2"/>
    <m/>
    <m/>
    <m/>
    <m/>
    <n v="-12.068688524590167"/>
    <m/>
    <m/>
    <n v="-4.4494172514929318"/>
    <m/>
    <m/>
    <m/>
    <m/>
    <m/>
    <b v="0"/>
    <s v="SW"/>
    <s v="OVER"/>
    <n v="0"/>
    <n v="0"/>
    <n v="0"/>
    <n v="-12.068688524590167"/>
    <n v="145.65324270357436"/>
    <n v="-4.4494172514929318"/>
    <n v="19.797313877882914"/>
  </r>
  <r>
    <x v="137"/>
    <x v="12"/>
    <x v="16"/>
    <m/>
    <m/>
    <m/>
    <m/>
    <m/>
    <m/>
    <m/>
    <m/>
    <n v="111.37824369203997"/>
    <m/>
    <n v="102.80279533333335"/>
    <m/>
    <m/>
    <n v="95.4"/>
    <n v="98.3"/>
    <m/>
    <m/>
    <m/>
    <m/>
    <n v="-13.538688524590166"/>
    <m/>
    <m/>
    <n v="-8.5754483587066233"/>
    <m/>
    <m/>
    <m/>
    <m/>
    <m/>
    <b v="0"/>
    <s v="A"/>
    <s v="OVER"/>
    <n v="0"/>
    <n v="0"/>
    <n v="0"/>
    <n v="-13.538688524590166"/>
    <n v="183.29608696586942"/>
    <n v="-8.5754483587066233"/>
    <n v="73.538314552844113"/>
  </r>
  <r>
    <x v="138"/>
    <x v="3"/>
    <x v="13"/>
    <m/>
    <m/>
    <m/>
    <m/>
    <m/>
    <m/>
    <m/>
    <m/>
    <n v="108.68834124532324"/>
    <m/>
    <n v="103.67332066666668"/>
    <m/>
    <m/>
    <n v="99.5"/>
    <n v="96.1"/>
    <m/>
    <m/>
    <m/>
    <m/>
    <n v="-6.1086885245901659"/>
    <m/>
    <m/>
    <n v="-5.0150205786565607"/>
    <m/>
    <m/>
    <m/>
    <m/>
    <m/>
    <b v="0"/>
    <s v="A"/>
    <s v="OVER"/>
    <n v="0"/>
    <n v="0"/>
    <n v="0"/>
    <n v="-6.1086885245901659"/>
    <n v="37.316075490459575"/>
    <n v="-5.0150205786565607"/>
    <n v="25.150431404348787"/>
  </r>
  <r>
    <x v="138"/>
    <x v="22"/>
    <x v="24"/>
    <m/>
    <m/>
    <m/>
    <m/>
    <m/>
    <m/>
    <m/>
    <m/>
    <n v="98.395221969975921"/>
    <m/>
    <n v="100.73826133333336"/>
    <m/>
    <m/>
    <n v="97.3"/>
    <n v="99.2"/>
    <m/>
    <m/>
    <m/>
    <m/>
    <n v="-2.4486885245901653"/>
    <m/>
    <m/>
    <n v="2.343039363357434"/>
    <m/>
    <m/>
    <m/>
    <m/>
    <m/>
    <b v="1"/>
    <s v="SE"/>
    <s v="OVER"/>
    <n v="0"/>
    <n v="0"/>
    <n v="0"/>
    <n v="-2.4486885245901653"/>
    <n v="5.9960754904595603"/>
    <n v="2.343039363357434"/>
    <n v="5.4898334582424093"/>
  </r>
  <r>
    <x v="138"/>
    <x v="26"/>
    <x v="8"/>
    <m/>
    <m/>
    <m/>
    <m/>
    <m/>
    <m/>
    <m/>
    <m/>
    <n v="110.47251549407402"/>
    <m/>
    <n v="108.0593006666667"/>
    <m/>
    <m/>
    <n v="96.9"/>
    <n v="99.1"/>
    <m/>
    <m/>
    <m/>
    <m/>
    <n v="-7.1386885245901661"/>
    <m/>
    <m/>
    <n v="-2.413214827407316"/>
    <m/>
    <m/>
    <m/>
    <m/>
    <m/>
    <b v="0"/>
    <s v="SW"/>
    <s v="OVER"/>
    <n v="0"/>
    <n v="0"/>
    <n v="0"/>
    <n v="-7.1386885245901661"/>
    <n v="50.960873851115323"/>
    <n v="-2.413214827407316"/>
    <n v="5.8236058032185216"/>
  </r>
  <r>
    <x v="138"/>
    <x v="4"/>
    <x v="2"/>
    <m/>
    <m/>
    <m/>
    <m/>
    <m/>
    <m/>
    <m/>
    <m/>
    <n v="101.78624341452114"/>
    <m/>
    <n v="99.067660000000032"/>
    <m/>
    <m/>
    <n v="98.3"/>
    <n v="91.5"/>
    <m/>
    <m/>
    <m/>
    <m/>
    <n v="6.2513114754098345"/>
    <m/>
    <m/>
    <n v="-2.7185834145211061"/>
    <m/>
    <m/>
    <m/>
    <m/>
    <m/>
    <b v="0"/>
    <s v="C"/>
    <s v="OVER"/>
    <n v="0"/>
    <n v="0"/>
    <n v="0"/>
    <n v="6.2513114754098345"/>
    <n v="39.078895162590683"/>
    <n v="-2.7185834145211061"/>
    <n v="7.390695781709236"/>
  </r>
  <r>
    <x v="138"/>
    <x v="27"/>
    <x v="0"/>
    <m/>
    <m/>
    <m/>
    <m/>
    <m/>
    <m/>
    <m/>
    <m/>
    <n v="115.85256172355891"/>
    <m/>
    <n v="100.35648133333336"/>
    <m/>
    <m/>
    <n v="96.4"/>
    <n v="96.2"/>
    <m/>
    <m/>
    <m/>
    <m/>
    <n v="-17.098688524590166"/>
    <m/>
    <m/>
    <n v="-15.496080390225544"/>
    <m/>
    <m/>
    <m/>
    <m/>
    <m/>
    <b v="0"/>
    <s v="P"/>
    <s v="OVER"/>
    <n v="0"/>
    <n v="0"/>
    <n v="0"/>
    <n v="-17.098688524590166"/>
    <n v="292.36514926095145"/>
    <n v="-15.496080390225544"/>
    <n v="240.12850746033263"/>
  </r>
  <r>
    <x v="138"/>
    <x v="20"/>
    <x v="18"/>
    <m/>
    <m/>
    <m/>
    <m/>
    <m/>
    <m/>
    <m/>
    <m/>
    <n v="104.61165681965826"/>
    <m/>
    <n v="116.02721133333337"/>
    <m/>
    <m/>
    <n v="92.6"/>
    <n v="100.7"/>
    <m/>
    <m/>
    <m/>
    <m/>
    <n v="8.1013114754098332"/>
    <m/>
    <m/>
    <n v="11.415554513675104"/>
    <m/>
    <m/>
    <m/>
    <m/>
    <m/>
    <b v="0"/>
    <s v="NW"/>
    <s v="OVER"/>
    <n v="0"/>
    <n v="0"/>
    <n v="0"/>
    <n v="8.1013114754098332"/>
    <n v="65.631247621607045"/>
    <n v="11.415554513675104"/>
    <n v="130.31488485468805"/>
  </r>
  <r>
    <x v="138"/>
    <x v="9"/>
    <x v="28"/>
    <m/>
    <m/>
    <m/>
    <m/>
    <m/>
    <m/>
    <m/>
    <m/>
    <n v="99.13785405681466"/>
    <m/>
    <n v="96.281900000000022"/>
    <m/>
    <m/>
    <n v="94.2"/>
    <n v="97.5"/>
    <m/>
    <m/>
    <m/>
    <m/>
    <n v="-3.8586885245901659"/>
    <m/>
    <m/>
    <n v="-2.8559540568146389"/>
    <m/>
    <m/>
    <m/>
    <m/>
    <m/>
    <b v="0"/>
    <s v="SE"/>
    <s v="OVER"/>
    <n v="0"/>
    <n v="0"/>
    <n v="0"/>
    <n v="-3.8586885245901659"/>
    <n v="14.889477129803831"/>
    <n v="-2.8559540568146389"/>
    <n v="8.156473574635994"/>
  </r>
  <r>
    <x v="139"/>
    <x v="16"/>
    <x v="12"/>
    <m/>
    <m/>
    <m/>
    <m/>
    <m/>
    <m/>
    <m/>
    <m/>
    <n v="96.289198012717804"/>
    <m/>
    <n v="102.56558800000002"/>
    <m/>
    <m/>
    <n v="92.9"/>
    <n v="94.2"/>
    <m/>
    <m/>
    <m/>
    <m/>
    <n v="8.731311475409834"/>
    <m/>
    <m/>
    <n v="6.2763899872822151"/>
    <m/>
    <m/>
    <m/>
    <m/>
    <m/>
    <b v="0"/>
    <s v="A"/>
    <s v="OVER"/>
    <n v="0"/>
    <n v="0"/>
    <n v="0"/>
    <n v="8.731311475409834"/>
    <n v="76.235800080623449"/>
    <n v="6.2763899872822151"/>
    <n v="39.393071272456446"/>
  </r>
  <r>
    <x v="139"/>
    <x v="17"/>
    <x v="18"/>
    <m/>
    <m/>
    <m/>
    <m/>
    <m/>
    <m/>
    <m/>
    <m/>
    <n v="94.833023578429078"/>
    <m/>
    <n v="116.98386133333337"/>
    <m/>
    <m/>
    <n v="102"/>
    <n v="100.7"/>
    <m/>
    <m/>
    <m/>
    <m/>
    <n v="17.331311475409834"/>
    <m/>
    <m/>
    <n v="22.150837754904288"/>
    <m/>
    <m/>
    <m/>
    <m/>
    <m/>
    <b v="0"/>
    <s v="SW"/>
    <s v="OVER"/>
    <n v="0"/>
    <n v="0"/>
    <n v="0"/>
    <n v="17.331311475409834"/>
    <n v="300.3743574576726"/>
    <n v="22.150837754904288"/>
    <n v="490.65961324409324"/>
  </r>
  <r>
    <x v="139"/>
    <x v="5"/>
    <x v="15"/>
    <m/>
    <m/>
    <m/>
    <m/>
    <m/>
    <m/>
    <m/>
    <m/>
    <n v="104.69079141709641"/>
    <m/>
    <n v="115.6613626666667"/>
    <m/>
    <m/>
    <n v="100.2"/>
    <n v="96.4"/>
    <m/>
    <m/>
    <m/>
    <m/>
    <n v="12.371311475409835"/>
    <m/>
    <m/>
    <n v="10.970571249570298"/>
    <m/>
    <m/>
    <m/>
    <m/>
    <m/>
    <b v="1"/>
    <s v="P"/>
    <s v="OVER"/>
    <n v="0"/>
    <n v="0"/>
    <n v="0"/>
    <n v="12.371311475409835"/>
    <n v="153.04934762160707"/>
    <n v="10.970571249570298"/>
    <n v="120.35343354189841"/>
  </r>
  <r>
    <x v="139"/>
    <x v="19"/>
    <x v="19"/>
    <m/>
    <m/>
    <m/>
    <m/>
    <m/>
    <m/>
    <m/>
    <m/>
    <n v="101.71780368238518"/>
    <m/>
    <n v="99.585318000000044"/>
    <m/>
    <m/>
    <n v="93.9"/>
    <n v="101.7"/>
    <m/>
    <m/>
    <m/>
    <m/>
    <n v="-8.0786885245901665"/>
    <m/>
    <m/>
    <n v="-2.1324856823851377"/>
    <m/>
    <m/>
    <m/>
    <m/>
    <m/>
    <b v="0"/>
    <s v="SE"/>
    <s v="OVER"/>
    <n v="0"/>
    <n v="0"/>
    <n v="0"/>
    <n v="-8.0786885245901665"/>
    <n v="65.26520827734484"/>
    <n v="-2.1324856823851377"/>
    <n v="4.5474951855776062"/>
  </r>
  <r>
    <x v="139"/>
    <x v="28"/>
    <x v="1"/>
    <m/>
    <m/>
    <m/>
    <m/>
    <m/>
    <m/>
    <m/>
    <m/>
    <n v="114.55902150317566"/>
    <m/>
    <n v="108.21929200000002"/>
    <m/>
    <m/>
    <n v="95.8"/>
    <n v="93.3"/>
    <m/>
    <m/>
    <m/>
    <m/>
    <n v="5.7113114754098344"/>
    <m/>
    <m/>
    <n v="-6.3397295031756329"/>
    <m/>
    <m/>
    <m/>
    <m/>
    <m/>
    <b v="0"/>
    <s v="NW"/>
    <s v="OVER"/>
    <n v="0"/>
    <n v="0"/>
    <n v="0"/>
    <n v="5.7113114754098344"/>
    <n v="32.619078769148061"/>
    <n v="-6.3397295031756329"/>
    <n v="40.192170173435557"/>
  </r>
  <r>
    <x v="139"/>
    <x v="8"/>
    <x v="23"/>
    <m/>
    <m/>
    <m/>
    <m/>
    <m/>
    <m/>
    <m/>
    <m/>
    <n v="98.256033279760118"/>
    <m/>
    <n v="97.393521333333368"/>
    <m/>
    <m/>
    <n v="98.8"/>
    <n v="96.2"/>
    <m/>
    <m/>
    <m/>
    <m/>
    <n v="0.53131147540983437"/>
    <m/>
    <m/>
    <n v="-0.86251194642674989"/>
    <m/>
    <m/>
    <m/>
    <m/>
    <m/>
    <b v="1"/>
    <s v="SW"/>
    <s v="OVER"/>
    <n v="0"/>
    <n v="0"/>
    <n v="0"/>
    <n v="0.53131147540983437"/>
    <n v="0.28229188390217502"/>
    <n v="-0.86251194642674989"/>
    <n v="0.74392685772886069"/>
  </r>
  <r>
    <x v="139"/>
    <x v="2"/>
    <x v="26"/>
    <m/>
    <m/>
    <m/>
    <m/>
    <m/>
    <m/>
    <m/>
    <m/>
    <n v="110.89642413790988"/>
    <m/>
    <n v="107.61342066666668"/>
    <m/>
    <m/>
    <n v="99.3"/>
    <n v="96.1"/>
    <m/>
    <m/>
    <m/>
    <m/>
    <n v="-2.768688524590166"/>
    <m/>
    <m/>
    <n v="-3.283003471243191"/>
    <m/>
    <m/>
    <m/>
    <m/>
    <m/>
    <b v="0"/>
    <s v="NW"/>
    <s v="OVER"/>
    <n v="0"/>
    <n v="0"/>
    <n v="0"/>
    <n v="-2.768688524590166"/>
    <n v="7.6656361461972704"/>
    <n v="-3.283003471243191"/>
    <n v="10.778111792194842"/>
  </r>
  <r>
    <x v="139"/>
    <x v="12"/>
    <x v="27"/>
    <m/>
    <m/>
    <m/>
    <m/>
    <m/>
    <m/>
    <m/>
    <m/>
    <n v="109.27944369203996"/>
    <m/>
    <n v="106.35096400000002"/>
    <m/>
    <m/>
    <n v="95.4"/>
    <n v="95.1"/>
    <m/>
    <m/>
    <m/>
    <m/>
    <n v="-4.0786885245901656"/>
    <m/>
    <m/>
    <n v="-2.928479692039943"/>
    <m/>
    <m/>
    <m/>
    <m/>
    <m/>
    <b v="0"/>
    <s v="A"/>
    <s v="OVER"/>
    <n v="0"/>
    <n v="0"/>
    <n v="0"/>
    <n v="-4.0786885245901656"/>
    <n v="16.635700080623501"/>
    <n v="-2.928479692039943"/>
    <n v="8.5759933066903589"/>
  </r>
  <r>
    <x v="140"/>
    <x v="3"/>
    <x v="16"/>
    <m/>
    <m/>
    <m/>
    <m/>
    <m/>
    <m/>
    <m/>
    <m/>
    <n v="107.12619124532324"/>
    <m/>
    <n v="102.52755533333335"/>
    <m/>
    <m/>
    <n v="99.5"/>
    <n v="98.3"/>
    <m/>
    <m/>
    <m/>
    <m/>
    <n v="-8.1286885245901654"/>
    <m/>
    <m/>
    <n v="-4.5986359119898879"/>
    <m/>
    <m/>
    <m/>
    <m/>
    <m/>
    <b v="0"/>
    <s v="A"/>
    <s v="OVER"/>
    <n v="0"/>
    <n v="0"/>
    <n v="0"/>
    <n v="-8.1286885245901654"/>
    <n v="66.075577129803847"/>
    <n v="-4.5986359119898879"/>
    <n v="21.147452251043067"/>
  </r>
  <r>
    <x v="140"/>
    <x v="14"/>
    <x v="12"/>
    <m/>
    <m/>
    <m/>
    <m/>
    <m/>
    <m/>
    <m/>
    <m/>
    <n v="105.03871726701198"/>
    <m/>
    <n v="98.14760800000002"/>
    <m/>
    <m/>
    <n v="95.1"/>
    <n v="94.2"/>
    <m/>
    <m/>
    <m/>
    <m/>
    <n v="-4.7286885245901651"/>
    <m/>
    <m/>
    <n v="-6.8911092670119558"/>
    <m/>
    <m/>
    <m/>
    <m/>
    <m/>
    <b v="1"/>
    <s v="C"/>
    <s v="OVER"/>
    <n v="0"/>
    <n v="0"/>
    <n v="0"/>
    <n v="-4.7286885245901651"/>
    <n v="22.360495162590713"/>
    <n v="-6.8911092670119558"/>
    <n v="47.487386929898058"/>
  </r>
  <r>
    <x v="140"/>
    <x v="23"/>
    <x v="20"/>
    <m/>
    <m/>
    <m/>
    <m/>
    <m/>
    <m/>
    <m/>
    <m/>
    <n v="103.40940917909572"/>
    <m/>
    <n v="112.03186866666668"/>
    <m/>
    <m/>
    <n v="99.1"/>
    <n v="97.3"/>
    <m/>
    <m/>
    <m/>
    <m/>
    <n v="6.6613114754098346"/>
    <m/>
    <m/>
    <n v="8.6224594875709641"/>
    <m/>
    <m/>
    <m/>
    <m/>
    <m/>
    <b v="0"/>
    <s v="NW"/>
    <s v="OVER"/>
    <n v="0"/>
    <n v="0"/>
    <n v="0"/>
    <n v="6.6613114754098346"/>
    <n v="44.373070572426748"/>
    <n v="8.6224594875709641"/>
    <n v="74.346807614802529"/>
  </r>
  <r>
    <x v="140"/>
    <x v="20"/>
    <x v="28"/>
    <m/>
    <m/>
    <m/>
    <m/>
    <m/>
    <m/>
    <m/>
    <m/>
    <n v="107.37113681965828"/>
    <m/>
    <n v="94.83890000000001"/>
    <m/>
    <m/>
    <n v="92.6"/>
    <n v="97.5"/>
    <m/>
    <m/>
    <m/>
    <m/>
    <n v="-12.828688524590167"/>
    <m/>
    <m/>
    <n v="-12.532236819658266"/>
    <m/>
    <m/>
    <m/>
    <m/>
    <m/>
    <b v="0"/>
    <s v="NW"/>
    <s v="OVER"/>
    <n v="0"/>
    <n v="0"/>
    <n v="0"/>
    <n v="-12.828688524590167"/>
    <n v="164.57524926095141"/>
    <n v="-12.532236819658266"/>
    <n v="157.05695970399833"/>
  </r>
  <r>
    <x v="140"/>
    <x v="9"/>
    <x v="7"/>
    <m/>
    <m/>
    <m/>
    <m/>
    <m/>
    <m/>
    <m/>
    <m/>
    <n v="96.829954056814657"/>
    <m/>
    <n v="105.05545866666668"/>
    <m/>
    <m/>
    <n v="94.2"/>
    <n v="97.3"/>
    <m/>
    <m/>
    <m/>
    <m/>
    <n v="7.8113114754098341"/>
    <m/>
    <m/>
    <n v="8.2255046098520239"/>
    <m/>
    <m/>
    <m/>
    <m/>
    <m/>
    <b v="1"/>
    <s v="SE"/>
    <s v="OVER"/>
    <n v="0"/>
    <n v="0"/>
    <n v="0"/>
    <n v="7.8113114754098341"/>
    <n v="61.016586965869358"/>
    <n v="8.2255046098520239"/>
    <n v="67.658926086696894"/>
  </r>
  <r>
    <x v="140"/>
    <x v="15"/>
    <x v="26"/>
    <m/>
    <m/>
    <m/>
    <m/>
    <m/>
    <m/>
    <m/>
    <m/>
    <n v="108.98660010654767"/>
    <m/>
    <n v="105.5088306666667"/>
    <m/>
    <m/>
    <n v="94.2"/>
    <n v="96.1"/>
    <m/>
    <m/>
    <m/>
    <m/>
    <n v="-3.1886885245901659"/>
    <m/>
    <m/>
    <n v="-3.4777694398809729"/>
    <m/>
    <m/>
    <m/>
    <m/>
    <m/>
    <b v="0"/>
    <s v="P"/>
    <s v="OVER"/>
    <n v="0"/>
    <n v="0"/>
    <n v="0"/>
    <n v="-3.1886885245901659"/>
    <n v="10.167734506853009"/>
    <n v="-3.4777694398809729"/>
    <n v="12.094880276970017"/>
  </r>
  <r>
    <x v="140"/>
    <x v="21"/>
    <x v="0"/>
    <m/>
    <m/>
    <m/>
    <m/>
    <m/>
    <m/>
    <m/>
    <m/>
    <n v="109.56390584399452"/>
    <m/>
    <n v="100.02940133333337"/>
    <m/>
    <m/>
    <n v="91.5"/>
    <n v="96.2"/>
    <m/>
    <m/>
    <m/>
    <m/>
    <n v="-8.6286885245901654"/>
    <m/>
    <m/>
    <n v="-9.5345045106611508"/>
    <m/>
    <m/>
    <m/>
    <m/>
    <m/>
    <b v="0"/>
    <s v="NW"/>
    <s v="OVER"/>
    <n v="0"/>
    <n v="0"/>
    <n v="0"/>
    <n v="-8.6286885245901654"/>
    <n v="74.454265654394007"/>
    <n v="-9.5345045106611508"/>
    <n v="90.906776263817832"/>
  </r>
  <r>
    <x v="140"/>
    <x v="29"/>
    <x v="24"/>
    <m/>
    <m/>
    <m/>
    <m/>
    <m/>
    <m/>
    <m/>
    <m/>
    <n v="102.68332029849834"/>
    <m/>
    <n v="104.59714133333335"/>
    <m/>
    <m/>
    <n v="96.1"/>
    <n v="99.2"/>
    <m/>
    <m/>
    <m/>
    <m/>
    <n v="2.3013114754098343"/>
    <m/>
    <m/>
    <n v="1.91382103483501"/>
    <m/>
    <m/>
    <m/>
    <m/>
    <m/>
    <b v="1"/>
    <s v="SE"/>
    <s v="OVER"/>
    <n v="0"/>
    <n v="0"/>
    <n v="0"/>
    <n v="2.3013114754098343"/>
    <n v="5.2960345068529886"/>
    <n v="1.91382103483501"/>
    <n v="3.6627109533769486"/>
  </r>
  <r>
    <x v="141"/>
    <x v="16"/>
    <x v="19"/>
    <m/>
    <m/>
    <m/>
    <m/>
    <m/>
    <m/>
    <m/>
    <m/>
    <n v="101.77958801271781"/>
    <m/>
    <n v="107.44672800000004"/>
    <m/>
    <m/>
    <n v="92.9"/>
    <n v="101.7"/>
    <m/>
    <m/>
    <m/>
    <m/>
    <n v="-0.40868852459016569"/>
    <m/>
    <m/>
    <n v="5.6671399872822263"/>
    <m/>
    <m/>
    <m/>
    <m/>
    <m/>
    <b v="0"/>
    <s v="A"/>
    <s v="OVER"/>
    <n v="0"/>
    <n v="0"/>
    <n v="0"/>
    <n v="-0.40868852459016569"/>
    <n v="0.16702631013168648"/>
    <n v="5.6671399872822263"/>
    <n v="32.116475635453192"/>
  </r>
  <r>
    <x v="141"/>
    <x v="17"/>
    <x v="15"/>
    <m/>
    <m/>
    <m/>
    <m/>
    <m/>
    <m/>
    <m/>
    <m/>
    <n v="91.783223578429087"/>
    <m/>
    <n v="110.5232426666667"/>
    <m/>
    <m/>
    <n v="102"/>
    <n v="96.4"/>
    <m/>
    <m/>
    <m/>
    <m/>
    <n v="18.801311475409832"/>
    <m/>
    <m/>
    <n v="18.740019088237617"/>
    <m/>
    <m/>
    <m/>
    <m/>
    <m/>
    <b v="0"/>
    <s v="SW"/>
    <s v="OVER"/>
    <n v="0"/>
    <n v="0"/>
    <n v="0"/>
    <n v="18.801311475409832"/>
    <n v="353.48931319537746"/>
    <n v="18.740019088237617"/>
    <n v="351.18831542751025"/>
  </r>
  <r>
    <x v="141"/>
    <x v="19"/>
    <x v="29"/>
    <m/>
    <m/>
    <m/>
    <m/>
    <m/>
    <m/>
    <m/>
    <m/>
    <n v="101.51122368238519"/>
    <m/>
    <n v="105.01695600000002"/>
    <m/>
    <m/>
    <n v="93.9"/>
    <n v="95.4"/>
    <m/>
    <m/>
    <m/>
    <m/>
    <n v="4.3113114754098341"/>
    <m/>
    <m/>
    <n v="3.5057323176148287"/>
    <m/>
    <m/>
    <m/>
    <m/>
    <m/>
    <b v="0"/>
    <s v="SE"/>
    <s v="OVER"/>
    <n v="0"/>
    <n v="0"/>
    <n v="0"/>
    <n v="4.3113114754098341"/>
    <n v="18.58740663800052"/>
    <n v="3.5057323176148287"/>
    <n v="12.290159082769039"/>
  </r>
  <r>
    <x v="141"/>
    <x v="2"/>
    <x v="0"/>
    <m/>
    <m/>
    <m/>
    <m/>
    <m/>
    <m/>
    <m/>
    <m/>
    <n v="112.01851413790986"/>
    <m/>
    <n v="109.60130133333337"/>
    <m/>
    <m/>
    <n v="99.3"/>
    <n v="96.2"/>
    <m/>
    <m/>
    <m/>
    <m/>
    <n v="-1.9486885245901657"/>
    <m/>
    <m/>
    <n v="-2.4172128045764936"/>
    <m/>
    <m/>
    <m/>
    <m/>
    <m/>
    <b v="0"/>
    <s v="NW"/>
    <s v="OVER"/>
    <n v="0"/>
    <n v="0"/>
    <n v="0"/>
    <n v="-1.9486885245901657"/>
    <n v="3.7973869658693968"/>
    <n v="-2.4172128045764936"/>
    <n v="5.8429177426085577"/>
  </r>
  <r>
    <x v="141"/>
    <x v="25"/>
    <x v="23"/>
    <m/>
    <m/>
    <m/>
    <m/>
    <m/>
    <m/>
    <m/>
    <m/>
    <n v="97.32896525149296"/>
    <m/>
    <n v="97.30694133333337"/>
    <m/>
    <m/>
    <n v="93.3"/>
    <n v="96.2"/>
    <m/>
    <m/>
    <m/>
    <m/>
    <n v="-9.4386885245901659"/>
    <m/>
    <m/>
    <n v="-2.2023918159590039E-2"/>
    <m/>
    <m/>
    <m/>
    <m/>
    <m/>
    <b v="1"/>
    <s v="SW"/>
    <s v="OVER"/>
    <n v="0"/>
    <n v="0"/>
    <n v="0"/>
    <n v="-9.4386885245901659"/>
    <n v="89.088841064230081"/>
    <n v="-2.2023918159590039E-2"/>
    <n v="4.8505297110031987E-4"/>
  </r>
  <r>
    <x v="142"/>
    <x v="3"/>
    <x v="19"/>
    <m/>
    <m/>
    <m/>
    <m/>
    <m/>
    <m/>
    <m/>
    <m/>
    <n v="106.50929124532324"/>
    <m/>
    <n v="103.77535800000004"/>
    <m/>
    <m/>
    <n v="99.5"/>
    <n v="101.7"/>
    <m/>
    <m/>
    <m/>
    <m/>
    <n v="-9.7586885245901662"/>
    <m/>
    <m/>
    <n v="-2.7339332453232004"/>
    <m/>
    <m/>
    <m/>
    <m/>
    <m/>
    <b v="0"/>
    <s v="A"/>
    <s v="OVER"/>
    <n v="0"/>
    <n v="0"/>
    <n v="0"/>
    <n v="-9.7586885245901662"/>
    <n v="95.232001719967798"/>
    <n v="-2.7339332453232004"/>
    <n v="7.4743909898834469"/>
  </r>
  <r>
    <x v="142"/>
    <x v="14"/>
    <x v="28"/>
    <m/>
    <m/>
    <m/>
    <m/>
    <m/>
    <m/>
    <m/>
    <m/>
    <n v="111.37237726701197"/>
    <m/>
    <n v="95.979650000000021"/>
    <m/>
    <m/>
    <n v="95.1"/>
    <n v="97.5"/>
    <m/>
    <m/>
    <m/>
    <m/>
    <n v="-17.138688524590165"/>
    <m/>
    <m/>
    <n v="-15.392727267011949"/>
    <m/>
    <m/>
    <m/>
    <m/>
    <m/>
    <b v="0"/>
    <s v="C"/>
    <s v="OVER"/>
    <n v="0"/>
    <n v="0"/>
    <n v="0"/>
    <n v="-17.138688524590165"/>
    <n v="293.73464434291861"/>
    <n v="-15.392727267011949"/>
    <n v="236.93605271661315"/>
  </r>
  <r>
    <x v="142"/>
    <x v="22"/>
    <x v="20"/>
    <m/>
    <m/>
    <m/>
    <m/>
    <m/>
    <m/>
    <m/>
    <m/>
    <n v="104.47647196997592"/>
    <m/>
    <n v="111.16589866666669"/>
    <m/>
    <m/>
    <n v="97.3"/>
    <n v="97.3"/>
    <m/>
    <m/>
    <m/>
    <m/>
    <n v="4.0013114754098353"/>
    <m/>
    <m/>
    <n v="6.6894266966907736"/>
    <m/>
    <m/>
    <m/>
    <m/>
    <m/>
    <b v="0"/>
    <s v="SE"/>
    <s v="OVER"/>
    <n v="0"/>
    <n v="0"/>
    <n v="0"/>
    <n v="4.0013114754098353"/>
    <n v="16.010493523246435"/>
    <n v="6.6894266966907736"/>
    <n v="44.748429530399235"/>
  </r>
  <r>
    <x v="142"/>
    <x v="1"/>
    <x v="11"/>
    <m/>
    <m/>
    <m/>
    <m/>
    <m/>
    <m/>
    <m/>
    <m/>
    <n v="118.19890298006877"/>
    <m/>
    <n v="100.70984800000002"/>
    <m/>
    <m/>
    <n v="100.7"/>
    <n v="94.2"/>
    <m/>
    <m/>
    <m/>
    <m/>
    <n v="-16.038688524590164"/>
    <m/>
    <m/>
    <n v="-17.489054980068744"/>
    <m/>
    <m/>
    <m/>
    <m/>
    <m/>
    <b v="1"/>
    <s v="P"/>
    <s v="OVER"/>
    <n v="0"/>
    <n v="0"/>
    <n v="0"/>
    <n v="-16.038688524590164"/>
    <n v="257.23952958882023"/>
    <n v="-17.489054980068744"/>
    <n v="305.86704409586736"/>
  </r>
  <r>
    <x v="142"/>
    <x v="26"/>
    <x v="25"/>
    <m/>
    <m/>
    <m/>
    <m/>
    <m/>
    <m/>
    <m/>
    <m/>
    <n v="108.92211549407402"/>
    <m/>
    <n v="104.15561866666668"/>
    <m/>
    <m/>
    <n v="96.9"/>
    <n v="98.8"/>
    <m/>
    <m/>
    <m/>
    <m/>
    <n v="-9.1586885245901666"/>
    <m/>
    <m/>
    <n v="-4.7664968274073374"/>
    <m/>
    <m/>
    <m/>
    <m/>
    <m/>
    <b v="1"/>
    <s v="SW"/>
    <s v="OVER"/>
    <n v="0"/>
    <n v="0"/>
    <n v="0"/>
    <n v="-9.1586885245901666"/>
    <n v="83.881575490459596"/>
    <n v="-4.7664968274073374"/>
    <n v="22.719492005684213"/>
  </r>
  <r>
    <x v="142"/>
    <x v="4"/>
    <x v="8"/>
    <m/>
    <m/>
    <m/>
    <m/>
    <m/>
    <m/>
    <m/>
    <m/>
    <n v="106.45549341452113"/>
    <m/>
    <n v="107.1178506666667"/>
    <m/>
    <m/>
    <n v="98.3"/>
    <n v="99.1"/>
    <m/>
    <m/>
    <m/>
    <m/>
    <n v="1.3313114754098343"/>
    <m/>
    <m/>
    <n v="0.66235725214556851"/>
    <m/>
    <m/>
    <m/>
    <m/>
    <m/>
    <b v="0"/>
    <s v="C"/>
    <s v="OVER"/>
    <n v="0"/>
    <n v="0"/>
    <n v="0"/>
    <n v="1.3313114754098343"/>
    <n v="1.7723902445579098"/>
    <n v="0.66235725214556851"/>
    <n v="0.43871712946982822"/>
  </r>
  <r>
    <x v="142"/>
    <x v="5"/>
    <x v="6"/>
    <m/>
    <m/>
    <m/>
    <m/>
    <m/>
    <m/>
    <m/>
    <m/>
    <n v="112.18575141709641"/>
    <m/>
    <n v="108.76237866666669"/>
    <m/>
    <m/>
    <n v="100.2"/>
    <n v="95.8"/>
    <m/>
    <m/>
    <m/>
    <m/>
    <n v="-1.5586885245901658"/>
    <m/>
    <m/>
    <n v="-3.4233727504297207"/>
    <m/>
    <m/>
    <m/>
    <m/>
    <m/>
    <b v="0"/>
    <s v="P"/>
    <s v="OVER"/>
    <n v="0"/>
    <n v="0"/>
    <n v="0"/>
    <n v="-1.5586885245901658"/>
    <n v="2.4295099166890681"/>
    <n v="-3.4233727504297207"/>
    <n v="11.719480988384751"/>
  </r>
  <r>
    <x v="142"/>
    <x v="7"/>
    <x v="24"/>
    <m/>
    <m/>
    <m/>
    <m/>
    <m/>
    <m/>
    <m/>
    <m/>
    <n v="101.10934333230638"/>
    <m/>
    <n v="103.47618133333336"/>
    <m/>
    <m/>
    <n v="96.1"/>
    <n v="99.2"/>
    <m/>
    <m/>
    <m/>
    <m/>
    <n v="1.9613114754098344"/>
    <m/>
    <m/>
    <n v="2.3668380010269772"/>
    <m/>
    <m/>
    <m/>
    <m/>
    <m/>
    <b v="0"/>
    <s v="C"/>
    <s v="OVER"/>
    <n v="0"/>
    <n v="0"/>
    <n v="0"/>
    <n v="1.9613114754098344"/>
    <n v="3.8467427035743014"/>
    <n v="2.3668380010269772"/>
    <n v="5.6019221231053775"/>
  </r>
  <r>
    <x v="142"/>
    <x v="9"/>
    <x v="12"/>
    <m/>
    <m/>
    <m/>
    <m/>
    <m/>
    <m/>
    <m/>
    <m/>
    <n v="92.864134056814663"/>
    <m/>
    <n v="98.439628000000027"/>
    <m/>
    <m/>
    <n v="94.2"/>
    <n v="94.2"/>
    <m/>
    <m/>
    <m/>
    <m/>
    <n v="8.5513114754098343"/>
    <m/>
    <m/>
    <n v="5.5754939431853643"/>
    <m/>
    <m/>
    <m/>
    <m/>
    <m/>
    <b v="0"/>
    <s v="SE"/>
    <s v="OVER"/>
    <n v="0"/>
    <n v="0"/>
    <n v="0"/>
    <n v="8.5513114754098343"/>
    <n v="73.124927949475918"/>
    <n v="5.5754939431853643"/>
    <n v="31.086132710496681"/>
  </r>
  <r>
    <x v="142"/>
    <x v="29"/>
    <x v="3"/>
    <m/>
    <m/>
    <m/>
    <m/>
    <m/>
    <m/>
    <m/>
    <m/>
    <n v="113.37925029849833"/>
    <m/>
    <n v="97.982249333333357"/>
    <m/>
    <m/>
    <n v="96.1"/>
    <n v="92.9"/>
    <m/>
    <m/>
    <m/>
    <m/>
    <n v="-8.7986885245901654"/>
    <m/>
    <m/>
    <n v="-15.397000965164978"/>
    <m/>
    <m/>
    <m/>
    <m/>
    <m/>
    <b v="0"/>
    <s v="SE"/>
    <s v="OVER"/>
    <n v="0"/>
    <n v="0"/>
    <n v="0"/>
    <n v="-8.7986885245901654"/>
    <n v="77.416919752754666"/>
    <n v="-15.397000965164978"/>
    <n v="237.06763872129125"/>
  </r>
  <r>
    <x v="143"/>
    <x v="0"/>
    <x v="13"/>
    <m/>
    <m/>
    <m/>
    <m/>
    <m/>
    <m/>
    <m/>
    <m/>
    <n v="118.67998692672303"/>
    <m/>
    <n v="102.45285066666668"/>
    <m/>
    <m/>
    <n v="97.3"/>
    <n v="96.1"/>
    <m/>
    <m/>
    <m/>
    <m/>
    <n v="-14.308688524590167"/>
    <m/>
    <m/>
    <n v="-16.227136260056355"/>
    <m/>
    <m/>
    <m/>
    <m/>
    <m/>
    <b v="0"/>
    <s v="C"/>
    <s v="OVER"/>
    <n v="0"/>
    <n v="0"/>
    <n v="0"/>
    <n v="-14.308688524590167"/>
    <n v="204.73856729373833"/>
    <n v="-16.227136260056355"/>
    <n v="263.31995120243573"/>
  </r>
  <r>
    <x v="143"/>
    <x v="17"/>
    <x v="29"/>
    <m/>
    <m/>
    <m/>
    <m/>
    <m/>
    <m/>
    <m/>
    <m/>
    <n v="96.883223578429082"/>
    <m/>
    <n v="107.70723600000004"/>
    <m/>
    <m/>
    <n v="102"/>
    <n v="95.4"/>
    <m/>
    <m/>
    <m/>
    <m/>
    <n v="12.061311475409834"/>
    <m/>
    <m/>
    <n v="10.824012421570956"/>
    <m/>
    <m/>
    <m/>
    <m/>
    <m/>
    <b v="0"/>
    <s v="SW"/>
    <s v="OVER"/>
    <n v="0"/>
    <n v="0"/>
    <n v="0"/>
    <n v="12.061311475409834"/>
    <n v="145.47523450685296"/>
    <n v="10.824012421570956"/>
    <n v="117.15924490232234"/>
  </r>
  <r>
    <x v="143"/>
    <x v="27"/>
    <x v="2"/>
    <m/>
    <m/>
    <m/>
    <m/>
    <m/>
    <m/>
    <m/>
    <m/>
    <n v="108.38156172355892"/>
    <m/>
    <n v="93.724060000000037"/>
    <m/>
    <m/>
    <n v="96.4"/>
    <n v="91.5"/>
    <m/>
    <m/>
    <m/>
    <m/>
    <n v="-11.248688524590165"/>
    <m/>
    <m/>
    <n v="-14.65750172355888"/>
    <m/>
    <m/>
    <m/>
    <m/>
    <m/>
    <b v="0"/>
    <s v="P"/>
    <s v="OVER"/>
    <n v="0"/>
    <n v="0"/>
    <n v="0"/>
    <n v="-11.248688524590165"/>
    <n v="126.53299352324646"/>
    <n v="-14.65750172355888"/>
    <n v="214.84235677613154"/>
  </r>
  <r>
    <x v="143"/>
    <x v="2"/>
    <x v="6"/>
    <m/>
    <m/>
    <m/>
    <m/>
    <m/>
    <m/>
    <m/>
    <m/>
    <n v="112.08802413790987"/>
    <m/>
    <n v="109.58625866666668"/>
    <m/>
    <m/>
    <n v="99.3"/>
    <n v="95.8"/>
    <m/>
    <m/>
    <m/>
    <m/>
    <n v="-1.5586885245901658"/>
    <m/>
    <m/>
    <n v="-2.5017654712431892"/>
    <m/>
    <m/>
    <m/>
    <m/>
    <m/>
    <b v="1"/>
    <s v="NW"/>
    <s v="OVER"/>
    <n v="0"/>
    <n v="0"/>
    <n v="0"/>
    <n v="-1.5586885245901658"/>
    <n v="2.4295099166890681"/>
    <n v="-2.5017654712431892"/>
    <n v="6.2588304731046565"/>
  </r>
  <r>
    <x v="143"/>
    <x v="25"/>
    <x v="0"/>
    <m/>
    <m/>
    <m/>
    <m/>
    <m/>
    <m/>
    <m/>
    <m/>
    <n v="104.89559525149295"/>
    <m/>
    <n v="102.97312133333337"/>
    <m/>
    <m/>
    <n v="93.3"/>
    <n v="96.2"/>
    <m/>
    <m/>
    <m/>
    <m/>
    <n v="-11.658688524590167"/>
    <m/>
    <m/>
    <n v="-1.9224739181595822"/>
    <m/>
    <m/>
    <m/>
    <m/>
    <m/>
    <b v="0"/>
    <s v="SW"/>
    <s v="OVER"/>
    <n v="0"/>
    <n v="0"/>
    <n v="0"/>
    <n v="-11.658688524590167"/>
    <n v="135.92501811341043"/>
    <n v="-1.9224739181595822"/>
    <n v="3.6959059660038562"/>
  </r>
  <r>
    <x v="144"/>
    <x v="13"/>
    <x v="3"/>
    <m/>
    <m/>
    <m/>
    <m/>
    <m/>
    <m/>
    <m/>
    <m/>
    <n v="104.24491929291129"/>
    <m/>
    <n v="88.497159333333357"/>
    <m/>
    <m/>
    <n v="99.2"/>
    <n v="92.9"/>
    <m/>
    <m/>
    <m/>
    <m/>
    <n v="-13.878688524590165"/>
    <m/>
    <m/>
    <n v="-15.747759959577934"/>
    <m/>
    <m/>
    <m/>
    <m/>
    <m/>
    <b v="0"/>
    <s v="SE"/>
    <s v="OVER"/>
    <n v="0"/>
    <n v="0"/>
    <n v="0"/>
    <n v="-13.878688524590165"/>
    <n v="192.61799516259074"/>
    <n v="-15.747759959577934"/>
    <n v="247.99194374448601"/>
  </r>
  <r>
    <x v="144"/>
    <x v="3"/>
    <x v="9"/>
    <m/>
    <m/>
    <m/>
    <m/>
    <m/>
    <m/>
    <m/>
    <m/>
    <n v="101.91239124532324"/>
    <m/>
    <n v="96.464096000000026"/>
    <m/>
    <m/>
    <n v="99.5"/>
    <n v="93.9"/>
    <m/>
    <m/>
    <m/>
    <m/>
    <n v="-4.4586885245901655"/>
    <m/>
    <m/>
    <n v="-5.4482952453232087"/>
    <m/>
    <m/>
    <m/>
    <m/>
    <m/>
    <b v="0"/>
    <s v="A"/>
    <s v="OVER"/>
    <n v="0"/>
    <n v="0"/>
    <n v="0"/>
    <n v="-4.4586885245901655"/>
    <n v="19.879903359312028"/>
    <n v="-5.4482952453232087"/>
    <n v="29.683921080211483"/>
  </r>
  <r>
    <x v="144"/>
    <x v="22"/>
    <x v="19"/>
    <m/>
    <m/>
    <m/>
    <m/>
    <m/>
    <m/>
    <m/>
    <m/>
    <n v="106.19868196997592"/>
    <m/>
    <n v="102.55495800000004"/>
    <m/>
    <m/>
    <n v="97.3"/>
    <n v="101.7"/>
    <m/>
    <m/>
    <m/>
    <m/>
    <n v="-11.178688524590164"/>
    <m/>
    <m/>
    <n v="-3.6437239699758806"/>
    <m/>
    <m/>
    <m/>
    <m/>
    <m/>
    <b v="0"/>
    <s v="SE"/>
    <s v="OVER"/>
    <n v="0"/>
    <n v="0"/>
    <n v="0"/>
    <n v="-11.178688524590164"/>
    <n v="124.96307712980382"/>
    <n v="-3.6437239699758806"/>
    <n v="13.276724369376792"/>
  </r>
  <r>
    <x v="144"/>
    <x v="23"/>
    <x v="25"/>
    <m/>
    <m/>
    <m/>
    <m/>
    <m/>
    <m/>
    <m/>
    <m/>
    <n v="102.77516917909573"/>
    <m/>
    <n v="101.80417866666669"/>
    <m/>
    <m/>
    <n v="99.1"/>
    <n v="98.8"/>
    <m/>
    <m/>
    <m/>
    <m/>
    <n v="-4.7986885245901663"/>
    <m/>
    <m/>
    <n v="-0.97099051242904011"/>
    <m/>
    <m/>
    <m/>
    <m/>
    <m/>
    <b v="0"/>
    <s v="NW"/>
    <s v="OVER"/>
    <n v="0"/>
    <n v="0"/>
    <n v="0"/>
    <n v="-4.7986885245901663"/>
    <n v="23.027411556033346"/>
    <n v="-0.97099051242904011"/>
    <n v="0.94282257522720991"/>
  </r>
  <r>
    <x v="144"/>
    <x v="1"/>
    <x v="23"/>
    <m/>
    <m/>
    <m/>
    <m/>
    <m/>
    <m/>
    <m/>
    <m/>
    <n v="110.02206298006877"/>
    <m/>
    <n v="97.566681333333364"/>
    <m/>
    <m/>
    <n v="100.7"/>
    <n v="96.2"/>
    <m/>
    <m/>
    <m/>
    <m/>
    <n v="-13.408688524590165"/>
    <m/>
    <m/>
    <n v="-12.455381646735404"/>
    <m/>
    <m/>
    <m/>
    <m/>
    <m/>
    <b v="0"/>
    <s v="P"/>
    <s v="OVER"/>
    <n v="0"/>
    <n v="0"/>
    <n v="0"/>
    <n v="-13.408688524590165"/>
    <n v="179.79292794947597"/>
    <n v="-12.455381646735404"/>
    <n v="155.13653196583314"/>
  </r>
  <r>
    <x v="144"/>
    <x v="26"/>
    <x v="10"/>
    <m/>
    <m/>
    <m/>
    <m/>
    <m/>
    <m/>
    <m/>
    <m/>
    <n v="108.59265549407401"/>
    <m/>
    <n v="100.13825733333336"/>
    <m/>
    <m/>
    <n v="96.9"/>
    <n v="92.6"/>
    <m/>
    <m/>
    <m/>
    <m/>
    <n v="-6.0986885245901661"/>
    <m/>
    <m/>
    <n v="-8.4543981607406522"/>
    <m/>
    <m/>
    <m/>
    <m/>
    <m/>
    <b v="0"/>
    <s v="SW"/>
    <s v="OVER"/>
    <n v="0"/>
    <n v="0"/>
    <n v="0"/>
    <n v="-6.0986885245901661"/>
    <n v="37.19400171996778"/>
    <n v="-8.4543981607406522"/>
    <n v="71.476848260334918"/>
  </r>
  <r>
    <x v="144"/>
    <x v="4"/>
    <x v="28"/>
    <m/>
    <m/>
    <m/>
    <m/>
    <m/>
    <m/>
    <m/>
    <m/>
    <n v="107.98897341452113"/>
    <m/>
    <n v="98.124650000000017"/>
    <m/>
    <m/>
    <n v="98.3"/>
    <n v="97.5"/>
    <m/>
    <m/>
    <m/>
    <m/>
    <n v="-7.6786885245901662"/>
    <m/>
    <m/>
    <n v="-9.8643234145211096"/>
    <m/>
    <m/>
    <m/>
    <m/>
    <m/>
    <b v="0"/>
    <s v="C"/>
    <s v="OVER"/>
    <n v="0"/>
    <n v="0"/>
    <n v="0"/>
    <n v="-7.6786885245901662"/>
    <n v="58.962257457672706"/>
    <n v="-9.8643234145211096"/>
    <n v="97.304876426269402"/>
  </r>
  <r>
    <x v="144"/>
    <x v="27"/>
    <x v="11"/>
    <m/>
    <m/>
    <m/>
    <m/>
    <m/>
    <m/>
    <m/>
    <m/>
    <n v="115.86220172355891"/>
    <m/>
    <n v="97.893268000000035"/>
    <m/>
    <m/>
    <n v="96.4"/>
    <n v="94.2"/>
    <m/>
    <m/>
    <m/>
    <m/>
    <n v="-17.508688524590166"/>
    <m/>
    <m/>
    <n v="-17.968933723558877"/>
    <m/>
    <m/>
    <m/>
    <m/>
    <m/>
    <b v="1"/>
    <s v="P"/>
    <s v="OVER"/>
    <n v="0"/>
    <n v="0"/>
    <n v="0"/>
    <n v="-17.508688524590166"/>
    <n v="306.55417385111537"/>
    <n v="-17.968933723558877"/>
    <n v="322.88257916165145"/>
  </r>
  <r>
    <x v="144"/>
    <x v="5"/>
    <x v="22"/>
    <m/>
    <m/>
    <m/>
    <m/>
    <m/>
    <m/>
    <m/>
    <m/>
    <n v="114.32001141709641"/>
    <m/>
    <n v="113.63958200000002"/>
    <m/>
    <m/>
    <n v="100.2"/>
    <n v="99.3"/>
    <m/>
    <m/>
    <m/>
    <m/>
    <n v="-2.7786885245901658"/>
    <m/>
    <m/>
    <n v="-0.68042941709639138"/>
    <m/>
    <m/>
    <m/>
    <m/>
    <m/>
    <b v="0"/>
    <s v="P"/>
    <s v="OVER"/>
    <n v="0"/>
    <n v="0"/>
    <n v="0"/>
    <n v="-2.7786885245901658"/>
    <n v="7.7211099166890724"/>
    <n v="-0.68042941709639138"/>
    <n v="0.46298419165013494"/>
  </r>
  <r>
    <x v="144"/>
    <x v="7"/>
    <x v="27"/>
    <m/>
    <m/>
    <m/>
    <m/>
    <m/>
    <m/>
    <m/>
    <m/>
    <n v="107.29818333230638"/>
    <m/>
    <n v="107.56824400000002"/>
    <m/>
    <m/>
    <n v="96.1"/>
    <n v="95.1"/>
    <m/>
    <m/>
    <m/>
    <m/>
    <n v="4.3213114754098338"/>
    <m/>
    <m/>
    <n v="0.27006066769364168"/>
    <m/>
    <m/>
    <m/>
    <m/>
    <m/>
    <b v="1"/>
    <s v="C"/>
    <s v="OVER"/>
    <n v="0"/>
    <n v="0"/>
    <n v="0"/>
    <n v="4.3213114754098338"/>
    <n v="18.673732867508715"/>
    <n v="0.27006066769364168"/>
    <n v="7.2932764235135561E-2"/>
  </r>
  <r>
    <x v="145"/>
    <x v="17"/>
    <x v="10"/>
    <m/>
    <m/>
    <m/>
    <m/>
    <m/>
    <m/>
    <m/>
    <m/>
    <n v="94.302623578429092"/>
    <m/>
    <n v="97.017637333333354"/>
    <m/>
    <m/>
    <n v="102"/>
    <n v="92.6"/>
    <m/>
    <m/>
    <m/>
    <m/>
    <n v="6.4513114754098346"/>
    <m/>
    <m/>
    <n v="2.7150137549042626"/>
    <m/>
    <m/>
    <m/>
    <m/>
    <m/>
    <b v="0"/>
    <s v="SW"/>
    <s v="OVER"/>
    <n v="0"/>
    <n v="0"/>
    <n v="0"/>
    <n v="6.4513114754098346"/>
    <n v="41.619419752754617"/>
    <n v="2.7150137549042626"/>
    <n v="7.3712996893193434"/>
  </r>
  <r>
    <x v="145"/>
    <x v="24"/>
    <x v="12"/>
    <m/>
    <m/>
    <m/>
    <m/>
    <m/>
    <m/>
    <m/>
    <m/>
    <n v="104.35985945611428"/>
    <m/>
    <n v="101.69894800000002"/>
    <m/>
    <m/>
    <n v="96.2"/>
    <n v="94.2"/>
    <m/>
    <m/>
    <m/>
    <m/>
    <n v="1.5513114754098343"/>
    <m/>
    <m/>
    <n v="-2.6609114561142633"/>
    <m/>
    <m/>
    <m/>
    <m/>
    <m/>
    <b v="0"/>
    <s v="A"/>
    <s v="OVER"/>
    <n v="0"/>
    <n v="0"/>
    <n v="0"/>
    <n v="1.5513114754098343"/>
    <n v="2.4065672937382367"/>
    <n v="-2.6609114561142633"/>
    <n v="7.0804497772801289"/>
  </r>
  <r>
    <x v="145"/>
    <x v="15"/>
    <x v="23"/>
    <m/>
    <m/>
    <m/>
    <m/>
    <m/>
    <m/>
    <m/>
    <m/>
    <n v="102.41144010654767"/>
    <m/>
    <n v="101.82834133333337"/>
    <m/>
    <m/>
    <n v="94.2"/>
    <n v="96.2"/>
    <m/>
    <m/>
    <m/>
    <m/>
    <n v="-0.14868852459016579"/>
    <m/>
    <m/>
    <n v="-0.58309877321430292"/>
    <m/>
    <m/>
    <m/>
    <m/>
    <m/>
    <b v="0"/>
    <s v="P"/>
    <s v="OVER"/>
    <n v="0"/>
    <n v="0"/>
    <n v="0"/>
    <n v="-0.14868852459016579"/>
    <n v="2.2108277344800337E-2"/>
    <n v="-0.58309877321430292"/>
    <n v="0.34000417932402505"/>
  </r>
  <r>
    <x v="145"/>
    <x v="25"/>
    <x v="20"/>
    <m/>
    <m/>
    <m/>
    <m/>
    <m/>
    <m/>
    <m/>
    <m/>
    <n v="101.20091525149296"/>
    <m/>
    <n v="110.38749866666669"/>
    <m/>
    <m/>
    <n v="93.3"/>
    <n v="97.3"/>
    <m/>
    <m/>
    <m/>
    <m/>
    <n v="-1.2886885245901656"/>
    <m/>
    <m/>
    <n v="9.1865834151737289"/>
    <m/>
    <m/>
    <m/>
    <m/>
    <m/>
    <b v="0"/>
    <s v="SW"/>
    <s v="OVER"/>
    <n v="0"/>
    <n v="0"/>
    <n v="0"/>
    <n v="-1.2886885245901656"/>
    <n v="1.6607181134103779"/>
    <n v="9.1865834151737289"/>
    <n v="84.393314843945006"/>
  </r>
  <r>
    <x v="145"/>
    <x v="12"/>
    <x v="17"/>
    <m/>
    <m/>
    <m/>
    <m/>
    <m/>
    <m/>
    <m/>
    <m/>
    <n v="109.57518369203997"/>
    <m/>
    <n v="93.126748000000021"/>
    <m/>
    <m/>
    <n v="95.4"/>
    <n v="94.2"/>
    <m/>
    <m/>
    <m/>
    <m/>
    <n v="-17.358688524590164"/>
    <m/>
    <m/>
    <n v="-16.448435692039951"/>
    <m/>
    <m/>
    <m/>
    <m/>
    <m/>
    <b v="0"/>
    <s v="A"/>
    <s v="OVER"/>
    <n v="0"/>
    <n v="0"/>
    <n v="0"/>
    <n v="-17.358688524590164"/>
    <n v="301.32406729373827"/>
    <n v="-16.448435692039951"/>
    <n v="270.55103671517378"/>
  </r>
  <r>
    <x v="145"/>
    <x v="21"/>
    <x v="25"/>
    <m/>
    <m/>
    <m/>
    <m/>
    <m/>
    <m/>
    <m/>
    <m/>
    <n v="105.35490584399453"/>
    <m/>
    <n v="97.111178666666675"/>
    <m/>
    <m/>
    <n v="91.5"/>
    <n v="98.8"/>
    <m/>
    <m/>
    <m/>
    <m/>
    <n v="-9.7186885245901671"/>
    <m/>
    <m/>
    <n v="-8.2437271773278553"/>
    <m/>
    <m/>
    <m/>
    <m/>
    <m/>
    <b v="0"/>
    <s v="NW"/>
    <s v="OVER"/>
    <n v="0"/>
    <n v="0"/>
    <n v="0"/>
    <n v="-9.7186885245901671"/>
    <n v="94.452906638000599"/>
    <n v="-8.2437271773278553"/>
    <n v="67.959037774213883"/>
  </r>
  <r>
    <x v="146"/>
    <x v="13"/>
    <x v="19"/>
    <m/>
    <m/>
    <m/>
    <m/>
    <m/>
    <m/>
    <m/>
    <m/>
    <n v="101.15979929291129"/>
    <m/>
    <n v="96.127518000000052"/>
    <m/>
    <m/>
    <n v="99.2"/>
    <n v="101.7"/>
    <m/>
    <m/>
    <m/>
    <m/>
    <n v="-11.508688524590166"/>
    <m/>
    <m/>
    <n v="-5.0322812929112359"/>
    <m/>
    <m/>
    <m/>
    <m/>
    <m/>
    <b v="0"/>
    <s v="SE"/>
    <s v="OVER"/>
    <n v="0"/>
    <n v="0"/>
    <n v="0"/>
    <n v="-11.508688524590166"/>
    <n v="132.44991155603338"/>
    <n v="-5.0322812929112359"/>
    <n v="25.323855010984381"/>
  </r>
  <r>
    <x v="146"/>
    <x v="16"/>
    <x v="28"/>
    <m/>
    <m/>
    <m/>
    <m/>
    <m/>
    <m/>
    <m/>
    <m/>
    <n v="102.4763380127178"/>
    <m/>
    <n v="100.55240000000002"/>
    <m/>
    <m/>
    <n v="92.9"/>
    <n v="97.5"/>
    <m/>
    <m/>
    <m/>
    <m/>
    <n v="-3.6786885245901662"/>
    <m/>
    <m/>
    <n v="-1.9239380127177839"/>
    <m/>
    <m/>
    <m/>
    <m/>
    <m/>
    <b v="1"/>
    <s v="A"/>
    <s v="OVER"/>
    <n v="0"/>
    <n v="0"/>
    <n v="0"/>
    <n v="-3.6786885245901662"/>
    <n v="13.532749260951373"/>
    <n v="-1.9239380127177839"/>
    <n v="3.7015374767804556"/>
  </r>
  <r>
    <x v="146"/>
    <x v="22"/>
    <x v="26"/>
    <m/>
    <m/>
    <m/>
    <m/>
    <m/>
    <m/>
    <m/>
    <m/>
    <n v="107.23006196997592"/>
    <m/>
    <n v="101.76093066666668"/>
    <m/>
    <m/>
    <n v="97.3"/>
    <n v="96.1"/>
    <m/>
    <m/>
    <m/>
    <m/>
    <n v="-7.1886885245901659"/>
    <m/>
    <m/>
    <n v="-5.4691313033092399"/>
    <m/>
    <m/>
    <m/>
    <m/>
    <m/>
    <b v="0"/>
    <s v="SE"/>
    <s v="OVER"/>
    <n v="0"/>
    <n v="0"/>
    <n v="0"/>
    <n v="-7.1886885245901659"/>
    <n v="51.677242703574336"/>
    <n v="-5.4691313033092399"/>
    <n v="29.911397212837024"/>
  </r>
  <r>
    <x v="146"/>
    <x v="18"/>
    <x v="9"/>
    <m/>
    <m/>
    <m/>
    <m/>
    <m/>
    <m/>
    <m/>
    <m/>
    <n v="107.5260583347156"/>
    <m/>
    <n v="91.384106000000031"/>
    <m/>
    <m/>
    <n v="94.2"/>
    <n v="93.9"/>
    <m/>
    <m/>
    <m/>
    <m/>
    <n v="-6.6186885245901657"/>
    <m/>
    <m/>
    <n v="-16.141952334715569"/>
    <m/>
    <m/>
    <m/>
    <m/>
    <m/>
    <b v="0"/>
    <s v="C"/>
    <s v="OVER"/>
    <n v="0"/>
    <n v="0"/>
    <n v="0"/>
    <n v="-6.6186885245901657"/>
    <n v="43.807037785541546"/>
    <n v="-16.141952334715569"/>
    <n v="260.5626251762294"/>
  </r>
  <r>
    <x v="146"/>
    <x v="26"/>
    <x v="18"/>
    <m/>
    <m/>
    <m/>
    <m/>
    <m/>
    <m/>
    <m/>
    <m/>
    <n v="109.096535494074"/>
    <m/>
    <n v="120.37745133333338"/>
    <m/>
    <m/>
    <n v="96.9"/>
    <n v="100.7"/>
    <m/>
    <m/>
    <m/>
    <m/>
    <n v="4.7813114754098329"/>
    <m/>
    <m/>
    <n v="11.280915839259379"/>
    <m/>
    <m/>
    <m/>
    <m/>
    <m/>
    <b v="0"/>
    <s v="SW"/>
    <s v="OVER"/>
    <n v="0"/>
    <n v="0"/>
    <n v="0"/>
    <n v="4.7813114754098329"/>
    <n v="22.860939424885753"/>
    <n v="11.280915839259379"/>
    <n v="127.25906217245313"/>
  </r>
  <r>
    <x v="146"/>
    <x v="4"/>
    <x v="6"/>
    <m/>
    <m/>
    <m/>
    <m/>
    <m/>
    <m/>
    <m/>
    <m/>
    <n v="109.47330341452114"/>
    <m/>
    <n v="105.97459866666669"/>
    <m/>
    <m/>
    <n v="98.3"/>
    <n v="95.8"/>
    <m/>
    <m/>
    <m/>
    <m/>
    <n v="0.79131147540983426"/>
    <m/>
    <m/>
    <n v="-3.4987047478544469"/>
    <m/>
    <m/>
    <m/>
    <m/>
    <m/>
    <b v="0"/>
    <s v="C"/>
    <s v="OVER"/>
    <n v="0"/>
    <n v="0"/>
    <n v="0"/>
    <n v="0.79131147540983426"/>
    <n v="0.62617385111528878"/>
    <n v="-3.4987047478544469"/>
    <n v="12.240934912659249"/>
  </r>
  <r>
    <x v="146"/>
    <x v="5"/>
    <x v="13"/>
    <m/>
    <m/>
    <m/>
    <m/>
    <m/>
    <m/>
    <m/>
    <m/>
    <n v="112.1156114170964"/>
    <m/>
    <n v="107.54615066666668"/>
    <m/>
    <m/>
    <n v="100.2"/>
    <n v="96.1"/>
    <m/>
    <m/>
    <m/>
    <m/>
    <n v="-3.1086885245901659"/>
    <m/>
    <m/>
    <n v="-4.5694607504297267"/>
    <m/>
    <m/>
    <m/>
    <m/>
    <m/>
    <b v="0"/>
    <s v="P"/>
    <s v="OVER"/>
    <n v="0"/>
    <n v="0"/>
    <n v="0"/>
    <n v="-3.1086885245901659"/>
    <n v="9.6639443429185832"/>
    <n v="-4.5694607504297267"/>
    <n v="20.879971549717801"/>
  </r>
  <r>
    <x v="146"/>
    <x v="2"/>
    <x v="8"/>
    <m/>
    <m/>
    <m/>
    <m/>
    <m/>
    <m/>
    <m/>
    <m/>
    <n v="109.03951413790986"/>
    <m/>
    <n v="110.85392066666668"/>
    <m/>
    <m/>
    <n v="99.3"/>
    <n v="99.1"/>
    <m/>
    <m/>
    <m/>
    <m/>
    <n v="-1.0186885245901658"/>
    <m/>
    <m/>
    <n v="1.8144065287568196"/>
    <m/>
    <m/>
    <m/>
    <m/>
    <m/>
    <b v="1"/>
    <s v="NW"/>
    <s v="OVER"/>
    <n v="0"/>
    <n v="0"/>
    <n v="0"/>
    <n v="-1.0186885245901658"/>
    <n v="1.0377263101316887"/>
    <n v="1.8144065287568196"/>
    <n v="3.2920710515953715"/>
  </r>
  <r>
    <x v="147"/>
    <x v="3"/>
    <x v="26"/>
    <m/>
    <m/>
    <m/>
    <m/>
    <m/>
    <m/>
    <m/>
    <m/>
    <n v="107.56399124532324"/>
    <m/>
    <n v="102.91413066666669"/>
    <m/>
    <m/>
    <n v="99.5"/>
    <n v="96.1"/>
    <m/>
    <m/>
    <m/>
    <m/>
    <n v="-5.768688524590166"/>
    <m/>
    <m/>
    <n v="-4.6498605786565435"/>
    <m/>
    <m/>
    <m/>
    <m/>
    <m/>
    <b v="0"/>
    <s v="A"/>
    <s v="OVER"/>
    <n v="0"/>
    <n v="0"/>
    <n v="0"/>
    <n v="-5.768688524590166"/>
    <n v="33.277767293738265"/>
    <n v="-4.6498605786565435"/>
    <n v="21.621203400944164"/>
  </r>
  <r>
    <x v="147"/>
    <x v="27"/>
    <x v="13"/>
    <m/>
    <m/>
    <m/>
    <m/>
    <m/>
    <m/>
    <m/>
    <m/>
    <n v="115.85256172355891"/>
    <m/>
    <n v="99.137400666666679"/>
    <m/>
    <m/>
    <n v="96.4"/>
    <n v="96.1"/>
    <m/>
    <m/>
    <m/>
    <m/>
    <n v="-18.258688524590166"/>
    <m/>
    <m/>
    <n v="-16.715161056892228"/>
    <m/>
    <m/>
    <m/>
    <m/>
    <m/>
    <b v="0"/>
    <s v="P"/>
    <s v="OVER"/>
    <n v="0"/>
    <n v="0"/>
    <n v="0"/>
    <n v="-18.258688524590166"/>
    <n v="333.37970663800064"/>
    <n v="-16.715161056892228"/>
    <n v="279.39660915784651"/>
  </r>
  <r>
    <x v="147"/>
    <x v="6"/>
    <x v="16"/>
    <m/>
    <m/>
    <m/>
    <m/>
    <m/>
    <m/>
    <m/>
    <m/>
    <n v="102.1014347304164"/>
    <m/>
    <n v="97.199695333333352"/>
    <m/>
    <m/>
    <n v="96.2"/>
    <n v="98.3"/>
    <m/>
    <m/>
    <m/>
    <m/>
    <n v="-8.1786885245901662"/>
    <m/>
    <m/>
    <n v="-4.9017393970830483"/>
    <m/>
    <m/>
    <m/>
    <m/>
    <m/>
    <b v="0"/>
    <s v="SW"/>
    <s v="OVER"/>
    <n v="0"/>
    <n v="0"/>
    <n v="0"/>
    <n v="-8.1786885245901662"/>
    <n v="66.890945982262863"/>
    <n v="-4.9017393970830483"/>
    <n v="24.027049116916086"/>
  </r>
  <r>
    <x v="147"/>
    <x v="8"/>
    <x v="4"/>
    <m/>
    <m/>
    <m/>
    <m/>
    <m/>
    <m/>
    <m/>
    <m/>
    <n v="102.32659327976012"/>
    <m/>
    <n v="97.798280000000034"/>
    <m/>
    <m/>
    <n v="98.8"/>
    <n v="102"/>
    <m/>
    <m/>
    <m/>
    <m/>
    <n v="-8.9486885245901657"/>
    <m/>
    <m/>
    <n v="-4.5283132797600842"/>
    <m/>
    <m/>
    <m/>
    <m/>
    <m/>
    <b v="1"/>
    <s v="SW"/>
    <s v="OVER"/>
    <n v="0"/>
    <n v="0"/>
    <n v="0"/>
    <n v="-8.9486885245901657"/>
    <n v="80.079026310131724"/>
    <n v="-4.5283132797600842"/>
    <n v="20.505621159651533"/>
  </r>
  <r>
    <x v="147"/>
    <x v="24"/>
    <x v="9"/>
    <m/>
    <m/>
    <m/>
    <m/>
    <m/>
    <m/>
    <m/>
    <m/>
    <n v="105.60083945611426"/>
    <m/>
    <n v="98.990006000000022"/>
    <m/>
    <m/>
    <n v="96.2"/>
    <n v="93.9"/>
    <m/>
    <m/>
    <m/>
    <m/>
    <n v="-2.2886885245901656"/>
    <m/>
    <m/>
    <n v="-6.6108334561142357"/>
    <m/>
    <m/>
    <m/>
    <m/>
    <m/>
    <b v="0"/>
    <s v="A"/>
    <s v="OVER"/>
    <n v="0"/>
    <n v="0"/>
    <n v="0"/>
    <n v="-2.2886885245901656"/>
    <n v="5.2380951625907093"/>
    <n v="-6.6108334561142357"/>
    <n v="43.703118984479289"/>
  </r>
  <r>
    <x v="147"/>
    <x v="9"/>
    <x v="10"/>
    <m/>
    <m/>
    <m/>
    <m/>
    <m/>
    <m/>
    <m/>
    <m/>
    <n v="95.840854056814663"/>
    <m/>
    <n v="97.508417333333355"/>
    <m/>
    <m/>
    <n v="94.2"/>
    <n v="92.6"/>
    <m/>
    <m/>
    <m/>
    <m/>
    <n v="6.1913114754098348"/>
    <m/>
    <m/>
    <n v="1.6675632765186919"/>
    <m/>
    <m/>
    <m/>
    <m/>
    <m/>
    <b v="0"/>
    <s v="SE"/>
    <s v="OVER"/>
    <n v="0"/>
    <n v="0"/>
    <n v="0"/>
    <n v="6.1913114754098348"/>
    <n v="38.332337785541505"/>
    <n v="1.6675632765186919"/>
    <n v="2.7807672811937549"/>
  </r>
  <r>
    <x v="147"/>
    <x v="10"/>
    <x v="24"/>
    <m/>
    <m/>
    <m/>
    <m/>
    <m/>
    <m/>
    <m/>
    <m/>
    <n v="92.094194198882519"/>
    <m/>
    <n v="103.16866133333336"/>
    <m/>
    <m/>
    <n v="97.5"/>
    <n v="99.2"/>
    <m/>
    <m/>
    <m/>
    <m/>
    <n v="9.2213114754098342"/>
    <m/>
    <m/>
    <n v="11.074467134450842"/>
    <m/>
    <m/>
    <m/>
    <m/>
    <m/>
    <b v="0"/>
    <s v="A"/>
    <s v="OVER"/>
    <n v="0"/>
    <n v="0"/>
    <n v="0"/>
    <n v="9.2213114754098342"/>
    <n v="85.032585326525094"/>
    <n v="11.074467134450842"/>
    <n v="122.64382231203184"/>
  </r>
  <r>
    <x v="147"/>
    <x v="15"/>
    <x v="2"/>
    <m/>
    <m/>
    <m/>
    <m/>
    <m/>
    <m/>
    <m/>
    <m/>
    <n v="102.75056010654767"/>
    <m/>
    <n v="100.51336000000003"/>
    <m/>
    <m/>
    <n v="94.2"/>
    <n v="91.5"/>
    <m/>
    <m/>
    <m/>
    <m/>
    <n v="3.4813114754098344"/>
    <m/>
    <m/>
    <n v="-2.2372001065476326"/>
    <m/>
    <m/>
    <m/>
    <m/>
    <m/>
    <b v="0"/>
    <s v="P"/>
    <s v="OVER"/>
    <n v="0"/>
    <n v="0"/>
    <n v="0"/>
    <n v="3.4813114754098344"/>
    <n v="12.119529588820198"/>
    <n v="-2.2372001065476326"/>
    <n v="5.0050643167367381"/>
  </r>
  <r>
    <x v="147"/>
    <x v="25"/>
    <x v="18"/>
    <m/>
    <m/>
    <m/>
    <m/>
    <m/>
    <m/>
    <m/>
    <m/>
    <n v="100.77173525149296"/>
    <m/>
    <n v="116.27896133333337"/>
    <m/>
    <m/>
    <n v="93.3"/>
    <n v="100.7"/>
    <m/>
    <m/>
    <m/>
    <m/>
    <n v="1.1913114754098331"/>
    <m/>
    <m/>
    <n v="15.507226081840415"/>
    <m/>
    <m/>
    <m/>
    <m/>
    <m/>
    <b v="0"/>
    <s v="SW"/>
    <s v="OVER"/>
    <n v="0"/>
    <n v="0"/>
    <n v="0"/>
    <n v="1.1913114754098331"/>
    <n v="1.4192230314431533"/>
    <n v="15.507226081840415"/>
    <n v="240.47406075331162"/>
  </r>
  <r>
    <x v="147"/>
    <x v="12"/>
    <x v="7"/>
    <m/>
    <m/>
    <m/>
    <m/>
    <m/>
    <m/>
    <m/>
    <m/>
    <n v="109.16496369203996"/>
    <m/>
    <n v="106.07710866666667"/>
    <m/>
    <m/>
    <n v="95.4"/>
    <n v="97.3"/>
    <m/>
    <m/>
    <m/>
    <m/>
    <n v="-6.768688524590166"/>
    <m/>
    <m/>
    <n v="-3.0878550253732868"/>
    <m/>
    <m/>
    <m/>
    <m/>
    <m/>
    <b v="0"/>
    <s v="A"/>
    <s v="OVER"/>
    <n v="0"/>
    <n v="0"/>
    <n v="0"/>
    <n v="-6.768688524590166"/>
    <n v="45.8151443429186"/>
    <n v="-3.0878550253732868"/>
    <n v="9.534848657723062"/>
  </r>
  <r>
    <x v="148"/>
    <x v="14"/>
    <x v="20"/>
    <m/>
    <m/>
    <m/>
    <m/>
    <m/>
    <m/>
    <m/>
    <m/>
    <n v="108.97585726701197"/>
    <m/>
    <n v="111.28265866666669"/>
    <m/>
    <m/>
    <n v="95.1"/>
    <n v="97.3"/>
    <m/>
    <m/>
    <m/>
    <m/>
    <n v="1.3113114754098349"/>
    <m/>
    <m/>
    <n v="2.3068013996547165"/>
    <m/>
    <m/>
    <m/>
    <m/>
    <m/>
    <b v="1"/>
    <s v="C"/>
    <s v="OVER"/>
    <n v="0"/>
    <n v="0"/>
    <n v="0"/>
    <n v="1.3113114754098349"/>
    <n v="1.7195377855415181"/>
    <n v="2.3068013996547165"/>
    <n v="5.321332697448959"/>
  </r>
  <r>
    <x v="148"/>
    <x v="18"/>
    <x v="3"/>
    <m/>
    <m/>
    <m/>
    <m/>
    <m/>
    <m/>
    <m/>
    <m/>
    <n v="114.8077183347156"/>
    <m/>
    <n v="90.457349333333369"/>
    <m/>
    <m/>
    <n v="94.2"/>
    <n v="92.9"/>
    <m/>
    <m/>
    <m/>
    <m/>
    <n v="-14.288688524590166"/>
    <m/>
    <m/>
    <n v="-24.350369001382234"/>
    <m/>
    <m/>
    <m/>
    <m/>
    <m/>
    <b v="0"/>
    <s v="C"/>
    <s v="OVER"/>
    <n v="0"/>
    <n v="0"/>
    <n v="0"/>
    <n v="-14.288688524590166"/>
    <n v="204.16661975275468"/>
    <n v="-24.350369001382234"/>
    <n v="592.94047050347683"/>
  </r>
  <r>
    <x v="148"/>
    <x v="28"/>
    <x v="21"/>
    <m/>
    <m/>
    <m/>
    <m/>
    <m/>
    <m/>
    <m/>
    <m/>
    <n v="120.33576150317566"/>
    <m/>
    <n v="112.53528800000002"/>
    <m/>
    <m/>
    <n v="95.8"/>
    <n v="100.2"/>
    <m/>
    <m/>
    <m/>
    <m/>
    <n v="-3.9986885245901655"/>
    <m/>
    <m/>
    <n v="-7.8004735031756383"/>
    <m/>
    <m/>
    <m/>
    <m/>
    <m/>
    <b v="0"/>
    <s v="NW"/>
    <s v="OVER"/>
    <n v="0"/>
    <n v="0"/>
    <n v="0"/>
    <n v="-3.9986885245901655"/>
    <n v="15.989509916689075"/>
    <n v="-7.8004735031756383"/>
    <n v="60.847386873745215"/>
  </r>
  <r>
    <x v="148"/>
    <x v="11"/>
    <x v="15"/>
    <m/>
    <m/>
    <m/>
    <m/>
    <m/>
    <m/>
    <m/>
    <m/>
    <n v="91.307300941007981"/>
    <m/>
    <n v="112.2584426666667"/>
    <m/>
    <m/>
    <n v="101.7"/>
    <n v="96.4"/>
    <m/>
    <m/>
    <m/>
    <m/>
    <n v="16.351311475409833"/>
    <m/>
    <m/>
    <n v="20.951141725658715"/>
    <m/>
    <m/>
    <m/>
    <m/>
    <m/>
    <b v="1"/>
    <s v="P"/>
    <s v="OVER"/>
    <n v="0"/>
    <n v="0"/>
    <n v="0"/>
    <n v="16.351311475409833"/>
    <n v="267.36538696586928"/>
    <n v="20.951141725658715"/>
    <n v="438.95033960863765"/>
  </r>
  <r>
    <x v="148"/>
    <x v="2"/>
    <x v="5"/>
    <m/>
    <m/>
    <m/>
    <m/>
    <m/>
    <m/>
    <m/>
    <m/>
    <n v="111.40285413790988"/>
    <m/>
    <n v="114.93373600000002"/>
    <m/>
    <m/>
    <n v="99.3"/>
    <n v="96.9"/>
    <m/>
    <m/>
    <m/>
    <m/>
    <n v="3.3413114754098343"/>
    <m/>
    <m/>
    <n v="3.5308818620901405"/>
    <m/>
    <m/>
    <m/>
    <m/>
    <m/>
    <b v="0"/>
    <s v="NW"/>
    <s v="OVER"/>
    <n v="0"/>
    <n v="0"/>
    <n v="0"/>
    <n v="3.3413114754098343"/>
    <n v="11.164362375705444"/>
    <n v="3.5308818620901405"/>
    <n v="12.467126724037138"/>
  </r>
  <r>
    <x v="149"/>
    <x v="3"/>
    <x v="17"/>
    <m/>
    <m/>
    <m/>
    <m/>
    <m/>
    <m/>
    <m/>
    <m/>
    <n v="105.24564124532324"/>
    <m/>
    <n v="92.86298800000003"/>
    <m/>
    <m/>
    <n v="99.5"/>
    <n v="94.2"/>
    <m/>
    <m/>
    <m/>
    <m/>
    <n v="-11.948688524590166"/>
    <m/>
    <m/>
    <n v="-12.382653245323212"/>
    <m/>
    <m/>
    <m/>
    <m/>
    <m/>
    <b v="0"/>
    <s v="A"/>
    <s v="OVER"/>
    <n v="0"/>
    <n v="0"/>
    <n v="0"/>
    <n v="-11.948688524590166"/>
    <n v="142.7711574576727"/>
    <n v="-12.382653245323212"/>
    <n v="153.33010139391348"/>
  </r>
  <r>
    <x v="149"/>
    <x v="22"/>
    <x v="8"/>
    <m/>
    <m/>
    <m/>
    <m/>
    <m/>
    <m/>
    <m/>
    <m/>
    <n v="105.41055196997591"/>
    <m/>
    <n v="104.81873066666668"/>
    <m/>
    <m/>
    <n v="97.3"/>
    <n v="99.1"/>
    <m/>
    <m/>
    <m/>
    <m/>
    <n v="-5.4386885245901651"/>
    <m/>
    <m/>
    <n v="-0.59182130330923144"/>
    <m/>
    <m/>
    <m/>
    <m/>
    <m/>
    <b v="0"/>
    <s v="SE"/>
    <s v="OVER"/>
    <n v="0"/>
    <n v="0"/>
    <n v="0"/>
    <n v="-5.4386885245901651"/>
    <n v="29.579332867508747"/>
    <n v="-0.59182130330923144"/>
    <n v="0.35025245505063729"/>
  </r>
  <r>
    <x v="149"/>
    <x v="0"/>
    <x v="28"/>
    <m/>
    <m/>
    <m/>
    <m/>
    <m/>
    <m/>
    <m/>
    <m/>
    <n v="117.27886692672303"/>
    <m/>
    <n v="95.794400000000024"/>
    <m/>
    <m/>
    <n v="97.3"/>
    <n v="97.5"/>
    <m/>
    <m/>
    <m/>
    <m/>
    <n v="-21.228688524590169"/>
    <m/>
    <m/>
    <n v="-21.484466926723002"/>
    <m/>
    <m/>
    <m/>
    <m/>
    <m/>
    <b v="0"/>
    <s v="C"/>
    <s v="OVER"/>
    <n v="0"/>
    <n v="0"/>
    <n v="0"/>
    <n v="-21.228688524590169"/>
    <n v="450.65721647406633"/>
    <n v="-21.484466926723002"/>
    <n v="461.58231912545449"/>
  </r>
  <r>
    <x v="149"/>
    <x v="1"/>
    <x v="5"/>
    <m/>
    <m/>
    <m/>
    <m/>
    <m/>
    <m/>
    <m/>
    <m/>
    <n v="117.56449298006878"/>
    <m/>
    <n v="108.51895600000003"/>
    <m/>
    <m/>
    <n v="100.7"/>
    <n v="96.9"/>
    <m/>
    <m/>
    <m/>
    <m/>
    <n v="-10.338688524590165"/>
    <m/>
    <m/>
    <n v="-9.0455369800687464"/>
    <m/>
    <m/>
    <m/>
    <m/>
    <m/>
    <b v="0"/>
    <s v="P"/>
    <s v="OVER"/>
    <n v="0"/>
    <n v="0"/>
    <n v="0"/>
    <n v="-10.338688524590165"/>
    <n v="106.88848040849236"/>
    <n v="-9.0455369800687464"/>
    <n v="81.821739257791222"/>
  </r>
  <r>
    <x v="149"/>
    <x v="6"/>
    <x v="4"/>
    <m/>
    <m/>
    <m/>
    <m/>
    <m/>
    <m/>
    <m/>
    <m/>
    <n v="99.773394730416399"/>
    <m/>
    <n v="94.218080000000029"/>
    <m/>
    <m/>
    <n v="96.2"/>
    <n v="102"/>
    <m/>
    <m/>
    <m/>
    <m/>
    <n v="-12.258688524590166"/>
    <m/>
    <m/>
    <n v="-5.5553147304163701"/>
    <m/>
    <m/>
    <m/>
    <m/>
    <m/>
    <b v="1"/>
    <s v="SW"/>
    <s v="OVER"/>
    <n v="0"/>
    <n v="0"/>
    <n v="0"/>
    <n v="-12.258688524590166"/>
    <n v="150.27544434291863"/>
    <n v="-5.5553147304163701"/>
    <n v="30.861521753981108"/>
  </r>
  <r>
    <x v="149"/>
    <x v="19"/>
    <x v="0"/>
    <m/>
    <m/>
    <m/>
    <m/>
    <m/>
    <m/>
    <m/>
    <m/>
    <n v="103.77421368238518"/>
    <m/>
    <n v="100.93368133333337"/>
    <m/>
    <m/>
    <n v="93.9"/>
    <n v="96.2"/>
    <m/>
    <m/>
    <m/>
    <m/>
    <n v="-3.268688524590166"/>
    <m/>
    <m/>
    <n v="-2.8405323490518128"/>
    <m/>
    <m/>
    <m/>
    <m/>
    <m/>
    <b v="0"/>
    <s v="SE"/>
    <s v="OVER"/>
    <n v="0"/>
    <n v="0"/>
    <n v="0"/>
    <n v="-3.268688524590166"/>
    <n v="10.684324670787436"/>
    <n v="-2.8405323490518128"/>
    <n v="8.0686240260098092"/>
  </r>
  <r>
    <x v="149"/>
    <x v="7"/>
    <x v="12"/>
    <m/>
    <m/>
    <m/>
    <m/>
    <m/>
    <m/>
    <m/>
    <m/>
    <n v="103.13705333230638"/>
    <m/>
    <n v="100.63448800000002"/>
    <m/>
    <m/>
    <n v="96.1"/>
    <n v="94.2"/>
    <m/>
    <m/>
    <m/>
    <m/>
    <n v="2.3713114754098346"/>
    <m/>
    <m/>
    <n v="-2.5025653323063608"/>
    <m/>
    <m/>
    <m/>
    <m/>
    <m/>
    <b v="1"/>
    <s v="C"/>
    <s v="OVER"/>
    <n v="0"/>
    <n v="0"/>
    <n v="0"/>
    <n v="2.3713114754098346"/>
    <n v="5.6231181134103663"/>
    <n v="-2.5025653323063608"/>
    <n v="6.262833242461646"/>
  </r>
  <r>
    <x v="149"/>
    <x v="8"/>
    <x v="11"/>
    <m/>
    <m/>
    <m/>
    <m/>
    <m/>
    <m/>
    <m/>
    <m/>
    <n v="106.27859327976012"/>
    <m/>
    <n v="100.54028800000003"/>
    <m/>
    <m/>
    <n v="98.8"/>
    <n v="94.2"/>
    <m/>
    <m/>
    <m/>
    <m/>
    <n v="-2.0986885245901656"/>
    <m/>
    <m/>
    <n v="-5.738305279760084"/>
    <m/>
    <m/>
    <m/>
    <m/>
    <m/>
    <b v="0"/>
    <s v="SW"/>
    <s v="OVER"/>
    <n v="0"/>
    <n v="0"/>
    <n v="0"/>
    <n v="-2.0986885245901656"/>
    <n v="4.4044935232464466"/>
    <n v="-5.738305279760084"/>
    <n v="32.928147483722455"/>
  </r>
  <r>
    <x v="149"/>
    <x v="20"/>
    <x v="1"/>
    <m/>
    <m/>
    <m/>
    <m/>
    <m/>
    <m/>
    <m/>
    <m/>
    <n v="104.36163681965827"/>
    <m/>
    <n v="103.54496200000001"/>
    <m/>
    <m/>
    <n v="92.6"/>
    <n v="93.3"/>
    <m/>
    <m/>
    <m/>
    <m/>
    <n v="4.1313114754098343"/>
    <m/>
    <m/>
    <n v="-0.81667481965826028"/>
    <m/>
    <m/>
    <m/>
    <m/>
    <m/>
    <b v="0"/>
    <s v="NW"/>
    <s v="OVER"/>
    <n v="0"/>
    <n v="0"/>
    <n v="0"/>
    <n v="4.1313114754098343"/>
    <n v="17.067734506852982"/>
    <n v="-0.81667481965826028"/>
    <n v="0.66695776106385196"/>
  </r>
  <r>
    <x v="149"/>
    <x v="12"/>
    <x v="16"/>
    <m/>
    <m/>
    <m/>
    <m/>
    <m/>
    <m/>
    <m/>
    <m/>
    <n v="111.37824369203997"/>
    <m/>
    <n v="102.80279533333335"/>
    <m/>
    <m/>
    <n v="95.4"/>
    <n v="98.3"/>
    <m/>
    <m/>
    <m/>
    <m/>
    <n v="-13.538688524590166"/>
    <m/>
    <m/>
    <n v="-8.5754483587066233"/>
    <m/>
    <m/>
    <m/>
    <m/>
    <m/>
    <b v="0"/>
    <s v="A"/>
    <s v="OVER"/>
    <n v="0"/>
    <n v="0"/>
    <n v="0"/>
    <n v="-13.538688524590166"/>
    <n v="183.29608696586942"/>
    <n v="-8.5754483587066233"/>
    <n v="73.538314552844113"/>
  </r>
  <r>
    <x v="149"/>
    <x v="21"/>
    <x v="13"/>
    <m/>
    <m/>
    <m/>
    <m/>
    <m/>
    <m/>
    <m/>
    <m/>
    <n v="109.56390584399452"/>
    <m/>
    <n v="98.810660666666678"/>
    <m/>
    <m/>
    <n v="91.5"/>
    <n v="96.1"/>
    <m/>
    <m/>
    <m/>
    <m/>
    <n v="-9.7886885245901656"/>
    <m/>
    <m/>
    <n v="-10.753245177327841"/>
    <m/>
    <m/>
    <m/>
    <m/>
    <m/>
    <b v="0"/>
    <s v="NW"/>
    <s v="OVER"/>
    <n v="0"/>
    <n v="0"/>
    <n v="0"/>
    <n v="-9.7886885245901656"/>
    <n v="95.818423031443189"/>
    <n v="-10.753245177327841"/>
    <n v="115.63228184372447"/>
  </r>
  <r>
    <x v="150"/>
    <x v="16"/>
    <x v="17"/>
    <m/>
    <m/>
    <m/>
    <m/>
    <m/>
    <m/>
    <m/>
    <m/>
    <n v="100.5997580127178"/>
    <m/>
    <n v="96.263608000000019"/>
    <m/>
    <m/>
    <n v="92.9"/>
    <n v="94.2"/>
    <m/>
    <m/>
    <m/>
    <m/>
    <n v="-2.5986885245901661"/>
    <m/>
    <m/>
    <n v="-4.3361500127177806"/>
    <m/>
    <m/>
    <m/>
    <m/>
    <m/>
    <b v="0"/>
    <s v="A"/>
    <s v="OVER"/>
    <n v="0"/>
    <n v="0"/>
    <n v="0"/>
    <n v="-2.5986885245901661"/>
    <n v="6.7531820478366145"/>
    <n v="-4.3361500127177806"/>
    <n v="18.802196932792409"/>
  </r>
  <r>
    <x v="150"/>
    <x v="14"/>
    <x v="24"/>
    <m/>
    <m/>
    <m/>
    <m/>
    <m/>
    <m/>
    <m/>
    <m/>
    <n v="103.03210726701198"/>
    <m/>
    <n v="100.85730133333335"/>
    <m/>
    <m/>
    <n v="95.1"/>
    <n v="99.2"/>
    <m/>
    <m/>
    <m/>
    <m/>
    <n v="-5.1386885245901652"/>
    <m/>
    <m/>
    <n v="-2.174805933678627"/>
    <m/>
    <m/>
    <m/>
    <m/>
    <m/>
    <b v="0"/>
    <s v="C"/>
    <s v="OVER"/>
    <n v="0"/>
    <n v="0"/>
    <n v="0"/>
    <n v="-5.1386885245901652"/>
    <n v="26.406119752754648"/>
    <n v="-2.174805933678627"/>
    <n v="4.7297808491637641"/>
  </r>
  <r>
    <x v="150"/>
    <x v="27"/>
    <x v="21"/>
    <m/>
    <m/>
    <m/>
    <m/>
    <m/>
    <m/>
    <m/>
    <m/>
    <n v="117.14432172355892"/>
    <m/>
    <n v="105.04032800000002"/>
    <m/>
    <m/>
    <n v="96.4"/>
    <n v="100.2"/>
    <m/>
    <m/>
    <m/>
    <m/>
    <n v="-17.928688524590164"/>
    <m/>
    <m/>
    <n v="-12.103993723558901"/>
    <m/>
    <m/>
    <m/>
    <m/>
    <m/>
    <b v="1"/>
    <s v="P"/>
    <s v="OVER"/>
    <n v="0"/>
    <n v="0"/>
    <n v="0"/>
    <n v="-17.928688524590164"/>
    <n v="321.43787221177104"/>
    <n v="-12.103993723558901"/>
    <n v="146.50666405995327"/>
  </r>
  <r>
    <x v="150"/>
    <x v="28"/>
    <x v="11"/>
    <m/>
    <m/>
    <m/>
    <m/>
    <m/>
    <m/>
    <m/>
    <m/>
    <n v="119.06162150317566"/>
    <m/>
    <n v="104.93942800000004"/>
    <m/>
    <m/>
    <n v="95.8"/>
    <n v="94.2"/>
    <m/>
    <m/>
    <m/>
    <m/>
    <n v="-3.5786885245901656"/>
    <m/>
    <m/>
    <n v="-14.122193503175623"/>
    <m/>
    <m/>
    <m/>
    <m/>
    <m/>
    <b v="0"/>
    <s v="NW"/>
    <s v="OVER"/>
    <n v="0"/>
    <n v="0"/>
    <n v="0"/>
    <n v="-3.5786885245901656"/>
    <n v="12.807011556033336"/>
    <n v="-14.122193503175623"/>
    <n v="199.43634934113578"/>
  </r>
  <r>
    <x v="150"/>
    <x v="2"/>
    <x v="19"/>
    <m/>
    <m/>
    <m/>
    <m/>
    <m/>
    <m/>
    <m/>
    <m/>
    <n v="109.84384413790987"/>
    <m/>
    <n v="108.74848800000004"/>
    <m/>
    <m/>
    <n v="99.3"/>
    <n v="101.7"/>
    <m/>
    <m/>
    <m/>
    <m/>
    <n v="-6.7586885245901662"/>
    <m/>
    <m/>
    <n v="-1.0953561379098318"/>
    <m/>
    <m/>
    <m/>
    <m/>
    <m/>
    <b v="0"/>
    <s v="NW"/>
    <s v="OVER"/>
    <n v="0"/>
    <n v="0"/>
    <n v="0"/>
    <n v="-6.7586885245901662"/>
    <n v="45.6798705724268"/>
    <n v="-1.0953561379098318"/>
    <n v="1.1998050688567423"/>
  </r>
  <r>
    <x v="151"/>
    <x v="16"/>
    <x v="24"/>
    <m/>
    <m/>
    <m/>
    <m/>
    <m/>
    <m/>
    <m/>
    <m/>
    <n v="94.329008012717807"/>
    <m/>
    <n v="105.50978133333335"/>
    <m/>
    <m/>
    <n v="92.9"/>
    <n v="99.2"/>
    <m/>
    <m/>
    <m/>
    <m/>
    <n v="8.3213114754098338"/>
    <m/>
    <m/>
    <n v="11.180773320615543"/>
    <m/>
    <m/>
    <m/>
    <m/>
    <m/>
    <b v="0"/>
    <s v="A"/>
    <s v="OVER"/>
    <n v="0"/>
    <n v="0"/>
    <n v="0"/>
    <n v="8.3213114754098338"/>
    <n v="69.244224670787389"/>
    <n v="11.180773320615543"/>
    <n v="125.00969204698832"/>
  </r>
  <r>
    <x v="151"/>
    <x v="0"/>
    <x v="16"/>
    <m/>
    <m/>
    <m/>
    <m/>
    <m/>
    <m/>
    <m/>
    <m/>
    <n v="117.15237692672304"/>
    <m/>
    <n v="101.27914533333336"/>
    <m/>
    <m/>
    <n v="97.3"/>
    <n v="98.3"/>
    <m/>
    <m/>
    <m/>
    <m/>
    <n v="-16.328688524590167"/>
    <m/>
    <m/>
    <n v="-15.873231593389676"/>
    <m/>
    <m/>
    <m/>
    <m/>
    <m/>
    <b v="1"/>
    <s v="C"/>
    <s v="OVER"/>
    <n v="0"/>
    <n v="0"/>
    <n v="0"/>
    <n v="-16.328688524590167"/>
    <n v="266.62606893308259"/>
    <n v="-15.873231593389676"/>
    <n v="251.95948121738414"/>
  </r>
  <r>
    <x v="151"/>
    <x v="1"/>
    <x v="13"/>
    <m/>
    <m/>
    <m/>
    <m/>
    <m/>
    <m/>
    <m/>
    <m/>
    <n v="118.18883298006877"/>
    <m/>
    <n v="102.01079066666668"/>
    <m/>
    <m/>
    <n v="100.7"/>
    <n v="96.1"/>
    <m/>
    <m/>
    <m/>
    <m/>
    <n v="-16.788688524590164"/>
    <m/>
    <m/>
    <n v="-16.178042313402088"/>
    <m/>
    <m/>
    <m/>
    <m/>
    <m/>
    <b v="0"/>
    <s v="P"/>
    <s v="OVER"/>
    <n v="0"/>
    <n v="0"/>
    <n v="0"/>
    <n v="-16.788688524590164"/>
    <n v="281.86006237570547"/>
    <n v="-16.178042313402088"/>
    <n v="261.72905309422839"/>
  </r>
  <r>
    <x v="151"/>
    <x v="5"/>
    <x v="23"/>
    <m/>
    <m/>
    <m/>
    <m/>
    <m/>
    <m/>
    <m/>
    <m/>
    <n v="103.9893914170964"/>
    <m/>
    <n v="103.10780133333337"/>
    <m/>
    <m/>
    <n v="100.2"/>
    <n v="96.2"/>
    <m/>
    <m/>
    <m/>
    <m/>
    <n v="0.27131147540983414"/>
    <m/>
    <m/>
    <n v="-0.8815900837630295"/>
    <m/>
    <m/>
    <m/>
    <m/>
    <m/>
    <b v="0"/>
    <s v="P"/>
    <s v="OVER"/>
    <n v="0"/>
    <n v="0"/>
    <n v="0"/>
    <n v="0.27131147540983414"/>
    <n v="7.3609916689061028E-2"/>
    <n v="-0.8815900837630295"/>
    <n v="0.77720107578930542"/>
  </r>
  <r>
    <x v="151"/>
    <x v="19"/>
    <x v="8"/>
    <m/>
    <m/>
    <m/>
    <m/>
    <m/>
    <m/>
    <m/>
    <m/>
    <n v="100.95721368238519"/>
    <m/>
    <n v="101.92501066666668"/>
    <m/>
    <m/>
    <n v="93.9"/>
    <n v="99.1"/>
    <m/>
    <m/>
    <m/>
    <m/>
    <n v="-2.3386885245901659"/>
    <m/>
    <m/>
    <n v="0.96779698428149175"/>
    <m/>
    <m/>
    <m/>
    <m/>
    <m/>
    <b v="0"/>
    <s v="SE"/>
    <s v="OVER"/>
    <n v="0"/>
    <n v="0"/>
    <n v="0"/>
    <n v="-2.3386885245901659"/>
    <n v="5.4694640150497271"/>
    <n v="0.96779698428149175"/>
    <n v="0.93663100278434996"/>
  </r>
  <r>
    <x v="151"/>
    <x v="7"/>
    <x v="4"/>
    <m/>
    <m/>
    <m/>
    <m/>
    <m/>
    <m/>
    <m/>
    <m/>
    <n v="107.08676333230639"/>
    <m/>
    <n v="101.33768000000003"/>
    <m/>
    <m/>
    <n v="96.1"/>
    <n v="102"/>
    <m/>
    <m/>
    <m/>
    <m/>
    <n v="-9.2186885245901653"/>
    <m/>
    <m/>
    <n v="-5.7490833323063555"/>
    <m/>
    <m/>
    <m/>
    <m/>
    <m/>
    <b v="0"/>
    <s v="C"/>
    <s v="OVER"/>
    <n v="0"/>
    <n v="0"/>
    <n v="0"/>
    <n v="-9.2186885245901653"/>
    <n v="84.984218113410392"/>
    <n v="-5.7490833323063555"/>
    <n v="33.051959161802749"/>
  </r>
  <r>
    <x v="151"/>
    <x v="8"/>
    <x v="27"/>
    <m/>
    <m/>
    <m/>
    <m/>
    <m/>
    <m/>
    <m/>
    <m/>
    <n v="102.54395327976012"/>
    <m/>
    <n v="104.26827400000002"/>
    <m/>
    <m/>
    <n v="98.8"/>
    <n v="95.1"/>
    <m/>
    <m/>
    <m/>
    <m/>
    <n v="4.5913114754098343"/>
    <m/>
    <m/>
    <n v="1.724320720239902"/>
    <m/>
    <m/>
    <m/>
    <m/>
    <m/>
    <b v="0"/>
    <s v="SW"/>
    <s v="OVER"/>
    <n v="0"/>
    <n v="0"/>
    <n v="0"/>
    <n v="4.5913114754098343"/>
    <n v="21.08014106423003"/>
    <n v="1.724320720239902"/>
    <n v="2.9732819462486546"/>
  </r>
  <r>
    <x v="151"/>
    <x v="24"/>
    <x v="14"/>
    <m/>
    <m/>
    <m/>
    <m/>
    <m/>
    <m/>
    <m/>
    <m/>
    <n v="109.56427945611426"/>
    <m/>
    <n v="110.65461333333334"/>
    <m/>
    <m/>
    <n v="96.2"/>
    <n v="99.5"/>
    <m/>
    <m/>
    <m/>
    <m/>
    <n v="-0.60868852459016587"/>
    <m/>
    <m/>
    <n v="1.0903338772190807"/>
    <m/>
    <m/>
    <m/>
    <m/>
    <m/>
    <b v="1"/>
    <s v="A"/>
    <s v="OVER"/>
    <n v="0"/>
    <n v="0"/>
    <n v="0"/>
    <n v="-0.60868852459016587"/>
    <n v="0.37050171996775294"/>
    <n v="1.0903338772190807"/>
    <n v="1.1888279638115933"/>
  </r>
  <r>
    <x v="151"/>
    <x v="20"/>
    <x v="7"/>
    <m/>
    <m/>
    <m/>
    <m/>
    <m/>
    <m/>
    <m/>
    <m/>
    <n v="105.10243681965827"/>
    <m/>
    <n v="103.61541866666668"/>
    <m/>
    <m/>
    <n v="92.6"/>
    <n v="97.3"/>
    <m/>
    <m/>
    <m/>
    <m/>
    <n v="-1.1586885245901657"/>
    <m/>
    <m/>
    <n v="-1.4870181529915811"/>
    <m/>
    <m/>
    <m/>
    <m/>
    <m/>
    <b v="0"/>
    <s v="NW"/>
    <s v="OVER"/>
    <n v="0"/>
    <n v="0"/>
    <n v="0"/>
    <n v="-1.1586885245901657"/>
    <n v="1.342559097016935"/>
    <n v="-1.4870181529915811"/>
    <n v="2.2112229873264933"/>
  </r>
  <r>
    <x v="151"/>
    <x v="11"/>
    <x v="5"/>
    <m/>
    <m/>
    <m/>
    <m/>
    <m/>
    <m/>
    <m/>
    <m/>
    <n v="98.21273094100799"/>
    <m/>
    <n v="110.67982600000003"/>
    <m/>
    <m/>
    <n v="101.7"/>
    <n v="96.9"/>
    <m/>
    <m/>
    <m/>
    <m/>
    <n v="7.3213114754098338"/>
    <m/>
    <m/>
    <n v="12.467095058992044"/>
    <m/>
    <m/>
    <m/>
    <m/>
    <m/>
    <b v="0"/>
    <s v="P"/>
    <s v="OVER"/>
    <n v="0"/>
    <n v="0"/>
    <n v="0"/>
    <n v="7.3213114754098338"/>
    <n v="53.601601719967718"/>
    <n v="12.467095058992044"/>
    <n v="155.42845920994384"/>
  </r>
  <r>
    <x v="151"/>
    <x v="25"/>
    <x v="2"/>
    <m/>
    <m/>
    <m/>
    <m/>
    <m/>
    <m/>
    <m/>
    <m/>
    <n v="97.664845251492949"/>
    <m/>
    <n v="96.212860000000035"/>
    <m/>
    <m/>
    <n v="93.3"/>
    <n v="91.5"/>
    <m/>
    <m/>
    <m/>
    <m/>
    <n v="-5.808688524590166"/>
    <m/>
    <m/>
    <n v="-1.4519852514929141"/>
    <m/>
    <m/>
    <m/>
    <m/>
    <m/>
    <b v="0"/>
    <s v="SW"/>
    <s v="OVER"/>
    <n v="0"/>
    <n v="0"/>
    <n v="0"/>
    <n v="-5.808688524590166"/>
    <n v="33.740862375705483"/>
    <n v="-1.4519852514929141"/>
    <n v="2.1082611705529413"/>
  </r>
  <r>
    <x v="151"/>
    <x v="12"/>
    <x v="28"/>
    <m/>
    <m/>
    <m/>
    <m/>
    <m/>
    <m/>
    <m/>
    <m/>
    <n v="111.50226369203996"/>
    <m/>
    <n v="97.305650000000014"/>
    <m/>
    <m/>
    <n v="95.4"/>
    <n v="97.5"/>
    <m/>
    <m/>
    <m/>
    <m/>
    <n v="-18.438688524590166"/>
    <m/>
    <m/>
    <n v="-14.196613692039946"/>
    <m/>
    <m/>
    <m/>
    <m/>
    <m/>
    <b v="1"/>
    <s v="A"/>
    <s v="OVER"/>
    <n v="0"/>
    <n v="0"/>
    <n v="0"/>
    <n v="-18.438688524590166"/>
    <n v="339.98523450685309"/>
    <n v="-14.196613692039946"/>
    <n v="201.54384032101609"/>
  </r>
  <r>
    <x v="152"/>
    <x v="0"/>
    <x v="17"/>
    <m/>
    <m/>
    <m/>
    <m/>
    <m/>
    <m/>
    <m/>
    <m/>
    <n v="115.31340692672303"/>
    <m/>
    <n v="91.666648000000023"/>
    <m/>
    <m/>
    <n v="97.3"/>
    <n v="94.2"/>
    <m/>
    <m/>
    <m/>
    <m/>
    <n v="-20.148688524590167"/>
    <m/>
    <m/>
    <n v="-23.64675892672301"/>
    <m/>
    <m/>
    <m/>
    <m/>
    <m/>
    <b v="0"/>
    <s v="C"/>
    <s v="OVER"/>
    <n v="0"/>
    <n v="0"/>
    <n v="0"/>
    <n v="-20.148688524590167"/>
    <n v="405.96964926095148"/>
    <n v="-23.64675892672301"/>
    <n v="559.16920773855429"/>
  </r>
  <r>
    <x v="152"/>
    <x v="1"/>
    <x v="6"/>
    <m/>
    <m/>
    <m/>
    <m/>
    <m/>
    <m/>
    <m/>
    <m/>
    <n v="118.25932298006877"/>
    <m/>
    <n v="103.24429866666668"/>
    <m/>
    <m/>
    <n v="100.7"/>
    <n v="95.8"/>
    <m/>
    <m/>
    <m/>
    <m/>
    <n v="-15.238688524590165"/>
    <m/>
    <m/>
    <n v="-15.015024313402094"/>
    <m/>
    <m/>
    <m/>
    <m/>
    <m/>
    <b v="0"/>
    <s v="P"/>
    <s v="OVER"/>
    <n v="0"/>
    <n v="0"/>
    <n v="0"/>
    <n v="-15.238688524590165"/>
    <n v="232.21762794947597"/>
    <n v="-15.015024313402094"/>
    <n v="225.45095513205604"/>
  </r>
  <r>
    <x v="152"/>
    <x v="4"/>
    <x v="29"/>
    <m/>
    <m/>
    <m/>
    <m/>
    <m/>
    <m/>
    <m/>
    <m/>
    <n v="107.03546341452113"/>
    <m/>
    <n v="110.01591600000003"/>
    <m/>
    <m/>
    <n v="98.3"/>
    <n v="95.4"/>
    <m/>
    <m/>
    <m/>
    <m/>
    <n v="7.981311475409834"/>
    <m/>
    <m/>
    <n v="2.9804525854789006"/>
    <m/>
    <m/>
    <m/>
    <m/>
    <m/>
    <b v="0"/>
    <s v="C"/>
    <s v="OVER"/>
    <n v="0"/>
    <n v="0"/>
    <n v="0"/>
    <n v="7.981311475409834"/>
    <n v="63.701332867508704"/>
    <n v="2.9804525854789006"/>
    <n v="8.8830976142878626"/>
  </r>
  <r>
    <x v="152"/>
    <x v="8"/>
    <x v="8"/>
    <m/>
    <m/>
    <m/>
    <m/>
    <m/>
    <m/>
    <m/>
    <m/>
    <n v="103.30471327976011"/>
    <m/>
    <n v="104.11512066666668"/>
    <m/>
    <m/>
    <n v="98.8"/>
    <n v="99.1"/>
    <m/>
    <m/>
    <m/>
    <m/>
    <n v="-0.75868852459016556"/>
    <m/>
    <m/>
    <n v="0.81040738690657577"/>
    <m/>
    <m/>
    <m/>
    <m/>
    <m/>
    <b v="0"/>
    <s v="SW"/>
    <s v="OVER"/>
    <n v="0"/>
    <n v="0"/>
    <n v="0"/>
    <n v="-0.75868852459016556"/>
    <n v="0.57560827734480224"/>
    <n v="0.81040738690657577"/>
    <n v="0.65676013275274436"/>
  </r>
  <r>
    <x v="152"/>
    <x v="24"/>
    <x v="27"/>
    <m/>
    <m/>
    <m/>
    <m/>
    <m/>
    <m/>
    <m/>
    <m/>
    <n v="108.52531945611427"/>
    <m/>
    <n v="108.64287400000001"/>
    <m/>
    <m/>
    <n v="96.2"/>
    <n v="95.1"/>
    <m/>
    <m/>
    <m/>
    <m/>
    <n v="3.501311475409834"/>
    <m/>
    <m/>
    <n v="0.11755454388573128"/>
    <m/>
    <m/>
    <m/>
    <m/>
    <m/>
    <b v="0"/>
    <s v="A"/>
    <s v="OVER"/>
    <n v="0"/>
    <n v="0"/>
    <n v="0"/>
    <n v="3.501311475409834"/>
    <n v="12.259182047836589"/>
    <n v="0.11755454388573128"/>
    <n v="1.3819070788182321E-2"/>
  </r>
  <r>
    <x v="152"/>
    <x v="20"/>
    <x v="26"/>
    <m/>
    <m/>
    <m/>
    <m/>
    <m/>
    <m/>
    <m/>
    <m/>
    <n v="107.65819681965827"/>
    <m/>
    <n v="100.75188066666669"/>
    <m/>
    <m/>
    <n v="92.6"/>
    <n v="96.1"/>
    <m/>
    <m/>
    <m/>
    <m/>
    <n v="-5.5686885245901658"/>
    <m/>
    <m/>
    <n v="-6.9063161529915789"/>
    <m/>
    <m/>
    <m/>
    <m/>
    <m/>
    <b v="0"/>
    <s v="NW"/>
    <s v="OVER"/>
    <n v="0"/>
    <n v="0"/>
    <n v="0"/>
    <n v="-5.5686885245901658"/>
    <n v="31.010291883902198"/>
    <n v="-6.9063161529915789"/>
    <n v="47.697202805072401"/>
  </r>
  <r>
    <x v="152"/>
    <x v="10"/>
    <x v="3"/>
    <m/>
    <m/>
    <m/>
    <m/>
    <m/>
    <m/>
    <m/>
    <m/>
    <n v="102.94594419888251"/>
    <m/>
    <n v="96.644489333333354"/>
    <m/>
    <m/>
    <n v="97.5"/>
    <n v="92.9"/>
    <m/>
    <m/>
    <m/>
    <m/>
    <n v="-1.8786885245901654"/>
    <m/>
    <m/>
    <n v="-6.3014548655491609"/>
    <m/>
    <m/>
    <m/>
    <m/>
    <m/>
    <b v="1"/>
    <s v="A"/>
    <s v="OVER"/>
    <n v="0"/>
    <n v="0"/>
    <n v="0"/>
    <n v="-1.8786885245901654"/>
    <n v="3.5294705724267725"/>
    <n v="-6.3014548655491609"/>
    <n v="39.708333422553196"/>
  </r>
  <r>
    <x v="152"/>
    <x v="15"/>
    <x v="4"/>
    <m/>
    <m/>
    <m/>
    <m/>
    <m/>
    <m/>
    <m/>
    <m/>
    <n v="106.29248010654767"/>
    <m/>
    <n v="102.50048000000004"/>
    <m/>
    <m/>
    <n v="94.2"/>
    <n v="102"/>
    <m/>
    <m/>
    <m/>
    <m/>
    <n v="-9.6286885245901654"/>
    <m/>
    <m/>
    <n v="-3.7920001065476328"/>
    <m/>
    <m/>
    <m/>
    <m/>
    <m/>
    <b v="0"/>
    <s v="P"/>
    <s v="OVER"/>
    <n v="0"/>
    <n v="0"/>
    <n v="0"/>
    <n v="-9.6286885245901654"/>
    <n v="92.711642703574341"/>
    <n v="-3.7920001065476328"/>
    <n v="14.379264808057258"/>
  </r>
  <r>
    <x v="152"/>
    <x v="25"/>
    <x v="23"/>
    <m/>
    <m/>
    <m/>
    <m/>
    <m/>
    <m/>
    <m/>
    <m/>
    <n v="97.32896525149296"/>
    <m/>
    <n v="97.30694133333337"/>
    <m/>
    <m/>
    <n v="93.3"/>
    <n v="96.2"/>
    <m/>
    <m/>
    <m/>
    <m/>
    <n v="-9.4386885245901659"/>
    <m/>
    <m/>
    <n v="-2.2023918159590039E-2"/>
    <m/>
    <m/>
    <m/>
    <m/>
    <m/>
    <b v="1"/>
    <s v="SW"/>
    <s v="OVER"/>
    <n v="0"/>
    <n v="0"/>
    <n v="0"/>
    <n v="-9.4386885245901659"/>
    <n v="89.088841064230081"/>
    <n v="-2.2023918159590039E-2"/>
    <n v="4.8505297110031987E-4"/>
  </r>
  <r>
    <x v="152"/>
    <x v="21"/>
    <x v="22"/>
    <m/>
    <m/>
    <m/>
    <m/>
    <m/>
    <m/>
    <m/>
    <m/>
    <n v="111.57690584399452"/>
    <m/>
    <n v="104.61321200000002"/>
    <m/>
    <m/>
    <n v="91.5"/>
    <n v="99.3"/>
    <m/>
    <m/>
    <m/>
    <m/>
    <n v="-9.4586885245901655"/>
    <m/>
    <m/>
    <n v="-6.9636938439945055"/>
    <m/>
    <m/>
    <m/>
    <m/>
    <m/>
    <b v="1"/>
    <s v="NW"/>
    <s v="OVER"/>
    <n v="0"/>
    <n v="0"/>
    <n v="0"/>
    <n v="-9.4586885245901655"/>
    <n v="89.466788605213679"/>
    <n v="-6.9636938439945055"/>
    <n v="48.493031952886973"/>
  </r>
  <r>
    <x v="152"/>
    <x v="29"/>
    <x v="7"/>
    <m/>
    <m/>
    <m/>
    <m/>
    <m/>
    <m/>
    <m/>
    <m/>
    <n v="108.75684029849833"/>
    <m/>
    <n v="108.42203866666668"/>
    <m/>
    <m/>
    <n v="96.1"/>
    <n v="97.3"/>
    <m/>
    <m/>
    <m/>
    <m/>
    <n v="1.9713114754098342"/>
    <m/>
    <m/>
    <n v="-0.33480163183165246"/>
    <m/>
    <m/>
    <m/>
    <m/>
    <m/>
    <b v="1"/>
    <s v="SE"/>
    <s v="OVER"/>
    <n v="0"/>
    <n v="0"/>
    <n v="0"/>
    <n v="1.9713114754098342"/>
    <n v="3.8860689330824973"/>
    <n v="-0.33480163183165246"/>
    <n v="0.11209213267713736"/>
  </r>
  <r>
    <x v="153"/>
    <x v="3"/>
    <x v="20"/>
    <m/>
    <m/>
    <m/>
    <m/>
    <m/>
    <m/>
    <m/>
    <m/>
    <n v="104.74814124532324"/>
    <m/>
    <n v="112.33349866666669"/>
    <m/>
    <m/>
    <n v="99.5"/>
    <n v="97.3"/>
    <m/>
    <m/>
    <m/>
    <m/>
    <n v="5.4213114754098353"/>
    <m/>
    <m/>
    <n v="7.5853574213434456"/>
    <m/>
    <m/>
    <m/>
    <m/>
    <m/>
    <b v="0"/>
    <s v="A"/>
    <s v="OVER"/>
    <n v="0"/>
    <n v="0"/>
    <n v="0"/>
    <n v="5.4213114754098353"/>
    <n v="29.390618113410365"/>
    <n v="7.5853574213434456"/>
    <n v="57.537647209530085"/>
  </r>
  <r>
    <x v="153"/>
    <x v="22"/>
    <x v="9"/>
    <m/>
    <m/>
    <m/>
    <m/>
    <m/>
    <m/>
    <m/>
    <m/>
    <n v="101.70342196997592"/>
    <m/>
    <n v="95.337296000000023"/>
    <m/>
    <m/>
    <n v="97.3"/>
    <n v="93.9"/>
    <m/>
    <m/>
    <m/>
    <m/>
    <n v="-5.8786885245901654"/>
    <m/>
    <m/>
    <n v="-6.3661259699758972"/>
    <m/>
    <m/>
    <m/>
    <m/>
    <m/>
    <b v="1"/>
    <s v="SE"/>
    <s v="OVER"/>
    <n v="0"/>
    <n v="0"/>
    <n v="0"/>
    <n v="-5.8786885245901654"/>
    <n v="34.558978769148098"/>
    <n v="-6.3661259699758972"/>
    <n v="40.52755986560156"/>
  </r>
  <r>
    <x v="153"/>
    <x v="18"/>
    <x v="29"/>
    <m/>
    <m/>
    <m/>
    <m/>
    <m/>
    <m/>
    <m/>
    <m/>
    <n v="111.6708583347156"/>
    <m/>
    <n v="103.78629600000004"/>
    <m/>
    <m/>
    <n v="94.2"/>
    <n v="95.4"/>
    <m/>
    <m/>
    <m/>
    <m/>
    <n v="0.4713114754098342"/>
    <m/>
    <m/>
    <n v="-7.884562334715568"/>
    <m/>
    <m/>
    <m/>
    <m/>
    <m/>
    <b v="0"/>
    <s v="C"/>
    <s v="OVER"/>
    <n v="0"/>
    <n v="0"/>
    <n v="0"/>
    <n v="0.4713114754098342"/>
    <n v="0.22213450685299474"/>
    <n v="-7.884562334715568"/>
    <n v="62.166323210015406"/>
  </r>
  <r>
    <x v="153"/>
    <x v="26"/>
    <x v="8"/>
    <m/>
    <m/>
    <m/>
    <m/>
    <m/>
    <m/>
    <m/>
    <m/>
    <n v="110.47251549407402"/>
    <m/>
    <n v="108.0593006666667"/>
    <m/>
    <m/>
    <n v="96.9"/>
    <n v="99.1"/>
    <m/>
    <m/>
    <m/>
    <m/>
    <n v="-7.1386885245901661"/>
    <m/>
    <m/>
    <n v="-2.413214827407316"/>
    <m/>
    <m/>
    <m/>
    <m/>
    <m/>
    <b v="0"/>
    <s v="SW"/>
    <s v="OVER"/>
    <n v="0"/>
    <n v="0"/>
    <n v="0"/>
    <n v="-7.1386885245901661"/>
    <n v="50.960873851115323"/>
    <n v="-2.413214827407316"/>
    <n v="5.8236058032185216"/>
  </r>
  <r>
    <x v="153"/>
    <x v="27"/>
    <x v="4"/>
    <m/>
    <m/>
    <m/>
    <m/>
    <m/>
    <m/>
    <m/>
    <m/>
    <n v="112.00620172355892"/>
    <m/>
    <n v="94.932080000000028"/>
    <m/>
    <m/>
    <n v="96.4"/>
    <n v="102"/>
    <m/>
    <m/>
    <m/>
    <m/>
    <n v="-24.358688524590164"/>
    <m/>
    <m/>
    <n v="-17.074121723558889"/>
    <m/>
    <m/>
    <m/>
    <m/>
    <m/>
    <b v="0"/>
    <s v="P"/>
    <s v="OVER"/>
    <n v="0"/>
    <n v="0"/>
    <n v="0"/>
    <n v="-24.358688524590164"/>
    <n v="593.34570663800059"/>
    <n v="-17.074121723558889"/>
    <n v="291.52563263090559"/>
  </r>
  <r>
    <x v="153"/>
    <x v="6"/>
    <x v="10"/>
    <m/>
    <m/>
    <m/>
    <m/>
    <m/>
    <m/>
    <m/>
    <m/>
    <n v="98.859494730416401"/>
    <m/>
    <n v="93.202517333333347"/>
    <m/>
    <m/>
    <n v="96.2"/>
    <n v="92.6"/>
    <m/>
    <m/>
    <m/>
    <m/>
    <n v="-3.0286885245901658"/>
    <m/>
    <m/>
    <n v="-5.6569773970830539"/>
    <m/>
    <m/>
    <m/>
    <m/>
    <m/>
    <b v="0"/>
    <s v="SW"/>
    <s v="OVER"/>
    <n v="0"/>
    <n v="0"/>
    <n v="0"/>
    <n v="-3.0286885245901658"/>
    <n v="9.1729541789841562"/>
    <n v="-5.6569773970830539"/>
    <n v="32.001393271108562"/>
  </r>
  <r>
    <x v="153"/>
    <x v="11"/>
    <x v="18"/>
    <m/>
    <m/>
    <m/>
    <m/>
    <m/>
    <m/>
    <m/>
    <m/>
    <n v="94.34813094100798"/>
    <m/>
    <n v="118.79646133333337"/>
    <m/>
    <m/>
    <n v="101.7"/>
    <n v="100.7"/>
    <m/>
    <m/>
    <m/>
    <m/>
    <n v="14.881311475409834"/>
    <m/>
    <m/>
    <n v="24.448330392325389"/>
    <m/>
    <m/>
    <m/>
    <m/>
    <m/>
    <b v="1"/>
    <s v="P"/>
    <s v="OVER"/>
    <n v="0"/>
    <n v="0"/>
    <n v="0"/>
    <n v="14.881311475409834"/>
    <n v="221.45343122816442"/>
    <n v="24.448330392325389"/>
    <n v="597.72085897230124"/>
  </r>
  <r>
    <x v="153"/>
    <x v="25"/>
    <x v="21"/>
    <m/>
    <m/>
    <m/>
    <m/>
    <m/>
    <m/>
    <m/>
    <m/>
    <n v="106.14581525149296"/>
    <m/>
    <n v="107.76576800000002"/>
    <m/>
    <m/>
    <n v="93.3"/>
    <n v="100.2"/>
    <m/>
    <m/>
    <m/>
    <m/>
    <n v="-12.488688524590167"/>
    <m/>
    <m/>
    <n v="1.6199527485070604"/>
    <m/>
    <m/>
    <m/>
    <m/>
    <m/>
    <b v="0"/>
    <s v="SW"/>
    <s v="OVER"/>
    <n v="0"/>
    <n v="0"/>
    <n v="0"/>
    <n v="-12.488688524590167"/>
    <n v="155.96734106423011"/>
    <n v="1.6199527485070604"/>
    <n v="2.6242469073955794"/>
  </r>
  <r>
    <x v="154"/>
    <x v="13"/>
    <x v="14"/>
    <m/>
    <m/>
    <m/>
    <m/>
    <m/>
    <m/>
    <m/>
    <m/>
    <n v="100.66379929291129"/>
    <m/>
    <n v="100.49566333333335"/>
    <m/>
    <m/>
    <n v="99.2"/>
    <n v="99.5"/>
    <m/>
    <m/>
    <m/>
    <m/>
    <n v="-4.5286885245901658"/>
    <m/>
    <m/>
    <n v="-0.16813595957793837"/>
    <m/>
    <m/>
    <m/>
    <m/>
    <m/>
    <b v="0"/>
    <s v="SE"/>
    <s v="OVER"/>
    <n v="0"/>
    <n v="0"/>
    <n v="0"/>
    <n v="-4.5286885245901658"/>
    <n v="20.509019752754654"/>
    <n v="-0.16813595957793837"/>
    <n v="2.8269700903194125E-2"/>
  </r>
  <r>
    <x v="154"/>
    <x v="4"/>
    <x v="26"/>
    <m/>
    <m/>
    <m/>
    <m/>
    <m/>
    <m/>
    <m/>
    <m/>
    <n v="108.29370341452113"/>
    <m/>
    <n v="103.99045066666669"/>
    <m/>
    <m/>
    <n v="98.3"/>
    <n v="96.1"/>
    <m/>
    <m/>
    <m/>
    <m/>
    <n v="-0.41868852459016592"/>
    <m/>
    <m/>
    <n v="-4.3032527478544438"/>
    <m/>
    <m/>
    <m/>
    <m/>
    <m/>
    <b v="1"/>
    <s v="C"/>
    <s v="OVER"/>
    <n v="0"/>
    <n v="0"/>
    <n v="0"/>
    <n v="-0.41868852459016592"/>
    <n v="0.17530008062348998"/>
    <n v="-4.3032527478544438"/>
    <n v="18.517984211916822"/>
  </r>
  <r>
    <x v="154"/>
    <x v="24"/>
    <x v="13"/>
    <m/>
    <m/>
    <m/>
    <m/>
    <m/>
    <m/>
    <m/>
    <m/>
    <n v="112.15205945611427"/>
    <m/>
    <n v="106.25841066666668"/>
    <m/>
    <m/>
    <n v="96.2"/>
    <n v="96.1"/>
    <m/>
    <m/>
    <m/>
    <m/>
    <n v="-3.9386885245901659"/>
    <m/>
    <m/>
    <n v="-5.893648789447596"/>
    <m/>
    <m/>
    <m/>
    <m/>
    <m/>
    <b v="0"/>
    <s v="A"/>
    <s v="OVER"/>
    <n v="0"/>
    <n v="0"/>
    <n v="0"/>
    <n v="-3.9386885245901659"/>
    <n v="15.513267293738258"/>
    <n v="-5.893648789447596"/>
    <n v="34.735096053357111"/>
  </r>
  <r>
    <x v="154"/>
    <x v="9"/>
    <x v="3"/>
    <m/>
    <m/>
    <m/>
    <m/>
    <m/>
    <m/>
    <m/>
    <m/>
    <n v="101.36097405681465"/>
    <m/>
    <n v="94.767909333333364"/>
    <m/>
    <m/>
    <n v="94.2"/>
    <n v="92.9"/>
    <m/>
    <m/>
    <m/>
    <m/>
    <n v="-2.9586885245901655"/>
    <m/>
    <m/>
    <n v="-6.5930647234812909"/>
    <m/>
    <m/>
    <m/>
    <m/>
    <m/>
    <b v="0"/>
    <s v="SE"/>
    <s v="OVER"/>
    <n v="0"/>
    <n v="0"/>
    <n v="0"/>
    <n v="-2.9586885245901655"/>
    <n v="8.7538377855415312"/>
    <n v="-6.5930647234812909"/>
    <n v="43.468502448013432"/>
  </r>
  <r>
    <x v="154"/>
    <x v="10"/>
    <x v="27"/>
    <m/>
    <m/>
    <m/>
    <m/>
    <m/>
    <m/>
    <m/>
    <m/>
    <n v="98.373194198882516"/>
    <m/>
    <n v="107.27343400000001"/>
    <m/>
    <m/>
    <n v="97.5"/>
    <n v="95.1"/>
    <m/>
    <m/>
    <m/>
    <m/>
    <n v="11.581311475409834"/>
    <m/>
    <m/>
    <n v="8.9002398011174932"/>
    <m/>
    <m/>
    <m/>
    <m/>
    <m/>
    <b v="0"/>
    <s v="A"/>
    <s v="OVER"/>
    <n v="0"/>
    <n v="0"/>
    <n v="0"/>
    <n v="11.581311475409834"/>
    <n v="134.12677549045949"/>
    <n v="8.9002398011174932"/>
    <n v="79.214268517395951"/>
  </r>
  <r>
    <x v="154"/>
    <x v="2"/>
    <x v="6"/>
    <m/>
    <m/>
    <m/>
    <m/>
    <m/>
    <m/>
    <m/>
    <m/>
    <n v="112.08802413790987"/>
    <m/>
    <n v="109.58625866666668"/>
    <m/>
    <m/>
    <n v="99.3"/>
    <n v="95.8"/>
    <m/>
    <m/>
    <m/>
    <m/>
    <n v="-1.5586885245901658"/>
    <m/>
    <m/>
    <n v="-2.5017654712431892"/>
    <m/>
    <m/>
    <m/>
    <m/>
    <m/>
    <b v="1"/>
    <s v="NW"/>
    <s v="OVER"/>
    <n v="0"/>
    <n v="0"/>
    <n v="0"/>
    <n v="-1.5586885245901658"/>
    <n v="2.4295099166890681"/>
    <n v="-2.5017654712431892"/>
    <n v="6.2588304731046565"/>
  </r>
  <r>
    <x v="155"/>
    <x v="0"/>
    <x v="24"/>
    <m/>
    <m/>
    <m/>
    <m/>
    <m/>
    <m/>
    <m/>
    <m/>
    <n v="108.74565692672303"/>
    <m/>
    <n v="100.66882133333336"/>
    <m/>
    <m/>
    <n v="97.3"/>
    <n v="99.2"/>
    <m/>
    <m/>
    <m/>
    <m/>
    <n v="-9.2286885245901669"/>
    <m/>
    <m/>
    <n v="-8.0768355933896743"/>
    <m/>
    <m/>
    <m/>
    <m/>
    <m/>
    <b v="0"/>
    <s v="C"/>
    <s v="OVER"/>
    <n v="0"/>
    <n v="0"/>
    <n v="0"/>
    <n v="-9.2286885245901669"/>
    <n v="85.168691883902227"/>
    <n v="-8.0768355933896743"/>
    <n v="65.235273202646326"/>
  </r>
  <r>
    <x v="155"/>
    <x v="17"/>
    <x v="1"/>
    <m/>
    <m/>
    <m/>
    <m/>
    <m/>
    <m/>
    <m/>
    <m/>
    <n v="94.557623578429087"/>
    <m/>
    <n v="104.43131200000002"/>
    <m/>
    <m/>
    <n v="102"/>
    <n v="93.3"/>
    <m/>
    <m/>
    <m/>
    <m/>
    <n v="13.361311475409835"/>
    <m/>
    <m/>
    <n v="9.8736884215709324"/>
    <m/>
    <m/>
    <m/>
    <m/>
    <m/>
    <b v="1"/>
    <s v="SW"/>
    <s v="OVER"/>
    <n v="0"/>
    <n v="0"/>
    <n v="0"/>
    <n v="13.361311475409835"/>
    <n v="178.52464434291855"/>
    <n v="9.8736884215709324"/>
    <n v="97.48972304626389"/>
  </r>
  <r>
    <x v="155"/>
    <x v="23"/>
    <x v="25"/>
    <m/>
    <m/>
    <m/>
    <m/>
    <m/>
    <m/>
    <m/>
    <m/>
    <n v="102.77516917909573"/>
    <m/>
    <n v="101.80417866666669"/>
    <m/>
    <m/>
    <n v="99.1"/>
    <n v="98.8"/>
    <m/>
    <m/>
    <m/>
    <m/>
    <n v="-4.7986885245901663"/>
    <m/>
    <m/>
    <n v="-0.97099051242904011"/>
    <m/>
    <m/>
    <m/>
    <m/>
    <m/>
    <b v="0"/>
    <s v="NW"/>
    <s v="OVER"/>
    <n v="0"/>
    <n v="0"/>
    <n v="0"/>
    <n v="-4.7986885245901663"/>
    <n v="23.027411556033346"/>
    <n v="-0.97099051242904011"/>
    <n v="0.94282257522720991"/>
  </r>
  <r>
    <x v="155"/>
    <x v="26"/>
    <x v="12"/>
    <m/>
    <m/>
    <m/>
    <m/>
    <m/>
    <m/>
    <m/>
    <m/>
    <n v="105.53061549407401"/>
    <m/>
    <n v="101.11490800000003"/>
    <m/>
    <m/>
    <n v="96.9"/>
    <n v="94.2"/>
    <m/>
    <m/>
    <m/>
    <m/>
    <n v="-3.7386885245901662"/>
    <m/>
    <m/>
    <n v="-4.4157074940739847"/>
    <m/>
    <m/>
    <m/>
    <m/>
    <m/>
    <b v="0"/>
    <s v="SW"/>
    <s v="OVER"/>
    <n v="0"/>
    <n v="0"/>
    <n v="0"/>
    <n v="-3.7386885245901662"/>
    <n v="13.977791883902194"/>
    <n v="-4.4157074940739847"/>
    <n v="19.498472673221148"/>
  </r>
  <r>
    <x v="155"/>
    <x v="5"/>
    <x v="11"/>
    <m/>
    <m/>
    <m/>
    <m/>
    <m/>
    <m/>
    <m/>
    <m/>
    <n v="112.1256314170964"/>
    <m/>
    <n v="106.13576800000003"/>
    <m/>
    <m/>
    <n v="100.2"/>
    <n v="94.2"/>
    <m/>
    <m/>
    <m/>
    <m/>
    <n v="-2.3586885245901659"/>
    <m/>
    <m/>
    <n v="-5.9898634170963732"/>
    <m/>
    <m/>
    <m/>
    <m/>
    <m/>
    <b v="1"/>
    <s v="P"/>
    <s v="OVER"/>
    <n v="0"/>
    <n v="0"/>
    <n v="0"/>
    <n v="-2.3586885245901659"/>
    <n v="5.5634115560333335"/>
    <n v="-5.9898634170963732"/>
    <n v="35.87846375546944"/>
  </r>
  <r>
    <x v="155"/>
    <x v="6"/>
    <x v="0"/>
    <m/>
    <m/>
    <m/>
    <m/>
    <m/>
    <m/>
    <m/>
    <m/>
    <n v="103.6117747304164"/>
    <m/>
    <n v="99.683081333333362"/>
    <m/>
    <m/>
    <n v="96.2"/>
    <n v="96.2"/>
    <m/>
    <m/>
    <m/>
    <m/>
    <n v="-4.9986885245901655"/>
    <m/>
    <m/>
    <n v="-3.9286933970830376"/>
    <m/>
    <m/>
    <m/>
    <m/>
    <m/>
    <b v="0"/>
    <s v="SW"/>
    <s v="OVER"/>
    <n v="0"/>
    <n v="0"/>
    <n v="0"/>
    <n v="-4.9986885245901655"/>
    <n v="24.986886965869406"/>
    <n v="-3.9286933970830376"/>
    <n v="15.434631808283857"/>
  </r>
  <r>
    <x v="155"/>
    <x v="11"/>
    <x v="10"/>
    <m/>
    <m/>
    <m/>
    <m/>
    <m/>
    <m/>
    <m/>
    <m/>
    <n v="93.819290941007978"/>
    <m/>
    <n v="98.684437333333349"/>
    <m/>
    <m/>
    <n v="101.7"/>
    <n v="92.6"/>
    <m/>
    <m/>
    <m/>
    <m/>
    <n v="4.0013114754098345"/>
    <m/>
    <m/>
    <n v="4.8651463923253715"/>
    <m/>
    <m/>
    <m/>
    <m/>
    <m/>
    <b v="0"/>
    <s v="P"/>
    <s v="OVER"/>
    <n v="0"/>
    <n v="0"/>
    <n v="0"/>
    <n v="4.0013114754098345"/>
    <n v="16.010493523246428"/>
    <n v="4.8651463923253715"/>
    <n v="23.669649418756578"/>
  </r>
  <r>
    <x v="155"/>
    <x v="12"/>
    <x v="9"/>
    <m/>
    <m/>
    <m/>
    <m/>
    <m/>
    <m/>
    <m/>
    <m/>
    <n v="106.37928369203996"/>
    <m/>
    <n v="96.727016000000035"/>
    <m/>
    <m/>
    <n v="95.4"/>
    <n v="93.9"/>
    <m/>
    <m/>
    <m/>
    <m/>
    <n v="-9.8686885245901657"/>
    <m/>
    <m/>
    <n v="-9.6522676920399277"/>
    <m/>
    <m/>
    <m/>
    <m/>
    <m/>
    <b v="0"/>
    <s v="A"/>
    <s v="OVER"/>
    <n v="0"/>
    <n v="0"/>
    <n v="0"/>
    <n v="-9.8686885245901657"/>
    <n v="97.391013195377624"/>
    <n v="-9.6522676920399277"/>
    <n v="93.166271598797792"/>
  </r>
  <r>
    <x v="155"/>
    <x v="21"/>
    <x v="6"/>
    <m/>
    <m/>
    <m/>
    <m/>
    <m/>
    <m/>
    <m/>
    <m/>
    <n v="109.62795584399453"/>
    <m/>
    <n v="100.05415866666668"/>
    <m/>
    <m/>
    <n v="91.5"/>
    <n v="95.8"/>
    <m/>
    <m/>
    <m/>
    <m/>
    <n v="-8.2386885245901667"/>
    <m/>
    <m/>
    <n v="-9.5737971773278474"/>
    <m/>
    <m/>
    <m/>
    <m/>
    <m/>
    <b v="1"/>
    <s v="NW"/>
    <s v="OVER"/>
    <n v="0"/>
    <n v="0"/>
    <n v="0"/>
    <n v="-8.2386885245901667"/>
    <n v="67.875988605213692"/>
    <n v="-9.5737971773278474"/>
    <n v="91.657592392610653"/>
  </r>
  <r>
    <x v="156"/>
    <x v="16"/>
    <x v="27"/>
    <m/>
    <m/>
    <m/>
    <m/>
    <m/>
    <m/>
    <m/>
    <m/>
    <n v="100.31176801271781"/>
    <m/>
    <n v="109.51779400000001"/>
    <m/>
    <m/>
    <n v="92.9"/>
    <n v="95.1"/>
    <m/>
    <m/>
    <m/>
    <m/>
    <n v="10.681311475409835"/>
    <m/>
    <m/>
    <n v="9.206025987282203"/>
    <m/>
    <m/>
    <m/>
    <m/>
    <m/>
    <b v="0"/>
    <s v="A"/>
    <s v="OVER"/>
    <n v="0"/>
    <n v="0"/>
    <n v="0"/>
    <n v="10.681311475409835"/>
    <n v="114.09041483472183"/>
    <n v="9.206025987282203"/>
    <n v="84.750914478515256"/>
  </r>
  <r>
    <x v="156"/>
    <x v="22"/>
    <x v="14"/>
    <m/>
    <m/>
    <m/>
    <m/>
    <m/>
    <m/>
    <m/>
    <m/>
    <n v="105.71218196997592"/>
    <m/>
    <n v="106.78406333333335"/>
    <m/>
    <m/>
    <n v="97.3"/>
    <n v="99.5"/>
    <m/>
    <m/>
    <m/>
    <m/>
    <n v="-4.1986885245901657"/>
    <m/>
    <m/>
    <n v="1.0718813633574342"/>
    <m/>
    <m/>
    <m/>
    <m/>
    <m/>
    <b v="0"/>
    <s v="SE"/>
    <s v="OVER"/>
    <n v="0"/>
    <n v="0"/>
    <n v="0"/>
    <n v="-4.1986885245901657"/>
    <n v="17.628985326525143"/>
    <n v="1.0718813633574342"/>
    <n v="1.1489296571129919"/>
  </r>
  <r>
    <x v="156"/>
    <x v="1"/>
    <x v="25"/>
    <m/>
    <m/>
    <m/>
    <m/>
    <m/>
    <m/>
    <m/>
    <m/>
    <n v="113.55663298006877"/>
    <m/>
    <n v="100.40121866666668"/>
    <m/>
    <m/>
    <n v="100.7"/>
    <n v="98.8"/>
    <m/>
    <m/>
    <m/>
    <m/>
    <n v="-16.718688524590164"/>
    <m/>
    <m/>
    <n v="-13.15541431340209"/>
    <m/>
    <m/>
    <m/>
    <m/>
    <m/>
    <b v="0"/>
    <s v="P"/>
    <s v="OVER"/>
    <n v="0"/>
    <n v="0"/>
    <n v="0"/>
    <n v="-16.718688524590164"/>
    <n v="279.5145459822628"/>
    <n v="-13.15541431340209"/>
    <n v="173.0649257572646"/>
  </r>
  <r>
    <x v="156"/>
    <x v="9"/>
    <x v="16"/>
    <m/>
    <m/>
    <m/>
    <m/>
    <m/>
    <m/>
    <m/>
    <m/>
    <n v="99.015394056814671"/>
    <m/>
    <n v="101.77064533333335"/>
    <m/>
    <m/>
    <n v="94.2"/>
    <n v="98.3"/>
    <m/>
    <m/>
    <m/>
    <m/>
    <n v="1.0413114754098345"/>
    <m/>
    <m/>
    <n v="2.7552512765186776"/>
    <m/>
    <m/>
    <m/>
    <m/>
    <m/>
    <b v="0"/>
    <s v="SE"/>
    <s v="OVER"/>
    <n v="0"/>
    <n v="0"/>
    <n v="0"/>
    <n v="1.0413114754098345"/>
    <n v="1.0843295888202062"/>
    <n v="2.7552512765186776"/>
    <n v="7.5914095967578028"/>
  </r>
  <r>
    <x v="156"/>
    <x v="10"/>
    <x v="26"/>
    <m/>
    <m/>
    <m/>
    <m/>
    <m/>
    <m/>
    <m/>
    <m/>
    <n v="100.94719419888251"/>
    <m/>
    <n v="104.11538066666668"/>
    <m/>
    <m/>
    <n v="97.5"/>
    <n v="96.1"/>
    <m/>
    <m/>
    <m/>
    <m/>
    <n v="4.481311475409834"/>
    <m/>
    <m/>
    <n v="3.1681864677841673"/>
    <m/>
    <m/>
    <m/>
    <m/>
    <m/>
    <b v="0"/>
    <s v="A"/>
    <s v="OVER"/>
    <n v="0"/>
    <n v="0"/>
    <n v="0"/>
    <n v="4.481311475409834"/>
    <n v="20.082152539639864"/>
    <n v="3.1681864677841673"/>
    <n v="10.037405494650718"/>
  </r>
  <r>
    <x v="156"/>
    <x v="2"/>
    <x v="2"/>
    <m/>
    <m/>
    <m/>
    <m/>
    <m/>
    <m/>
    <m/>
    <m/>
    <n v="104.32276413790987"/>
    <m/>
    <n v="102.51721000000003"/>
    <m/>
    <m/>
    <n v="99.3"/>
    <n v="91.5"/>
    <m/>
    <m/>
    <m/>
    <m/>
    <n v="3.9013114754098344"/>
    <m/>
    <m/>
    <n v="-1.8055541379098372"/>
    <m/>
    <m/>
    <m/>
    <m/>
    <m/>
    <b v="1"/>
    <s v="NW"/>
    <s v="OVER"/>
    <n v="0"/>
    <n v="0"/>
    <n v="0"/>
    <n v="3.9013114754098344"/>
    <n v="15.220231228164458"/>
    <n v="-1.8055541379098372"/>
    <n v="3.2600257449233356"/>
  </r>
  <r>
    <x v="156"/>
    <x v="25"/>
    <x v="15"/>
    <m/>
    <m/>
    <m/>
    <m/>
    <m/>
    <m/>
    <m/>
    <m/>
    <n v="97.982065251492955"/>
    <m/>
    <n v="109.8484426666667"/>
    <m/>
    <m/>
    <n v="93.3"/>
    <n v="96.4"/>
    <m/>
    <m/>
    <m/>
    <m/>
    <n v="2.6613114754098337"/>
    <m/>
    <m/>
    <n v="11.866377415173744"/>
    <m/>
    <m/>
    <m/>
    <m/>
    <m/>
    <b v="0"/>
    <s v="SW"/>
    <s v="OVER"/>
    <n v="0"/>
    <n v="0"/>
    <n v="0"/>
    <n v="2.6613114754098337"/>
    <n v="7.0825787691480659"/>
    <n v="11.866377415173744"/>
    <n v="140.8109129593455"/>
  </r>
  <r>
    <x v="156"/>
    <x v="29"/>
    <x v="9"/>
    <m/>
    <m/>
    <m/>
    <m/>
    <m/>
    <m/>
    <m/>
    <m/>
    <n v="105.95072029849834"/>
    <m/>
    <n v="98.990006000000022"/>
    <m/>
    <m/>
    <n v="96.1"/>
    <n v="93.9"/>
    <m/>
    <m/>
    <m/>
    <m/>
    <n v="-1.1286885245901657"/>
    <m/>
    <m/>
    <n v="-6.960714298498317"/>
    <m/>
    <m/>
    <m/>
    <m/>
    <m/>
    <b v="1"/>
    <s v="SE"/>
    <s v="OVER"/>
    <n v="0"/>
    <n v="0"/>
    <n v="0"/>
    <n v="-1.1286885245901657"/>
    <n v="1.273937785541525"/>
    <n v="-6.960714298498317"/>
    <n v="48.45154354531892"/>
  </r>
  <r>
    <x v="157"/>
    <x v="13"/>
    <x v="20"/>
    <m/>
    <m/>
    <m/>
    <m/>
    <m/>
    <m/>
    <m/>
    <m/>
    <n v="99.403959292911296"/>
    <m/>
    <n v="105.01653866666669"/>
    <m/>
    <m/>
    <n v="99.2"/>
    <n v="97.3"/>
    <m/>
    <m/>
    <m/>
    <m/>
    <n v="3.6713114754098353"/>
    <m/>
    <m/>
    <n v="5.6125793737553948"/>
    <m/>
    <m/>
    <m/>
    <m/>
    <m/>
    <b v="0"/>
    <s v="SE"/>
    <s v="OVER"/>
    <n v="0"/>
    <n v="0"/>
    <n v="0"/>
    <n v="3.6713114754098353"/>
    <n v="13.478527949475941"/>
    <n v="5.6125793737553948"/>
    <n v="31.5010472267045"/>
  </r>
  <r>
    <x v="157"/>
    <x v="23"/>
    <x v="10"/>
    <m/>
    <m/>
    <m/>
    <m/>
    <m/>
    <m/>
    <m/>
    <m/>
    <n v="102.43822917909571"/>
    <m/>
    <n v="97.934377333333359"/>
    <m/>
    <m/>
    <n v="99.1"/>
    <n v="92.6"/>
    <m/>
    <m/>
    <m/>
    <m/>
    <n v="-1.738688524590166"/>
    <m/>
    <m/>
    <n v="-4.5038518457623553"/>
    <m/>
    <m/>
    <m/>
    <m/>
    <m/>
    <b v="1"/>
    <s v="NW"/>
    <s v="OVER"/>
    <n v="0"/>
    <n v="0"/>
    <n v="0"/>
    <n v="-1.738688524590166"/>
    <n v="3.0230377855415282"/>
    <n v="-4.5038518457623553"/>
    <n v="20.284681448576976"/>
  </r>
  <r>
    <x v="157"/>
    <x v="5"/>
    <x v="6"/>
    <m/>
    <m/>
    <m/>
    <m/>
    <m/>
    <m/>
    <m/>
    <m/>
    <n v="112.18575141709641"/>
    <m/>
    <n v="108.76237866666669"/>
    <m/>
    <m/>
    <n v="100.2"/>
    <n v="95.8"/>
    <m/>
    <m/>
    <m/>
    <m/>
    <n v="-1.5586885245901658"/>
    <m/>
    <m/>
    <n v="-3.4233727504297207"/>
    <m/>
    <m/>
    <m/>
    <m/>
    <m/>
    <b v="0"/>
    <s v="P"/>
    <s v="OVER"/>
    <n v="0"/>
    <n v="0"/>
    <n v="0"/>
    <n v="-1.5586885245901658"/>
    <n v="2.4295099166890681"/>
    <n v="-3.4233727504297207"/>
    <n v="11.719480988384751"/>
  </r>
  <r>
    <x v="157"/>
    <x v="6"/>
    <x v="12"/>
    <m/>
    <m/>
    <m/>
    <m/>
    <m/>
    <m/>
    <m/>
    <m/>
    <n v="95.819574730416392"/>
    <m/>
    <n v="94.059328000000022"/>
    <m/>
    <m/>
    <n v="96.2"/>
    <n v="94.2"/>
    <m/>
    <m/>
    <m/>
    <m/>
    <n v="-0.66868852459016548"/>
    <m/>
    <m/>
    <n v="-1.7602467304163696"/>
    <m/>
    <m/>
    <m/>
    <m/>
    <m/>
    <b v="0"/>
    <s v="SW"/>
    <s v="OVER"/>
    <n v="0"/>
    <n v="0"/>
    <n v="0"/>
    <n v="-0.66868852459016548"/>
    <n v="0.44714434291857236"/>
    <n v="-1.7602467304163696"/>
    <n v="3.0984685519415192"/>
  </r>
  <r>
    <x v="157"/>
    <x v="24"/>
    <x v="29"/>
    <m/>
    <m/>
    <m/>
    <m/>
    <m/>
    <m/>
    <m/>
    <m/>
    <n v="109.83363945611427"/>
    <m/>
    <n v="111.51369600000002"/>
    <m/>
    <m/>
    <n v="96.2"/>
    <n v="95.4"/>
    <m/>
    <m/>
    <m/>
    <m/>
    <n v="4.8013114754098343"/>
    <m/>
    <m/>
    <n v="1.6800565438857546"/>
    <m/>
    <m/>
    <m/>
    <m/>
    <m/>
    <b v="1"/>
    <s v="A"/>
    <s v="OVER"/>
    <n v="0"/>
    <n v="0"/>
    <n v="0"/>
    <n v="4.8013114754098343"/>
    <n v="23.05259188390216"/>
    <n v="1.6800565438857546"/>
    <n v="2.8225899906533467"/>
  </r>
  <r>
    <x v="157"/>
    <x v="11"/>
    <x v="4"/>
    <m/>
    <m/>
    <m/>
    <m/>
    <m/>
    <m/>
    <m/>
    <m/>
    <n v="94.785440941007991"/>
    <m/>
    <n v="100.25648000000002"/>
    <m/>
    <m/>
    <n v="101.7"/>
    <n v="102"/>
    <m/>
    <m/>
    <m/>
    <m/>
    <n v="-5.228688524590166"/>
    <m/>
    <m/>
    <n v="5.4710390589920337"/>
    <m/>
    <m/>
    <m/>
    <m/>
    <m/>
    <b v="0"/>
    <s v="P"/>
    <s v="OVER"/>
    <n v="0"/>
    <n v="0"/>
    <n v="0"/>
    <n v="-5.228688524590166"/>
    <n v="27.339183687180888"/>
    <n v="5.4710390589920337"/>
    <n v="29.932268385016439"/>
  </r>
  <r>
    <x v="157"/>
    <x v="15"/>
    <x v="5"/>
    <m/>
    <m/>
    <m/>
    <m/>
    <m/>
    <m/>
    <m/>
    <m/>
    <n v="109.46702010654768"/>
    <m/>
    <n v="112.81162600000003"/>
    <m/>
    <m/>
    <n v="94.2"/>
    <n v="96.9"/>
    <m/>
    <m/>
    <m/>
    <m/>
    <n v="2.9213114754098344"/>
    <m/>
    <m/>
    <n v="3.3446058934523535"/>
    <m/>
    <m/>
    <m/>
    <m/>
    <m/>
    <b v="0"/>
    <s v="P"/>
    <s v="OVER"/>
    <n v="0"/>
    <n v="0"/>
    <n v="0"/>
    <n v="2.9213114754098344"/>
    <n v="8.5340607363611838"/>
    <n v="3.3446058934523535"/>
    <n v="11.186388582516216"/>
  </r>
  <r>
    <x v="158"/>
    <x v="3"/>
    <x v="3"/>
    <m/>
    <m/>
    <m/>
    <m/>
    <m/>
    <m/>
    <m/>
    <m/>
    <n v="109.60374124532323"/>
    <m/>
    <n v="95.483239333333358"/>
    <m/>
    <m/>
    <n v="99.5"/>
    <n v="92.9"/>
    <m/>
    <m/>
    <m/>
    <m/>
    <n v="-12.128688524590165"/>
    <m/>
    <m/>
    <n v="-14.120501911989876"/>
    <m/>
    <m/>
    <m/>
    <m/>
    <m/>
    <b v="1"/>
    <s v="A"/>
    <s v="OVER"/>
    <n v="0"/>
    <n v="0"/>
    <n v="0"/>
    <n v="-12.128688524590165"/>
    <n v="147.10508532652517"/>
    <n v="-14.120501911989876"/>
    <n v="199.38857424650976"/>
  </r>
  <r>
    <x v="158"/>
    <x v="14"/>
    <x v="17"/>
    <m/>
    <m/>
    <m/>
    <m/>
    <m/>
    <m/>
    <m/>
    <m/>
    <n v="109.45135726701199"/>
    <m/>
    <n v="91.845628000000033"/>
    <m/>
    <m/>
    <n v="95.1"/>
    <n v="94.2"/>
    <m/>
    <m/>
    <m/>
    <m/>
    <n v="-16.058688524590167"/>
    <m/>
    <m/>
    <n v="-17.605729267011952"/>
    <m/>
    <m/>
    <m/>
    <m/>
    <m/>
    <b v="0"/>
    <s v="C"/>
    <s v="OVER"/>
    <n v="0"/>
    <n v="0"/>
    <n v="0"/>
    <n v="-16.058688524590167"/>
    <n v="257.8814771298039"/>
    <n v="-17.605729267011952"/>
    <n v="309.96170302332121"/>
  </r>
  <r>
    <x v="158"/>
    <x v="18"/>
    <x v="13"/>
    <m/>
    <m/>
    <m/>
    <m/>
    <m/>
    <m/>
    <m/>
    <m/>
    <n v="113.9410783347156"/>
    <m/>
    <n v="98.474310666666682"/>
    <m/>
    <m/>
    <n v="94.2"/>
    <n v="96.1"/>
    <m/>
    <m/>
    <m/>
    <m/>
    <n v="-8.268688524590166"/>
    <m/>
    <m/>
    <n v="-15.466767668048917"/>
    <m/>
    <m/>
    <m/>
    <m/>
    <m/>
    <b v="0"/>
    <s v="C"/>
    <s v="OVER"/>
    <n v="0"/>
    <n v="0"/>
    <n v="0"/>
    <n v="-8.268688524590166"/>
    <n v="68.371209916689097"/>
    <n v="-15.466767668048917"/>
    <n v="239.22090209740333"/>
  </r>
  <r>
    <x v="158"/>
    <x v="1"/>
    <x v="2"/>
    <m/>
    <m/>
    <m/>
    <m/>
    <m/>
    <m/>
    <m/>
    <m/>
    <n v="110.38458298006876"/>
    <m/>
    <n v="96.459910000000022"/>
    <m/>
    <m/>
    <n v="100.7"/>
    <n v="91.5"/>
    <m/>
    <m/>
    <m/>
    <m/>
    <n v="-9.7786885245901658"/>
    <m/>
    <m/>
    <n v="-13.924672980068735"/>
    <m/>
    <m/>
    <m/>
    <m/>
    <m/>
    <b v="0"/>
    <s v="P"/>
    <s v="OVER"/>
    <n v="0"/>
    <n v="0"/>
    <n v="0"/>
    <n v="-9.7786885245901658"/>
    <n v="95.622749260951394"/>
    <n v="-13.924672980068735"/>
    <n v="193.89651760185629"/>
  </r>
  <r>
    <x v="158"/>
    <x v="27"/>
    <x v="5"/>
    <m/>
    <m/>
    <m/>
    <m/>
    <m/>
    <m/>
    <m/>
    <m/>
    <n v="115.25488172355892"/>
    <m/>
    <n v="105.62164600000003"/>
    <m/>
    <m/>
    <n v="96.4"/>
    <n v="96.9"/>
    <m/>
    <m/>
    <m/>
    <m/>
    <n v="-11.808688524590165"/>
    <m/>
    <m/>
    <n v="-9.6332357235588972"/>
    <m/>
    <m/>
    <m/>
    <m/>
    <m/>
    <b v="0"/>
    <s v="P"/>
    <s v="OVER"/>
    <n v="0"/>
    <n v="0"/>
    <n v="0"/>
    <n v="-11.808688524590165"/>
    <n v="139.44512467078746"/>
    <n v="-9.6332357235588972"/>
    <n v="92.799230505651309"/>
  </r>
  <r>
    <x v="158"/>
    <x v="19"/>
    <x v="20"/>
    <m/>
    <m/>
    <m/>
    <m/>
    <m/>
    <m/>
    <m/>
    <m/>
    <n v="100.05577368238519"/>
    <m/>
    <n v="108.32473866666669"/>
    <m/>
    <m/>
    <n v="93.9"/>
    <n v="97.3"/>
    <m/>
    <m/>
    <m/>
    <m/>
    <n v="7.101311475409835"/>
    <m/>
    <m/>
    <n v="8.2689649842814958"/>
    <m/>
    <m/>
    <m/>
    <m/>
    <m/>
    <b v="0"/>
    <s v="SE"/>
    <s v="OVER"/>
    <n v="0"/>
    <n v="0"/>
    <n v="0"/>
    <n v="7.101311475409835"/>
    <n v="50.428624670787407"/>
    <n v="8.2689649842814958"/>
    <n v="68.375781911273478"/>
  </r>
  <r>
    <x v="158"/>
    <x v="7"/>
    <x v="7"/>
    <m/>
    <m/>
    <m/>
    <m/>
    <m/>
    <m/>
    <m/>
    <m/>
    <n v="107.18286333230638"/>
    <m/>
    <n v="107.32254866666668"/>
    <m/>
    <m/>
    <n v="96.1"/>
    <n v="97.3"/>
    <m/>
    <m/>
    <m/>
    <m/>
    <n v="1.6313114754098343"/>
    <m/>
    <m/>
    <n v="0.13968533436029418"/>
    <m/>
    <m/>
    <m/>
    <m/>
    <m/>
    <b v="0"/>
    <s v="C"/>
    <s v="OVER"/>
    <n v="0"/>
    <n v="0"/>
    <n v="0"/>
    <n v="1.6313114754098343"/>
    <n v="2.6611771298038107"/>
    <n v="0.13968533436029418"/>
    <n v="1.951199263534718E-2"/>
  </r>
  <r>
    <x v="158"/>
    <x v="10"/>
    <x v="16"/>
    <m/>
    <m/>
    <m/>
    <m/>
    <m/>
    <m/>
    <m/>
    <m/>
    <n v="100.51819419888253"/>
    <m/>
    <n v="103.75630533333334"/>
    <m/>
    <m/>
    <n v="97.5"/>
    <n v="98.3"/>
    <m/>
    <m/>
    <m/>
    <m/>
    <n v="2.1213114754098346"/>
    <m/>
    <m/>
    <n v="3.2381111344508184"/>
    <m/>
    <m/>
    <m/>
    <m/>
    <m/>
    <b v="0"/>
    <s v="A"/>
    <s v="OVER"/>
    <n v="0"/>
    <n v="0"/>
    <n v="0"/>
    <n v="2.1213114754098346"/>
    <n v="4.499962375705449"/>
    <n v="3.2381111344508184"/>
    <n v="10.485363719054366"/>
  </r>
  <r>
    <x v="158"/>
    <x v="2"/>
    <x v="1"/>
    <m/>
    <m/>
    <m/>
    <m/>
    <m/>
    <m/>
    <m/>
    <m/>
    <n v="107.36134413790987"/>
    <m/>
    <n v="110.20658200000001"/>
    <m/>
    <m/>
    <n v="99.3"/>
    <n v="93.3"/>
    <m/>
    <m/>
    <m/>
    <m/>
    <n v="6.9313114754098351"/>
    <m/>
    <m/>
    <n v="2.8452378620901442"/>
    <m/>
    <m/>
    <m/>
    <m/>
    <m/>
    <b v="0"/>
    <s v="NW"/>
    <s v="OVER"/>
    <n v="0"/>
    <n v="0"/>
    <n v="0"/>
    <n v="6.9313114754098351"/>
    <n v="48.043078769148067"/>
    <n v="2.8452378620901442"/>
    <n v="8.0953784918712941"/>
  </r>
  <r>
    <x v="159"/>
    <x v="13"/>
    <x v="7"/>
    <m/>
    <m/>
    <m/>
    <m/>
    <m/>
    <m/>
    <m/>
    <m/>
    <n v="99.473399292911282"/>
    <m/>
    <n v="98.487708666666691"/>
    <m/>
    <m/>
    <n v="99.2"/>
    <n v="97.3"/>
    <m/>
    <m/>
    <m/>
    <m/>
    <n v="-3.1086885245901654"/>
    <m/>
    <m/>
    <n v="-0.98569062624459036"/>
    <m/>
    <m/>
    <m/>
    <m/>
    <m/>
    <b v="1"/>
    <s v="SE"/>
    <s v="OVER"/>
    <n v="0"/>
    <n v="0"/>
    <n v="0"/>
    <n v="-3.1086885245901654"/>
    <n v="9.6639443429185796"/>
    <n v="-0.98569062624459036"/>
    <n v="0.97158601066645278"/>
  </r>
  <r>
    <x v="159"/>
    <x v="17"/>
    <x v="8"/>
    <m/>
    <m/>
    <m/>
    <m/>
    <m/>
    <m/>
    <m/>
    <m/>
    <n v="96.281423578429084"/>
    <m/>
    <n v="104.71963066666669"/>
    <m/>
    <m/>
    <n v="102"/>
    <n v="99.1"/>
    <m/>
    <m/>
    <m/>
    <m/>
    <n v="5.4113114754098346"/>
    <m/>
    <m/>
    <n v="8.4382070882376041"/>
    <m/>
    <m/>
    <m/>
    <m/>
    <m/>
    <b v="0"/>
    <s v="SW"/>
    <s v="OVER"/>
    <n v="0"/>
    <n v="0"/>
    <n v="0"/>
    <n v="5.4113114754098346"/>
    <n v="29.282291883902161"/>
    <n v="8.4382070882376041"/>
    <n v="71.203338863983348"/>
  </r>
  <r>
    <x v="159"/>
    <x v="5"/>
    <x v="25"/>
    <m/>
    <m/>
    <m/>
    <m/>
    <m/>
    <m/>
    <m/>
    <m/>
    <n v="107.5064114170964"/>
    <m/>
    <n v="106.09209866666669"/>
    <m/>
    <m/>
    <n v="100.2"/>
    <n v="98.8"/>
    <m/>
    <m/>
    <m/>
    <m/>
    <n v="-3.038688524590166"/>
    <m/>
    <m/>
    <n v="-1.4143127504297155"/>
    <m/>
    <m/>
    <m/>
    <m/>
    <m/>
    <b v="0"/>
    <s v="P"/>
    <s v="OVER"/>
    <n v="0"/>
    <n v="0"/>
    <n v="0"/>
    <n v="-3.038688524590166"/>
    <n v="9.2336279494759594"/>
    <n v="-1.4143127504297155"/>
    <n v="2.0002805560280668"/>
  </r>
  <r>
    <x v="159"/>
    <x v="28"/>
    <x v="10"/>
    <m/>
    <m/>
    <m/>
    <m/>
    <m/>
    <m/>
    <m/>
    <m/>
    <n v="114.31952150317565"/>
    <m/>
    <n v="100.77719733333336"/>
    <m/>
    <m/>
    <n v="95.8"/>
    <n v="92.6"/>
    <m/>
    <m/>
    <m/>
    <m/>
    <n v="-1.1986885245901657"/>
    <m/>
    <m/>
    <n v="-13.542324169842288"/>
    <m/>
    <m/>
    <m/>
    <m/>
    <m/>
    <b v="1"/>
    <s v="NW"/>
    <s v="OVER"/>
    <n v="0"/>
    <n v="0"/>
    <n v="0"/>
    <n v="-1.1986885245901657"/>
    <n v="1.4368541789841482"/>
    <n v="-13.542324169842288"/>
    <n v="183.39454392109462"/>
  </r>
  <r>
    <x v="159"/>
    <x v="15"/>
    <x v="19"/>
    <m/>
    <m/>
    <m/>
    <m/>
    <m/>
    <m/>
    <m/>
    <m/>
    <n v="107.98808010654767"/>
    <m/>
    <n v="106.52125800000005"/>
    <m/>
    <m/>
    <n v="94.2"/>
    <n v="101.7"/>
    <m/>
    <m/>
    <m/>
    <m/>
    <n v="-7.1786885245901662"/>
    <m/>
    <m/>
    <n v="-1.4668221065476246"/>
    <m/>
    <m/>
    <m/>
    <m/>
    <m/>
    <b v="1"/>
    <s v="P"/>
    <s v="OVER"/>
    <n v="0"/>
    <n v="0"/>
    <n v="0"/>
    <n v="-7.1786885245901662"/>
    <n v="51.533568933082535"/>
    <n v="-1.4668221065476246"/>
    <n v="2.1515670922568111"/>
  </r>
  <r>
    <x v="160"/>
    <x v="3"/>
    <x v="26"/>
    <m/>
    <m/>
    <m/>
    <m/>
    <m/>
    <m/>
    <m/>
    <m/>
    <n v="107.56399124532324"/>
    <m/>
    <n v="102.91413066666669"/>
    <m/>
    <m/>
    <n v="99.5"/>
    <n v="96.1"/>
    <m/>
    <m/>
    <m/>
    <m/>
    <n v="-5.768688524590166"/>
    <m/>
    <m/>
    <n v="-4.6498605786565435"/>
    <m/>
    <m/>
    <m/>
    <m/>
    <m/>
    <b v="0"/>
    <s v="A"/>
    <s v="OVER"/>
    <n v="0"/>
    <n v="0"/>
    <n v="0"/>
    <n v="-5.768688524590166"/>
    <n v="33.277767293738265"/>
    <n v="-4.6498605786565435"/>
    <n v="21.621203400944164"/>
  </r>
  <r>
    <x v="160"/>
    <x v="14"/>
    <x v="3"/>
    <m/>
    <m/>
    <m/>
    <m/>
    <m/>
    <m/>
    <m/>
    <m/>
    <n v="113.61673726701197"/>
    <m/>
    <n v="94.479919333333356"/>
    <m/>
    <m/>
    <n v="95.1"/>
    <n v="92.9"/>
    <m/>
    <m/>
    <m/>
    <m/>
    <n v="-16.238688524590167"/>
    <m/>
    <m/>
    <n v="-19.136817933678614"/>
    <m/>
    <m/>
    <m/>
    <m/>
    <m/>
    <b v="0"/>
    <s v="C"/>
    <s v="OVER"/>
    <n v="0"/>
    <n v="0"/>
    <n v="0"/>
    <n v="-16.238688524590167"/>
    <n v="263.69500499865637"/>
    <n v="-19.136817933678614"/>
    <n v="366.21780062676345"/>
  </r>
  <r>
    <x v="160"/>
    <x v="0"/>
    <x v="29"/>
    <m/>
    <m/>
    <m/>
    <m/>
    <m/>
    <m/>
    <m/>
    <m/>
    <n v="116.33505692672303"/>
    <m/>
    <n v="107.73585600000004"/>
    <m/>
    <m/>
    <n v="97.3"/>
    <n v="95.4"/>
    <m/>
    <m/>
    <m/>
    <m/>
    <n v="-5.5686885245901667"/>
    <m/>
    <m/>
    <n v="-8.5992009267229861"/>
    <m/>
    <m/>
    <m/>
    <m/>
    <m/>
    <b v="0"/>
    <s v="C"/>
    <s v="OVER"/>
    <n v="0"/>
    <n v="0"/>
    <n v="0"/>
    <n v="-5.5686885245901667"/>
    <n v="31.010291883902209"/>
    <n v="-8.5992009267229861"/>
    <n v="73.946256578153466"/>
  </r>
  <r>
    <x v="160"/>
    <x v="1"/>
    <x v="21"/>
    <m/>
    <m/>
    <m/>
    <m/>
    <m/>
    <m/>
    <m/>
    <m/>
    <n v="119.53821298006876"/>
    <m/>
    <n v="108.03630800000002"/>
    <m/>
    <m/>
    <n v="100.7"/>
    <n v="100.2"/>
    <m/>
    <m/>
    <m/>
    <m/>
    <n v="-16.458688524590166"/>
    <m/>
    <m/>
    <n v="-11.501904980068744"/>
    <m/>
    <m/>
    <m/>
    <m/>
    <m/>
    <b v="1"/>
    <s v="P"/>
    <s v="OVER"/>
    <n v="0"/>
    <n v="0"/>
    <n v="0"/>
    <n v="-16.458688524590166"/>
    <n v="270.88842794947601"/>
    <n v="-11.501904980068744"/>
    <n v="132.29381817053019"/>
  </r>
  <r>
    <x v="160"/>
    <x v="26"/>
    <x v="6"/>
    <m/>
    <m/>
    <m/>
    <m/>
    <m/>
    <m/>
    <m/>
    <m/>
    <n v="113.44734549407401"/>
    <m/>
    <n v="106.88469866666669"/>
    <m/>
    <m/>
    <n v="96.9"/>
    <n v="95.8"/>
    <m/>
    <m/>
    <m/>
    <m/>
    <n v="-7.6786885245901662"/>
    <m/>
    <m/>
    <n v="-6.5626468274073204"/>
    <m/>
    <m/>
    <m/>
    <m/>
    <m/>
    <b v="0"/>
    <s v="SW"/>
    <s v="OVER"/>
    <n v="0"/>
    <n v="0"/>
    <n v="0"/>
    <n v="-7.6786885245901662"/>
    <n v="58.962257457672706"/>
    <n v="-6.5626468274073204"/>
    <n v="43.068333381279366"/>
  </r>
  <r>
    <x v="160"/>
    <x v="4"/>
    <x v="24"/>
    <m/>
    <m/>
    <m/>
    <m/>
    <m/>
    <m/>
    <m/>
    <m/>
    <n v="99.368063414521131"/>
    <m/>
    <n v="103.03970133333335"/>
    <m/>
    <m/>
    <n v="98.3"/>
    <n v="99.2"/>
    <m/>
    <m/>
    <m/>
    <m/>
    <n v="4.3213114754098338"/>
    <m/>
    <m/>
    <n v="3.6716379188122232"/>
    <m/>
    <m/>
    <m/>
    <m/>
    <m/>
    <b v="0"/>
    <s v="C"/>
    <s v="OVER"/>
    <n v="0"/>
    <n v="0"/>
    <n v="0"/>
    <n v="4.3213114754098338"/>
    <n v="18.673732867508715"/>
    <n v="3.6716379188122232"/>
    <n v="13.480925006859755"/>
  </r>
  <r>
    <x v="160"/>
    <x v="27"/>
    <x v="11"/>
    <m/>
    <m/>
    <m/>
    <m/>
    <m/>
    <m/>
    <m/>
    <m/>
    <n v="115.86220172355891"/>
    <m/>
    <n v="97.893268000000035"/>
    <m/>
    <m/>
    <n v="96.4"/>
    <n v="94.2"/>
    <m/>
    <m/>
    <m/>
    <m/>
    <n v="-17.508688524590166"/>
    <m/>
    <m/>
    <n v="-17.968933723558877"/>
    <m/>
    <m/>
    <m/>
    <m/>
    <m/>
    <b v="1"/>
    <s v="P"/>
    <s v="OVER"/>
    <n v="0"/>
    <n v="0"/>
    <n v="0"/>
    <n v="-17.508688524590166"/>
    <n v="306.55417385111537"/>
    <n v="-17.968933723558877"/>
    <n v="322.88257916165145"/>
  </r>
  <r>
    <x v="160"/>
    <x v="6"/>
    <x v="4"/>
    <m/>
    <m/>
    <m/>
    <m/>
    <m/>
    <m/>
    <m/>
    <m/>
    <n v="99.773394730416399"/>
    <m/>
    <n v="94.218080000000029"/>
    <m/>
    <m/>
    <n v="96.2"/>
    <n v="102"/>
    <m/>
    <m/>
    <m/>
    <m/>
    <n v="-12.258688524590166"/>
    <m/>
    <m/>
    <n v="-5.5553147304163701"/>
    <m/>
    <m/>
    <m/>
    <m/>
    <m/>
    <b v="1"/>
    <s v="SW"/>
    <s v="OVER"/>
    <n v="0"/>
    <n v="0"/>
    <n v="0"/>
    <n v="-12.258688524590166"/>
    <n v="150.27544434291863"/>
    <n v="-5.5553147304163701"/>
    <n v="30.861521753981108"/>
  </r>
  <r>
    <x v="160"/>
    <x v="19"/>
    <x v="13"/>
    <m/>
    <m/>
    <m/>
    <m/>
    <m/>
    <m/>
    <m/>
    <m/>
    <n v="103.77421368238518"/>
    <m/>
    <n v="99.714000666666678"/>
    <m/>
    <m/>
    <n v="93.9"/>
    <n v="96.1"/>
    <m/>
    <m/>
    <m/>
    <m/>
    <n v="-4.4286885245901662"/>
    <m/>
    <m/>
    <n v="-4.060213015718503"/>
    <m/>
    <m/>
    <m/>
    <m/>
    <m/>
    <b v="1"/>
    <s v="SE"/>
    <s v="OVER"/>
    <n v="0"/>
    <n v="0"/>
    <n v="0"/>
    <n v="-4.4286885245901662"/>
    <n v="19.613282047836623"/>
    <n v="-4.060213015718503"/>
    <n v="16.485329733009941"/>
  </r>
  <r>
    <x v="160"/>
    <x v="24"/>
    <x v="28"/>
    <m/>
    <m/>
    <m/>
    <m/>
    <m/>
    <m/>
    <m/>
    <m/>
    <n v="110.76677945611426"/>
    <m/>
    <n v="99.655400000000014"/>
    <m/>
    <m/>
    <n v="96.2"/>
    <n v="97.5"/>
    <m/>
    <m/>
    <m/>
    <m/>
    <n v="-10.858688524590166"/>
    <m/>
    <m/>
    <n v="-11.11137945611425"/>
    <m/>
    <m/>
    <m/>
    <m/>
    <m/>
    <b v="1"/>
    <s v="A"/>
    <s v="OVER"/>
    <n v="0"/>
    <n v="0"/>
    <n v="0"/>
    <n v="-10.858688524590166"/>
    <n v="117.91111647406615"/>
    <n v="-11.11137945611425"/>
    <n v="123.4627534177578"/>
  </r>
  <r>
    <x v="160"/>
    <x v="20"/>
    <x v="8"/>
    <m/>
    <m/>
    <m/>
    <m/>
    <m/>
    <m/>
    <m/>
    <m/>
    <n v="105.92657681965827"/>
    <m/>
    <n v="103.77818066666669"/>
    <m/>
    <m/>
    <n v="92.6"/>
    <n v="99.1"/>
    <m/>
    <m/>
    <m/>
    <m/>
    <n v="-3.8186885245901658"/>
    <m/>
    <m/>
    <n v="-2.1483961529915803"/>
    <m/>
    <m/>
    <m/>
    <m/>
    <m/>
    <b v="1"/>
    <s v="NW"/>
    <s v="OVER"/>
    <n v="0"/>
    <n v="0"/>
    <n v="0"/>
    <n v="-3.8186885245901658"/>
    <n v="14.582382047836617"/>
    <n v="-2.1483961529915803"/>
    <n v="4.6156060301890216"/>
  </r>
  <r>
    <x v="160"/>
    <x v="9"/>
    <x v="12"/>
    <m/>
    <m/>
    <m/>
    <m/>
    <m/>
    <m/>
    <m/>
    <m/>
    <n v="92.864134056814663"/>
    <m/>
    <n v="98.439628000000027"/>
    <m/>
    <m/>
    <n v="94.2"/>
    <n v="94.2"/>
    <m/>
    <m/>
    <m/>
    <m/>
    <n v="8.5513114754098343"/>
    <m/>
    <m/>
    <n v="5.5754939431853643"/>
    <m/>
    <m/>
    <m/>
    <m/>
    <m/>
    <b v="0"/>
    <s v="SE"/>
    <s v="OVER"/>
    <n v="0"/>
    <n v="0"/>
    <n v="0"/>
    <n v="8.5513114754098343"/>
    <n v="73.124927949475918"/>
    <n v="5.5754939431853643"/>
    <n v="31.086132710496681"/>
  </r>
  <r>
    <x v="160"/>
    <x v="2"/>
    <x v="25"/>
    <m/>
    <m/>
    <m/>
    <m/>
    <m/>
    <m/>
    <m/>
    <m/>
    <n v="107.45071413790987"/>
    <m/>
    <n v="106.94177866666668"/>
    <m/>
    <m/>
    <n v="99.3"/>
    <n v="98.8"/>
    <m/>
    <m/>
    <m/>
    <m/>
    <n v="-3.038688524590166"/>
    <m/>
    <m/>
    <n v="-0.50893547124319127"/>
    <m/>
    <m/>
    <m/>
    <m/>
    <m/>
    <b v="0"/>
    <s v="NW"/>
    <s v="OVER"/>
    <n v="0"/>
    <n v="0"/>
    <n v="0"/>
    <n v="-3.038688524590166"/>
    <n v="9.2336279494759594"/>
    <n v="-0.50893547124319127"/>
    <n v="0.2590153138895292"/>
  </r>
  <r>
    <x v="160"/>
    <x v="21"/>
    <x v="1"/>
    <m/>
    <m/>
    <m/>
    <m/>
    <m/>
    <m/>
    <m/>
    <m/>
    <n v="105.27255584399452"/>
    <m/>
    <n v="100.92323200000001"/>
    <m/>
    <m/>
    <n v="91.5"/>
    <n v="93.3"/>
    <m/>
    <m/>
    <m/>
    <m/>
    <n v="0.25131147540983445"/>
    <m/>
    <m/>
    <n v="-4.3493238439945117"/>
    <m/>
    <m/>
    <m/>
    <m/>
    <m/>
    <b v="0"/>
    <s v="NW"/>
    <s v="OVER"/>
    <n v="0"/>
    <n v="0"/>
    <n v="0"/>
    <n v="0.25131147540983445"/>
    <n v="6.3157457672667824E-2"/>
    <n v="-4.3493238439945117"/>
    <n v="18.9166178999391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2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Away">
  <location ref="AB2:AD32" firstHeaderRow="0" firstDataRow="1" firstDataCol="1"/>
  <pivotFields count="41">
    <pivotField numFmtId="14" showAll="0"/>
    <pivotField showAll="0"/>
    <pivotField axis="axisRow" showAll="0">
      <items count="31">
        <item x="28"/>
        <item x="22"/>
        <item x="26"/>
        <item x="27"/>
        <item x="20"/>
        <item x="14"/>
        <item x="15"/>
        <item x="23"/>
        <item x="24"/>
        <item x="9"/>
        <item x="7"/>
        <item x="2"/>
        <item x="11"/>
        <item x="0"/>
        <item x="21"/>
        <item x="17"/>
        <item x="4"/>
        <item x="3"/>
        <item x="8"/>
        <item x="16"/>
        <item x="25"/>
        <item x="12"/>
        <item x="29"/>
        <item x="5"/>
        <item x="1"/>
        <item x="19"/>
        <item x="10"/>
        <item x="6"/>
        <item x="18"/>
        <item x="13"/>
        <item t="default"/>
      </items>
    </pivotField>
    <pivotField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1" showAll="0"/>
    <pivotField numFmtId="2" showAll="0"/>
    <pivotField numFmtId="2" showAll="0"/>
  </pivotFields>
  <rowFields count="1">
    <field x="2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rowItems>
  <colFields count="1">
    <field x="-2"/>
  </colFields>
  <colItems count="2">
    <i>
      <x/>
    </i>
    <i i="1">
      <x v="1"/>
    </i>
  </colItems>
  <dataFields count="2">
    <dataField name="Away/G" fld="5" subtotal="count" baseField="2" baseItem="2"/>
    <dataField name="Away/Win" fld="5" subtotal="average" baseField="2" baseItem="3" numFmtId="9"/>
  </dataFields>
  <formats count="30">
    <format dxfId="156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155">
      <pivotArea dataOnly="0" labelOnly="1" fieldPosition="0">
        <references count="1">
          <reference field="2" count="1">
            <x v="0"/>
          </reference>
        </references>
      </pivotArea>
    </format>
    <format dxfId="154">
      <pivotArea collapsedLevelsAreSubtotals="1" fieldPosition="0">
        <references count="2">
          <reference field="4294967294" count="1" selected="0">
            <x v="0"/>
          </reference>
          <reference field="2" count="1">
            <x v="2"/>
          </reference>
        </references>
      </pivotArea>
    </format>
    <format dxfId="153">
      <pivotArea dataOnly="0" labelOnly="1" fieldPosition="0">
        <references count="1">
          <reference field="2" count="1">
            <x v="2"/>
          </reference>
        </references>
      </pivotArea>
    </format>
    <format dxfId="152">
      <pivotArea collapsedLevelsAreSubtotals="1" fieldPosition="0">
        <references count="2">
          <reference field="4294967294" count="1" selected="0">
            <x v="0"/>
          </reference>
          <reference field="2" count="1">
            <x v="4"/>
          </reference>
        </references>
      </pivotArea>
    </format>
    <format dxfId="151">
      <pivotArea dataOnly="0" labelOnly="1" fieldPosition="0">
        <references count="1">
          <reference field="2" count="1">
            <x v="4"/>
          </reference>
        </references>
      </pivotArea>
    </format>
    <format dxfId="150">
      <pivotArea collapsedLevelsAreSubtotals="1" fieldPosition="0">
        <references count="2">
          <reference field="4294967294" count="1" selected="0">
            <x v="0"/>
          </reference>
          <reference field="2" count="1">
            <x v="6"/>
          </reference>
        </references>
      </pivotArea>
    </format>
    <format dxfId="149">
      <pivotArea dataOnly="0" labelOnly="1" fieldPosition="0">
        <references count="1">
          <reference field="2" count="1">
            <x v="6"/>
          </reference>
        </references>
      </pivotArea>
    </format>
    <format dxfId="148">
      <pivotArea collapsedLevelsAreSubtotals="1" fieldPosition="0">
        <references count="2">
          <reference field="4294967294" count="1" selected="0">
            <x v="0"/>
          </reference>
          <reference field="2" count="1">
            <x v="8"/>
          </reference>
        </references>
      </pivotArea>
    </format>
    <format dxfId="147">
      <pivotArea dataOnly="0" labelOnly="1" fieldPosition="0">
        <references count="1">
          <reference field="2" count="1">
            <x v="8"/>
          </reference>
        </references>
      </pivotArea>
    </format>
    <format dxfId="146">
      <pivotArea collapsedLevelsAreSubtotals="1" fieldPosition="0">
        <references count="2">
          <reference field="4294967294" count="1" selected="0">
            <x v="0"/>
          </reference>
          <reference field="2" count="1">
            <x v="10"/>
          </reference>
        </references>
      </pivotArea>
    </format>
    <format dxfId="145">
      <pivotArea dataOnly="0" labelOnly="1" fieldPosition="0">
        <references count="1">
          <reference field="2" count="1">
            <x v="10"/>
          </reference>
        </references>
      </pivotArea>
    </format>
    <format dxfId="144">
      <pivotArea collapsedLevelsAreSubtotals="1" fieldPosition="0">
        <references count="2">
          <reference field="4294967294" count="1" selected="0">
            <x v="0"/>
          </reference>
          <reference field="2" count="1">
            <x v="12"/>
          </reference>
        </references>
      </pivotArea>
    </format>
    <format dxfId="143">
      <pivotArea dataOnly="0" labelOnly="1" fieldPosition="0">
        <references count="1">
          <reference field="2" count="1">
            <x v="12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0"/>
          </reference>
          <reference field="2" count="1">
            <x v="14"/>
          </reference>
        </references>
      </pivotArea>
    </format>
    <format dxfId="141">
      <pivotArea dataOnly="0" labelOnly="1" fieldPosition="0">
        <references count="1">
          <reference field="2" count="1">
            <x v="14"/>
          </reference>
        </references>
      </pivotArea>
    </format>
    <format dxfId="140">
      <pivotArea collapsedLevelsAreSubtotals="1" fieldPosition="0">
        <references count="2">
          <reference field="4294967294" count="1" selected="0">
            <x v="0"/>
          </reference>
          <reference field="2" count="1">
            <x v="16"/>
          </reference>
        </references>
      </pivotArea>
    </format>
    <format dxfId="139">
      <pivotArea dataOnly="0" labelOnly="1" fieldPosition="0">
        <references count="1">
          <reference field="2" count="1">
            <x v="16"/>
          </reference>
        </references>
      </pivotArea>
    </format>
    <format dxfId="138">
      <pivotArea collapsedLevelsAreSubtotals="1" fieldPosition="0">
        <references count="2">
          <reference field="4294967294" count="1" selected="0">
            <x v="0"/>
          </reference>
          <reference field="2" count="1">
            <x v="18"/>
          </reference>
        </references>
      </pivotArea>
    </format>
    <format dxfId="137">
      <pivotArea dataOnly="0" labelOnly="1" fieldPosition="0">
        <references count="1">
          <reference field="2" count="1">
            <x v="18"/>
          </reference>
        </references>
      </pivotArea>
    </format>
    <format dxfId="136">
      <pivotArea collapsedLevelsAreSubtotals="1" fieldPosition="0">
        <references count="2">
          <reference field="4294967294" count="1" selected="0">
            <x v="0"/>
          </reference>
          <reference field="2" count="1">
            <x v="20"/>
          </reference>
        </references>
      </pivotArea>
    </format>
    <format dxfId="135">
      <pivotArea dataOnly="0" labelOnly="1" fieldPosition="0">
        <references count="1">
          <reference field="2" count="1">
            <x v="20"/>
          </reference>
        </references>
      </pivotArea>
    </format>
    <format dxfId="134">
      <pivotArea collapsedLevelsAreSubtotals="1" fieldPosition="0">
        <references count="2">
          <reference field="4294967294" count="1" selected="0">
            <x v="0"/>
          </reference>
          <reference field="2" count="1">
            <x v="22"/>
          </reference>
        </references>
      </pivotArea>
    </format>
    <format dxfId="133">
      <pivotArea dataOnly="0" labelOnly="1" fieldPosition="0">
        <references count="1">
          <reference field="2" count="1">
            <x v="22"/>
          </reference>
        </references>
      </pivotArea>
    </format>
    <format dxfId="132">
      <pivotArea collapsedLevelsAreSubtotals="1" fieldPosition="0">
        <references count="2">
          <reference field="4294967294" count="1" selected="0">
            <x v="0"/>
          </reference>
          <reference field="2" count="1">
            <x v="24"/>
          </reference>
        </references>
      </pivotArea>
    </format>
    <format dxfId="131">
      <pivotArea dataOnly="0" labelOnly="1" fieldPosition="0">
        <references count="1">
          <reference field="2" count="1">
            <x v="24"/>
          </reference>
        </references>
      </pivotArea>
    </format>
    <format dxfId="130">
      <pivotArea collapsedLevelsAreSubtotals="1" fieldPosition="0">
        <references count="2">
          <reference field="4294967294" count="1" selected="0">
            <x v="0"/>
          </reference>
          <reference field="2" count="1">
            <x v="26"/>
          </reference>
        </references>
      </pivotArea>
    </format>
    <format dxfId="129">
      <pivotArea dataOnly="0" labelOnly="1" fieldPosition="0">
        <references count="1">
          <reference field="2" count="1">
            <x v="26"/>
          </reference>
        </references>
      </pivotArea>
    </format>
    <format dxfId="128">
      <pivotArea collapsedLevelsAreSubtotals="1" fieldPosition="0">
        <references count="2">
          <reference field="4294967294" count="1" selected="0">
            <x v="0"/>
          </reference>
          <reference field="2" count="1">
            <x v="28"/>
          </reference>
        </references>
      </pivotArea>
    </format>
    <format dxfId="127">
      <pivotArea dataOnly="0" labelOnly="1" fieldPosition="0">
        <references count="1">
          <reference field="2" count="1">
            <x v="28"/>
          </reference>
        </references>
      </pivotArea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2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18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1" cacheId="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Home">
  <location ref="X2:Z32" firstHeaderRow="0" firstDataRow="1" firstDataCol="1"/>
  <pivotFields count="41">
    <pivotField numFmtId="14" showAll="0"/>
    <pivotField axis="axisRow" showAll="0">
      <items count="31">
        <item x="10"/>
        <item x="2"/>
        <item x="7"/>
        <item x="14"/>
        <item x="0"/>
        <item x="3"/>
        <item x="27"/>
        <item x="6"/>
        <item x="13"/>
        <item x="19"/>
        <item x="22"/>
        <item x="21"/>
        <item x="15"/>
        <item x="24"/>
        <item x="5"/>
        <item x="9"/>
        <item x="17"/>
        <item x="16"/>
        <item x="23"/>
        <item x="4"/>
        <item x="8"/>
        <item x="18"/>
        <item x="12"/>
        <item x="26"/>
        <item x="25"/>
        <item x="11"/>
        <item x="20"/>
        <item x="28"/>
        <item x="1"/>
        <item x="2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1" showAll="0"/>
    <pivotField numFmtId="2" showAll="0"/>
    <pivotField numFmtId="2" showAll="0"/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rowItems>
  <colFields count="1">
    <field x="-2"/>
  </colFields>
  <colItems count="2">
    <i>
      <x/>
    </i>
    <i i="1">
      <x v="1"/>
    </i>
  </colItems>
  <dataFields count="2">
    <dataField name="Home/G" fld="3" subtotal="count" baseField="0" baseItem="0"/>
    <dataField name="Home/Wins" fld="3" subtotal="average" baseField="1" baseItem="3" numFmtId="9"/>
  </dataFields>
  <formats count="30">
    <format dxfId="186">
      <pivotArea collapsedLevelsAreSubtotals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185">
      <pivotArea dataOnly="0" labelOnly="1" fieldPosition="0">
        <references count="1">
          <reference field="1" count="1">
            <x v="0"/>
          </reference>
        </references>
      </pivotArea>
    </format>
    <format dxfId="184">
      <pivotArea collapsedLevelsAreSubtotals="1" fieldPosition="0">
        <references count="2">
          <reference field="4294967294" count="1" selected="0">
            <x v="0"/>
          </reference>
          <reference field="1" count="1">
            <x v="2"/>
          </reference>
        </references>
      </pivotArea>
    </format>
    <format dxfId="183">
      <pivotArea dataOnly="0" labelOnly="1" fieldPosition="0">
        <references count="1">
          <reference field="1" count="1">
            <x v="2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0"/>
          </reference>
          <reference field="1" count="1">
            <x v="4"/>
          </reference>
        </references>
      </pivotArea>
    </format>
    <format dxfId="181">
      <pivotArea dataOnly="0" labelOnly="1" fieldPosition="0">
        <references count="1">
          <reference field="1" count="1">
            <x v="4"/>
          </reference>
        </references>
      </pivotArea>
    </format>
    <format dxfId="180">
      <pivotArea collapsedLevelsAreSubtotals="1" fieldPosition="0">
        <references count="2">
          <reference field="4294967294" count="1" selected="0">
            <x v="0"/>
          </reference>
          <reference field="1" count="1">
            <x v="6"/>
          </reference>
        </references>
      </pivotArea>
    </format>
    <format dxfId="179">
      <pivotArea dataOnly="0" labelOnly="1" fieldPosition="0">
        <references count="1">
          <reference field="1" count="1">
            <x v="6"/>
          </reference>
        </references>
      </pivotArea>
    </format>
    <format dxfId="178">
      <pivotArea collapsedLevelsAreSubtotals="1" fieldPosition="0">
        <references count="2">
          <reference field="4294967294" count="1" selected="0">
            <x v="0"/>
          </reference>
          <reference field="1" count="1">
            <x v="8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collapsedLevelsAreSubtotals="1" fieldPosition="0">
        <references count="2">
          <reference field="4294967294" count="1" selected="0">
            <x v="0"/>
          </reference>
          <reference field="1" count="1">
            <x v="10"/>
          </reference>
        </references>
      </pivotArea>
    </format>
    <format dxfId="175">
      <pivotArea dataOnly="0" labelOnly="1" fieldPosition="0">
        <references count="1">
          <reference field="1" count="1">
            <x v="10"/>
          </reference>
        </references>
      </pivotArea>
    </format>
    <format dxfId="174">
      <pivotArea collapsedLevelsAreSubtotals="1" fieldPosition="0">
        <references count="2">
          <reference field="4294967294" count="1" selected="0">
            <x v="0"/>
          </reference>
          <reference field="1" count="1">
            <x v="12"/>
          </reference>
        </references>
      </pivotArea>
    </format>
    <format dxfId="173">
      <pivotArea dataOnly="0" labelOnly="1" fieldPosition="0">
        <references count="1">
          <reference field="1" count="1">
            <x v="12"/>
          </reference>
        </references>
      </pivotArea>
    </format>
    <format dxfId="172">
      <pivotArea collapsedLevelsAreSubtotals="1" fieldPosition="0">
        <references count="2">
          <reference field="4294967294" count="1" selected="0">
            <x v="0"/>
          </reference>
          <reference field="1" count="1">
            <x v="14"/>
          </reference>
        </references>
      </pivotArea>
    </format>
    <format dxfId="171">
      <pivotArea dataOnly="0" labelOnly="1" fieldPosition="0">
        <references count="1">
          <reference field="1" count="1">
            <x v="14"/>
          </reference>
        </references>
      </pivotArea>
    </format>
    <format dxfId="170">
      <pivotArea collapsedLevelsAreSubtotals="1" fieldPosition="0">
        <references count="2">
          <reference field="4294967294" count="1" selected="0">
            <x v="0"/>
          </reference>
          <reference field="1" count="1">
            <x v="16"/>
          </reference>
        </references>
      </pivotArea>
    </format>
    <format dxfId="169">
      <pivotArea dataOnly="0" labelOnly="1" fieldPosition="0">
        <references count="1">
          <reference field="1" count="1">
            <x v="16"/>
          </reference>
        </references>
      </pivotArea>
    </format>
    <format dxfId="168">
      <pivotArea collapsedLevelsAreSubtotals="1" fieldPosition="0">
        <references count="2">
          <reference field="4294967294" count="1" selected="0">
            <x v="0"/>
          </reference>
          <reference field="1" count="1">
            <x v="18"/>
          </reference>
        </references>
      </pivotArea>
    </format>
    <format dxfId="167">
      <pivotArea dataOnly="0" labelOnly="1" fieldPosition="0">
        <references count="1">
          <reference field="1" count="1">
            <x v="18"/>
          </reference>
        </references>
      </pivotArea>
    </format>
    <format dxfId="166">
      <pivotArea collapsedLevelsAreSubtotals="1" fieldPosition="0">
        <references count="2">
          <reference field="4294967294" count="1" selected="0">
            <x v="0"/>
          </reference>
          <reference field="1" count="1">
            <x v="20"/>
          </reference>
        </references>
      </pivotArea>
    </format>
    <format dxfId="165">
      <pivotArea dataOnly="0" labelOnly="1" fieldPosition="0">
        <references count="1">
          <reference field="1" count="1">
            <x v="20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0"/>
          </reference>
          <reference field="1" count="1">
            <x v="22"/>
          </reference>
        </references>
      </pivotArea>
    </format>
    <format dxfId="163">
      <pivotArea dataOnly="0" labelOnly="1" fieldPosition="0">
        <references count="1">
          <reference field="1" count="1">
            <x v="22"/>
          </reference>
        </references>
      </pivotArea>
    </format>
    <format dxfId="162">
      <pivotArea collapsedLevelsAreSubtotals="1" fieldPosition="0">
        <references count="2">
          <reference field="4294967294" count="1" selected="0">
            <x v="0"/>
          </reference>
          <reference field="1" count="1">
            <x v="24"/>
          </reference>
        </references>
      </pivotArea>
    </format>
    <format dxfId="161">
      <pivotArea dataOnly="0" labelOnly="1" fieldPosition="0">
        <references count="1">
          <reference field="1" count="1">
            <x v="24"/>
          </reference>
        </references>
      </pivotArea>
    </format>
    <format dxfId="160">
      <pivotArea collapsedLevelsAreSubtotals="1" fieldPosition="0">
        <references count="2">
          <reference field="4294967294" count="1" selected="0">
            <x v="0"/>
          </reference>
          <reference field="1" count="1">
            <x v="26"/>
          </reference>
        </references>
      </pivotArea>
    </format>
    <format dxfId="159">
      <pivotArea dataOnly="0" labelOnly="1" fieldPosition="0">
        <references count="1">
          <reference field="1" count="1">
            <x v="26"/>
          </reference>
        </references>
      </pivotArea>
    </format>
    <format dxfId="158">
      <pivotArea collapsedLevelsAreSubtotals="1" fieldPosition="0">
        <references count="2">
          <reference field="4294967294" count="1" selected="0">
            <x v="0"/>
          </reference>
          <reference field="1" count="1">
            <x v="28"/>
          </reference>
        </references>
      </pivotArea>
    </format>
    <format dxfId="157">
      <pivotArea dataOnly="0" labelOnly="1" fieldPosition="0">
        <references count="1">
          <reference field="1" count="1">
            <x v="28"/>
          </reference>
        </references>
      </pivotArea>
    </format>
  </formats>
  <conditionalFormats count="1">
    <conditionalFormat priority="8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Medium18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H163" firstHeaderRow="0" firstDataRow="1" firstDataCol="1"/>
  <pivotFields count="41">
    <pivotField axis="axisRow" numFmtId="14" showAll="0">
      <items count="1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numFmtId="164" showAll="0"/>
    <pivotField dataField="1"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numFmtId="1" showAll="0"/>
    <pivotField numFmtId="2" showAll="0"/>
    <pivotField numFmtId="2" showAll="0"/>
  </pivotFields>
  <rowFields count="1">
    <field x="0"/>
  </rowFields>
  <rowItems count="16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g Over/W" fld="14" subtotal="average" baseField="0" baseItem="8" numFmtId="9"/>
    <dataField name="SRS/G" fld="20" subtotal="count" baseField="0" baseItem="0"/>
    <dataField name="SRS/Avg" fld="20" subtotal="average" baseField="0" baseItem="5" numFmtId="9"/>
    <dataField name="EV/G" fld="23" subtotal="count" baseField="0" baseItem="0"/>
    <dataField name="EV/Avg" fld="23" subtotal="average" baseField="0" baseItem="13" numFmtId="9"/>
    <dataField name="Home/W" fld="3" subtotal="average" baseField="0" baseItem="5" numFmtId="9"/>
    <dataField name="Away/W" fld="5" subtotal="average" baseField="0" baseItem="2" numFmtId="9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 selected="0">
              <x v="4"/>
            </reference>
            <reference field="0" count="2">
              <x v="28"/>
              <x v="29"/>
            </reference>
          </references>
        </pivotArea>
      </pivotAreas>
    </conditionalFormat>
    <conditionalFormat priority="8">
      <pivotAreas count="3">
        <pivotArea type="data" collapsedLevelsAreSubtotals="1" fieldPosition="0">
          <references count="2">
            <reference field="4294967294" count="2" selected="0">
              <x v="5"/>
              <x v="6"/>
            </reference>
            <reference field="0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  <pivotArea type="data" collapsedLevelsAreSubtotals="1" fieldPosition="0">
          <references count="2">
            <reference field="4294967294" count="1" selected="0">
              <x v="2"/>
            </reference>
            <reference field="0" count="3">
              <x v="27"/>
              <x v="28"/>
              <x v="29"/>
            </reference>
          </references>
        </pivotArea>
        <pivotArea type="data" collapsedLevelsAreSubtotals="1" fieldPosition="0">
          <references count="2">
            <reference field="4294967294" count="1" selected="0">
              <x v="0"/>
            </reference>
            <reference field="0" count="2">
              <x v="28"/>
              <x v="29"/>
            </reference>
          </references>
        </pivotArea>
      </pivotAreas>
    </conditionalFormat>
  </conditional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nba ranking_1" connectionId="1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2" name="Table2" displayName="Table2" ref="A1:AO1232" totalsRowCount="1">
  <autoFilter ref="A1:AO123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</autoFilter>
  <tableColumns count="41">
    <tableColumn id="1" name="Date" dataDxfId="61" totalsRowDxfId="28">
      <calculatedColumnFormula>#REF!</calculatedColumnFormula>
    </tableColumn>
    <tableColumn id="2" name="Home/Neutral">
      <calculatedColumnFormula>#REF!</calculatedColumnFormula>
    </tableColumn>
    <tableColumn id="3" name="Visitor/Neutral">
      <calculatedColumnFormula>#REF!</calculatedColumnFormula>
    </tableColumn>
    <tableColumn id="38" name="H/W" totalsRowFunction="average" dataDxfId="60" totalsRowDxfId="27">
      <calculatedColumnFormula>IF(Table2[[#This Row],[Spread]]&lt;Table2[[#This Row],[Spread/V]],1,0)</calculatedColumnFormula>
    </tableColumn>
    <tableColumn id="4" name="H/Pts" totalsRowFunction="average" totalsRowDxfId="26"/>
    <tableColumn id="37" name="A/W" totalsRowFunction="average" dataDxfId="59" totalsRowDxfId="25">
      <calculatedColumnFormula>IF(Table2[[#This Row],[Spread]]&gt;Table2[[#This Row],[Spread/V]],1,0)</calculatedColumnFormula>
    </tableColumn>
    <tableColumn id="5" name="A/Pts" totalsRowFunction="average" totalsRowDxfId="24"/>
    <tableColumn id="6" name="Total" totalsRowFunction="average" dataDxfId="58" totalsRowDxfId="23">
      <calculatedColumnFormula>E2+G2</calculatedColumnFormula>
    </tableColumn>
    <tableColumn id="51" name="Over %" totalsRowFunction="average" dataDxfId="57" totalsRowDxfId="22">
      <calculatedColumnFormula>IF(Table2[[#This Row],[Total/V]]&lt;=Table2[[#This Row],[Total]],1,0)</calculatedColumnFormula>
    </tableColumn>
    <tableColumn id="7" name="Total/V" totalsRowFunction="average" totalsRowDxfId="21"/>
    <tableColumn id="33" name="H/EV/Real" totalsRowFunction="average" totalsRowDxfId="20"/>
    <tableColumn id="19" name="H/EV" totalsRowFunction="average" dataDxfId="56" totalsRowDxfId="19">
      <calculatedColumnFormula>(Table2[[#This Row],[H/Pace]]/100)*(VLOOKUP(Table2[[#This Row],[Home/Neutral]],home_lookup,8,FALSE)+VLOOKUP(Table2[[#This Row],[Home/Neutral]],OFR_lookup,2,FALSE)+VLOOKUP(Table2[[#This Row],[Visitor/Neutral]],def_diff_lookup,6,FALSE))</calculatedColumnFormula>
    </tableColumn>
    <tableColumn id="34" name="A/EV/Real" totalsRowFunction="average" dataDxfId="55" totalsRowDxfId="18"/>
    <tableColumn id="18" name="A/EV" totalsRowFunction="average" dataDxfId="54" totalsRowDxfId="17">
      <calculatedColumnFormula>(Table2[[#This Row],[A/Pace]]/100)*(VLOOKUP(Table2[[#This Row],[Visitor/Neutral]],OFR_lookup,2,FALSE)+VLOOKUP(Table2[[#This Row],[Home/Neutral]],def_diff_lookup,6,FALSE))</calculatedColumnFormula>
    </tableColumn>
    <tableColumn id="39" name="Total/W" totalsRowFunction="average" dataDxfId="53" totalsRowDxfId="16">
      <calculatedColumnFormula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calculatedColumnFormula>
    </tableColumn>
    <tableColumn id="35" name="Total/EV" totalsRowFunction="average" dataDxfId="52" totalsRowDxfId="15">
      <calculatedColumnFormula>Table2[[#This Row],[H/EV/Real]]+Table2[[#This Row],[A/EV/Real]]</calculatedColumnFormula>
    </tableColumn>
    <tableColumn id="16" name="H/Pace" dataDxfId="51">
      <calculatedColumnFormula>VLOOKUP(Table2[[#This Row],[Home/Neutral]],pace_lookup,7,FALSE)</calculatedColumnFormula>
    </tableColumn>
    <tableColumn id="15" name="A/Pace" dataDxfId="50" totalsRowDxfId="14">
      <calculatedColumnFormula>VLOOKUP(Table2[[#This Row],[Visitor/Neutral]],pace_lookup,7,FALSE)</calculatedColumnFormula>
    </tableColumn>
    <tableColumn id="8" name="Spread" totalsRowFunction="average" dataDxfId="49" totalsRowDxfId="13">
      <calculatedColumnFormula>G2-E2</calculatedColumnFormula>
    </tableColumn>
    <tableColumn id="9" name="Spread/V" totalsRowFunction="average" totalsRowDxfId="12"/>
    <tableColumn id="10" name="SRS/W" totalsRowFunction="average" dataDxfId="48" totalsRowDxfId="11">
      <calculatedColumnFormula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calculatedColumnFormula>
    </tableColumn>
    <tableColumn id="11" name="SRS/Real" totalsRowFunction="average" totalsRowDxfId="10"/>
    <tableColumn id="12" name="SRS" dataDxfId="47" totalsRowDxfId="9">
      <calculatedColumnFormula>-home-VLOOKUP(Table2[[#This Row],[Home/Neutral]],rtg_vlookup,4,FALSE)+VLOOKUP(Table2[[#This Row],[Visitor/Neutral]],rtg_vlookup,4,FALSE)</calculatedColumnFormula>
    </tableColumn>
    <tableColumn id="28" name="EV/W" totalsRowFunction="average" dataDxfId="46" totalsRowDxfId="8">
      <calculatedColumnFormula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calculatedColumnFormula>
    </tableColumn>
    <tableColumn id="27" name="EV/Real" totalsRowFunction="average" dataDxfId="45" totalsRowDxfId="7"/>
    <tableColumn id="24" name="EV" dataDxfId="44">
      <calculatedColumnFormula>Table2[[#This Row],[A/EV]]-Table2[[#This Row],[H/EV]]</calculatedColumnFormula>
    </tableColumn>
    <tableColumn id="20" name="SRS/Side" totalsRowFunction="count" dataDxfId="43">
      <calculatedColumnFormula>IF(Table2[[#This Row],[Spread/V]]&lt;Table2[[#This Row],[SRS/Real]],home,AWAY)</calculatedColumnFormula>
    </tableColumn>
    <tableColumn id="32" name="EV/Side" totalsRowFunction="count" dataDxfId="42">
      <calculatedColumnFormula>IF(Table2[[#This Row],[Spread/V]]&gt;Table2[[#This Row],[SRS/Real]],"HOME","AWAY")</calculatedColumnFormula>
    </tableColumn>
    <tableColumn id="42" name="SRS/Disagree" totalsRowFunction="average" dataDxfId="41" totalsRowDxfId="6"/>
    <tableColumn id="40" name="EV/Agree" totalsRowFunction="average" dataDxfId="40" totalsRowDxfId="5"/>
    <tableColumn id="30" name="EV/Disagree" totalsRowFunction="average" dataDxfId="39" totalsRowDxfId="4"/>
    <tableColumn id="21" name="Divisional" dataDxfId="38">
      <calculatedColumnFormula>IF(VLOOKUP(Table2[[#This Row],[Home/Neutral]],division_lookup,9,FALSE)=VLOOKUP(Table2[[#This Row],[Visitor/Neutral]],division_lookup,9,FALSE),TRUE,FALSE)</calculatedColumnFormula>
    </tableColumn>
    <tableColumn id="22" name="Division" dataDxfId="37">
      <calculatedColumnFormula>VLOOKUP(Table2[[#This Row],[Home/Neutral]],division_lookup,9,FALSE)</calculatedColumnFormula>
    </tableColumn>
    <tableColumn id="36" name="O/U" dataDxfId="36">
      <calculatedColumnFormula>IF(Table2[[#This Row],[Total/EV]]&lt;Table2[[#This Row],[Total/V]],"UNDER","OVER")</calculatedColumnFormula>
    </tableColumn>
    <tableColumn id="23" name="SRS/Diff" dataDxfId="35">
      <calculatedColumnFormula>Table2[[#This Row],[SRS/Real]]-Table2[[#This Row],[Spread/V]]</calculatedColumnFormula>
    </tableColumn>
    <tableColumn id="29" name="EV/Diff" dataDxfId="34" totalsRowDxfId="3">
      <calculatedColumnFormula>Table2[[#This Row],[EV]]-Table2[[#This Row],[Spread/V]]</calculatedColumnFormula>
    </tableColumn>
    <tableColumn id="17" name="SRS/EV/Diff" dataDxfId="33" totalsRowDxfId="2">
      <calculatedColumnFormula>Table2[[#This Row],[SRS/Diff]]-Table2[[#This Row],[EV/Diff]]</calculatedColumnFormula>
    </tableColumn>
    <tableColumn id="13" name="(A) Err" dataDxfId="32" totalsRowDxfId="1">
      <calculatedColumnFormula>Table2[[#This Row],[SRS]]-Table2[[#This Row],[Spread]]</calculatedColumnFormula>
    </tableColumn>
    <tableColumn id="14" name="(A) Sqr Err" dataDxfId="31">
      <calculatedColumnFormula>Table2[[#This Row],[(A) Err]]^2</calculatedColumnFormula>
    </tableColumn>
    <tableColumn id="25" name="EV Err" dataDxfId="30" totalsRowDxfId="0">
      <calculatedColumnFormula>Table2[[#This Row],[EV]]-Table2[[#This Row],[Spread]]</calculatedColumnFormula>
    </tableColumn>
    <tableColumn id="26" name="EV Sqr Err" dataDxfId="29">
      <calculatedColumnFormula>Table2[[#This Row],[EV Err]]^2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B2:H9" totalsRowCount="1">
  <autoFilter ref="B2:H8"/>
  <tableColumns count="7">
    <tableColumn id="1" name="Division" totalsRowLabel="Total"/>
    <tableColumn id="2" name="A/W" totalsRowFunction="sum" dataDxfId="126">
      <calculatedColumnFormula>divisionwins(Table5[[#This Row],[Division]],Table2[SRS/W],Table2[Divisional],Table2[Division])</calculatedColumnFormula>
    </tableColumn>
    <tableColumn id="3" name="A/G" totalsRowFunction="sum" dataDxfId="125">
      <calculatedColumnFormula>divisiongames(Table5[[#This Row],[Division]],Table2[SRS/W],Table2[Divisional],Table2[Division])</calculatedColumnFormula>
    </tableColumn>
    <tableColumn id="4" name="A %" totalsRowFunction="custom" dataDxfId="124" totalsRowDxfId="123" dataCellStyle="Percent">
      <calculatedColumnFormula>Table5[[#This Row],[A/W]]/Table5[[#This Row],[A/G]]</calculatedColumnFormula>
      <totalsRowFormula>Table5[[#Totals],[A/W]]/Table5[[#Totals],[A/G]]</totalsRowFormula>
    </tableColumn>
    <tableColumn id="5" name="EV/W" totalsRowFunction="sum" dataDxfId="122">
      <calculatedColumnFormula>divisionwins(Table5[[#This Row],[Division]],Table2[EV/W],Table2[Divisional],Table2[Division])</calculatedColumnFormula>
    </tableColumn>
    <tableColumn id="6" name="EV/G" totalsRowFunction="sum" dataDxfId="121">
      <calculatedColumnFormula>divisiongames(Table5[[#This Row],[Division]],Table2[EV/W],Table2[Divisional],Table2[Division])</calculatedColumnFormula>
    </tableColumn>
    <tableColumn id="7" name="EV %" totalsRowFunction="custom" totalsRowDxfId="120" dataCellStyle="Percent" totalsRowCellStyle="Percent">
      <calculatedColumnFormula>Table5[[#This Row],[EV/W]]/Table5[[#This Row],[EV/G]]</calculatedColumnFormula>
      <totalsRowFormula>Table5[[#Totals],[EV/W]]/Table5[[#Totals],[EV/G]]</totalsRow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1" name="Table62" displayName="Table62" ref="B17:H20" totalsRowCount="1">
  <autoFilter ref="B17:H19"/>
  <tableColumns count="7">
    <tableColumn id="1" name="Side" totalsRowLabel="Total"/>
    <tableColumn id="2" name="A/W" totalsRowFunction="sum" dataDxfId="119"/>
    <tableColumn id="3" name="A/G" totalsRowFunction="sum"/>
    <tableColumn id="4" name="A %" totalsRowDxfId="118" dataCellStyle="Percent" totalsRowCellStyle="Percent"/>
    <tableColumn id="5" name="EV/W" totalsRowFunction="sum" dataDxfId="117"/>
    <tableColumn id="6" name="EV/G" totalsRowFunction="sum"/>
    <tableColumn id="7" name="EV %" totalsRowDxfId="116" dataCellStyle="Percent" totalsRowCellStyle="Percent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J2:V33" totalsRowCount="1">
  <autoFilter ref="J2:V32"/>
  <sortState ref="J3:V32">
    <sortCondition ref="J2:J32"/>
  </sortState>
  <tableColumns count="13">
    <tableColumn id="1" name="Team" totalsRowLabel="Total">
      <calculatedColumnFormula>#REF!</calculatedColumnFormula>
    </tableColumn>
    <tableColumn id="2" name="(A)/W/W" totalsRowFunction="sum" dataDxfId="115">
      <calculatedColumnFormula>teamwins(Table8[[#This Row],[Team]],Table2[Home/Neutral],Table2[Visitor/Neutral],Table2[SRS/W],Table2[SRS/Side],0)</calculatedColumnFormula>
    </tableColumn>
    <tableColumn id="3" name="(A)/G/W" totalsRowFunction="sum" dataDxfId="114">
      <calculatedColumnFormula>TeamGames(Table8[[#This Row],[Team]],Table2[Home/Neutral],Table2[Visitor/Neutral],Table2[SRS/W],Table2[SRS/Side],0)</calculatedColumnFormula>
    </tableColumn>
    <tableColumn id="4" name="(A)/W %" totalsRowFunction="custom" totalsRowDxfId="113" dataCellStyle="Percent">
      <calculatedColumnFormula>Table8[[#This Row],[(A)/W/W]]/Table8[[#This Row],[(A)/G/W]]</calculatedColumnFormula>
      <totalsRowFormula>Table8[[#Totals],[(A)/W/W]]/Table8[[#Totals],[(A)/G/W]]</totalsRowFormula>
    </tableColumn>
    <tableColumn id="17" name="(A)/W/L" totalsRowFunction="sum" totalsRowDxfId="112">
      <calculatedColumnFormula>teamwins(Table8[[#This Row],[Team]],Table2[Home/Neutral],Table2[Visitor/Neutral],Table2[SRS/W],Table2[SRS/Side],1)</calculatedColumnFormula>
    </tableColumn>
    <tableColumn id="16" name="(A)/G/L" totalsRowFunction="sum" dataDxfId="111" totalsRowDxfId="110">
      <calculatedColumnFormula>TeamGames(Table8[[#This Row],[Team]],Table2[Home/Neutral],Table2[Visitor/Neutral],Table2[SRS/W],Table2[SRS/Side],1)</calculatedColumnFormula>
    </tableColumn>
    <tableColumn id="15" name="(A)/L %" totalsRowFunction="custom" dataDxfId="109" totalsRowDxfId="108" dataCellStyle="Percent">
      <calculatedColumnFormula>Table8[[#This Row],[(A)/W/L]]/Table8[[#This Row],[(A)/G/L]]</calculatedColumnFormula>
      <totalsRowFormula>Table8[[#Totals],[(A)/W/L]]/Table8[[#Totals],[(A)/G/L]]</totalsRowFormula>
    </tableColumn>
    <tableColumn id="5" name="EV/W/W" totalsRowFunction="sum" dataDxfId="107">
      <calculatedColumnFormula>teamwins(Table8[[#This Row],[Team]],Table2[Home/Neutral],Table2[Visitor/Neutral],Table2[EV/W],Table2[EV/Side],0)</calculatedColumnFormula>
    </tableColumn>
    <tableColumn id="6" name="EV/G/W" totalsRowFunction="sum" dataDxfId="106">
      <calculatedColumnFormula>TeamGames(Table8[[#This Row],[Team]],Table2[Home/Neutral],Table2[Visitor/Neutral],Table2[EV/W],Table2[EV/Side],0)</calculatedColumnFormula>
    </tableColumn>
    <tableColumn id="7" name="EV/W %" totalsRowFunction="custom" totalsRowDxfId="105" dataCellStyle="Percent">
      <calculatedColumnFormula>Table8[[#This Row],[EV/W/W]]/Table8[[#This Row],[EV/G/W]]</calculatedColumnFormula>
      <totalsRowFormula>Table8[[#Totals],[EV/W/W]]/Table8[[#Totals],[EV/G/W]]</totalsRowFormula>
    </tableColumn>
    <tableColumn id="18" name="EV/W/L" totalsRowFunction="sum" dataDxfId="104" totalsRowDxfId="103">
      <calculatedColumnFormula>teamwins(Table8[[#This Row],[Team]],Table2[Home/Neutral],Table2[Visitor/Neutral],Table2[EV/W],Table2[EV/Side],1)</calculatedColumnFormula>
    </tableColumn>
    <tableColumn id="20" name="EV/G/L" totalsRowFunction="sum" totalsRowDxfId="102">
      <calculatedColumnFormula>TeamGames(Table8[[#This Row],[Team]],Table2[Home/Neutral],Table2[Visitor/Neutral],Table2[EV/W],Table2[EV/Side],1)</calculatedColumnFormula>
    </tableColumn>
    <tableColumn id="19" name="EV/L %" totalsRowFunction="custom" dataDxfId="101" totalsRowDxfId="100" dataCellStyle="Percent">
      <calculatedColumnFormula>Table8[[#This Row],[EV/W/L]]/Table8[[#This Row],[EV/G/L]]</calculatedColumnFormula>
      <totalsRowFormula>Table8[[#Totals],[EV/W/L]]/Table8[[#Totals],[EV/G/L]]</totalsRow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B11:H14" totalsRowCount="1" headerRowDxfId="99">
  <autoFilter ref="B11:H13"/>
  <tableColumns count="7">
    <tableColumn id="1" name="Side" totalsRowLabel="Total"/>
    <tableColumn id="2" name="A/W" totalsRowFunction="sum">
      <calculatedColumnFormula>awaywins(Table2[SRS/W],Table2[SRS/Side])</calculatedColumnFormula>
    </tableColumn>
    <tableColumn id="3" name="A/G" totalsRowFunction="sum">
      <calculatedColumnFormula>AwayGames(Table2[SRS/W],Table2[SRS/Side])</calculatedColumnFormula>
    </tableColumn>
    <tableColumn id="4" name="A %" totalsRowFunction="custom" totalsRowDxfId="98" totalsRowCellStyle="Percent">
      <calculatedColumnFormula>Results!$C12/Results!$D12</calculatedColumnFormula>
      <totalsRowFormula>Table9[[#Totals],[A/W]]/Table9[[#Totals],[A/G]]</totalsRowFormula>
    </tableColumn>
    <tableColumn id="5" name="EV/W" totalsRowFunction="sum">
      <calculatedColumnFormula>awaywins(Table2[EV/W],Table2[EV/Side])</calculatedColumnFormula>
    </tableColumn>
    <tableColumn id="6" name="EV/G" totalsRowFunction="sum">
      <calculatedColumnFormula>AwayGames(Table2[EV/W],Table2[EV/Side])</calculatedColumnFormula>
    </tableColumn>
    <tableColumn id="7" name="EV %" totalsRowFunction="custom" totalsRowDxfId="97">
      <calculatedColumnFormula>F12/G12</calculatedColumnFormula>
      <totalsRowFormula>Table9[[#Totals],[EV/W]]/Table9[[#Totals],[EV/G]]</totalsRow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I32" totalsRowCount="1">
  <autoFilter ref="A1:I31"/>
  <sortState ref="A2:I31">
    <sortCondition descending="1" ref="H1:H31"/>
  </sortState>
  <tableColumns count="9">
    <tableColumn id="1" name="Team" totalsRowLabel="Total">
      <calculatedColumnFormula>#REF!</calculatedColumnFormula>
    </tableColumn>
    <tableColumn id="2" name="ORtg/A" totalsRowFunction="average" dataDxfId="92" totalsRowDxfId="68"/>
    <tableColumn id="3" name="DRtg/A" totalsRowFunction="average" dataDxfId="91" totalsRowDxfId="67"/>
    <tableColumn id="4" name="NRtg/A" totalsRowFunction="average" dataDxfId="90" totalsRowDxfId="66"/>
    <tableColumn id="10" name="Off Diff" totalsRowFunction="average" dataDxfId="89" totalsRowDxfId="65">
      <calculatedColumnFormula>Table3[[#This Row],[ORtg/A]]-Table3[[#Totals],[ORtg/A]]</calculatedColumnFormula>
    </tableColumn>
    <tableColumn id="5" name="Def Diff" totalsRowFunction="average" dataDxfId="88" totalsRowDxfId="64">
      <calculatedColumnFormula>Table3[[#This Row],[DRtg/A]]-Table3[[#Totals],[DRtg/A]]</calculatedColumnFormula>
    </tableColumn>
    <tableColumn id="9" name="Pace" totalsRowFunction="average" dataDxfId="87" totalsRowDxfId="63"/>
    <tableColumn id="7" name="H/Edg" totalsRowFunction="average" dataDxfId="86" totalsRowDxfId="62"/>
    <tableColumn id="8" name="Division" dataDxfId="85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A1:I21" totalsRowCount="1">
  <autoFilter ref="A1:I20"/>
  <tableColumns count="9">
    <tableColumn id="1" name="Date" totalsRowLabel="Total" dataDxfId="96"/>
    <tableColumn id="2" name="Winnings" totalsRowFunction="sum" dataDxfId="95" totalsRowDxfId="73" dataCellStyle="Currency"/>
    <tableColumn id="3" name="NBA Wins" totalsRowFunction="sum"/>
    <tableColumn id="4" name="NBA Bets" totalsRowFunction="sum"/>
    <tableColumn id="6" name="NBA %" totalsRowFunction="custom" dataDxfId="94" totalsRowDxfId="72" dataCellStyle="Percent">
      <calculatedColumnFormula>Table7[[#This Row],[NBA Wins]]/Table7[[#This Row],[NBA Bets]]</calculatedColumnFormula>
      <totalsRowFormula>Table7[[#Totals],[NBA Wins]]/Table7[[#Totals],[NBA Bets]]</totalsRowFormula>
    </tableColumn>
    <tableColumn id="7" name="NFL Wins" totalsRowFunction="sum"/>
    <tableColumn id="5" name="NFL Bets" totalsRowFunction="sum" dataDxfId="93" totalsRowDxfId="71" dataCellStyle="Percent"/>
    <tableColumn id="8" name="NFL %" totalsRowFunction="custom" dataDxfId="75" totalsRowDxfId="70" dataCellStyle="Percent">
      <calculatedColumnFormula>Table7[[#This Row],[NFL Wins]]/Table7[[#This Row],[NFL Bets]]</calculatedColumnFormula>
      <totalsRowFormula>Table7[[#Totals],[NFL Wins]]/Table7[[#Totals],[NFL Bets]]</totalsRowFormula>
    </tableColumn>
    <tableColumn id="9" name="5-Day/Avg/NBA" dataDxfId="74" totalsRowDxfId="69" dataCellStyle="Percent" totalsRowCellStyle="Percent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232"/>
  <sheetViews>
    <sheetView tabSelected="1" topLeftCell="A230" workbookViewId="0">
      <selection activeCell="AU246" sqref="AU246"/>
    </sheetView>
  </sheetViews>
  <sheetFormatPr defaultRowHeight="15" x14ac:dyDescent="0.25"/>
  <cols>
    <col min="1" max="1" width="10.7109375" bestFit="1" customWidth="1"/>
    <col min="2" max="2" width="14" bestFit="1" customWidth="1"/>
    <col min="3" max="3" width="14.5703125" bestFit="1" customWidth="1"/>
    <col min="4" max="4" width="6.140625" hidden="1" customWidth="1"/>
    <col min="5" max="5" width="5.85546875" bestFit="1" customWidth="1"/>
    <col min="6" max="6" width="6.140625" hidden="1" customWidth="1"/>
    <col min="7" max="7" width="5.85546875" bestFit="1" customWidth="1"/>
    <col min="8" max="8" width="5.5703125" bestFit="1" customWidth="1"/>
    <col min="9" max="9" width="9.5703125" hidden="1" customWidth="1"/>
    <col min="10" max="10" width="7.5703125" bestFit="1" customWidth="1"/>
    <col min="11" max="11" width="10.140625" style="7" hidden="1" customWidth="1"/>
    <col min="12" max="12" width="5.5703125" hidden="1" customWidth="1"/>
    <col min="13" max="13" width="10.140625" hidden="1" customWidth="1"/>
    <col min="14" max="14" width="5.5703125" hidden="1" customWidth="1"/>
    <col min="15" max="15" width="8.28515625" hidden="1" customWidth="1"/>
    <col min="16" max="16" width="8.28515625" bestFit="1" customWidth="1"/>
    <col min="17" max="17" width="8.5703125" hidden="1" customWidth="1"/>
    <col min="18" max="18" width="7.28515625" hidden="1" customWidth="1"/>
    <col min="19" max="19" width="7.28515625" style="5" customWidth="1"/>
    <col min="20" max="20" width="9.28515625" bestFit="1" customWidth="1"/>
    <col min="21" max="21" width="7" hidden="1" customWidth="1"/>
    <col min="22" max="22" width="8.85546875" bestFit="1" customWidth="1"/>
    <col min="23" max="23" width="5.28515625" hidden="1" customWidth="1"/>
    <col min="24" max="24" width="6.140625" hidden="1" customWidth="1"/>
    <col min="25" max="25" width="8" bestFit="1" customWidth="1"/>
    <col min="26" max="26" width="5.28515625" style="15" hidden="1" customWidth="1"/>
    <col min="27" max="27" width="8.85546875" bestFit="1" customWidth="1"/>
    <col min="28" max="28" width="8" bestFit="1" customWidth="1"/>
    <col min="29" max="30" width="12.7109375" hidden="1" customWidth="1"/>
    <col min="31" max="31" width="11.85546875" hidden="1" customWidth="1"/>
    <col min="32" max="32" width="11.85546875" customWidth="1"/>
    <col min="33" max="33" width="8.140625" hidden="1" customWidth="1"/>
    <col min="34" max="34" width="8.140625" customWidth="1"/>
    <col min="35" max="35" width="8.28515625" bestFit="1" customWidth="1"/>
    <col min="36" max="36" width="7.42578125" bestFit="1" customWidth="1"/>
    <col min="37" max="37" width="11.42578125" bestFit="1" customWidth="1"/>
    <col min="38" max="38" width="6.5703125" hidden="1" customWidth="1"/>
    <col min="39" max="39" width="11.42578125" hidden="1" customWidth="1"/>
    <col min="40" max="40" width="9.85546875" style="7" hidden="1" customWidth="1"/>
    <col min="41" max="41" width="8.42578125" style="5" hidden="1" customWidth="1"/>
    <col min="42" max="42" width="0.140625" customWidth="1"/>
    <col min="43" max="43" width="0.28515625" customWidth="1"/>
    <col min="44" max="44" width="9.140625" customWidth="1"/>
    <col min="46" max="46" width="13.140625" bestFit="1" customWidth="1"/>
  </cols>
  <sheetData>
    <row r="1" spans="1:42" x14ac:dyDescent="0.25">
      <c r="A1" s="108" t="s">
        <v>40</v>
      </c>
      <c r="B1" t="s">
        <v>42</v>
      </c>
      <c r="C1" t="s">
        <v>41</v>
      </c>
      <c r="D1" t="s">
        <v>82</v>
      </c>
      <c r="E1" t="s">
        <v>85</v>
      </c>
      <c r="F1" t="s">
        <v>76</v>
      </c>
      <c r="G1" t="s">
        <v>86</v>
      </c>
      <c r="H1" s="7" t="s">
        <v>43</v>
      </c>
      <c r="I1" t="s">
        <v>142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s="5" t="s">
        <v>95</v>
      </c>
      <c r="S1" t="s">
        <v>44</v>
      </c>
      <c r="T1" t="s">
        <v>96</v>
      </c>
      <c r="U1" t="s">
        <v>97</v>
      </c>
      <c r="V1" t="s">
        <v>98</v>
      </c>
      <c r="W1" t="s">
        <v>99</v>
      </c>
      <c r="X1" s="15" t="s">
        <v>74</v>
      </c>
      <c r="Y1" t="s">
        <v>100</v>
      </c>
      <c r="Z1" t="s">
        <v>57</v>
      </c>
      <c r="AA1" t="s">
        <v>101</v>
      </c>
      <c r="AB1" t="s">
        <v>102</v>
      </c>
      <c r="AC1" t="s">
        <v>103</v>
      </c>
      <c r="AD1" t="s">
        <v>104</v>
      </c>
      <c r="AE1" t="s">
        <v>105</v>
      </c>
      <c r="AF1" t="s">
        <v>54</v>
      </c>
      <c r="AG1" t="s">
        <v>52</v>
      </c>
      <c r="AH1" t="s">
        <v>62</v>
      </c>
      <c r="AI1" t="s">
        <v>106</v>
      </c>
      <c r="AJ1" t="s">
        <v>107</v>
      </c>
      <c r="AK1" t="s">
        <v>108</v>
      </c>
      <c r="AL1" s="7" t="s">
        <v>46</v>
      </c>
      <c r="AM1" t="s">
        <v>47</v>
      </c>
      <c r="AN1" s="5" t="s">
        <v>59</v>
      </c>
      <c r="AO1" t="s">
        <v>60</v>
      </c>
    </row>
    <row r="2" spans="1:42" x14ac:dyDescent="0.25">
      <c r="A2" s="34">
        <v>42668</v>
      </c>
      <c r="B2" t="s">
        <v>114</v>
      </c>
      <c r="C2" t="s">
        <v>128</v>
      </c>
      <c r="D2">
        <f>IF((Table2[[#This Row],[Spread]]-Table2[[#This Row],[Spread/V]])=0,1,IF(Table2[[#This Row],[Spread]]&lt;Table2[[#This Row],[Spread/V]],1,0))</f>
        <v>1</v>
      </c>
      <c r="E2">
        <v>117</v>
      </c>
      <c r="F2">
        <f>IF((Table2[[#This Row],[Spread]]-Table2[[#This Row],[Spread/V]])=0,1,IF(Table2[[#This Row],[Spread]]&gt;Table2[[#This Row],[Spread/V]],1,0))</f>
        <v>0</v>
      </c>
      <c r="G2">
        <v>88</v>
      </c>
      <c r="H2" s="7">
        <f>E2+G2</f>
        <v>205</v>
      </c>
      <c r="I2">
        <f>IF(Table2[[#This Row],[Total/V]]&lt;=Table2[[#This Row],[Total]],1,0)</f>
        <v>0</v>
      </c>
      <c r="J2">
        <v>206</v>
      </c>
      <c r="K2"/>
      <c r="L2" s="21">
        <f>(Table2[[#This Row],[H/Pace]]/100)*(VLOOKUP(Table2[[#This Row],[Home/Neutral]],home_lookup,8,FALSE)+VLOOKUP(Table2[[#This Row],[Home/Neutral]],OFR_lookup,2,FALSE)+VLOOKUP(Table2[[#This Row],[Visitor/Neutral]],def_diff_lookup,6,FALSE))</f>
        <v>117.33583276756467</v>
      </c>
      <c r="M2" s="21"/>
      <c r="N2" s="21">
        <f>(Table2[[#This Row],[A/Pace]]/100)*(VLOOKUP(Table2[[#This Row],[Visitor/Neutral]],OFR_lookup,2,FALSE)+VLOOKUP(Table2[[#This Row],[Home/Neutral]],def_diff_lookup,6,FALSE))</f>
        <v>103.43165699999999</v>
      </c>
      <c r="O2" s="21"/>
      <c r="P2" s="21"/>
      <c r="Q2">
        <f>VLOOKUP(Table2[[#This Row],[Home/Neutral]],pace_lookup,7,FALSE)</f>
        <v>97.3</v>
      </c>
      <c r="R2">
        <f>VLOOKUP(Table2[[#This Row],[Visitor/Neutral]],pace_lookup,7,FALSE)</f>
        <v>96.3</v>
      </c>
      <c r="S2" s="7">
        <f>G2-E2</f>
        <v>-29</v>
      </c>
      <c r="T2">
        <v>-9.5</v>
      </c>
      <c r="U2" s="15"/>
      <c r="W2" s="2">
        <f>-home-VLOOKUP(Table2[[#This Row],[Home/Neutral]],rtg_vlookup,4,FALSE)+VLOOKUP(Table2[[#This Row],[Visitor/Neutral]],rtg_vlookup,4,FALSE)</f>
        <v>-13.288688524590166</v>
      </c>
      <c r="X2" s="15"/>
      <c r="Y2" s="2"/>
      <c r="Z2" s="2">
        <f>Table2[[#This Row],[A/EV]]-Table2[[#This Row],[H/EV]]</f>
        <v>-13.904175767564681</v>
      </c>
      <c r="AA2" s="29"/>
      <c r="AB2" s="30"/>
      <c r="AC2" s="30"/>
      <c r="AD2" s="30"/>
      <c r="AE2" s="30"/>
      <c r="AF2" s="7" t="b">
        <f>IF(VLOOKUP(Table2[[#This Row],[Home/Neutral]],division_lookup,9,FALSE)=VLOOKUP(Table2[[#This Row],[Visitor/Neutral]],division_lookup,9,FALSE),TRUE,FALSE)</f>
        <v>0</v>
      </c>
      <c r="AG2" s="15" t="str">
        <f>VLOOKUP(Table2[[#This Row],[Home/Neutral]],division_lookup,9,FALSE)</f>
        <v>C</v>
      </c>
      <c r="AH2" s="15" t="str">
        <f>IF(Table2[[#This Row],[Total/EV]]&lt;Table2[[#This Row],[Total/V]],"UNDER","OVER")</f>
        <v>UNDER</v>
      </c>
      <c r="AI2" s="15"/>
      <c r="AJ2" s="2"/>
      <c r="AK2" s="2"/>
      <c r="AL2" s="18">
        <f>Table2[[#This Row],[SRS]]-Table2[[#This Row],[Spread]]</f>
        <v>15.711311475409834</v>
      </c>
      <c r="AM2" s="21">
        <f>Table2[[#This Row],[(A) Err]]^2</f>
        <v>246.84530827734474</v>
      </c>
      <c r="AN2" s="6">
        <f>Table2[[#This Row],[EV]]-Table2[[#This Row],[Spread]]</f>
        <v>15.095824232435319</v>
      </c>
      <c r="AO2" s="1">
        <f>Table2[[#This Row],[EV Err]]^2</f>
        <v>227.8839092565814</v>
      </c>
      <c r="AP2" s="1"/>
    </row>
    <row r="3" spans="1:42" x14ac:dyDescent="0.25">
      <c r="A3" s="34">
        <v>42668</v>
      </c>
      <c r="B3" t="s">
        <v>118</v>
      </c>
      <c r="C3" t="s">
        <v>134</v>
      </c>
      <c r="D3">
        <f>IF((Table2[[#This Row],[Spread]]-Table2[[#This Row],[Spread/V]])=0,1,IF(Table2[[#This Row],[Spread]]&lt;Table2[[#This Row],[Spread/V]],1,0))</f>
        <v>0</v>
      </c>
      <c r="E3">
        <v>100</v>
      </c>
      <c r="F3">
        <f>IF((Table2[[#This Row],[Spread]]-Table2[[#This Row],[Spread/V]])=0,1,IF(Table2[[#This Row],[Spread]]&gt;Table2[[#This Row],[Spread/V]],1,0))</f>
        <v>1</v>
      </c>
      <c r="G3">
        <v>129</v>
      </c>
      <c r="H3" s="7">
        <f t="shared" ref="H3:H66" si="0">E3+G3</f>
        <v>229</v>
      </c>
      <c r="I3">
        <f>IF(Table2[[#This Row],[Total/V]]&lt;=Table2[[#This Row],[Total]],1,0)</f>
        <v>1</v>
      </c>
      <c r="J3">
        <v>212</v>
      </c>
      <c r="K3"/>
      <c r="L3" s="21">
        <f>(Table2[[#This Row],[H/Pace]]/100)*(VLOOKUP(Table2[[#This Row],[Home/Neutral]],home_lookup,8,FALSE)+VLOOKUP(Table2[[#This Row],[Home/Neutral]],OFR_lookup,2,FALSE)+VLOOKUP(Table2[[#This Row],[Visitor/Neutral]],def_diff_lookup,6,FALSE))</f>
        <v>113.38707838078238</v>
      </c>
      <c r="M3" s="21"/>
      <c r="N3" s="21">
        <f>(Table2[[#This Row],[A/Pace]]/100)*(VLOOKUP(Table2[[#This Row],[Visitor/Neutral]],OFR_lookup,2,FALSE)+VLOOKUP(Table2[[#This Row],[Home/Neutral]],def_diff_lookup,6,FALSE))</f>
        <v>104.18365266666667</v>
      </c>
      <c r="O3" s="21"/>
      <c r="P3" s="21"/>
      <c r="Q3">
        <f>VLOOKUP(Table2[[#This Row],[Home/Neutral]],pace_lookup,7,FALSE)</f>
        <v>100.4</v>
      </c>
      <c r="R3" s="5">
        <f>VLOOKUP(Table2[[#This Row],[Visitor/Neutral]],pace_lookup,7,FALSE)</f>
        <v>93.4</v>
      </c>
      <c r="S3" s="7">
        <f t="shared" ref="S3:S66" si="1">G3-E3</f>
        <v>29</v>
      </c>
      <c r="T3">
        <v>-8</v>
      </c>
      <c r="U3" s="15"/>
      <c r="W3" s="2">
        <f>-home-VLOOKUP(Table2[[#This Row],[Home/Neutral]],rtg_vlookup,4,FALSE)+VLOOKUP(Table2[[#This Row],[Visitor/Neutral]],rtg_vlookup,4,FALSE)</f>
        <v>-6.808688524590166</v>
      </c>
      <c r="X3" s="15"/>
      <c r="Y3" s="2"/>
      <c r="Z3" s="2">
        <f>Table2[[#This Row],[A/EV]]-Table2[[#This Row],[H/EV]]</f>
        <v>-9.2034257141157099</v>
      </c>
      <c r="AA3" s="29"/>
      <c r="AB3" s="30"/>
      <c r="AC3" s="30"/>
      <c r="AD3" s="30"/>
      <c r="AE3" s="30"/>
      <c r="AF3" s="7" t="b">
        <f>IF(VLOOKUP(Table2[[#This Row],[Home/Neutral]],division_lookup,9,FALSE)=VLOOKUP(Table2[[#This Row],[Visitor/Neutral]],division_lookup,9,FALSE),TRUE,FALSE)</f>
        <v>0</v>
      </c>
      <c r="AG3" s="15" t="str">
        <f>VLOOKUP(Table2[[#This Row],[Home/Neutral]],division_lookup,9,FALSE)</f>
        <v>P</v>
      </c>
      <c r="AH3" s="15" t="str">
        <f>IF(Table2[[#This Row],[Total/EV]]&lt;Table2[[#This Row],[Total/V]],"UNDER","OVER")</f>
        <v>UNDER</v>
      </c>
      <c r="AI3" s="15"/>
      <c r="AJ3" s="2"/>
      <c r="AK3" s="2"/>
      <c r="AL3" s="18">
        <f>Table2[[#This Row],[SRS]]-Table2[[#This Row],[Spread]]</f>
        <v>-35.808688524590167</v>
      </c>
      <c r="AM3" s="21">
        <f>Table2[[#This Row],[(A) Err]]^2</f>
        <v>1282.2621738511154</v>
      </c>
      <c r="AN3" s="6">
        <f>Table2[[#This Row],[EV]]-Table2[[#This Row],[Spread]]</f>
        <v>-38.20342571411571</v>
      </c>
      <c r="AO3" s="1">
        <f>Table2[[#This Row],[EV Err]]^2</f>
        <v>1459.5017362939575</v>
      </c>
      <c r="AP3" s="1"/>
    </row>
    <row r="4" spans="1:42" ht="15.75" thickBot="1" x14ac:dyDescent="0.3">
      <c r="A4" s="99">
        <v>42668</v>
      </c>
      <c r="B4" s="3" t="s">
        <v>132</v>
      </c>
      <c r="C4" s="3" t="s">
        <v>136</v>
      </c>
      <c r="D4" s="3">
        <f>IF((Table2[[#This Row],[Spread]]-Table2[[#This Row],[Spread/V]])=0,1,IF(Table2[[#This Row],[Spread]]&lt;Table2[[#This Row],[Spread/V]],1,0))</f>
        <v>1</v>
      </c>
      <c r="E4" s="37">
        <v>113</v>
      </c>
      <c r="F4" s="3">
        <f>IF((Table2[[#This Row],[Spread]]-Table2[[#This Row],[Spread/V]])=0,1,IF(Table2[[#This Row],[Spread]]&gt;Table2[[#This Row],[Spread/V]],1,0))</f>
        <v>0</v>
      </c>
      <c r="G4" s="37">
        <v>104</v>
      </c>
      <c r="H4" s="38">
        <f t="shared" si="0"/>
        <v>217</v>
      </c>
      <c r="I4" s="37">
        <f>IF(Table2[[#This Row],[Total/V]]&lt;=Table2[[#This Row],[Total]],1,0)</f>
        <v>1</v>
      </c>
      <c r="J4" s="37">
        <v>192</v>
      </c>
      <c r="K4" s="37"/>
      <c r="L4" s="39">
        <f>(Table2[[#This Row],[H/Pace]]/100)*(VLOOKUP(Table2[[#This Row],[Home/Neutral]],home_lookup,8,FALSE)+VLOOKUP(Table2[[#This Row],[Home/Neutral]],OFR_lookup,2,FALSE)+VLOOKUP(Table2[[#This Row],[Visitor/Neutral]],def_diff_lookup,6,FALSE))</f>
        <v>104.53850144606979</v>
      </c>
      <c r="M4" s="39"/>
      <c r="N4" s="39">
        <f>(Table2[[#This Row],[A/Pace]]/100)*(VLOOKUP(Table2[[#This Row],[Visitor/Neutral]],OFR_lookup,2,FALSE)+VLOOKUP(Table2[[#This Row],[Home/Neutral]],def_diff_lookup,6,FALSE))</f>
        <v>102.42113500000001</v>
      </c>
      <c r="O4" s="39"/>
      <c r="P4" s="39"/>
      <c r="Q4" s="37">
        <f>VLOOKUP(Table2[[#This Row],[Home/Neutral]],pace_lookup,7,FALSE)</f>
        <v>98.8</v>
      </c>
      <c r="R4" s="37">
        <f>VLOOKUP(Table2[[#This Row],[Visitor/Neutral]],pace_lookup,7,FALSE)</f>
        <v>91.5</v>
      </c>
      <c r="S4" s="38">
        <f t="shared" si="1"/>
        <v>-9</v>
      </c>
      <c r="T4" s="37">
        <v>-6</v>
      </c>
      <c r="U4" s="42"/>
      <c r="V4" s="37"/>
      <c r="W4" s="40">
        <f>-home-VLOOKUP(Table2[[#This Row],[Home/Neutral]],rtg_vlookup,4,FALSE)+VLOOKUP(Table2[[#This Row],[Visitor/Neutral]],rtg_vlookup,4,FALSE)</f>
        <v>3.9113114754098341</v>
      </c>
      <c r="X4" s="42"/>
      <c r="Y4" s="40"/>
      <c r="Z4" s="40">
        <f>Table2[[#This Row],[A/EV]]-Table2[[#This Row],[H/EV]]</f>
        <v>-2.1173664460697807</v>
      </c>
      <c r="AA4" s="41"/>
      <c r="AB4" s="46"/>
      <c r="AC4" s="46"/>
      <c r="AD4" s="46"/>
      <c r="AE4" s="46"/>
      <c r="AF4" s="38" t="b">
        <f>IF(VLOOKUP(Table2[[#This Row],[Home/Neutral]],division_lookup,9,FALSE)=VLOOKUP(Table2[[#This Row],[Visitor/Neutral]],division_lookup,9,FALSE),TRUE,FALSE)</f>
        <v>1</v>
      </c>
      <c r="AG4" s="42" t="str">
        <f>VLOOKUP(Table2[[#This Row],[Home/Neutral]],division_lookup,9,FALSE)</f>
        <v>NW</v>
      </c>
      <c r="AH4" s="42" t="str">
        <f>IF(Table2[[#This Row],[Total/EV]]&lt;Table2[[#This Row],[Total/V]],"UNDER","OVER")</f>
        <v>UNDER</v>
      </c>
      <c r="AI4" s="43"/>
      <c r="AJ4" s="40"/>
      <c r="AK4" s="40"/>
      <c r="AL4" s="44">
        <f>Table2[[#This Row],[SRS]]-Table2[[#This Row],[Spread]]</f>
        <v>12.911311475409834</v>
      </c>
      <c r="AM4" s="39">
        <f>Table2[[#This Row],[(A) Err]]^2</f>
        <v>166.70196401504967</v>
      </c>
      <c r="AN4" s="45">
        <f>Table2[[#This Row],[EV]]-Table2[[#This Row],[Spread]]</f>
        <v>6.8826335539302193</v>
      </c>
      <c r="AO4" s="45">
        <f>Table2[[#This Row],[EV Err]]^2</f>
        <v>47.370644637686119</v>
      </c>
      <c r="AP4" s="63"/>
    </row>
    <row r="5" spans="1:42" x14ac:dyDescent="0.25">
      <c r="A5" s="34">
        <v>42669</v>
      </c>
      <c r="B5" t="s">
        <v>110</v>
      </c>
      <c r="C5" t="s">
        <v>111</v>
      </c>
      <c r="D5">
        <f>IF((Table2[[#This Row],[Spread]]-Table2[[#This Row],[Spread/V]])=0,1,IF(Table2[[#This Row],[Spread]]&lt;Table2[[#This Row],[Spread/V]],1,0))</f>
        <v>0</v>
      </c>
      <c r="E5">
        <v>122</v>
      </c>
      <c r="F5">
        <f>IF((Table2[[#This Row],[Spread]]-Table2[[#This Row],[Spread/V]])=0,1,IF(Table2[[#This Row],[Spread]]&gt;Table2[[#This Row],[Spread/V]],1,0))</f>
        <v>1</v>
      </c>
      <c r="G5">
        <v>117</v>
      </c>
      <c r="H5" s="7">
        <f t="shared" si="0"/>
        <v>239</v>
      </c>
      <c r="I5">
        <f>IF(Table2[[#This Row],[Total/V]]&lt;=Table2[[#This Row],[Total]],1,0)</f>
        <v>1</v>
      </c>
      <c r="J5">
        <v>212.5</v>
      </c>
      <c r="K5"/>
      <c r="L5" s="21">
        <f>(Table2[[#This Row],[H/Pace]]/100)*(VLOOKUP(Table2[[#This Row],[Home/Neutral]],home_lookup,8,FALSE)+VLOOKUP(Table2[[#This Row],[Home/Neutral]],OFR_lookup,2,FALSE)+VLOOKUP(Table2[[#This Row],[Visitor/Neutral]],def_diff_lookup,6,FALSE))</f>
        <v>109.8900511890094</v>
      </c>
      <c r="M5" s="21"/>
      <c r="N5" s="21">
        <f>(Table2[[#This Row],[A/Pace]]/100)*(VLOOKUP(Table2[[#This Row],[Visitor/Neutral]],OFR_lookup,2,FALSE)+VLOOKUP(Table2[[#This Row],[Home/Neutral]],def_diff_lookup,6,FALSE))</f>
        <v>104.94338</v>
      </c>
      <c r="O5" s="21"/>
      <c r="P5" s="21"/>
      <c r="Q5">
        <f>VLOOKUP(Table2[[#This Row],[Home/Neutral]],pace_lookup,7,FALSE)</f>
        <v>96.2</v>
      </c>
      <c r="R5" s="5">
        <f>VLOOKUP(Table2[[#This Row],[Visitor/Neutral]],pace_lookup,7,FALSE)</f>
        <v>102</v>
      </c>
      <c r="S5" s="7">
        <f t="shared" si="1"/>
        <v>-5</v>
      </c>
      <c r="T5">
        <v>-11.5</v>
      </c>
      <c r="U5" s="15"/>
      <c r="W5" s="2">
        <f>-home-VLOOKUP(Table2[[#This Row],[Home/Neutral]],rtg_vlookup,4,FALSE)+VLOOKUP(Table2[[#This Row],[Visitor/Neutral]],rtg_vlookup,4,FALSE)</f>
        <v>-12.038688524590166</v>
      </c>
      <c r="X5" s="15"/>
      <c r="Y5" s="2"/>
      <c r="Z5" s="2">
        <f>Table2[[#This Row],[A/EV]]-Table2[[#This Row],[H/EV]]</f>
        <v>-4.9466711890093933</v>
      </c>
      <c r="AA5" s="29"/>
      <c r="AB5" s="30"/>
      <c r="AC5" s="30"/>
      <c r="AD5" s="30"/>
      <c r="AE5" s="30"/>
      <c r="AF5" s="7" t="b">
        <f>IF(VLOOKUP(Table2[[#This Row],[Home/Neutral]],division_lookup,9,FALSE)=VLOOKUP(Table2[[#This Row],[Visitor/Neutral]],division_lookup,9,FALSE),TRUE,FALSE)</f>
        <v>1</v>
      </c>
      <c r="AG5" s="15" t="str">
        <f>VLOOKUP(Table2[[#This Row],[Home/Neutral]],division_lookup,9,FALSE)</f>
        <v>A</v>
      </c>
      <c r="AH5" s="15" t="str">
        <f>IF(Table2[[#This Row],[Total/EV]]&lt;Table2[[#This Row],[Total/V]],"UNDER","OVER")</f>
        <v>UNDER</v>
      </c>
      <c r="AI5" s="15"/>
      <c r="AJ5" s="2"/>
      <c r="AK5" s="2"/>
      <c r="AL5" s="18">
        <f>Table2[[#This Row],[SRS]]-Table2[[#This Row],[Spread]]</f>
        <v>-7.0386885245901656</v>
      </c>
      <c r="AM5" s="21">
        <f>Table2[[#This Row],[(A) Err]]^2</f>
        <v>49.543136146197284</v>
      </c>
      <c r="AN5" s="6">
        <f>Table2[[#This Row],[EV]]-Table2[[#This Row],[Spread]]</f>
        <v>5.3328810990606712E-2</v>
      </c>
      <c r="AO5" s="1">
        <f>Table2[[#This Row],[EV Err]]^2</f>
        <v>2.8439620816718553E-3</v>
      </c>
      <c r="AP5" s="1"/>
    </row>
    <row r="6" spans="1:42" x14ac:dyDescent="0.25">
      <c r="A6" s="34">
        <v>42669</v>
      </c>
      <c r="B6" t="s">
        <v>120</v>
      </c>
      <c r="C6" t="s">
        <v>115</v>
      </c>
      <c r="D6">
        <f>IF((Table2[[#This Row],[Spread]]-Table2[[#This Row],[Spread/V]])=0,1,IF(Table2[[#This Row],[Spread]]&lt;Table2[[#This Row],[Spread/V]],1,0))</f>
        <v>1</v>
      </c>
      <c r="E6">
        <v>130</v>
      </c>
      <c r="F6">
        <f>IF((Table2[[#This Row],[Spread]]-Table2[[#This Row],[Spread/V]])=0,1,IF(Table2[[#This Row],[Spread]]&gt;Table2[[#This Row],[Spread/V]],1,0))</f>
        <v>0</v>
      </c>
      <c r="G6">
        <v>121</v>
      </c>
      <c r="H6" s="7">
        <f t="shared" si="0"/>
        <v>251</v>
      </c>
      <c r="I6">
        <f>IF(Table2[[#This Row],[Total/V]]&lt;=Table2[[#This Row],[Total]],1,0)</f>
        <v>1</v>
      </c>
      <c r="J6">
        <v>204.5</v>
      </c>
      <c r="K6"/>
      <c r="L6" s="21">
        <f>(Table2[[#This Row],[H/Pace]]/100)*(VLOOKUP(Table2[[#This Row],[Home/Neutral]],home_lookup,8,FALSE)+VLOOKUP(Table2[[#This Row],[Home/Neutral]],OFR_lookup,2,FALSE)+VLOOKUP(Table2[[#This Row],[Visitor/Neutral]],def_diff_lookup,6,FALSE))</f>
        <v>105.29763542930861</v>
      </c>
      <c r="M6" s="21"/>
      <c r="N6" s="21">
        <f>(Table2[[#This Row],[A/Pace]]/100)*(VLOOKUP(Table2[[#This Row],[Visitor/Neutral]],OFR_lookup,2,FALSE)+VLOOKUP(Table2[[#This Row],[Home/Neutral]],def_diff_lookup,6,FALSE))</f>
        <v>91.83691433333334</v>
      </c>
      <c r="O6" s="21"/>
      <c r="P6" s="21"/>
      <c r="Q6">
        <f>VLOOKUP(Table2[[#This Row],[Home/Neutral]],pace_lookup,7,FALSE)</f>
        <v>98.3</v>
      </c>
      <c r="R6" s="5">
        <f>VLOOKUP(Table2[[#This Row],[Visitor/Neutral]],pace_lookup,7,FALSE)</f>
        <v>92.9</v>
      </c>
      <c r="S6" s="7">
        <f t="shared" si="1"/>
        <v>-9</v>
      </c>
      <c r="T6">
        <v>-5.5</v>
      </c>
      <c r="U6" s="15"/>
      <c r="W6" s="2">
        <f>-home-VLOOKUP(Table2[[#This Row],[Home/Neutral]],rtg_vlookup,4,FALSE)+VLOOKUP(Table2[[#This Row],[Visitor/Neutral]],rtg_vlookup,4,FALSE)</f>
        <v>-6.9386885245901651</v>
      </c>
      <c r="X6" s="15"/>
      <c r="Y6" s="2"/>
      <c r="Z6" s="2">
        <f>Table2[[#This Row],[A/EV]]-Table2[[#This Row],[H/EV]]</f>
        <v>-13.460721095975273</v>
      </c>
      <c r="AA6" s="29"/>
      <c r="AB6" s="30"/>
      <c r="AC6" s="30"/>
      <c r="AD6" s="30"/>
      <c r="AE6" s="30"/>
      <c r="AF6" s="7" t="b">
        <f>IF(VLOOKUP(Table2[[#This Row],[Home/Neutral]],division_lookup,9,FALSE)=VLOOKUP(Table2[[#This Row],[Visitor/Neutral]],division_lookup,9,FALSE),TRUE,FALSE)</f>
        <v>0</v>
      </c>
      <c r="AG6" s="15" t="str">
        <f>VLOOKUP(Table2[[#This Row],[Home/Neutral]],division_lookup,9,FALSE)</f>
        <v>C</v>
      </c>
      <c r="AH6" s="15" t="str">
        <f>IF(Table2[[#This Row],[Total/EV]]&lt;Table2[[#This Row],[Total/V]],"UNDER","OVER")</f>
        <v>UNDER</v>
      </c>
      <c r="AI6" s="15"/>
      <c r="AJ6" s="2"/>
      <c r="AK6" s="2"/>
      <c r="AL6" s="18">
        <f>Table2[[#This Row],[SRS]]-Table2[[#This Row],[Spread]]</f>
        <v>2.0613114754098349</v>
      </c>
      <c r="AM6" s="21">
        <f>Table2[[#This Row],[(A) Err]]^2</f>
        <v>4.2490049986562708</v>
      </c>
      <c r="AN6" s="6">
        <f>Table2[[#This Row],[EV]]-Table2[[#This Row],[Spread]]</f>
        <v>-4.4607210959752734</v>
      </c>
      <c r="AO6" s="1">
        <f>Table2[[#This Row],[EV Err]]^2</f>
        <v>19.898032696078843</v>
      </c>
      <c r="AP6" s="1"/>
    </row>
    <row r="7" spans="1:42" x14ac:dyDescent="0.25">
      <c r="A7" s="34">
        <v>42669</v>
      </c>
      <c r="B7" t="s">
        <v>122</v>
      </c>
      <c r="C7" t="s">
        <v>119</v>
      </c>
      <c r="D7">
        <f>IF((Table2[[#This Row],[Spread]]-Table2[[#This Row],[Spread/V]])=0,1,IF(Table2[[#This Row],[Spread]]&lt;Table2[[#This Row],[Spread/V]],1,0))</f>
        <v>1</v>
      </c>
      <c r="E7">
        <v>120</v>
      </c>
      <c r="F7">
        <f>IF((Table2[[#This Row],[Spread]]-Table2[[#This Row],[Spread/V]])=0,1,IF(Table2[[#This Row],[Spread]]&gt;Table2[[#This Row],[Spread/V]],1,0))</f>
        <v>1</v>
      </c>
      <c r="G7">
        <v>114</v>
      </c>
      <c r="H7" s="7">
        <f t="shared" si="0"/>
        <v>234</v>
      </c>
      <c r="I7">
        <f>IF(Table2[[#This Row],[Total/V]]&lt;=Table2[[#This Row],[Total]],1,0)</f>
        <v>1</v>
      </c>
      <c r="J7">
        <v>224.5</v>
      </c>
      <c r="K7"/>
      <c r="L7" s="21">
        <f>(Table2[[#This Row],[H/Pace]]/100)*(VLOOKUP(Table2[[#This Row],[Home/Neutral]],home_lookup,8,FALSE)+VLOOKUP(Table2[[#This Row],[Home/Neutral]],OFR_lookup,2,FALSE)+VLOOKUP(Table2[[#This Row],[Visitor/Neutral]],def_diff_lookup,6,FALSE))</f>
        <v>112.53342832744731</v>
      </c>
      <c r="M7" s="21"/>
      <c r="N7" s="21">
        <f>(Table2[[#This Row],[A/Pace]]/100)*(VLOOKUP(Table2[[#This Row],[Visitor/Neutral]],OFR_lookup,2,FALSE)+VLOOKUP(Table2[[#This Row],[Home/Neutral]],def_diff_lookup,6,FALSE))</f>
        <v>113.96958100000001</v>
      </c>
      <c r="O7" s="21"/>
      <c r="P7" s="21"/>
      <c r="Q7">
        <f>VLOOKUP(Table2[[#This Row],[Home/Neutral]],pace_lookup,7,FALSE)</f>
        <v>100.2</v>
      </c>
      <c r="R7" s="5">
        <f>VLOOKUP(Table2[[#This Row],[Visitor/Neutral]],pace_lookup,7,FALSE)</f>
        <v>96.9</v>
      </c>
      <c r="S7" s="7">
        <f t="shared" si="1"/>
        <v>-6</v>
      </c>
      <c r="T7">
        <v>-6</v>
      </c>
      <c r="U7" s="15"/>
      <c r="W7" s="2">
        <f>-home-VLOOKUP(Table2[[#This Row],[Home/Neutral]],rtg_vlookup,4,FALSE)+VLOOKUP(Table2[[#This Row],[Visitor/Neutral]],rtg_vlookup,4,FALSE)</f>
        <v>3.1513114754098344</v>
      </c>
      <c r="X7" s="15"/>
      <c r="Y7" s="2"/>
      <c r="Z7" s="2">
        <f>Table2[[#This Row],[A/EV]]-Table2[[#This Row],[H/EV]]</f>
        <v>1.4361526725526943</v>
      </c>
      <c r="AA7" s="29"/>
      <c r="AB7" s="30"/>
      <c r="AC7" s="30"/>
      <c r="AD7" s="30"/>
      <c r="AE7" s="30"/>
      <c r="AF7" s="7" t="b">
        <f>IF(VLOOKUP(Table2[[#This Row],[Home/Neutral]],division_lookup,9,FALSE)=VLOOKUP(Table2[[#This Row],[Visitor/Neutral]],division_lookup,9,FALSE),TRUE,FALSE)</f>
        <v>0</v>
      </c>
      <c r="AG7" s="15" t="str">
        <f>VLOOKUP(Table2[[#This Row],[Home/Neutral]],division_lookup,9,FALSE)</f>
        <v>P</v>
      </c>
      <c r="AH7" s="15" t="str">
        <f>IF(Table2[[#This Row],[Total/EV]]&lt;Table2[[#This Row],[Total/V]],"UNDER","OVER")</f>
        <v>UNDER</v>
      </c>
      <c r="AI7" s="15"/>
      <c r="AJ7" s="2"/>
      <c r="AK7" s="2"/>
      <c r="AL7" s="18">
        <f>Table2[[#This Row],[SRS]]-Table2[[#This Row],[Spread]]</f>
        <v>9.1513114754098339</v>
      </c>
      <c r="AM7" s="21">
        <f>Table2[[#This Row],[(A) Err]]^2</f>
        <v>83.746501719967711</v>
      </c>
      <c r="AN7" s="6">
        <f>Table2[[#This Row],[EV]]-Table2[[#This Row],[Spread]]</f>
        <v>7.4361526725526943</v>
      </c>
      <c r="AO7" s="1">
        <f>Table2[[#This Row],[EV Err]]^2</f>
        <v>55.296366569512578</v>
      </c>
      <c r="AP7" s="1"/>
    </row>
    <row r="8" spans="1:42" x14ac:dyDescent="0.25">
      <c r="A8" s="34">
        <v>42669</v>
      </c>
      <c r="B8" t="s">
        <v>123</v>
      </c>
      <c r="C8" t="s">
        <v>126</v>
      </c>
      <c r="D8">
        <f>IF((Table2[[#This Row],[Spread]]-Table2[[#This Row],[Spread/V]])=0,1,IF(Table2[[#This Row],[Spread]]&lt;Table2[[#This Row],[Spread/V]],1,0))</f>
        <v>1</v>
      </c>
      <c r="E8">
        <v>102</v>
      </c>
      <c r="F8">
        <f>IF((Table2[[#This Row],[Spread]]-Table2[[#This Row],[Spread/V]])=0,1,IF(Table2[[#This Row],[Spread]]&gt;Table2[[#This Row],[Spread/V]],1,0))</f>
        <v>0</v>
      </c>
      <c r="G8">
        <v>98</v>
      </c>
      <c r="H8" s="7">
        <f t="shared" si="0"/>
        <v>200</v>
      </c>
      <c r="I8">
        <f>IF(Table2[[#This Row],[Total/V]]&lt;=Table2[[#This Row],[Total]],1,0)</f>
        <v>1</v>
      </c>
      <c r="J8">
        <v>199</v>
      </c>
      <c r="K8"/>
      <c r="L8" s="21">
        <f>(Table2[[#This Row],[H/Pace]]/100)*(VLOOKUP(Table2[[#This Row],[Home/Neutral]],home_lookup,8,FALSE)+VLOOKUP(Table2[[#This Row],[Home/Neutral]],OFR_lookup,2,FALSE)+VLOOKUP(Table2[[#This Row],[Visitor/Neutral]],def_diff_lookup,6,FALSE))</f>
        <v>104.72317709563919</v>
      </c>
      <c r="M8" s="21"/>
      <c r="N8" s="21">
        <f>(Table2[[#This Row],[A/Pace]]/100)*(VLOOKUP(Table2[[#This Row],[Visitor/Neutral]],OFR_lookup,2,FALSE)+VLOOKUP(Table2[[#This Row],[Home/Neutral]],def_diff_lookup,6,FALSE))</f>
        <v>100.60526300000001</v>
      </c>
      <c r="O8" s="21"/>
      <c r="P8" s="21"/>
      <c r="Q8">
        <f>VLOOKUP(Table2[[#This Row],[Home/Neutral]],pace_lookup,7,FALSE)</f>
        <v>92.5</v>
      </c>
      <c r="R8" s="5">
        <f>VLOOKUP(Table2[[#This Row],[Visitor/Neutral]],pace_lookup,7,FALSE)</f>
        <v>95.7</v>
      </c>
      <c r="S8" s="7">
        <f t="shared" si="1"/>
        <v>-4</v>
      </c>
      <c r="T8">
        <v>-1.5</v>
      </c>
      <c r="U8" s="15"/>
      <c r="W8" s="2">
        <f>-home-VLOOKUP(Table2[[#This Row],[Home/Neutral]],rtg_vlookup,4,FALSE)+VLOOKUP(Table2[[#This Row],[Visitor/Neutral]],rtg_vlookup,4,FALSE)</f>
        <v>-4.6386885245901661</v>
      </c>
      <c r="X8" s="15"/>
      <c r="Y8" s="2"/>
      <c r="Z8" s="2">
        <f>Table2[[#This Row],[A/EV]]-Table2[[#This Row],[H/EV]]</f>
        <v>-4.1179140956391791</v>
      </c>
      <c r="AA8" s="29"/>
      <c r="AB8" s="30"/>
      <c r="AC8" s="30"/>
      <c r="AD8" s="30"/>
      <c r="AE8" s="30"/>
      <c r="AF8" s="7" t="b">
        <f>IF(VLOOKUP(Table2[[#This Row],[Home/Neutral]],division_lookup,9,FALSE)=VLOOKUP(Table2[[#This Row],[Visitor/Neutral]],division_lookup,9,FALSE),TRUE,FALSE)</f>
        <v>0</v>
      </c>
      <c r="AG8" s="15" t="str">
        <f>VLOOKUP(Table2[[#This Row],[Home/Neutral]],division_lookup,9,FALSE)</f>
        <v>SW</v>
      </c>
      <c r="AH8" s="15" t="str">
        <f>IF(Table2[[#This Row],[Total/EV]]&lt;Table2[[#This Row],[Total/V]],"UNDER","OVER")</f>
        <v>UNDER</v>
      </c>
      <c r="AI8" s="15"/>
      <c r="AJ8" s="2"/>
      <c r="AK8" s="2"/>
      <c r="AL8" s="18">
        <f>Table2[[#This Row],[SRS]]-Table2[[#This Row],[Spread]]</f>
        <v>-0.63868852459016612</v>
      </c>
      <c r="AM8" s="21">
        <f>Table2[[#This Row],[(A) Err]]^2</f>
        <v>0.40792303144316322</v>
      </c>
      <c r="AN8" s="6">
        <f>Table2[[#This Row],[EV]]-Table2[[#This Row],[Spread]]</f>
        <v>-0.1179140956391791</v>
      </c>
      <c r="AO8" s="1">
        <f>Table2[[#This Row],[EV Err]]^2</f>
        <v>1.3903733950405475E-2</v>
      </c>
      <c r="AP8" s="1"/>
    </row>
    <row r="9" spans="1:42" x14ac:dyDescent="0.25">
      <c r="A9" s="34">
        <v>42669</v>
      </c>
      <c r="B9" t="s">
        <v>125</v>
      </c>
      <c r="C9" t="s">
        <v>112</v>
      </c>
      <c r="D9">
        <f>IF((Table2[[#This Row],[Spread]]-Table2[[#This Row],[Spread/V]])=0,1,IF(Table2[[#This Row],[Spread]]&lt;Table2[[#This Row],[Spread/V]],1,0))</f>
        <v>0</v>
      </c>
      <c r="E9">
        <v>96</v>
      </c>
      <c r="F9">
        <f>IF((Table2[[#This Row],[Spread]]-Table2[[#This Row],[Spread/V]])=0,1,IF(Table2[[#This Row],[Spread]]&gt;Table2[[#This Row],[Spread/V]],1,0))</f>
        <v>1</v>
      </c>
      <c r="G9">
        <v>107</v>
      </c>
      <c r="H9" s="7">
        <f t="shared" si="0"/>
        <v>203</v>
      </c>
      <c r="I9">
        <f>IF(Table2[[#This Row],[Total/V]]&lt;=Table2[[#This Row],[Total]],1,0)</f>
        <v>1</v>
      </c>
      <c r="J9">
        <v>195.5</v>
      </c>
      <c r="K9"/>
      <c r="L9" s="21">
        <f>(Table2[[#This Row],[H/Pace]]/100)*(VLOOKUP(Table2[[#This Row],[Home/Neutral]],home_lookup,8,FALSE)+VLOOKUP(Table2[[#This Row],[Home/Neutral]],OFR_lookup,2,FALSE)+VLOOKUP(Table2[[#This Row],[Visitor/Neutral]],def_diff_lookup,6,FALSE))</f>
        <v>107.60394550061908</v>
      </c>
      <c r="M9" s="21"/>
      <c r="N9" s="21">
        <f>(Table2[[#This Row],[A/Pace]]/100)*(VLOOKUP(Table2[[#This Row],[Visitor/Neutral]],OFR_lookup,2,FALSE)+VLOOKUP(Table2[[#This Row],[Home/Neutral]],def_diff_lookup,6,FALSE))</f>
        <v>106.98967933333334</v>
      </c>
      <c r="O9" s="21"/>
      <c r="P9" s="21"/>
      <c r="Q9">
        <f>VLOOKUP(Table2[[#This Row],[Home/Neutral]],pace_lookup,7,FALSE)</f>
        <v>96.1</v>
      </c>
      <c r="R9" s="5">
        <f>VLOOKUP(Table2[[#This Row],[Visitor/Neutral]],pace_lookup,7,FALSE)</f>
        <v>97.4</v>
      </c>
      <c r="S9" s="7">
        <f t="shared" si="1"/>
        <v>11</v>
      </c>
      <c r="T9">
        <v>-1.5</v>
      </c>
      <c r="U9" s="15"/>
      <c r="W9" s="2">
        <f>-home-VLOOKUP(Table2[[#This Row],[Home/Neutral]],rtg_vlookup,4,FALSE)+VLOOKUP(Table2[[#This Row],[Visitor/Neutral]],rtg_vlookup,4,FALSE)</f>
        <v>1.7413114754098342</v>
      </c>
      <c r="X9" s="15"/>
      <c r="Y9" s="2"/>
      <c r="Z9" s="2">
        <f>Table2[[#This Row],[A/EV]]-Table2[[#This Row],[H/EV]]</f>
        <v>-0.61426616728573435</v>
      </c>
      <c r="AA9" s="29"/>
      <c r="AB9" s="30"/>
      <c r="AC9" s="30"/>
      <c r="AD9" s="30"/>
      <c r="AE9" s="30"/>
      <c r="AF9" s="7" t="b">
        <f>IF(VLOOKUP(Table2[[#This Row],[Home/Neutral]],division_lookup,9,FALSE)=VLOOKUP(Table2[[#This Row],[Visitor/Neutral]],division_lookup,9,FALSE),TRUE,FALSE)</f>
        <v>0</v>
      </c>
      <c r="AG9" s="15" t="str">
        <f>VLOOKUP(Table2[[#This Row],[Home/Neutral]],division_lookup,9,FALSE)</f>
        <v>C</v>
      </c>
      <c r="AH9" s="15" t="str">
        <f>IF(Table2[[#This Row],[Total/EV]]&lt;Table2[[#This Row],[Total/V]],"UNDER","OVER")</f>
        <v>UNDER</v>
      </c>
      <c r="AI9" s="15"/>
      <c r="AJ9" s="2"/>
      <c r="AK9" s="2"/>
      <c r="AL9" s="18">
        <f>Table2[[#This Row],[SRS]]-Table2[[#This Row],[Spread]]</f>
        <v>-9.2586885245901662</v>
      </c>
      <c r="AM9" s="21">
        <f>Table2[[#This Row],[(A) Err]]^2</f>
        <v>85.723313195377628</v>
      </c>
      <c r="AN9" s="6">
        <f>Table2[[#This Row],[EV]]-Table2[[#This Row],[Spread]]</f>
        <v>-11.614266167285734</v>
      </c>
      <c r="AO9" s="1">
        <f>Table2[[#This Row],[EV Err]]^2</f>
        <v>134.89117860455806</v>
      </c>
      <c r="AP9" s="1"/>
    </row>
    <row r="10" spans="1:42" x14ac:dyDescent="0.25">
      <c r="A10" s="34">
        <v>42669</v>
      </c>
      <c r="B10" t="s">
        <v>127</v>
      </c>
      <c r="C10" t="s">
        <v>116</v>
      </c>
      <c r="D10">
        <f>IF((Table2[[#This Row],[Spread]]-Table2[[#This Row],[Spread/V]])=0,1,IF(Table2[[#This Row],[Spread]]&lt;Table2[[#This Row],[Spread/V]],1,0))</f>
        <v>0</v>
      </c>
      <c r="E10">
        <v>102</v>
      </c>
      <c r="F10">
        <f>IF((Table2[[#This Row],[Spread]]-Table2[[#This Row],[Spread/V]])=0,1,IF(Table2[[#This Row],[Spread]]&gt;Table2[[#This Row],[Spread/V]],1,0))</f>
        <v>1</v>
      </c>
      <c r="G10">
        <v>107</v>
      </c>
      <c r="H10" s="7">
        <f t="shared" si="0"/>
        <v>209</v>
      </c>
      <c r="I10">
        <f>IF(Table2[[#This Row],[Total/V]]&lt;=Table2[[#This Row],[Total]],1,0)</f>
        <v>1</v>
      </c>
      <c r="J10">
        <v>206.5</v>
      </c>
      <c r="K10"/>
      <c r="L10" s="21">
        <f>(Table2[[#This Row],[H/Pace]]/100)*(VLOOKUP(Table2[[#This Row],[Home/Neutral]],home_lookup,8,FALSE)+VLOOKUP(Table2[[#This Row],[Home/Neutral]],OFR_lookup,2,FALSE)+VLOOKUP(Table2[[#This Row],[Visitor/Neutral]],def_diff_lookup,6,FALSE))</f>
        <v>102.93768493743048</v>
      </c>
      <c r="M10" s="21"/>
      <c r="N10" s="21">
        <f>(Table2[[#This Row],[A/Pace]]/100)*(VLOOKUP(Table2[[#This Row],[Visitor/Neutral]],OFR_lookup,2,FALSE)+VLOOKUP(Table2[[#This Row],[Home/Neutral]],def_diff_lookup,6,FALSE))</f>
        <v>103.93178566666666</v>
      </c>
      <c r="O10" s="21"/>
      <c r="P10" s="21"/>
      <c r="Q10">
        <f>VLOOKUP(Table2[[#This Row],[Home/Neutral]],pace_lookup,7,FALSE)</f>
        <v>99.3</v>
      </c>
      <c r="R10" s="5">
        <f>VLOOKUP(Table2[[#This Row],[Visitor/Neutral]],pace_lookup,7,FALSE)</f>
        <v>99.1</v>
      </c>
      <c r="S10" s="7">
        <f t="shared" si="1"/>
        <v>5</v>
      </c>
      <c r="T10">
        <v>-1.5</v>
      </c>
      <c r="U10" s="15"/>
      <c r="W10" s="2">
        <f>-home-VLOOKUP(Table2[[#This Row],[Home/Neutral]],rtg_vlookup,4,FALSE)+VLOOKUP(Table2[[#This Row],[Visitor/Neutral]],rtg_vlookup,4,FALSE)</f>
        <v>-0.85868852459016554</v>
      </c>
      <c r="X10" s="15"/>
      <c r="Y10" s="2"/>
      <c r="Z10" s="2">
        <f>Table2[[#This Row],[A/EV]]-Table2[[#This Row],[H/EV]]</f>
        <v>0.99410072923618031</v>
      </c>
      <c r="AA10" s="29"/>
      <c r="AB10" s="30"/>
      <c r="AC10" s="30"/>
      <c r="AD10" s="30"/>
      <c r="AE10" s="30"/>
      <c r="AF10" s="7" t="b">
        <f>IF(VLOOKUP(Table2[[#This Row],[Home/Neutral]],division_lookup,9,FALSE)=VLOOKUP(Table2[[#This Row],[Visitor/Neutral]],division_lookup,9,FALSE),TRUE,FALSE)</f>
        <v>0</v>
      </c>
      <c r="AG10" s="15" t="str">
        <f>VLOOKUP(Table2[[#This Row],[Home/Neutral]],division_lookup,9,FALSE)</f>
        <v>SW</v>
      </c>
      <c r="AH10" s="15" t="str">
        <f>IF(Table2[[#This Row],[Total/EV]]&lt;Table2[[#This Row],[Total/V]],"UNDER","OVER")</f>
        <v>UNDER</v>
      </c>
      <c r="AI10" s="15"/>
      <c r="AJ10" s="2"/>
      <c r="AK10" s="2"/>
      <c r="AL10" s="18">
        <f>Table2[[#This Row],[SRS]]-Table2[[#This Row],[Spread]]</f>
        <v>-5.8586885245901659</v>
      </c>
      <c r="AM10" s="21">
        <f>Table2[[#This Row],[(A) Err]]^2</f>
        <v>34.324231228164493</v>
      </c>
      <c r="AN10" s="6">
        <f>Table2[[#This Row],[EV]]-Table2[[#This Row],[Spread]]</f>
        <v>-4.0058992707638197</v>
      </c>
      <c r="AO10" s="1">
        <f>Table2[[#This Row],[EV Err]]^2</f>
        <v>16.047228967506101</v>
      </c>
      <c r="AP10" s="1"/>
    </row>
    <row r="11" spans="1:42" x14ac:dyDescent="0.25">
      <c r="A11" s="34">
        <v>42669</v>
      </c>
      <c r="B11" t="s">
        <v>130</v>
      </c>
      <c r="C11" t="s">
        <v>124</v>
      </c>
      <c r="D11">
        <f>IF((Table2[[#This Row],[Spread]]-Table2[[#This Row],[Spread/V]])=0,1,IF(Table2[[#This Row],[Spread]]&lt;Table2[[#This Row],[Spread/V]],1,0))</f>
        <v>0</v>
      </c>
      <c r="E11">
        <v>96</v>
      </c>
      <c r="F11">
        <f>IF((Table2[[#This Row],[Spread]]-Table2[[#This Row],[Spread/V]])=0,1,IF(Table2[[#This Row],[Spread]]&gt;Table2[[#This Row],[Spread/V]],1,0))</f>
        <v>1</v>
      </c>
      <c r="G11">
        <v>108</v>
      </c>
      <c r="H11" s="7">
        <f t="shared" si="0"/>
        <v>204</v>
      </c>
      <c r="I11">
        <f>IF(Table2[[#This Row],[Total/V]]&lt;=Table2[[#This Row],[Total]],1,0)</f>
        <v>1</v>
      </c>
      <c r="J11">
        <v>199</v>
      </c>
      <c r="K11"/>
      <c r="L11" s="21">
        <f>(Table2[[#This Row],[H/Pace]]/100)*(VLOOKUP(Table2[[#This Row],[Home/Neutral]],home_lookup,8,FALSE)+VLOOKUP(Table2[[#This Row],[Home/Neutral]],OFR_lookup,2,FALSE)+VLOOKUP(Table2[[#This Row],[Visitor/Neutral]],def_diff_lookup,6,FALSE))</f>
        <v>94.405964967109398</v>
      </c>
      <c r="M11" s="21"/>
      <c r="N11" s="21">
        <f>(Table2[[#This Row],[A/Pace]]/100)*(VLOOKUP(Table2[[#This Row],[Visitor/Neutral]],OFR_lookup,2,FALSE)+VLOOKUP(Table2[[#This Row],[Home/Neutral]],def_diff_lookup,6,FALSE))</f>
        <v>96.563159666666664</v>
      </c>
      <c r="O11" s="21"/>
      <c r="P11" s="21"/>
      <c r="Q11">
        <f>VLOOKUP(Table2[[#This Row],[Home/Neutral]],pace_lookup,7,FALSE)</f>
        <v>94.2</v>
      </c>
      <c r="R11" s="5">
        <f>VLOOKUP(Table2[[#This Row],[Visitor/Neutral]],pace_lookup,7,FALSE)</f>
        <v>93.7</v>
      </c>
      <c r="S11" s="7">
        <f t="shared" si="1"/>
        <v>12</v>
      </c>
      <c r="T11">
        <v>-3</v>
      </c>
      <c r="U11" s="15"/>
      <c r="W11" s="2">
        <f>-home-VLOOKUP(Table2[[#This Row],[Home/Neutral]],rtg_vlookup,4,FALSE)+VLOOKUP(Table2[[#This Row],[Visitor/Neutral]],rtg_vlookup,4,FALSE)</f>
        <v>4.6513114754098348</v>
      </c>
      <c r="X11" s="15"/>
      <c r="Y11" s="2"/>
      <c r="Z11" s="2">
        <f>Table2[[#This Row],[A/EV]]-Table2[[#This Row],[H/EV]]</f>
        <v>2.1571946995572659</v>
      </c>
      <c r="AA11" s="29"/>
      <c r="AB11" s="30"/>
      <c r="AC11" s="30"/>
      <c r="AD11" s="30"/>
      <c r="AE11" s="30"/>
      <c r="AF11" s="7" t="b">
        <f>IF(VLOOKUP(Table2[[#This Row],[Home/Neutral]],division_lookup,9,FALSE)=VLOOKUP(Table2[[#This Row],[Visitor/Neutral]],division_lookup,9,FALSE),TRUE,FALSE)</f>
        <v>1</v>
      </c>
      <c r="AG11" s="15" t="str">
        <f>VLOOKUP(Table2[[#This Row],[Home/Neutral]],division_lookup,9,FALSE)</f>
        <v>SE</v>
      </c>
      <c r="AH11" s="15" t="str">
        <f>IF(Table2[[#This Row],[Total/EV]]&lt;Table2[[#This Row],[Total/V]],"UNDER","OVER")</f>
        <v>UNDER</v>
      </c>
      <c r="AI11" s="15"/>
      <c r="AJ11" s="2"/>
      <c r="AK11" s="2"/>
      <c r="AL11" s="18">
        <f>Table2[[#This Row],[SRS]]-Table2[[#This Row],[Spread]]</f>
        <v>-7.3486885245901652</v>
      </c>
      <c r="AM11" s="21">
        <f>Table2[[#This Row],[(A) Err]]^2</f>
        <v>54.003223031443177</v>
      </c>
      <c r="AN11" s="6">
        <f>Table2[[#This Row],[EV]]-Table2[[#This Row],[Spread]]</f>
        <v>-9.8428053004427341</v>
      </c>
      <c r="AO11" s="1">
        <f>Table2[[#This Row],[EV Err]]^2</f>
        <v>96.880816182423587</v>
      </c>
      <c r="AP11" s="1"/>
    </row>
    <row r="12" spans="1:42" x14ac:dyDescent="0.25">
      <c r="A12" s="34">
        <v>42669</v>
      </c>
      <c r="B12" t="s">
        <v>138</v>
      </c>
      <c r="C12" t="s">
        <v>129</v>
      </c>
      <c r="D12">
        <f>IF((Table2[[#This Row],[Spread]]-Table2[[#This Row],[Spread/V]])=0,1,IF(Table2[[#This Row],[Spread]]&lt;Table2[[#This Row],[Spread/V]],1,0))</f>
        <v>0</v>
      </c>
      <c r="E12">
        <v>97</v>
      </c>
      <c r="F12">
        <f>IF((Table2[[#This Row],[Spread]]-Table2[[#This Row],[Spread/V]])=0,1,IF(Table2[[#This Row],[Spread]]&gt;Table2[[#This Row],[Spread/V]],1,0))</f>
        <v>1</v>
      </c>
      <c r="G12">
        <v>103</v>
      </c>
      <c r="H12" s="7">
        <f t="shared" si="0"/>
        <v>200</v>
      </c>
      <c r="I12">
        <f>IF(Table2[[#This Row],[Total/V]]&lt;=Table2[[#This Row],[Total]],1,0)</f>
        <v>0</v>
      </c>
      <c r="J12">
        <v>209</v>
      </c>
      <c r="K12"/>
      <c r="L12" s="21">
        <f>(Table2[[#This Row],[H/Pace]]/100)*(VLOOKUP(Table2[[#This Row],[Home/Neutral]],home_lookup,8,FALSE)+VLOOKUP(Table2[[#This Row],[Home/Neutral]],OFR_lookup,2,FALSE)+VLOOKUP(Table2[[#This Row],[Visitor/Neutral]],def_diff_lookup,6,FALSE))</f>
        <v>97.233033531240096</v>
      </c>
      <c r="M12" s="21"/>
      <c r="N12" s="21">
        <f>(Table2[[#This Row],[A/Pace]]/100)*(VLOOKUP(Table2[[#This Row],[Visitor/Neutral]],OFR_lookup,2,FALSE)+VLOOKUP(Table2[[#This Row],[Home/Neutral]],def_diff_lookup,6,FALSE))</f>
        <v>106.88601</v>
      </c>
      <c r="O12" s="21"/>
      <c r="P12" s="21"/>
      <c r="Q12">
        <f>VLOOKUP(Table2[[#This Row],[Home/Neutral]],pace_lookup,7,FALSE)</f>
        <v>97.5</v>
      </c>
      <c r="R12" s="5">
        <f>VLOOKUP(Table2[[#This Row],[Visitor/Neutral]],pace_lookup,7,FALSE)</f>
        <v>99</v>
      </c>
      <c r="S12" s="7">
        <f t="shared" si="1"/>
        <v>6</v>
      </c>
      <c r="T12">
        <v>-9</v>
      </c>
      <c r="U12" s="15"/>
      <c r="W12" s="2">
        <f>-home-VLOOKUP(Table2[[#This Row],[Home/Neutral]],rtg_vlookup,4,FALSE)+VLOOKUP(Table2[[#This Row],[Visitor/Neutral]],rtg_vlookup,4,FALSE)</f>
        <v>8.3613114754098348</v>
      </c>
      <c r="X12" s="15"/>
      <c r="Y12" s="2"/>
      <c r="Z12" s="2">
        <f>Table2[[#This Row],[A/EV]]-Table2[[#This Row],[H/EV]]</f>
        <v>9.6529764687599027</v>
      </c>
      <c r="AA12" s="29"/>
      <c r="AB12" s="30"/>
      <c r="AC12" s="30"/>
      <c r="AD12" s="30"/>
      <c r="AE12" s="30"/>
      <c r="AF12" s="7" t="b">
        <f>IF(VLOOKUP(Table2[[#This Row],[Home/Neutral]],division_lookup,9,FALSE)=VLOOKUP(Table2[[#This Row],[Visitor/Neutral]],division_lookup,9,FALSE),TRUE,FALSE)</f>
        <v>0</v>
      </c>
      <c r="AG12" s="15" t="str">
        <f>VLOOKUP(Table2[[#This Row],[Home/Neutral]],division_lookup,9,FALSE)</f>
        <v>A</v>
      </c>
      <c r="AH12" s="15" t="str">
        <f>IF(Table2[[#This Row],[Total/EV]]&lt;Table2[[#This Row],[Total/V]],"UNDER","OVER")</f>
        <v>UNDER</v>
      </c>
      <c r="AI12" s="15"/>
      <c r="AJ12" s="2"/>
      <c r="AK12" s="2"/>
      <c r="AL12" s="18">
        <f>Table2[[#This Row],[SRS]]-Table2[[#This Row],[Spread]]</f>
        <v>2.3613114754098348</v>
      </c>
      <c r="AM12" s="21">
        <f>Table2[[#This Row],[(A) Err]]^2</f>
        <v>5.5757918839021707</v>
      </c>
      <c r="AN12" s="6">
        <f>Table2[[#This Row],[EV]]-Table2[[#This Row],[Spread]]</f>
        <v>3.6529764687599027</v>
      </c>
      <c r="AO12" s="1">
        <f>Table2[[#This Row],[EV Err]]^2</f>
        <v>13.344237081313569</v>
      </c>
      <c r="AP12" s="1"/>
    </row>
    <row r="13" spans="1:42" x14ac:dyDescent="0.25">
      <c r="A13" s="34">
        <v>42669</v>
      </c>
      <c r="B13" t="s">
        <v>131</v>
      </c>
      <c r="C13" t="s">
        <v>133</v>
      </c>
      <c r="D13">
        <f>IF((Table2[[#This Row],[Spread]]-Table2[[#This Row],[Spread/V]])=0,1,IF(Table2[[#This Row],[Spread]]&lt;Table2[[#This Row],[Spread/V]],1,0))</f>
        <v>0</v>
      </c>
      <c r="E13">
        <v>94</v>
      </c>
      <c r="F13">
        <f>IF((Table2[[#This Row],[Spread]]-Table2[[#This Row],[Spread/V]])=0,1,IF(Table2[[#This Row],[Spread]]&gt;Table2[[#This Row],[Spread/V]],1,0))</f>
        <v>1</v>
      </c>
      <c r="G13">
        <v>113</v>
      </c>
      <c r="H13" s="7">
        <f t="shared" si="0"/>
        <v>207</v>
      </c>
      <c r="I13">
        <f>IF(Table2[[#This Row],[Total/V]]&lt;=Table2[[#This Row],[Total]],1,0)</f>
        <v>0</v>
      </c>
      <c r="J13">
        <v>211.5</v>
      </c>
      <c r="K13"/>
      <c r="L13" s="21">
        <f>(Table2[[#This Row],[H/Pace]]/100)*(VLOOKUP(Table2[[#This Row],[Home/Neutral]],home_lookup,8,FALSE)+VLOOKUP(Table2[[#This Row],[Home/Neutral]],OFR_lookup,2,FALSE)+VLOOKUP(Table2[[#This Row],[Visitor/Neutral]],def_diff_lookup,6,FALSE))</f>
        <v>100.25890979119767</v>
      </c>
      <c r="M13" s="21"/>
      <c r="N13" s="21">
        <f>(Table2[[#This Row],[A/Pace]]/100)*(VLOOKUP(Table2[[#This Row],[Visitor/Neutral]],OFR_lookup,2,FALSE)+VLOOKUP(Table2[[#This Row],[Home/Neutral]],def_diff_lookup,6,FALSE))</f>
        <v>102.77753800000001</v>
      </c>
      <c r="O13" s="21"/>
      <c r="P13" s="21"/>
      <c r="Q13">
        <f>VLOOKUP(Table2[[#This Row],[Home/Neutral]],pace_lookup,7,FALSE)</f>
        <v>101.7</v>
      </c>
      <c r="R13" s="5">
        <f>VLOOKUP(Table2[[#This Row],[Visitor/Neutral]],pace_lookup,7,FALSE)</f>
        <v>94.2</v>
      </c>
      <c r="S13" s="7">
        <f t="shared" si="1"/>
        <v>19</v>
      </c>
      <c r="T13">
        <v>-3</v>
      </c>
      <c r="U13" s="15"/>
      <c r="W13" s="2">
        <f>-home-VLOOKUP(Table2[[#This Row],[Home/Neutral]],rtg_vlookup,4,FALSE)+VLOOKUP(Table2[[#This Row],[Visitor/Neutral]],rtg_vlookup,4,FALSE)</f>
        <v>1.6813114754098342</v>
      </c>
      <c r="X13" s="15"/>
      <c r="Y13" s="2"/>
      <c r="Z13" s="2">
        <f>Table2[[#This Row],[A/EV]]-Table2[[#This Row],[H/EV]]</f>
        <v>2.5186282088023404</v>
      </c>
      <c r="AA13" s="29"/>
      <c r="AB13" s="30"/>
      <c r="AC13" s="30"/>
      <c r="AD13" s="30"/>
      <c r="AE13" s="30"/>
      <c r="AF13" s="7" t="b">
        <f>IF(VLOOKUP(Table2[[#This Row],[Home/Neutral]],division_lookup,9,FALSE)=VLOOKUP(Table2[[#This Row],[Visitor/Neutral]],division_lookup,9,FALSE),TRUE,FALSE)</f>
        <v>1</v>
      </c>
      <c r="AG13" s="15" t="str">
        <f>VLOOKUP(Table2[[#This Row],[Home/Neutral]],division_lookup,9,FALSE)</f>
        <v>P</v>
      </c>
      <c r="AH13" s="15" t="str">
        <f>IF(Table2[[#This Row],[Total/EV]]&lt;Table2[[#This Row],[Total/V]],"UNDER","OVER")</f>
        <v>UNDER</v>
      </c>
      <c r="AI13" s="15"/>
      <c r="AJ13" s="2"/>
      <c r="AK13" s="2"/>
      <c r="AL13" s="18">
        <f>Table2[[#This Row],[SRS]]-Table2[[#This Row],[Spread]]</f>
        <v>-17.318688524590165</v>
      </c>
      <c r="AM13" s="21">
        <f>Table2[[#This Row],[(A) Err]]^2</f>
        <v>299.93697221177109</v>
      </c>
      <c r="AN13" s="6">
        <f>Table2[[#This Row],[EV]]-Table2[[#This Row],[Spread]]</f>
        <v>-16.48137179119766</v>
      </c>
      <c r="AO13" s="1">
        <f>Table2[[#This Row],[EV Err]]^2</f>
        <v>271.63561611968595</v>
      </c>
      <c r="AP13" s="1"/>
    </row>
    <row r="14" spans="1:42" ht="15.75" thickBot="1" x14ac:dyDescent="0.3">
      <c r="A14" s="99">
        <v>42669</v>
      </c>
      <c r="B14" s="3" t="s">
        <v>135</v>
      </c>
      <c r="C14" s="3" t="s">
        <v>117</v>
      </c>
      <c r="D14" s="3">
        <f>IF((Table2[[#This Row],[Spread]]-Table2[[#This Row],[Spread/V]])=0,1,IF(Table2[[#This Row],[Spread]]&lt;Table2[[#This Row],[Spread/V]],1,0))</f>
        <v>1</v>
      </c>
      <c r="E14" s="37">
        <v>109</v>
      </c>
      <c r="F14" s="3">
        <f>IF((Table2[[#This Row],[Spread]]-Table2[[#This Row],[Spread/V]])=0,1,IF(Table2[[#This Row],[Spread]]&gt;Table2[[#This Row],[Spread/V]],1,0))</f>
        <v>0</v>
      </c>
      <c r="G14" s="37">
        <v>91</v>
      </c>
      <c r="H14" s="38">
        <f t="shared" si="0"/>
        <v>200</v>
      </c>
      <c r="I14" s="37">
        <f>IF(Table2[[#This Row],[Total/V]]&lt;=Table2[[#This Row],[Total]],1,0)</f>
        <v>1</v>
      </c>
      <c r="J14" s="37">
        <v>196.5</v>
      </c>
      <c r="K14" s="37"/>
      <c r="L14" s="39">
        <f>(Table2[[#This Row],[H/Pace]]/100)*(VLOOKUP(Table2[[#This Row],[Home/Neutral]],home_lookup,8,FALSE)+VLOOKUP(Table2[[#This Row],[Home/Neutral]],OFR_lookup,2,FALSE)+VLOOKUP(Table2[[#This Row],[Visitor/Neutral]],def_diff_lookup,6,FALSE))</f>
        <v>105.93840035324614</v>
      </c>
      <c r="M14" s="39"/>
      <c r="N14" s="39">
        <f>(Table2[[#This Row],[A/Pace]]/100)*(VLOOKUP(Table2[[#This Row],[Visitor/Neutral]],OFR_lookup,2,FALSE)+VLOOKUP(Table2[[#This Row],[Home/Neutral]],def_diff_lookup,6,FALSE))</f>
        <v>98.912126666666651</v>
      </c>
      <c r="O14" s="39"/>
      <c r="P14" s="39"/>
      <c r="Q14" s="37">
        <f>VLOOKUP(Table2[[#This Row],[Home/Neutral]],pace_lookup,7,FALSE)</f>
        <v>95.4</v>
      </c>
      <c r="R14" s="37">
        <f>VLOOKUP(Table2[[#This Row],[Visitor/Neutral]],pace_lookup,7,FALSE)</f>
        <v>94</v>
      </c>
      <c r="S14" s="38">
        <f t="shared" si="1"/>
        <v>-18</v>
      </c>
      <c r="T14" s="37">
        <v>-6.5</v>
      </c>
      <c r="U14" s="42"/>
      <c r="V14" s="37"/>
      <c r="W14" s="40">
        <f>-home-VLOOKUP(Table2[[#This Row],[Home/Neutral]],rtg_vlookup,4,FALSE)+VLOOKUP(Table2[[#This Row],[Visitor/Neutral]],rtg_vlookup,4,FALSE)</f>
        <v>-7.148688524590165</v>
      </c>
      <c r="X14" s="42"/>
      <c r="Y14" s="40"/>
      <c r="Z14" s="40">
        <f>Table2[[#This Row],[A/EV]]-Table2[[#This Row],[H/EV]]</f>
        <v>-7.0262736865794864</v>
      </c>
      <c r="AA14" s="41"/>
      <c r="AB14" s="46"/>
      <c r="AC14" s="46"/>
      <c r="AD14" s="46"/>
      <c r="AE14" s="46"/>
      <c r="AF14" s="38" t="b">
        <f>IF(VLOOKUP(Table2[[#This Row],[Home/Neutral]],division_lookup,9,FALSE)=VLOOKUP(Table2[[#This Row],[Visitor/Neutral]],division_lookup,9,FALSE),TRUE,FALSE)</f>
        <v>0</v>
      </c>
      <c r="AG14" s="42" t="str">
        <f>VLOOKUP(Table2[[#This Row],[Home/Neutral]],division_lookup,9,FALSE)</f>
        <v>A</v>
      </c>
      <c r="AH14" s="42" t="str">
        <f>IF(Table2[[#This Row],[Total/EV]]&lt;Table2[[#This Row],[Total/V]],"UNDER","OVER")</f>
        <v>UNDER</v>
      </c>
      <c r="AI14" s="43"/>
      <c r="AJ14" s="40"/>
      <c r="AK14" s="40"/>
      <c r="AL14" s="44">
        <f>Table2[[#This Row],[SRS]]-Table2[[#This Row],[Spread]]</f>
        <v>10.851311475409835</v>
      </c>
      <c r="AM14" s="39">
        <f>Table2[[#This Row],[(A) Err]]^2</f>
        <v>117.75096073636117</v>
      </c>
      <c r="AN14" s="45">
        <f>Table2[[#This Row],[EV]]-Table2[[#This Row],[Spread]]</f>
        <v>10.973726313420514</v>
      </c>
      <c r="AO14" s="45">
        <f>Table2[[#This Row],[EV Err]]^2</f>
        <v>120.42266920185777</v>
      </c>
      <c r="AP14" s="63"/>
    </row>
    <row r="15" spans="1:42" s="5" customFormat="1" x14ac:dyDescent="0.25">
      <c r="A15" s="101">
        <v>42670</v>
      </c>
      <c r="B15" s="5" t="s">
        <v>109</v>
      </c>
      <c r="C15" s="5" t="s">
        <v>137</v>
      </c>
      <c r="D15" s="5">
        <f>IF((Table2[[#This Row],[Spread]]-Table2[[#This Row],[Spread/V]])=0,1,IF(Table2[[#This Row],[Spread]]&lt;Table2[[#This Row],[Spread/V]],1,0))</f>
        <v>1</v>
      </c>
      <c r="E15" s="5">
        <v>114</v>
      </c>
      <c r="F15" s="5">
        <f>IF((Table2[[#This Row],[Spread]]-Table2[[#This Row],[Spread/V]])=0,1,IF(Table2[[#This Row],[Spread]]&gt;Table2[[#This Row],[Spread/V]],1,0))</f>
        <v>0</v>
      </c>
      <c r="G15" s="104">
        <v>99</v>
      </c>
      <c r="H15" s="91">
        <f t="shared" si="0"/>
        <v>213</v>
      </c>
      <c r="I15" s="5">
        <f>IF(Table2[[#This Row],[Total/V]]&lt;=Table2[[#This Row],[Total]],1,0)</f>
        <v>1</v>
      </c>
      <c r="J15" s="5">
        <v>201.5</v>
      </c>
      <c r="L15" s="95">
        <f>(Table2[[#This Row],[H/Pace]]/100)*(VLOOKUP(Table2[[#This Row],[Home/Neutral]],home_lookup,8,FALSE)+VLOOKUP(Table2[[#This Row],[Home/Neutral]],OFR_lookup,2,FALSE)+VLOOKUP(Table2[[#This Row],[Visitor/Neutral]],def_diff_lookup,6,FALSE))</f>
        <v>103.88736660728637</v>
      </c>
      <c r="M15" s="23"/>
      <c r="N15" s="95">
        <f>(Table2[[#This Row],[A/Pace]]/100)*(VLOOKUP(Table2[[#This Row],[Visitor/Neutral]],OFR_lookup,2,FALSE)+VLOOKUP(Table2[[#This Row],[Home/Neutral]],def_diff_lookup,6,FALSE))</f>
        <v>96.293440000000004</v>
      </c>
      <c r="O15" s="23"/>
      <c r="P15" s="23"/>
      <c r="Q15" s="93">
        <f>VLOOKUP(Table2[[#This Row],[Home/Neutral]],pace_lookup,7,FALSE)</f>
        <v>99.2</v>
      </c>
      <c r="R15" s="105">
        <f>VLOOKUP(Table2[[#This Row],[Visitor/Neutral]],pace_lookup,7,FALSE)</f>
        <v>96</v>
      </c>
      <c r="S15" s="117">
        <f t="shared" si="1"/>
        <v>-15</v>
      </c>
      <c r="T15" s="5">
        <v>-3.5</v>
      </c>
      <c r="U15" s="26"/>
      <c r="W15" s="94">
        <f>-home-VLOOKUP(Table2[[#This Row],[Home/Neutral]],rtg_vlookup,4,FALSE)+VLOOKUP(Table2[[#This Row],[Visitor/Neutral]],rtg_vlookup,4,FALSE)</f>
        <v>-8.0486885245901654</v>
      </c>
      <c r="X15" s="26"/>
      <c r="Y15" s="10"/>
      <c r="Z15" s="106">
        <f>Table2[[#This Row],[A/EV]]-Table2[[#This Row],[H/EV]]</f>
        <v>-7.5939266072863632</v>
      </c>
      <c r="AA15" s="47"/>
      <c r="AB15" s="33"/>
      <c r="AC15" s="33"/>
      <c r="AD15" s="33"/>
      <c r="AE15" s="107"/>
      <c r="AF15" s="93" t="b">
        <f>IF(VLOOKUP(Table2[[#This Row],[Home/Neutral]],division_lookup,9,FALSE)=VLOOKUP(Table2[[#This Row],[Visitor/Neutral]],division_lookup,9,FALSE),TRUE,FALSE)</f>
        <v>1</v>
      </c>
      <c r="AG15" s="92" t="str">
        <f>VLOOKUP(Table2[[#This Row],[Home/Neutral]],division_lookup,9,FALSE)</f>
        <v>SE</v>
      </c>
      <c r="AH15" s="92" t="str">
        <f>IF(Table2[[#This Row],[Total/EV]]&lt;Table2[[#This Row],[Total/V]],"UNDER","OVER")</f>
        <v>UNDER</v>
      </c>
      <c r="AI15" s="26"/>
      <c r="AJ15" s="10"/>
      <c r="AK15" s="10"/>
      <c r="AL15" s="63">
        <f>Table2[[#This Row],[SRS]]-Table2[[#This Row],[Spread]]</f>
        <v>6.9513114754098346</v>
      </c>
      <c r="AM15" s="95">
        <f>Table2[[#This Row],[(A) Err]]^2</f>
        <v>48.320731228164455</v>
      </c>
      <c r="AN15" s="63">
        <f>Table2[[#This Row],[EV]]-Table2[[#This Row],[Spread]]</f>
        <v>7.4060733927136368</v>
      </c>
      <c r="AO15" s="6">
        <v>45.803947173774958</v>
      </c>
      <c r="AP15" s="6"/>
    </row>
    <row r="16" spans="1:42" x14ac:dyDescent="0.25">
      <c r="A16" s="34">
        <v>42670</v>
      </c>
      <c r="B16" t="s">
        <v>113</v>
      </c>
      <c r="C16" t="s">
        <v>110</v>
      </c>
      <c r="D16">
        <f>IF((Table2[[#This Row],[Spread]]-Table2[[#This Row],[Spread/V]])=0,1,IF(Table2[[#This Row],[Spread]]&lt;Table2[[#This Row],[Spread/V]],1,0))</f>
        <v>1</v>
      </c>
      <c r="E16">
        <v>105</v>
      </c>
      <c r="F16">
        <f>IF((Table2[[#This Row],[Spread]]-Table2[[#This Row],[Spread/V]])=0,1,IF(Table2[[#This Row],[Spread]]&gt;Table2[[#This Row],[Spread/V]],1,0))</f>
        <v>0</v>
      </c>
      <c r="G16">
        <v>99</v>
      </c>
      <c r="H16" s="7">
        <f t="shared" si="0"/>
        <v>204</v>
      </c>
      <c r="I16">
        <f>IF(Table2[[#This Row],[Total/V]]&lt;=Table2[[#This Row],[Total]],1,0)</f>
        <v>0</v>
      </c>
      <c r="J16">
        <v>208.5</v>
      </c>
      <c r="K16"/>
      <c r="L16" s="21">
        <f>(Table2[[#This Row],[H/Pace]]/100)*(VLOOKUP(Table2[[#This Row],[Home/Neutral]],home_lookup,8,FALSE)+VLOOKUP(Table2[[#This Row],[Home/Neutral]],OFR_lookup,2,FALSE)+VLOOKUP(Table2[[#This Row],[Visitor/Neutral]],def_diff_lookup,6,FALSE))</f>
        <v>109.8226938801628</v>
      </c>
      <c r="M16" s="21"/>
      <c r="N16" s="21">
        <f>(Table2[[#This Row],[A/Pace]]/100)*(VLOOKUP(Table2[[#This Row],[Visitor/Neutral]],OFR_lookup,2,FALSE)+VLOOKUP(Table2[[#This Row],[Home/Neutral]],def_diff_lookup,6,FALSE))</f>
        <v>103.31463133333335</v>
      </c>
      <c r="O16" s="21"/>
      <c r="P16" s="21"/>
      <c r="Q16">
        <f>VLOOKUP(Table2[[#This Row],[Home/Neutral]],pace_lookup,7,FALSE)</f>
        <v>95.1</v>
      </c>
      <c r="R16" s="5">
        <f>VLOOKUP(Table2[[#This Row],[Visitor/Neutral]],pace_lookup,7,FALSE)</f>
        <v>96.2</v>
      </c>
      <c r="S16" s="7">
        <f t="shared" si="1"/>
        <v>-6</v>
      </c>
      <c r="T16">
        <v>-1</v>
      </c>
      <c r="U16" s="15"/>
      <c r="W16" s="2">
        <f>-home-VLOOKUP(Table2[[#This Row],[Home/Neutral]],rtg_vlookup,4,FALSE)+VLOOKUP(Table2[[#This Row],[Visitor/Neutral]],rtg_vlookup,4,FALSE)</f>
        <v>-6.9486885245901657</v>
      </c>
      <c r="X16" s="15"/>
      <c r="Y16" s="2"/>
      <c r="Z16" s="2">
        <f>Table2[[#This Row],[A/EV]]-Table2[[#This Row],[H/EV]]</f>
        <v>-6.50806254682945</v>
      </c>
      <c r="AA16" s="29"/>
      <c r="AB16" s="30"/>
      <c r="AC16" s="30"/>
      <c r="AD16" s="30"/>
      <c r="AE16" s="30"/>
      <c r="AF16" s="7" t="b">
        <f>IF(VLOOKUP(Table2[[#This Row],[Home/Neutral]],division_lookup,9,FALSE)=VLOOKUP(Table2[[#This Row],[Visitor/Neutral]],division_lookup,9,FALSE),TRUE,FALSE)</f>
        <v>0</v>
      </c>
      <c r="AG16" s="15" t="str">
        <f>VLOOKUP(Table2[[#This Row],[Home/Neutral]],division_lookup,9,FALSE)</f>
        <v>C</v>
      </c>
      <c r="AH16" s="15" t="str">
        <f>IF(Table2[[#This Row],[Total/EV]]&lt;Table2[[#This Row],[Total/V]],"UNDER","OVER")</f>
        <v>UNDER</v>
      </c>
      <c r="AI16" s="15"/>
      <c r="AJ16" s="2"/>
      <c r="AK16" s="2"/>
      <c r="AL16" s="18">
        <f>Table2[[#This Row],[SRS]]-Table2[[#This Row],[Spread]]</f>
        <v>-0.94868852459016573</v>
      </c>
      <c r="AM16" s="21">
        <f>Table2[[#This Row],[(A) Err]]^2</f>
        <v>0.90000991668906549</v>
      </c>
      <c r="AN16" s="6">
        <f>Table2[[#This Row],[EV]]-Table2[[#This Row],[Spread]]</f>
        <v>-0.50806254682944996</v>
      </c>
      <c r="AO16" s="1">
        <f>Table2[[#This Row],[EV Err]]^2</f>
        <v>0.25812755149082706</v>
      </c>
      <c r="AP16" s="1"/>
    </row>
    <row r="17" spans="1:42" x14ac:dyDescent="0.25">
      <c r="A17" s="34">
        <v>42670</v>
      </c>
      <c r="B17" t="s">
        <v>132</v>
      </c>
      <c r="C17" t="s">
        <v>121</v>
      </c>
      <c r="D17">
        <f>IF((Table2[[#This Row],[Spread]]-Table2[[#This Row],[Spread/V]])=0,1,IF(Table2[[#This Row],[Spread]]&lt;Table2[[#This Row],[Spread/V]],1,0))</f>
        <v>0</v>
      </c>
      <c r="E17">
        <v>106</v>
      </c>
      <c r="F17">
        <f>IF((Table2[[#This Row],[Spread]]-Table2[[#This Row],[Spread/V]])=0,1,IF(Table2[[#This Row],[Spread]]&gt;Table2[[#This Row],[Spread/V]],1,0))</f>
        <v>1</v>
      </c>
      <c r="G17">
        <v>114</v>
      </c>
      <c r="H17" s="7">
        <f t="shared" si="0"/>
        <v>220</v>
      </c>
      <c r="I17">
        <f>IF(Table2[[#This Row],[Total/V]]&lt;=Table2[[#This Row],[Total]],1,0)</f>
        <v>1</v>
      </c>
      <c r="J17">
        <v>210</v>
      </c>
      <c r="K17"/>
      <c r="L17" s="21">
        <f>(Table2[[#This Row],[H/Pace]]/100)*(VLOOKUP(Table2[[#This Row],[Home/Neutral]],home_lookup,8,FALSE)+VLOOKUP(Table2[[#This Row],[Home/Neutral]],OFR_lookup,2,FALSE)+VLOOKUP(Table2[[#This Row],[Visitor/Neutral]],def_diff_lookup,6,FALSE))</f>
        <v>104.74598144606979</v>
      </c>
      <c r="M17" s="21"/>
      <c r="N17" s="21">
        <f>(Table2[[#This Row],[A/Pace]]/100)*(VLOOKUP(Table2[[#This Row],[Visitor/Neutral]],OFR_lookup,2,FALSE)+VLOOKUP(Table2[[#This Row],[Home/Neutral]],def_diff_lookup,6,FALSE))</f>
        <v>116.28314266666668</v>
      </c>
      <c r="O17" s="21"/>
      <c r="P17" s="21"/>
      <c r="Q17">
        <f>VLOOKUP(Table2[[#This Row],[Home/Neutral]],pace_lookup,7,FALSE)</f>
        <v>98.8</v>
      </c>
      <c r="R17" s="5">
        <f>VLOOKUP(Table2[[#This Row],[Visitor/Neutral]],pace_lookup,7,FALSE)</f>
        <v>96.4</v>
      </c>
      <c r="S17" s="7">
        <f t="shared" si="1"/>
        <v>8</v>
      </c>
      <c r="T17">
        <v>-2.5</v>
      </c>
      <c r="U17" s="15"/>
      <c r="W17" s="2">
        <f>-home-VLOOKUP(Table2[[#This Row],[Home/Neutral]],rtg_vlookup,4,FALSE)+VLOOKUP(Table2[[#This Row],[Visitor/Neutral]],rtg_vlookup,4,FALSE)</f>
        <v>12.391311475409834</v>
      </c>
      <c r="X17" s="15"/>
      <c r="Y17" s="2"/>
      <c r="Z17" s="2">
        <f>Table2[[#This Row],[A/EV]]-Table2[[#This Row],[H/EV]]</f>
        <v>11.537161220596886</v>
      </c>
      <c r="AA17" s="29"/>
      <c r="AB17" s="30"/>
      <c r="AC17" s="30"/>
      <c r="AD17" s="30"/>
      <c r="AE17" s="30"/>
      <c r="AF17" s="7" t="b">
        <f>IF(VLOOKUP(Table2[[#This Row],[Home/Neutral]],division_lookup,9,FALSE)=VLOOKUP(Table2[[#This Row],[Visitor/Neutral]],division_lookup,9,FALSE),TRUE,FALSE)</f>
        <v>0</v>
      </c>
      <c r="AG17" s="15" t="str">
        <f>VLOOKUP(Table2[[#This Row],[Home/Neutral]],division_lookup,9,FALSE)</f>
        <v>NW</v>
      </c>
      <c r="AH17" s="15" t="str">
        <f>IF(Table2[[#This Row],[Total/EV]]&lt;Table2[[#This Row],[Total/V]],"UNDER","OVER")</f>
        <v>UNDER</v>
      </c>
      <c r="AI17" s="15"/>
      <c r="AJ17" s="2"/>
      <c r="AK17" s="2"/>
      <c r="AL17" s="18">
        <f>Table2[[#This Row],[SRS]]-Table2[[#This Row],[Spread]]</f>
        <v>4.3913114754098341</v>
      </c>
      <c r="AM17" s="21">
        <f>Table2[[#This Row],[(A) Err]]^2</f>
        <v>19.283616474066093</v>
      </c>
      <c r="AN17" s="6">
        <f>Table2[[#This Row],[EV]]-Table2[[#This Row],[Spread]]</f>
        <v>3.5371612205968859</v>
      </c>
      <c r="AO17" s="1">
        <f>Table2[[#This Row],[EV Err]]^2</f>
        <v>12.511509500494451</v>
      </c>
      <c r="AP17" s="1"/>
    </row>
    <row r="18" spans="1:42" ht="15.75" thickBot="1" x14ac:dyDescent="0.3">
      <c r="A18" s="99">
        <v>42670</v>
      </c>
      <c r="B18" s="3" t="s">
        <v>133</v>
      </c>
      <c r="C18" s="3" t="s">
        <v>134</v>
      </c>
      <c r="D18" s="3">
        <f>IF((Table2[[#This Row],[Spread]]-Table2[[#This Row],[Spread/V]])=0,1,IF(Table2[[#This Row],[Spread]]&lt;Table2[[#This Row],[Spread/V]],1,0))</f>
        <v>0</v>
      </c>
      <c r="E18" s="37">
        <v>94</v>
      </c>
      <c r="F18" s="3">
        <f>IF((Table2[[#This Row],[Spread]]-Table2[[#This Row],[Spread/V]])=0,1,IF(Table2[[#This Row],[Spread]]&gt;Table2[[#This Row],[Spread/V]],1,0))</f>
        <v>1</v>
      </c>
      <c r="G18" s="37">
        <v>102</v>
      </c>
      <c r="H18" s="38">
        <f t="shared" si="0"/>
        <v>196</v>
      </c>
      <c r="I18" s="37">
        <f>IF(Table2[[#This Row],[Total/V]]&lt;=Table2[[#This Row],[Total]],1,0)</f>
        <v>0</v>
      </c>
      <c r="J18" s="37">
        <v>203</v>
      </c>
      <c r="K18" s="37"/>
      <c r="L18" s="39">
        <f>(Table2[[#This Row],[H/Pace]]/100)*(VLOOKUP(Table2[[#This Row],[Home/Neutral]],home_lookup,8,FALSE)+VLOOKUP(Table2[[#This Row],[Home/Neutral]],OFR_lookup,2,FALSE)+VLOOKUP(Table2[[#This Row],[Visitor/Neutral]],def_diff_lookup,6,FALSE))</f>
        <v>106.7608674827998</v>
      </c>
      <c r="M18" s="39"/>
      <c r="N18" s="39">
        <f>(Table2[[#This Row],[A/Pace]]/100)*(VLOOKUP(Table2[[#This Row],[Visitor/Neutral]],OFR_lookup,2,FALSE)+VLOOKUP(Table2[[#This Row],[Home/Neutral]],def_diff_lookup,6,FALSE))</f>
        <v>108.27457266666667</v>
      </c>
      <c r="O18" s="39"/>
      <c r="P18" s="39"/>
      <c r="Q18" s="37">
        <f>VLOOKUP(Table2[[#This Row],[Home/Neutral]],pace_lookup,7,FALSE)</f>
        <v>94.2</v>
      </c>
      <c r="R18" s="37">
        <f>VLOOKUP(Table2[[#This Row],[Visitor/Neutral]],pace_lookup,7,FALSE)</f>
        <v>93.4</v>
      </c>
      <c r="S18" s="38">
        <f t="shared" si="1"/>
        <v>8</v>
      </c>
      <c r="T18" s="37">
        <v>-7.5</v>
      </c>
      <c r="U18" s="42"/>
      <c r="V18" s="37"/>
      <c r="W18" s="40">
        <f>-home-VLOOKUP(Table2[[#This Row],[Home/Neutral]],rtg_vlookup,4,FALSE)+VLOOKUP(Table2[[#This Row],[Visitor/Neutral]],rtg_vlookup,4,FALSE)</f>
        <v>6.5313114754098338</v>
      </c>
      <c r="X18" s="42"/>
      <c r="Y18" s="40"/>
      <c r="Z18" s="40">
        <f>Table2[[#This Row],[A/EV]]-Table2[[#This Row],[H/EV]]</f>
        <v>1.5137051838668754</v>
      </c>
      <c r="AA18" s="41"/>
      <c r="AB18" s="46"/>
      <c r="AC18" s="46"/>
      <c r="AD18" s="46"/>
      <c r="AE18" s="46"/>
      <c r="AF18" s="38" t="b">
        <f>IF(VLOOKUP(Table2[[#This Row],[Home/Neutral]],division_lookup,9,FALSE)=VLOOKUP(Table2[[#This Row],[Visitor/Neutral]],division_lookup,9,FALSE),TRUE,FALSE)</f>
        <v>0</v>
      </c>
      <c r="AG18" s="42" t="str">
        <f>VLOOKUP(Table2[[#This Row],[Home/Neutral]],division_lookup,9,FALSE)</f>
        <v>P</v>
      </c>
      <c r="AH18" s="42" t="str">
        <f>IF(Table2[[#This Row],[Total/EV]]&lt;Table2[[#This Row],[Total/V]],"UNDER","OVER")</f>
        <v>UNDER</v>
      </c>
      <c r="AI18" s="43"/>
      <c r="AJ18" s="40"/>
      <c r="AK18" s="40"/>
      <c r="AL18" s="44">
        <f>Table2[[#This Row],[SRS]]-Table2[[#This Row],[Spread]]</f>
        <v>-1.4686885245901662</v>
      </c>
      <c r="AM18" s="39">
        <f>Table2[[#This Row],[(A) Err]]^2</f>
        <v>2.1570459822628392</v>
      </c>
      <c r="AN18" s="45">
        <f>Table2[[#This Row],[EV]]-Table2[[#This Row],[Spread]]</f>
        <v>-6.4862948161331246</v>
      </c>
      <c r="AO18" s="45">
        <f>Table2[[#This Row],[EV Err]]^2</f>
        <v>42.072020441795445</v>
      </c>
      <c r="AP18" s="63"/>
    </row>
    <row r="19" spans="1:42" x14ac:dyDescent="0.25">
      <c r="A19" s="34">
        <v>42671</v>
      </c>
      <c r="B19" t="s">
        <v>111</v>
      </c>
      <c r="C19" t="s">
        <v>120</v>
      </c>
      <c r="D19">
        <f>IF((Table2[[#This Row],[Spread]]-Table2[[#This Row],[Spread/V]])=0,1,IF(Table2[[#This Row],[Spread]]&lt;Table2[[#This Row],[Spread/V]],1,0))</f>
        <v>1</v>
      </c>
      <c r="E19">
        <v>103</v>
      </c>
      <c r="F19">
        <f>IF((Table2[[#This Row],[Spread]]-Table2[[#This Row],[Spread/V]])=0,1,IF(Table2[[#This Row],[Spread]]&gt;Table2[[#This Row],[Spread/V]],1,0))</f>
        <v>0</v>
      </c>
      <c r="G19">
        <v>94</v>
      </c>
      <c r="H19" s="7">
        <f t="shared" si="0"/>
        <v>197</v>
      </c>
      <c r="I19">
        <f>IF(Table2[[#This Row],[Total/V]]&lt;=Table2[[#This Row],[Total]],1,0)</f>
        <v>0</v>
      </c>
      <c r="J19">
        <v>218.5</v>
      </c>
      <c r="K19"/>
      <c r="L19" s="21">
        <f>(Table2[[#This Row],[H/Pace]]/100)*(VLOOKUP(Table2[[#This Row],[Home/Neutral]],home_lookup,8,FALSE)+VLOOKUP(Table2[[#This Row],[Home/Neutral]],OFR_lookup,2,FALSE)+VLOOKUP(Table2[[#This Row],[Visitor/Neutral]],def_diff_lookup,6,FALSE))</f>
        <v>101.97641832771635</v>
      </c>
      <c r="M19" s="21"/>
      <c r="N19" s="21">
        <f>(Table2[[#This Row],[A/Pace]]/100)*(VLOOKUP(Table2[[#This Row],[Visitor/Neutral]],OFR_lookup,2,FALSE)+VLOOKUP(Table2[[#This Row],[Home/Neutral]],def_diff_lookup,6,FALSE))</f>
        <v>106.15974033333333</v>
      </c>
      <c r="O19" s="21"/>
      <c r="P19" s="21"/>
      <c r="Q19">
        <f>VLOOKUP(Table2[[#This Row],[Home/Neutral]],pace_lookup,7,FALSE)</f>
        <v>102</v>
      </c>
      <c r="R19" s="5">
        <f>VLOOKUP(Table2[[#This Row],[Visitor/Neutral]],pace_lookup,7,FALSE)</f>
        <v>98.3</v>
      </c>
      <c r="S19" s="7">
        <f t="shared" si="1"/>
        <v>-9</v>
      </c>
      <c r="T19">
        <v>-6</v>
      </c>
      <c r="U19" s="15"/>
      <c r="W19" s="2">
        <f>-home-VLOOKUP(Table2[[#This Row],[Home/Neutral]],rtg_vlookup,4,FALSE)+VLOOKUP(Table2[[#This Row],[Visitor/Neutral]],rtg_vlookup,4,FALSE)</f>
        <v>1.3013114754098334</v>
      </c>
      <c r="X19" s="15"/>
      <c r="Y19" s="2"/>
      <c r="Z19" s="2">
        <f>Table2[[#This Row],[A/EV]]-Table2[[#This Row],[H/EV]]</f>
        <v>4.1833220056169864</v>
      </c>
      <c r="AA19" s="29"/>
      <c r="AB19" s="30"/>
      <c r="AC19" s="30"/>
      <c r="AD19" s="30"/>
      <c r="AE19" s="30"/>
      <c r="AF19" s="7" t="b">
        <f>IF(VLOOKUP(Table2[[#This Row],[Home/Neutral]],division_lookup,9,FALSE)=VLOOKUP(Table2[[#This Row],[Visitor/Neutral]],division_lookup,9,FALSE),TRUE,FALSE)</f>
        <v>0</v>
      </c>
      <c r="AG19" s="15" t="str">
        <f>VLOOKUP(Table2[[#This Row],[Home/Neutral]],division_lookup,9,FALSE)</f>
        <v>A</v>
      </c>
      <c r="AH19" s="15" t="str">
        <f>IF(Table2[[#This Row],[Total/EV]]&lt;Table2[[#This Row],[Total/V]],"UNDER","OVER")</f>
        <v>UNDER</v>
      </c>
      <c r="AI19" s="15"/>
      <c r="AJ19" s="2"/>
      <c r="AK19" s="2"/>
      <c r="AL19" s="18">
        <f>Table2[[#This Row],[SRS]]-Table2[[#This Row],[Spread]]</f>
        <v>10.301311475409832</v>
      </c>
      <c r="AM19" s="21">
        <f>Table2[[#This Row],[(A) Err]]^2</f>
        <v>106.1170181134103</v>
      </c>
      <c r="AN19" s="6">
        <f>Table2[[#This Row],[EV]]-Table2[[#This Row],[Spread]]</f>
        <v>13.183322005616986</v>
      </c>
      <c r="AO19" s="1">
        <f>Table2[[#This Row],[EV Err]]^2</f>
        <v>173.79997910378509</v>
      </c>
      <c r="AP19" s="1"/>
    </row>
    <row r="20" spans="1:42" x14ac:dyDescent="0.25">
      <c r="A20" s="34">
        <v>42671</v>
      </c>
      <c r="B20" t="s">
        <v>115</v>
      </c>
      <c r="C20" t="s">
        <v>119</v>
      </c>
      <c r="D20">
        <f>IF((Table2[[#This Row],[Spread]]-Table2[[#This Row],[Spread/V]])=0,1,IF(Table2[[#This Row],[Spread]]&lt;Table2[[#This Row],[Spread/V]],1,0))</f>
        <v>0</v>
      </c>
      <c r="E20">
        <v>98</v>
      </c>
      <c r="F20">
        <f>IF((Table2[[#This Row],[Spread]]-Table2[[#This Row],[Spread/V]])=0,1,IF(Table2[[#This Row],[Spread]]&gt;Table2[[#This Row],[Spread/V]],1,0))</f>
        <v>1</v>
      </c>
      <c r="G20">
        <v>106</v>
      </c>
      <c r="H20" s="7">
        <f t="shared" si="0"/>
        <v>204</v>
      </c>
      <c r="I20">
        <f>IF(Table2[[#This Row],[Total/V]]&lt;=Table2[[#This Row],[Total]],1,0)</f>
        <v>0</v>
      </c>
      <c r="J20">
        <v>218.5</v>
      </c>
      <c r="K20"/>
      <c r="L20" s="21">
        <f>(Table2[[#This Row],[H/Pace]]/100)*(VLOOKUP(Table2[[#This Row],[Home/Neutral]],home_lookup,8,FALSE)+VLOOKUP(Table2[[#This Row],[Home/Neutral]],OFR_lookup,2,FALSE)+VLOOKUP(Table2[[#This Row],[Visitor/Neutral]],def_diff_lookup,6,FALSE))</f>
        <v>97.932553115967764</v>
      </c>
      <c r="M20" s="21"/>
      <c r="N20" s="21">
        <f>(Table2[[#This Row],[A/Pace]]/100)*(VLOOKUP(Table2[[#This Row],[Visitor/Neutral]],OFR_lookup,2,FALSE)+VLOOKUP(Table2[[#This Row],[Home/Neutral]],def_diff_lookup,6,FALSE))</f>
        <v>108.872641</v>
      </c>
      <c r="O20" s="21"/>
      <c r="P20" s="21"/>
      <c r="Q20">
        <f>VLOOKUP(Table2[[#This Row],[Home/Neutral]],pace_lookup,7,FALSE)</f>
        <v>92.9</v>
      </c>
      <c r="R20" s="5">
        <f>VLOOKUP(Table2[[#This Row],[Visitor/Neutral]],pace_lookup,7,FALSE)</f>
        <v>96.9</v>
      </c>
      <c r="S20" s="7">
        <f t="shared" si="1"/>
        <v>8</v>
      </c>
      <c r="T20">
        <v>-2</v>
      </c>
      <c r="U20" s="15"/>
      <c r="W20" s="2">
        <f>-home-VLOOKUP(Table2[[#This Row],[Home/Neutral]],rtg_vlookup,4,FALSE)+VLOOKUP(Table2[[#This Row],[Visitor/Neutral]],rtg_vlookup,4,FALSE)</f>
        <v>9.7613114754098333</v>
      </c>
      <c r="X20" s="15"/>
      <c r="Y20" s="2"/>
      <c r="Z20" s="2">
        <f>Table2[[#This Row],[A/EV]]-Table2[[#This Row],[H/EV]]</f>
        <v>10.940087884032238</v>
      </c>
      <c r="AA20" s="29"/>
      <c r="AB20" s="30"/>
      <c r="AC20" s="30"/>
      <c r="AD20" s="30"/>
      <c r="AE20" s="30"/>
      <c r="AF20" s="7" t="b">
        <f>IF(VLOOKUP(Table2[[#This Row],[Home/Neutral]],division_lookup,9,FALSE)=VLOOKUP(Table2[[#This Row],[Visitor/Neutral]],division_lookup,9,FALSE),TRUE,FALSE)</f>
        <v>1</v>
      </c>
      <c r="AG20" s="15" t="str">
        <f>VLOOKUP(Table2[[#This Row],[Home/Neutral]],division_lookup,9,FALSE)</f>
        <v>SW</v>
      </c>
      <c r="AH20" s="15" t="str">
        <f>IF(Table2[[#This Row],[Total/EV]]&lt;Table2[[#This Row],[Total/V]],"UNDER","OVER")</f>
        <v>UNDER</v>
      </c>
      <c r="AI20" s="15"/>
      <c r="AJ20" s="2"/>
      <c r="AK20" s="2"/>
      <c r="AL20" s="18">
        <f>Table2[[#This Row],[SRS]]-Table2[[#This Row],[Spread]]</f>
        <v>1.7613114754098333</v>
      </c>
      <c r="AM20" s="21">
        <f>Table2[[#This Row],[(A) Err]]^2</f>
        <v>3.1022181134103639</v>
      </c>
      <c r="AN20" s="6">
        <f>Table2[[#This Row],[EV]]-Table2[[#This Row],[Spread]]</f>
        <v>2.9400878840322378</v>
      </c>
      <c r="AO20" s="1">
        <f>Table2[[#This Row],[EV Err]]^2</f>
        <v>8.6441167658331608</v>
      </c>
      <c r="AP20" s="1"/>
    </row>
    <row r="21" spans="1:42" x14ac:dyDescent="0.25">
      <c r="A21" s="34">
        <v>42671</v>
      </c>
      <c r="B21" t="s">
        <v>117</v>
      </c>
      <c r="C21" t="s">
        <v>130</v>
      </c>
      <c r="D21">
        <f>IF((Table2[[#This Row],[Spread]]-Table2[[#This Row],[Spread/V]])=0,1,IF(Table2[[#This Row],[Spread]]&lt;Table2[[#This Row],[Spread/V]],1,0))</f>
        <v>1</v>
      </c>
      <c r="E21">
        <v>108</v>
      </c>
      <c r="F21">
        <f>IF((Table2[[#This Row],[Spread]]-Table2[[#This Row],[Spread/V]])=0,1,IF(Table2[[#This Row],[Spread]]&gt;Table2[[#This Row],[Spread/V]],1,0))</f>
        <v>0</v>
      </c>
      <c r="G21">
        <v>82</v>
      </c>
      <c r="H21" s="7">
        <f t="shared" si="0"/>
        <v>190</v>
      </c>
      <c r="I21">
        <f>IF(Table2[[#This Row],[Total/V]]&lt;=Table2[[#This Row],[Total]],1,0)</f>
        <v>0</v>
      </c>
      <c r="J21">
        <v>195</v>
      </c>
      <c r="K21"/>
      <c r="L21" s="21">
        <f>(Table2[[#This Row],[H/Pace]]/100)*(VLOOKUP(Table2[[#This Row],[Home/Neutral]],home_lookup,8,FALSE)+VLOOKUP(Table2[[#This Row],[Home/Neutral]],OFR_lookup,2,FALSE)+VLOOKUP(Table2[[#This Row],[Visitor/Neutral]],def_diff_lookup,6,FALSE))</f>
        <v>112.05799591446429</v>
      </c>
      <c r="M21" s="21"/>
      <c r="N21" s="21">
        <f>(Table2[[#This Row],[A/Pace]]/100)*(VLOOKUP(Table2[[#This Row],[Visitor/Neutral]],OFR_lookup,2,FALSE)+VLOOKUP(Table2[[#This Row],[Home/Neutral]],def_diff_lookup,6,FALSE))</f>
        <v>88.477977999999993</v>
      </c>
      <c r="O21" s="21"/>
      <c r="P21" s="21"/>
      <c r="Q21">
        <f>VLOOKUP(Table2[[#This Row],[Home/Neutral]],pace_lookup,7,FALSE)</f>
        <v>94</v>
      </c>
      <c r="R21" s="5">
        <f>VLOOKUP(Table2[[#This Row],[Visitor/Neutral]],pace_lookup,7,FALSE)</f>
        <v>94.2</v>
      </c>
      <c r="S21" s="7">
        <f t="shared" si="1"/>
        <v>-26</v>
      </c>
      <c r="T21">
        <v>-4</v>
      </c>
      <c r="U21" s="15"/>
      <c r="W21" s="2">
        <f>-home-VLOOKUP(Table2[[#This Row],[Home/Neutral]],rtg_vlookup,4,FALSE)+VLOOKUP(Table2[[#This Row],[Visitor/Neutral]],rtg_vlookup,4,FALSE)</f>
        <v>-12.978688524590167</v>
      </c>
      <c r="X21" s="15"/>
      <c r="Y21" s="2"/>
      <c r="Z21" s="2">
        <f>Table2[[#This Row],[A/EV]]-Table2[[#This Row],[H/EV]]</f>
        <v>-23.580017914464293</v>
      </c>
      <c r="AA21" s="29"/>
      <c r="AB21" s="30"/>
      <c r="AC21" s="30"/>
      <c r="AD21" s="30"/>
      <c r="AE21" s="30"/>
      <c r="AF21" s="7" t="b">
        <f>IF(VLOOKUP(Table2[[#This Row],[Home/Neutral]],division_lookup,9,FALSE)=VLOOKUP(Table2[[#This Row],[Visitor/Neutral]],division_lookup,9,FALSE),TRUE,FALSE)</f>
        <v>0</v>
      </c>
      <c r="AG21" s="15" t="str">
        <f>VLOOKUP(Table2[[#This Row],[Home/Neutral]],division_lookup,9,FALSE)</f>
        <v>C</v>
      </c>
      <c r="AH21" s="15" t="str">
        <f>IF(Table2[[#This Row],[Total/EV]]&lt;Table2[[#This Row],[Total/V]],"UNDER","OVER")</f>
        <v>UNDER</v>
      </c>
      <c r="AI21" s="15"/>
      <c r="AJ21" s="2"/>
      <c r="AK21" s="2"/>
      <c r="AL21" s="18">
        <f>Table2[[#This Row],[SRS]]-Table2[[#This Row],[Spread]]</f>
        <v>13.021311475409833</v>
      </c>
      <c r="AM21" s="21">
        <f>Table2[[#This Row],[(A) Err]]^2</f>
        <v>169.55455253963981</v>
      </c>
      <c r="AN21" s="6">
        <f>Table2[[#This Row],[EV]]-Table2[[#This Row],[Spread]]</f>
        <v>2.4199820855357075</v>
      </c>
      <c r="AO21" s="1">
        <f>Table2[[#This Row],[EV Err]]^2</f>
        <v>5.8563132943137521</v>
      </c>
      <c r="AP21" s="1"/>
    </row>
    <row r="22" spans="1:42" x14ac:dyDescent="0.25">
      <c r="A22" s="34">
        <v>42671</v>
      </c>
      <c r="B22" t="s">
        <v>124</v>
      </c>
      <c r="C22" t="s">
        <v>112</v>
      </c>
      <c r="D22">
        <f>IF((Table2[[#This Row],[Spread]]-Table2[[#This Row],[Spread/V]])=0,1,IF(Table2[[#This Row],[Spread]]&lt;Table2[[#This Row],[Spread/V]],1,0))</f>
        <v>0</v>
      </c>
      <c r="E22">
        <v>91</v>
      </c>
      <c r="F22">
        <f>IF((Table2[[#This Row],[Spread]]-Table2[[#This Row],[Spread/V]])=0,1,IF(Table2[[#This Row],[Spread]]&gt;Table2[[#This Row],[Spread/V]],1,0))</f>
        <v>1</v>
      </c>
      <c r="G22">
        <v>97</v>
      </c>
      <c r="H22" s="7">
        <f t="shared" si="0"/>
        <v>188</v>
      </c>
      <c r="I22">
        <f>IF(Table2[[#This Row],[Total/V]]&lt;=Table2[[#This Row],[Total]],1,0)</f>
        <v>0</v>
      </c>
      <c r="J22">
        <v>197</v>
      </c>
      <c r="K22"/>
      <c r="L22" s="21">
        <f>(Table2[[#This Row],[H/Pace]]/100)*(VLOOKUP(Table2[[#This Row],[Home/Neutral]],home_lookup,8,FALSE)+VLOOKUP(Table2[[#This Row],[Home/Neutral]],OFR_lookup,2,FALSE)+VLOOKUP(Table2[[#This Row],[Visitor/Neutral]],def_diff_lookup,6,FALSE))</f>
        <v>100.32052517723557</v>
      </c>
      <c r="M22" s="21"/>
      <c r="N22" s="21">
        <f>(Table2[[#This Row],[A/Pace]]/100)*(VLOOKUP(Table2[[#This Row],[Visitor/Neutral]],OFR_lookup,2,FALSE)+VLOOKUP(Table2[[#This Row],[Home/Neutral]],def_diff_lookup,6,FALSE))</f>
        <v>102.82095933333333</v>
      </c>
      <c r="O22" s="21"/>
      <c r="P22" s="21"/>
      <c r="Q22">
        <f>VLOOKUP(Table2[[#This Row],[Home/Neutral]],pace_lookup,7,FALSE)</f>
        <v>93.7</v>
      </c>
      <c r="R22" s="5">
        <f>VLOOKUP(Table2[[#This Row],[Visitor/Neutral]],pace_lookup,7,FALSE)</f>
        <v>97.4</v>
      </c>
      <c r="S22" s="7">
        <f t="shared" si="1"/>
        <v>6</v>
      </c>
      <c r="T22">
        <v>-1.5</v>
      </c>
      <c r="U22" s="15"/>
      <c r="W22" s="2">
        <f>-home-VLOOKUP(Table2[[#This Row],[Home/Neutral]],rtg_vlookup,4,FALSE)+VLOOKUP(Table2[[#This Row],[Visitor/Neutral]],rtg_vlookup,4,FALSE)</f>
        <v>0.46131147540983419</v>
      </c>
      <c r="X22" s="15"/>
      <c r="Y22" s="2"/>
      <c r="Z22" s="2">
        <f>Table2[[#This Row],[A/EV]]-Table2[[#This Row],[H/EV]]</f>
        <v>2.5004341560977679</v>
      </c>
      <c r="AA22" s="29"/>
      <c r="AB22" s="30"/>
      <c r="AC22" s="30"/>
      <c r="AD22" s="30"/>
      <c r="AE22" s="30"/>
      <c r="AF22" s="7" t="b">
        <f>IF(VLOOKUP(Table2[[#This Row],[Home/Neutral]],division_lookup,9,FALSE)=VLOOKUP(Table2[[#This Row],[Visitor/Neutral]],division_lookup,9,FALSE),TRUE,FALSE)</f>
        <v>1</v>
      </c>
      <c r="AG22" s="15" t="str">
        <f>VLOOKUP(Table2[[#This Row],[Home/Neutral]],division_lookup,9,FALSE)</f>
        <v>SE</v>
      </c>
      <c r="AH22" s="15" t="str">
        <f>IF(Table2[[#This Row],[Total/EV]]&lt;Table2[[#This Row],[Total/V]],"UNDER","OVER")</f>
        <v>UNDER</v>
      </c>
      <c r="AI22" s="15"/>
      <c r="AJ22" s="2"/>
      <c r="AK22" s="2"/>
      <c r="AL22" s="18">
        <f>Table2[[#This Row],[SRS]]-Table2[[#This Row],[Spread]]</f>
        <v>-5.5386885245901656</v>
      </c>
      <c r="AM22" s="21">
        <f>Table2[[#This Row],[(A) Err]]^2</f>
        <v>30.677070572426786</v>
      </c>
      <c r="AN22" s="6">
        <f>Table2[[#This Row],[EV]]-Table2[[#This Row],[Spread]]</f>
        <v>-3.4995658439022321</v>
      </c>
      <c r="AO22" s="1">
        <f>Table2[[#This Row],[EV Err]]^2</f>
        <v>12.246961095807142</v>
      </c>
      <c r="AP22" s="1"/>
    </row>
    <row r="23" spans="1:42" x14ac:dyDescent="0.25">
      <c r="A23" s="34">
        <v>42671</v>
      </c>
      <c r="B23" t="s">
        <v>127</v>
      </c>
      <c r="C23" t="s">
        <v>118</v>
      </c>
      <c r="D23">
        <f>IF((Table2[[#This Row],[Spread]]-Table2[[#This Row],[Spread/V]])=0,1,IF(Table2[[#This Row],[Spread]]&lt;Table2[[#This Row],[Spread/V]],1,0))</f>
        <v>0</v>
      </c>
      <c r="E23">
        <v>114</v>
      </c>
      <c r="F23">
        <f>IF((Table2[[#This Row],[Spread]]-Table2[[#This Row],[Spread/V]])=0,1,IF(Table2[[#This Row],[Spread]]&gt;Table2[[#This Row],[Spread/V]],1,0))</f>
        <v>1</v>
      </c>
      <c r="G23">
        <v>122</v>
      </c>
      <c r="H23" s="7">
        <f t="shared" si="0"/>
        <v>236</v>
      </c>
      <c r="I23">
        <f>IF(Table2[[#This Row],[Total/V]]&lt;=Table2[[#This Row],[Total]],1,0)</f>
        <v>1</v>
      </c>
      <c r="J23">
        <v>223.5</v>
      </c>
      <c r="K23"/>
      <c r="L23" s="21">
        <f>(Table2[[#This Row],[H/Pace]]/100)*(VLOOKUP(Table2[[#This Row],[Home/Neutral]],home_lookup,8,FALSE)+VLOOKUP(Table2[[#This Row],[Home/Neutral]],OFR_lookup,2,FALSE)+VLOOKUP(Table2[[#This Row],[Visitor/Neutral]],def_diff_lookup,6,FALSE))</f>
        <v>101.54748493743048</v>
      </c>
      <c r="M23" s="21"/>
      <c r="N23" s="21">
        <f>(Table2[[#This Row],[A/Pace]]/100)*(VLOOKUP(Table2[[#This Row],[Visitor/Neutral]],OFR_lookup,2,FALSE)+VLOOKUP(Table2[[#This Row],[Home/Neutral]],def_diff_lookup,6,FALSE))</f>
        <v>116.09820933333332</v>
      </c>
      <c r="O23" s="21"/>
      <c r="P23" s="21"/>
      <c r="Q23">
        <f>VLOOKUP(Table2[[#This Row],[Home/Neutral]],pace_lookup,7,FALSE)</f>
        <v>99.3</v>
      </c>
      <c r="R23" s="5">
        <f>VLOOKUP(Table2[[#This Row],[Visitor/Neutral]],pace_lookup,7,FALSE)</f>
        <v>100.4</v>
      </c>
      <c r="S23" s="7">
        <f t="shared" si="1"/>
        <v>8</v>
      </c>
      <c r="T23">
        <v>-12.5</v>
      </c>
      <c r="U23" s="15"/>
      <c r="W23" s="2">
        <f>-home-VLOOKUP(Table2[[#This Row],[Home/Neutral]],rtg_vlookup,4,FALSE)+VLOOKUP(Table2[[#This Row],[Visitor/Neutral]],rtg_vlookup,4,FALSE)</f>
        <v>11.301311475409834</v>
      </c>
      <c r="X23" s="15"/>
      <c r="Y23" s="2"/>
      <c r="Z23" s="2">
        <f>Table2[[#This Row],[A/EV]]-Table2[[#This Row],[H/EV]]</f>
        <v>14.550724395902833</v>
      </c>
      <c r="AA23" s="29"/>
      <c r="AB23" s="30"/>
      <c r="AC23" s="30"/>
      <c r="AD23" s="30"/>
      <c r="AE23" s="30"/>
      <c r="AF23" s="7" t="b">
        <f>IF(VLOOKUP(Table2[[#This Row],[Home/Neutral]],division_lookup,9,FALSE)=VLOOKUP(Table2[[#This Row],[Visitor/Neutral]],division_lookup,9,FALSE),TRUE,FALSE)</f>
        <v>0</v>
      </c>
      <c r="AG23" s="15" t="str">
        <f>VLOOKUP(Table2[[#This Row],[Home/Neutral]],division_lookup,9,FALSE)</f>
        <v>SW</v>
      </c>
      <c r="AH23" s="15" t="str">
        <f>IF(Table2[[#This Row],[Total/EV]]&lt;Table2[[#This Row],[Total/V]],"UNDER","OVER")</f>
        <v>UNDER</v>
      </c>
      <c r="AI23" s="15"/>
      <c r="AJ23" s="2"/>
      <c r="AK23" s="2"/>
      <c r="AL23" s="18">
        <f>Table2[[#This Row],[SRS]]-Table2[[#This Row],[Spread]]</f>
        <v>3.3013114754098343</v>
      </c>
      <c r="AM23" s="21">
        <f>Table2[[#This Row],[(A) Err]]^2</f>
        <v>10.898657457672657</v>
      </c>
      <c r="AN23" s="6">
        <f>Table2[[#This Row],[EV]]-Table2[[#This Row],[Spread]]</f>
        <v>6.550724395902833</v>
      </c>
      <c r="AO23" s="1">
        <f>Table2[[#This Row],[EV Err]]^2</f>
        <v>42.911990111076534</v>
      </c>
      <c r="AP23" s="1"/>
    </row>
    <row r="24" spans="1:42" x14ac:dyDescent="0.25">
      <c r="A24" s="34">
        <v>42671</v>
      </c>
      <c r="B24" t="s">
        <v>129</v>
      </c>
      <c r="C24" t="s">
        <v>131</v>
      </c>
      <c r="D24">
        <f>IF((Table2[[#This Row],[Spread]]-Table2[[#This Row],[Spread/V]])=0,1,IF(Table2[[#This Row],[Spread]]&lt;Table2[[#This Row],[Spread/V]],1,0))</f>
        <v>0</v>
      </c>
      <c r="E24">
        <v>113</v>
      </c>
      <c r="F24">
        <f>IF((Table2[[#This Row],[Spread]]-Table2[[#This Row],[Spread/V]])=0,1,IF(Table2[[#This Row],[Spread]]&gt;Table2[[#This Row],[Spread/V]],1,0))</f>
        <v>1</v>
      </c>
      <c r="G24">
        <v>110</v>
      </c>
      <c r="H24" s="7">
        <f t="shared" si="0"/>
        <v>223</v>
      </c>
      <c r="I24">
        <f>IF(Table2[[#This Row],[Total/V]]&lt;=Table2[[#This Row],[Total]],1,0)</f>
        <v>1</v>
      </c>
      <c r="J24">
        <v>209</v>
      </c>
      <c r="K24"/>
      <c r="L24" s="21">
        <f>(Table2[[#This Row],[H/Pace]]/100)*(VLOOKUP(Table2[[#This Row],[Home/Neutral]],home_lookup,8,FALSE)+VLOOKUP(Table2[[#This Row],[Home/Neutral]],OFR_lookup,2,FALSE)+VLOOKUP(Table2[[#This Row],[Visitor/Neutral]],def_diff_lookup,6,FALSE))</f>
        <v>108.53000376890108</v>
      </c>
      <c r="M24" s="21"/>
      <c r="N24" s="21">
        <f>(Table2[[#This Row],[A/Pace]]/100)*(VLOOKUP(Table2[[#This Row],[Visitor/Neutral]],OFR_lookup,2,FALSE)+VLOOKUP(Table2[[#This Row],[Home/Neutral]],def_diff_lookup,6,FALSE))</f>
        <v>101.176923</v>
      </c>
      <c r="O24" s="21"/>
      <c r="P24" s="21"/>
      <c r="Q24">
        <f>VLOOKUP(Table2[[#This Row],[Home/Neutral]],pace_lookup,7,FALSE)</f>
        <v>99</v>
      </c>
      <c r="R24" s="5">
        <f>VLOOKUP(Table2[[#This Row],[Visitor/Neutral]],pace_lookup,7,FALSE)</f>
        <v>101.7</v>
      </c>
      <c r="S24" s="7">
        <f t="shared" si="1"/>
        <v>-3</v>
      </c>
      <c r="T24">
        <v>-7.5</v>
      </c>
      <c r="U24" s="15"/>
      <c r="W24" s="2">
        <f>-home-VLOOKUP(Table2[[#This Row],[Home/Neutral]],rtg_vlookup,4,FALSE)+VLOOKUP(Table2[[#This Row],[Visitor/Neutral]],rtg_vlookup,4,FALSE)</f>
        <v>-10.668688524590166</v>
      </c>
      <c r="X24" s="15"/>
      <c r="Y24" s="2"/>
      <c r="Z24" s="2">
        <f>Table2[[#This Row],[A/EV]]-Table2[[#This Row],[H/EV]]</f>
        <v>-7.35308076890108</v>
      </c>
      <c r="AA24" s="29"/>
      <c r="AB24" s="30"/>
      <c r="AC24" s="30"/>
      <c r="AD24" s="30"/>
      <c r="AE24" s="30"/>
      <c r="AF24" s="7" t="b">
        <f>IF(VLOOKUP(Table2[[#This Row],[Home/Neutral]],division_lookup,9,FALSE)=VLOOKUP(Table2[[#This Row],[Visitor/Neutral]],division_lookup,9,FALSE),TRUE,FALSE)</f>
        <v>0</v>
      </c>
      <c r="AG24" s="15" t="str">
        <f>VLOOKUP(Table2[[#This Row],[Home/Neutral]],division_lookup,9,FALSE)</f>
        <v>NW</v>
      </c>
      <c r="AH24" s="15" t="str">
        <f>IF(Table2[[#This Row],[Total/EV]]&lt;Table2[[#This Row],[Total/V]],"UNDER","OVER")</f>
        <v>UNDER</v>
      </c>
      <c r="AI24" s="15"/>
      <c r="AJ24" s="2"/>
      <c r="AK24" s="2"/>
      <c r="AL24" s="18">
        <f>Table2[[#This Row],[SRS]]-Table2[[#This Row],[Spread]]</f>
        <v>-7.6686885245901664</v>
      </c>
      <c r="AM24" s="21">
        <f>Table2[[#This Row],[(A) Err]]^2</f>
        <v>58.808783687180906</v>
      </c>
      <c r="AN24" s="6">
        <f>Table2[[#This Row],[EV]]-Table2[[#This Row],[Spread]]</f>
        <v>-4.35308076890108</v>
      </c>
      <c r="AO24" s="1">
        <f>Table2[[#This Row],[EV Err]]^2</f>
        <v>18.949312180576417</v>
      </c>
      <c r="AP24" s="1"/>
    </row>
    <row r="25" spans="1:42" x14ac:dyDescent="0.25">
      <c r="A25" s="34">
        <v>42671</v>
      </c>
      <c r="B25" t="s">
        <v>135</v>
      </c>
      <c r="C25" t="s">
        <v>114</v>
      </c>
      <c r="D25">
        <f>IF((Table2[[#This Row],[Spread]]-Table2[[#This Row],[Spread/V]])=0,1,IF(Table2[[#This Row],[Spread]]&lt;Table2[[#This Row],[Spread/V]],1,0))</f>
        <v>0</v>
      </c>
      <c r="E25">
        <v>91</v>
      </c>
      <c r="F25">
        <f>IF((Table2[[#This Row],[Spread]]-Table2[[#This Row],[Spread/V]])=0,1,IF(Table2[[#This Row],[Spread]]&gt;Table2[[#This Row],[Spread/V]],1,0))</f>
        <v>1</v>
      </c>
      <c r="G25">
        <v>94</v>
      </c>
      <c r="H25" s="7">
        <f t="shared" si="0"/>
        <v>185</v>
      </c>
      <c r="I25">
        <f>IF(Table2[[#This Row],[Total/V]]&lt;=Table2[[#This Row],[Total]],1,0)</f>
        <v>0</v>
      </c>
      <c r="J25">
        <v>205.5</v>
      </c>
      <c r="K25"/>
      <c r="L25" s="21">
        <f>(Table2[[#This Row],[H/Pace]]/100)*(VLOOKUP(Table2[[#This Row],[Home/Neutral]],home_lookup,8,FALSE)+VLOOKUP(Table2[[#This Row],[Home/Neutral]],OFR_lookup,2,FALSE)+VLOOKUP(Table2[[#This Row],[Visitor/Neutral]],def_diff_lookup,6,FALSE))</f>
        <v>109.15338035324615</v>
      </c>
      <c r="M25" s="21"/>
      <c r="N25" s="21">
        <f>(Table2[[#This Row],[A/Pace]]/100)*(VLOOKUP(Table2[[#This Row],[Visitor/Neutral]],OFR_lookup,2,FALSE)+VLOOKUP(Table2[[#This Row],[Home/Neutral]],def_diff_lookup,6,FALSE))</f>
        <v>112.55242366666666</v>
      </c>
      <c r="O25" s="21"/>
      <c r="P25" s="21"/>
      <c r="Q25">
        <f>VLOOKUP(Table2[[#This Row],[Home/Neutral]],pace_lookup,7,FALSE)</f>
        <v>95.4</v>
      </c>
      <c r="R25" s="5">
        <f>VLOOKUP(Table2[[#This Row],[Visitor/Neutral]],pace_lookup,7,FALSE)</f>
        <v>97.3</v>
      </c>
      <c r="S25" s="7">
        <f t="shared" si="1"/>
        <v>3</v>
      </c>
      <c r="T25">
        <v>-2.5</v>
      </c>
      <c r="U25" s="15"/>
      <c r="W25" s="2">
        <f>-home-VLOOKUP(Table2[[#This Row],[Home/Neutral]],rtg_vlookup,4,FALSE)+VLOOKUP(Table2[[#This Row],[Visitor/Neutral]],rtg_vlookup,4,FALSE)</f>
        <v>-6.8688524590164945E-2</v>
      </c>
      <c r="X25" s="15"/>
      <c r="Y25" s="2"/>
      <c r="Z25" s="2">
        <f>Table2[[#This Row],[A/EV]]-Table2[[#This Row],[H/EV]]</f>
        <v>3.3990433134205063</v>
      </c>
      <c r="AA25" s="29"/>
      <c r="AB25" s="30"/>
      <c r="AC25" s="30"/>
      <c r="AD25" s="30"/>
      <c r="AE25" s="30"/>
      <c r="AF25" s="7" t="b">
        <f>IF(VLOOKUP(Table2[[#This Row],[Home/Neutral]],division_lookup,9,FALSE)=VLOOKUP(Table2[[#This Row],[Visitor/Neutral]],division_lookup,9,FALSE),TRUE,FALSE)</f>
        <v>0</v>
      </c>
      <c r="AG25" s="15" t="str">
        <f>VLOOKUP(Table2[[#This Row],[Home/Neutral]],division_lookup,9,FALSE)</f>
        <v>A</v>
      </c>
      <c r="AH25" s="15" t="str">
        <f>IF(Table2[[#This Row],[Total/EV]]&lt;Table2[[#This Row],[Total/V]],"UNDER","OVER")</f>
        <v>UNDER</v>
      </c>
      <c r="AI25" s="15"/>
      <c r="AJ25" s="2"/>
      <c r="AK25" s="2"/>
      <c r="AL25" s="18">
        <f>Table2[[#This Row],[SRS]]-Table2[[#This Row],[Spread]]</f>
        <v>-3.0686885245901649</v>
      </c>
      <c r="AM25" s="21">
        <f>Table2[[#This Row],[(A) Err]]^2</f>
        <v>9.4168492609513628</v>
      </c>
      <c r="AN25" s="6">
        <f>Table2[[#This Row],[EV]]-Table2[[#This Row],[Spread]]</f>
        <v>0.39904331342050625</v>
      </c>
      <c r="AO25" s="1">
        <f>Table2[[#This Row],[EV Err]]^2</f>
        <v>0.15923556598561639</v>
      </c>
      <c r="AP25" s="1"/>
    </row>
    <row r="26" spans="1:42" ht="15.75" thickBot="1" x14ac:dyDescent="0.3">
      <c r="A26" s="99">
        <v>42671</v>
      </c>
      <c r="B26" s="3" t="s">
        <v>136</v>
      </c>
      <c r="C26" s="3" t="s">
        <v>122</v>
      </c>
      <c r="D26" s="3">
        <f>IF((Table2[[#This Row],[Spread]]-Table2[[#This Row],[Spread/V]])=0,1,IF(Table2[[#This Row],[Spread]]&lt;Table2[[#This Row],[Spread/V]],1,0))</f>
        <v>0</v>
      </c>
      <c r="E26" s="37">
        <v>96</v>
      </c>
      <c r="F26" s="3">
        <f>IF((Table2[[#This Row],[Spread]]-Table2[[#This Row],[Spread/V]])=0,1,IF(Table2[[#This Row],[Spread]]&gt;Table2[[#This Row],[Spread/V]],1,0))</f>
        <v>1</v>
      </c>
      <c r="G26" s="37">
        <v>89</v>
      </c>
      <c r="H26" s="38">
        <f t="shared" si="0"/>
        <v>185</v>
      </c>
      <c r="I26" s="37">
        <f>IF(Table2[[#This Row],[Total/V]]&lt;=Table2[[#This Row],[Total]],1,0)</f>
        <v>0</v>
      </c>
      <c r="J26" s="37">
        <v>202</v>
      </c>
      <c r="K26" s="37"/>
      <c r="L26" s="39">
        <f>(Table2[[#This Row],[H/Pace]]/100)*(VLOOKUP(Table2[[#This Row],[Home/Neutral]],home_lookup,8,FALSE)+VLOOKUP(Table2[[#This Row],[Home/Neutral]],OFR_lookup,2,FALSE)+VLOOKUP(Table2[[#This Row],[Visitor/Neutral]],def_diff_lookup,6,FALSE))</f>
        <v>109.22953534991899</v>
      </c>
      <c r="M26" s="39"/>
      <c r="N26" s="39">
        <f>(Table2[[#This Row],[A/Pace]]/100)*(VLOOKUP(Table2[[#This Row],[Visitor/Neutral]],OFR_lookup,2,FALSE)+VLOOKUP(Table2[[#This Row],[Home/Neutral]],def_diff_lookup,6,FALSE))</f>
        <v>104.68461799999999</v>
      </c>
      <c r="O26" s="39"/>
      <c r="P26" s="39"/>
      <c r="Q26" s="37">
        <f>VLOOKUP(Table2[[#This Row],[Home/Neutral]],pace_lookup,7,FALSE)</f>
        <v>91.5</v>
      </c>
      <c r="R26" s="37">
        <f>VLOOKUP(Table2[[#This Row],[Visitor/Neutral]],pace_lookup,7,FALSE)</f>
        <v>100.2</v>
      </c>
      <c r="S26" s="38">
        <f t="shared" si="1"/>
        <v>-7</v>
      </c>
      <c r="T26" s="37">
        <v>-9</v>
      </c>
      <c r="U26" s="42"/>
      <c r="V26" s="37"/>
      <c r="W26" s="40">
        <f>-home-VLOOKUP(Table2[[#This Row],[Home/Neutral]],rtg_vlookup,4,FALSE)+VLOOKUP(Table2[[#This Row],[Visitor/Neutral]],rtg_vlookup,4,FALSE)</f>
        <v>-9.2786885245901658</v>
      </c>
      <c r="X26" s="42"/>
      <c r="Y26" s="40"/>
      <c r="Z26" s="40">
        <f>Table2[[#This Row],[A/EV]]-Table2[[#This Row],[H/EV]]</f>
        <v>-4.5449173499190039</v>
      </c>
      <c r="AA26" s="41"/>
      <c r="AB26" s="46"/>
      <c r="AC26" s="46"/>
      <c r="AD26" s="46"/>
      <c r="AE26" s="46"/>
      <c r="AF26" s="38" t="b">
        <f>IF(VLOOKUP(Table2[[#This Row],[Home/Neutral]],division_lookup,9,FALSE)=VLOOKUP(Table2[[#This Row],[Visitor/Neutral]],division_lookup,9,FALSE),TRUE,FALSE)</f>
        <v>0</v>
      </c>
      <c r="AG26" s="42" t="str">
        <f>VLOOKUP(Table2[[#This Row],[Home/Neutral]],division_lookup,9,FALSE)</f>
        <v>NW</v>
      </c>
      <c r="AH26" s="42" t="str">
        <f>IF(Table2[[#This Row],[Total/EV]]&lt;Table2[[#This Row],[Total/V]],"UNDER","OVER")</f>
        <v>UNDER</v>
      </c>
      <c r="AI26" s="43"/>
      <c r="AJ26" s="40"/>
      <c r="AK26" s="40"/>
      <c r="AL26" s="44">
        <f>Table2[[#This Row],[SRS]]-Table2[[#This Row],[Spread]]</f>
        <v>-2.2786885245901658</v>
      </c>
      <c r="AM26" s="39">
        <f>Table2[[#This Row],[(A) Err]]^2</f>
        <v>5.1924213920989066</v>
      </c>
      <c r="AN26" s="45">
        <f>Table2[[#This Row],[EV]]-Table2[[#This Row],[Spread]]</f>
        <v>2.4550826500809961</v>
      </c>
      <c r="AO26" s="45">
        <f>Table2[[#This Row],[EV Err]]^2</f>
        <v>6.0274308187287273</v>
      </c>
      <c r="AP26" s="63"/>
    </row>
    <row r="27" spans="1:42" x14ac:dyDescent="0.25">
      <c r="A27" s="34">
        <v>42672</v>
      </c>
      <c r="B27" t="s">
        <v>113</v>
      </c>
      <c r="C27" t="s">
        <v>120</v>
      </c>
      <c r="D27">
        <f>IF((Table2[[#This Row],[Spread]]-Table2[[#This Row],[Spread/V]])=0,1,IF(Table2[[#This Row],[Spread]]&lt;Table2[[#This Row],[Spread/V]],1,0))</f>
        <v>1</v>
      </c>
      <c r="E27">
        <v>118</v>
      </c>
      <c r="F27">
        <f>IF((Table2[[#This Row],[Spread]]-Table2[[#This Row],[Spread/V]])=0,1,IF(Table2[[#This Row],[Spread]]&gt;Table2[[#This Row],[Spread/V]],1,0))</f>
        <v>0</v>
      </c>
      <c r="G27">
        <v>101</v>
      </c>
      <c r="H27" s="7">
        <f t="shared" si="0"/>
        <v>219</v>
      </c>
      <c r="I27">
        <f>IF(Table2[[#This Row],[Total/V]]&lt;=Table2[[#This Row],[Total]],1,0)</f>
        <v>1</v>
      </c>
      <c r="J27">
        <v>210</v>
      </c>
      <c r="K27"/>
      <c r="L27" s="21">
        <f>(Table2[[#This Row],[H/Pace]]/100)*(VLOOKUP(Table2[[#This Row],[Home/Neutral]],home_lookup,8,FALSE)+VLOOKUP(Table2[[#This Row],[Home/Neutral]],OFR_lookup,2,FALSE)+VLOOKUP(Table2[[#This Row],[Visitor/Neutral]],def_diff_lookup,6,FALSE))</f>
        <v>110.81173388016279</v>
      </c>
      <c r="M27" s="21"/>
      <c r="N27" s="21">
        <f>(Table2[[#This Row],[A/Pace]]/100)*(VLOOKUP(Table2[[#This Row],[Visitor/Neutral]],OFR_lookup,2,FALSE)+VLOOKUP(Table2[[#This Row],[Home/Neutral]],def_diff_lookup,6,FALSE))</f>
        <v>101.50032033333333</v>
      </c>
      <c r="O27" s="21"/>
      <c r="P27" s="21"/>
      <c r="Q27">
        <f>VLOOKUP(Table2[[#This Row],[Home/Neutral]],pace_lookup,7,FALSE)</f>
        <v>95.1</v>
      </c>
      <c r="R27" s="5">
        <f>VLOOKUP(Table2[[#This Row],[Visitor/Neutral]],pace_lookup,7,FALSE)</f>
        <v>98.3</v>
      </c>
      <c r="S27" s="7">
        <f t="shared" si="1"/>
        <v>-17</v>
      </c>
      <c r="T27">
        <v>-3.5</v>
      </c>
      <c r="U27" s="15"/>
      <c r="W27" s="2">
        <f>-home-VLOOKUP(Table2[[#This Row],[Home/Neutral]],rtg_vlookup,4,FALSE)+VLOOKUP(Table2[[#This Row],[Visitor/Neutral]],rtg_vlookup,4,FALSE)</f>
        <v>-12.128688524590167</v>
      </c>
      <c r="X27" s="15"/>
      <c r="Y27" s="2"/>
      <c r="Z27" s="2">
        <f>Table2[[#This Row],[A/EV]]-Table2[[#This Row],[H/EV]]</f>
        <v>-9.3114135468294563</v>
      </c>
      <c r="AA27" s="29"/>
      <c r="AB27" s="30"/>
      <c r="AC27" s="30"/>
      <c r="AD27" s="30"/>
      <c r="AE27" s="30"/>
      <c r="AF27" s="7" t="b">
        <f>IF(VLOOKUP(Table2[[#This Row],[Home/Neutral]],division_lookup,9,FALSE)=VLOOKUP(Table2[[#This Row],[Visitor/Neutral]],division_lookup,9,FALSE),TRUE,FALSE)</f>
        <v>1</v>
      </c>
      <c r="AG27" s="15" t="str">
        <f>VLOOKUP(Table2[[#This Row],[Home/Neutral]],division_lookup,9,FALSE)</f>
        <v>C</v>
      </c>
      <c r="AH27" s="15" t="str">
        <f>IF(Table2[[#This Row],[Total/EV]]&lt;Table2[[#This Row],[Total/V]],"UNDER","OVER")</f>
        <v>UNDER</v>
      </c>
      <c r="AI27" s="15"/>
      <c r="AJ27" s="2"/>
      <c r="AK27" s="2"/>
      <c r="AL27" s="18">
        <f>Table2[[#This Row],[SRS]]-Table2[[#This Row],[Spread]]</f>
        <v>4.8713114754098328</v>
      </c>
      <c r="AM27" s="21">
        <f>Table2[[#This Row],[(A) Err]]^2</f>
        <v>23.72967549045952</v>
      </c>
      <c r="AN27" s="6">
        <f>Table2[[#This Row],[EV]]-Table2[[#This Row],[Spread]]</f>
        <v>7.6885864531705437</v>
      </c>
      <c r="AO27" s="1">
        <f>Table2[[#This Row],[EV Err]]^2</f>
        <v>59.114361647877601</v>
      </c>
      <c r="AP27" s="1"/>
    </row>
    <row r="28" spans="1:42" x14ac:dyDescent="0.25">
      <c r="A28" s="34">
        <v>42672</v>
      </c>
      <c r="B28" t="s">
        <v>112</v>
      </c>
      <c r="C28" t="s">
        <v>110</v>
      </c>
      <c r="D28">
        <f>IF((Table2[[#This Row],[Spread]]-Table2[[#This Row],[Spread/V]])=0,1,IF(Table2[[#This Row],[Spread]]&lt;Table2[[#This Row],[Spread/V]],1,0))</f>
        <v>0</v>
      </c>
      <c r="E28">
        <v>98</v>
      </c>
      <c r="F28">
        <f>IF((Table2[[#This Row],[Spread]]-Table2[[#This Row],[Spread/V]])=0,1,IF(Table2[[#This Row],[Spread]]&gt;Table2[[#This Row],[Spread/V]],1,0))</f>
        <v>1</v>
      </c>
      <c r="G28">
        <v>104</v>
      </c>
      <c r="H28" s="7">
        <f t="shared" si="0"/>
        <v>202</v>
      </c>
      <c r="I28">
        <f>IF(Table2[[#This Row],[Total/V]]&lt;=Table2[[#This Row],[Total]],1,0)</f>
        <v>0</v>
      </c>
      <c r="J28">
        <v>202.5</v>
      </c>
      <c r="K28"/>
      <c r="L28" s="21">
        <f>(Table2[[#This Row],[H/Pace]]/100)*(VLOOKUP(Table2[[#This Row],[Home/Neutral]],home_lookup,8,FALSE)+VLOOKUP(Table2[[#This Row],[Home/Neutral]],OFR_lookup,2,FALSE)+VLOOKUP(Table2[[#This Row],[Visitor/Neutral]],def_diff_lookup,6,FALSE))</f>
        <v>104.88104195313484</v>
      </c>
      <c r="M28" s="21"/>
      <c r="N28" s="21">
        <f>(Table2[[#This Row],[A/Pace]]/100)*(VLOOKUP(Table2[[#This Row],[Visitor/Neutral]],OFR_lookup,2,FALSE)+VLOOKUP(Table2[[#This Row],[Home/Neutral]],def_diff_lookup,6,FALSE))</f>
        <v>102.85287133333334</v>
      </c>
      <c r="O28" s="21"/>
      <c r="P28" s="21"/>
      <c r="Q28">
        <f>VLOOKUP(Table2[[#This Row],[Home/Neutral]],pace_lookup,7,FALSE)</f>
        <v>97.4</v>
      </c>
      <c r="R28" s="5">
        <f>VLOOKUP(Table2[[#This Row],[Visitor/Neutral]],pace_lookup,7,FALSE)</f>
        <v>96.2</v>
      </c>
      <c r="S28" s="7">
        <f t="shared" si="1"/>
        <v>6</v>
      </c>
      <c r="T28">
        <v>-3</v>
      </c>
      <c r="U28" s="15"/>
      <c r="W28" s="2">
        <f>-home-VLOOKUP(Table2[[#This Row],[Home/Neutral]],rtg_vlookup,4,FALSE)+VLOOKUP(Table2[[#This Row],[Visitor/Neutral]],rtg_vlookup,4,FALSE)</f>
        <v>-4.3386885245901654</v>
      </c>
      <c r="X28" s="15"/>
      <c r="Y28" s="2"/>
      <c r="Z28" s="2">
        <f>Table2[[#This Row],[A/EV]]-Table2[[#This Row],[H/EV]]</f>
        <v>-2.0281706198015002</v>
      </c>
      <c r="AA28" s="29"/>
      <c r="AB28" s="30"/>
      <c r="AC28" s="30"/>
      <c r="AD28" s="30"/>
      <c r="AE28" s="30"/>
      <c r="AF28" s="7" t="b">
        <f>IF(VLOOKUP(Table2[[#This Row],[Home/Neutral]],division_lookup,9,FALSE)=VLOOKUP(Table2[[#This Row],[Visitor/Neutral]],division_lookup,9,FALSE),TRUE,FALSE)</f>
        <v>0</v>
      </c>
      <c r="AG28" s="15" t="str">
        <f>VLOOKUP(Table2[[#This Row],[Home/Neutral]],division_lookup,9,FALSE)</f>
        <v>SE</v>
      </c>
      <c r="AH28" s="15" t="str">
        <f>IF(Table2[[#This Row],[Total/EV]]&lt;Table2[[#This Row],[Total/V]],"UNDER","OVER")</f>
        <v>UNDER</v>
      </c>
      <c r="AI28" s="15"/>
      <c r="AJ28" s="2"/>
      <c r="AK28" s="2"/>
      <c r="AL28" s="18">
        <f>Table2[[#This Row],[SRS]]-Table2[[#This Row],[Spread]]</f>
        <v>-10.338688524590165</v>
      </c>
      <c r="AM28" s="21">
        <f>Table2[[#This Row],[(A) Err]]^2</f>
        <v>106.88848040849236</v>
      </c>
      <c r="AN28" s="6">
        <f>Table2[[#This Row],[EV]]-Table2[[#This Row],[Spread]]</f>
        <v>-8.0281706198015002</v>
      </c>
      <c r="AO28" s="1">
        <f>Table2[[#This Row],[EV Err]]^2</f>
        <v>64.451523500644001</v>
      </c>
      <c r="AP28" s="1"/>
    </row>
    <row r="29" spans="1:42" x14ac:dyDescent="0.25">
      <c r="A29" s="34">
        <v>42672</v>
      </c>
      <c r="B29" t="s">
        <v>114</v>
      </c>
      <c r="C29" t="s">
        <v>130</v>
      </c>
      <c r="D29">
        <f>IF((Table2[[#This Row],[Spread]]-Table2[[#This Row],[Spread/V]])=0,1,IF(Table2[[#This Row],[Spread]]&lt;Table2[[#This Row],[Spread/V]],1,0))</f>
        <v>0</v>
      </c>
      <c r="E29">
        <v>105</v>
      </c>
      <c r="F29">
        <f>IF((Table2[[#This Row],[Spread]]-Table2[[#This Row],[Spread/V]])=0,1,IF(Table2[[#This Row],[Spread]]&gt;Table2[[#This Row],[Spread/V]],1,0))</f>
        <v>1</v>
      </c>
      <c r="G29">
        <v>99</v>
      </c>
      <c r="H29" s="7">
        <f t="shared" si="0"/>
        <v>204</v>
      </c>
      <c r="I29">
        <f>IF(Table2[[#This Row],[Total/V]]&lt;=Table2[[#This Row],[Total]],1,0)</f>
        <v>0</v>
      </c>
      <c r="J29">
        <v>205.5</v>
      </c>
      <c r="K29"/>
      <c r="L29" s="21">
        <f>(Table2[[#This Row],[H/Pace]]/100)*(VLOOKUP(Table2[[#This Row],[Home/Neutral]],home_lookup,8,FALSE)+VLOOKUP(Table2[[#This Row],[Home/Neutral]],OFR_lookup,2,FALSE)+VLOOKUP(Table2[[#This Row],[Visitor/Neutral]],def_diff_lookup,6,FALSE))</f>
        <v>114.09574276756466</v>
      </c>
      <c r="M29" s="21"/>
      <c r="N29" s="21">
        <f>(Table2[[#This Row],[A/Pace]]/100)*(VLOOKUP(Table2[[#This Row],[Visitor/Neutral]],OFR_lookup,2,FALSE)+VLOOKUP(Table2[[#This Row],[Home/Neutral]],def_diff_lookup,6,FALSE))</f>
        <v>91.652518000000001</v>
      </c>
      <c r="O29" s="21"/>
      <c r="P29" s="21"/>
      <c r="Q29">
        <f>VLOOKUP(Table2[[#This Row],[Home/Neutral]],pace_lookup,7,FALSE)</f>
        <v>97.3</v>
      </c>
      <c r="R29" s="5">
        <f>VLOOKUP(Table2[[#This Row],[Visitor/Neutral]],pace_lookup,7,FALSE)</f>
        <v>94.2</v>
      </c>
      <c r="S29" s="7">
        <f t="shared" si="1"/>
        <v>-6</v>
      </c>
      <c r="T29">
        <v>-11</v>
      </c>
      <c r="U29" s="15"/>
      <c r="W29" s="2">
        <f>-home-VLOOKUP(Table2[[#This Row],[Home/Neutral]],rtg_vlookup,4,FALSE)+VLOOKUP(Table2[[#This Row],[Visitor/Neutral]],rtg_vlookup,4,FALSE)</f>
        <v>-20.058688524590167</v>
      </c>
      <c r="X29" s="15"/>
      <c r="Y29" s="2"/>
      <c r="Z29" s="2">
        <f>Table2[[#This Row],[A/EV]]-Table2[[#This Row],[H/EV]]</f>
        <v>-22.443224767564658</v>
      </c>
      <c r="AA29" s="29"/>
      <c r="AB29" s="30"/>
      <c r="AC29" s="30"/>
      <c r="AD29" s="30"/>
      <c r="AE29" s="30"/>
      <c r="AF29" s="7" t="b">
        <f>IF(VLOOKUP(Table2[[#This Row],[Home/Neutral]],division_lookup,9,FALSE)=VLOOKUP(Table2[[#This Row],[Visitor/Neutral]],division_lookup,9,FALSE),TRUE,FALSE)</f>
        <v>0</v>
      </c>
      <c r="AG29" s="15" t="str">
        <f>VLOOKUP(Table2[[#This Row],[Home/Neutral]],division_lookup,9,FALSE)</f>
        <v>C</v>
      </c>
      <c r="AH29" s="15" t="str">
        <f>IF(Table2[[#This Row],[Total/EV]]&lt;Table2[[#This Row],[Total/V]],"UNDER","OVER")</f>
        <v>UNDER</v>
      </c>
      <c r="AI29" s="15"/>
      <c r="AJ29" s="2"/>
      <c r="AK29" s="2"/>
      <c r="AL29" s="18">
        <f>Table2[[#This Row],[SRS]]-Table2[[#This Row],[Spread]]</f>
        <v>-14.058688524590167</v>
      </c>
      <c r="AM29" s="21">
        <f>Table2[[#This Row],[(A) Err]]^2</f>
        <v>197.64672303144326</v>
      </c>
      <c r="AN29" s="6">
        <f>Table2[[#This Row],[EV]]-Table2[[#This Row],[Spread]]</f>
        <v>-16.443224767564658</v>
      </c>
      <c r="AO29" s="1">
        <f>Table2[[#This Row],[EV Err]]^2</f>
        <v>270.37964075665178</v>
      </c>
      <c r="AP29" s="1"/>
    </row>
    <row r="30" spans="1:42" x14ac:dyDescent="0.25">
      <c r="A30" s="34">
        <v>42672</v>
      </c>
      <c r="B30" t="s">
        <v>116</v>
      </c>
      <c r="C30" t="s">
        <v>132</v>
      </c>
      <c r="D30">
        <f>IF((Table2[[#This Row],[Spread]]-Table2[[#This Row],[Spread/V]])=0,1,IF(Table2[[#This Row],[Spread]]&lt;Table2[[#This Row],[Spread/V]],1,0))</f>
        <v>0</v>
      </c>
      <c r="E30">
        <v>113</v>
      </c>
      <c r="F30">
        <f>IF((Table2[[#This Row],[Spread]]-Table2[[#This Row],[Spread/V]])=0,1,IF(Table2[[#This Row],[Spread]]&gt;Table2[[#This Row],[Spread/V]],1,0))</f>
        <v>1</v>
      </c>
      <c r="G30">
        <v>115</v>
      </c>
      <c r="H30" s="7">
        <f t="shared" si="0"/>
        <v>228</v>
      </c>
      <c r="I30">
        <f>IF(Table2[[#This Row],[Total/V]]&lt;=Table2[[#This Row],[Total]],1,0)</f>
        <v>1</v>
      </c>
      <c r="J30">
        <v>212.5</v>
      </c>
      <c r="K30"/>
      <c r="L30" s="21">
        <f>(Table2[[#This Row],[H/Pace]]/100)*(VLOOKUP(Table2[[#This Row],[Home/Neutral]],home_lookup,8,FALSE)+VLOOKUP(Table2[[#This Row],[Home/Neutral]],OFR_lookup,2,FALSE)+VLOOKUP(Table2[[#This Row],[Visitor/Neutral]],def_diff_lookup,6,FALSE))</f>
        <v>110.38601470161863</v>
      </c>
      <c r="M30" s="21"/>
      <c r="N30" s="21">
        <f>(Table2[[#This Row],[A/Pace]]/100)*(VLOOKUP(Table2[[#This Row],[Visitor/Neutral]],OFR_lookup,2,FALSE)+VLOOKUP(Table2[[#This Row],[Home/Neutral]],def_diff_lookup,6,FALSE))</f>
        <v>108.67571866666667</v>
      </c>
      <c r="O30" s="21"/>
      <c r="P30" s="21"/>
      <c r="Q30">
        <f>VLOOKUP(Table2[[#This Row],[Home/Neutral]],pace_lookup,7,FALSE)</f>
        <v>99.1</v>
      </c>
      <c r="R30" s="5">
        <f>VLOOKUP(Table2[[#This Row],[Visitor/Neutral]],pace_lookup,7,FALSE)</f>
        <v>98.8</v>
      </c>
      <c r="S30" s="7">
        <f t="shared" si="1"/>
        <v>2</v>
      </c>
      <c r="T30">
        <v>-1.5</v>
      </c>
      <c r="U30" s="15"/>
      <c r="W30" s="2">
        <f>-home-VLOOKUP(Table2[[#This Row],[Home/Neutral]],rtg_vlookup,4,FALSE)+VLOOKUP(Table2[[#This Row],[Visitor/Neutral]],rtg_vlookup,4,FALSE)</f>
        <v>-4.478688524590166</v>
      </c>
      <c r="X30" s="15"/>
      <c r="Y30" s="2"/>
      <c r="Z30" s="2">
        <f>Table2[[#This Row],[A/EV]]-Table2[[#This Row],[H/EV]]</f>
        <v>-1.7102960349519662</v>
      </c>
      <c r="AA30" s="29"/>
      <c r="AB30" s="30"/>
      <c r="AC30" s="30"/>
      <c r="AD30" s="30"/>
      <c r="AE30" s="30"/>
      <c r="AF30" s="7" t="b">
        <f>IF(VLOOKUP(Table2[[#This Row],[Home/Neutral]],division_lookup,9,FALSE)=VLOOKUP(Table2[[#This Row],[Visitor/Neutral]],division_lookup,9,FALSE),TRUE,FALSE)</f>
        <v>1</v>
      </c>
      <c r="AG30" s="15" t="str">
        <f>VLOOKUP(Table2[[#This Row],[Home/Neutral]],division_lookup,9,FALSE)</f>
        <v>NW</v>
      </c>
      <c r="AH30" s="15" t="str">
        <f>IF(Table2[[#This Row],[Total/EV]]&lt;Table2[[#This Row],[Total/V]],"UNDER","OVER")</f>
        <v>UNDER</v>
      </c>
      <c r="AI30" s="15"/>
      <c r="AJ30" s="2"/>
      <c r="AK30" s="2"/>
      <c r="AL30" s="18">
        <f>Table2[[#This Row],[SRS]]-Table2[[#This Row],[Spread]]</f>
        <v>-6.478688524590166</v>
      </c>
      <c r="AM30" s="21">
        <f>Table2[[#This Row],[(A) Err]]^2</f>
        <v>41.973404998656299</v>
      </c>
      <c r="AN30" s="6">
        <f>Table2[[#This Row],[EV]]-Table2[[#This Row],[Spread]]</f>
        <v>-3.7102960349519662</v>
      </c>
      <c r="AO30" s="1">
        <f>Table2[[#This Row],[EV Err]]^2</f>
        <v>13.766296666980283</v>
      </c>
      <c r="AP30" s="1"/>
    </row>
    <row r="31" spans="1:42" x14ac:dyDescent="0.25">
      <c r="A31" s="34">
        <v>42672</v>
      </c>
      <c r="B31" t="s">
        <v>125</v>
      </c>
      <c r="C31" t="s">
        <v>111</v>
      </c>
      <c r="D31">
        <f>IF((Table2[[#This Row],[Spread]]-Table2[[#This Row],[Spread/V]])=0,1,IF(Table2[[#This Row],[Spread]]&lt;Table2[[#This Row],[Spread/V]],1,0))</f>
        <v>0</v>
      </c>
      <c r="E31">
        <v>110</v>
      </c>
      <c r="F31">
        <f>IF((Table2[[#This Row],[Spread]]-Table2[[#This Row],[Spread/V]])=0,1,IF(Table2[[#This Row],[Spread]]&gt;Table2[[#This Row],[Spread/V]],1,0))</f>
        <v>1</v>
      </c>
      <c r="G31">
        <v>108</v>
      </c>
      <c r="H31" s="7">
        <f t="shared" si="0"/>
        <v>218</v>
      </c>
      <c r="I31">
        <f>IF(Table2[[#This Row],[Total/V]]&lt;=Table2[[#This Row],[Total]],1,0)</f>
        <v>1</v>
      </c>
      <c r="J31">
        <v>205.5</v>
      </c>
      <c r="K31"/>
      <c r="L31" s="21">
        <f>(Table2[[#This Row],[H/Pace]]/100)*(VLOOKUP(Table2[[#This Row],[Home/Neutral]],home_lookup,8,FALSE)+VLOOKUP(Table2[[#This Row],[Home/Neutral]],OFR_lookup,2,FALSE)+VLOOKUP(Table2[[#This Row],[Visitor/Neutral]],def_diff_lookup,6,FALSE))</f>
        <v>112.62036550061907</v>
      </c>
      <c r="M31" s="21"/>
      <c r="N31" s="21">
        <f>(Table2[[#This Row],[A/Pace]]/100)*(VLOOKUP(Table2[[#This Row],[Visitor/Neutral]],OFR_lookup,2,FALSE)+VLOOKUP(Table2[[#This Row],[Home/Neutral]],def_diff_lookup,6,FALSE))</f>
        <v>106.32038</v>
      </c>
      <c r="O31" s="21"/>
      <c r="P31" s="21"/>
      <c r="Q31">
        <f>VLOOKUP(Table2[[#This Row],[Home/Neutral]],pace_lookup,7,FALSE)</f>
        <v>96.1</v>
      </c>
      <c r="R31" s="5">
        <f>VLOOKUP(Table2[[#This Row],[Visitor/Neutral]],pace_lookup,7,FALSE)</f>
        <v>102</v>
      </c>
      <c r="S31" s="7">
        <f t="shared" si="1"/>
        <v>-2</v>
      </c>
      <c r="T31">
        <v>-8</v>
      </c>
      <c r="U31" s="15"/>
      <c r="W31" s="2">
        <f>-home-VLOOKUP(Table2[[#This Row],[Home/Neutral]],rtg_vlookup,4,FALSE)+VLOOKUP(Table2[[#This Row],[Visitor/Neutral]],rtg_vlookup,4,FALSE)</f>
        <v>-9.0786885245901647</v>
      </c>
      <c r="X31" s="15"/>
      <c r="Y31" s="2"/>
      <c r="Z31" s="2">
        <f>Table2[[#This Row],[A/EV]]-Table2[[#This Row],[H/EV]]</f>
        <v>-6.2999855006190728</v>
      </c>
      <c r="AA31" s="29"/>
      <c r="AB31" s="30"/>
      <c r="AC31" s="30"/>
      <c r="AD31" s="30"/>
      <c r="AE31" s="30"/>
      <c r="AF31" s="7" t="b">
        <f>IF(VLOOKUP(Table2[[#This Row],[Home/Neutral]],division_lookup,9,FALSE)=VLOOKUP(Table2[[#This Row],[Visitor/Neutral]],division_lookup,9,FALSE),TRUE,FALSE)</f>
        <v>0</v>
      </c>
      <c r="AG31" s="15" t="str">
        <f>VLOOKUP(Table2[[#This Row],[Home/Neutral]],division_lookup,9,FALSE)</f>
        <v>C</v>
      </c>
      <c r="AH31" s="15" t="str">
        <f>IF(Table2[[#This Row],[Total/EV]]&lt;Table2[[#This Row],[Total/V]],"UNDER","OVER")</f>
        <v>UNDER</v>
      </c>
      <c r="AI31" s="15"/>
      <c r="AJ31" s="2"/>
      <c r="AK31" s="2"/>
      <c r="AL31" s="18">
        <f>Table2[[#This Row],[SRS]]-Table2[[#This Row],[Spread]]</f>
        <v>-7.0786885245901647</v>
      </c>
      <c r="AM31" s="21">
        <f>Table2[[#This Row],[(A) Err]]^2</f>
        <v>50.107831228164486</v>
      </c>
      <c r="AN31" s="6">
        <f>Table2[[#This Row],[EV]]-Table2[[#This Row],[Spread]]</f>
        <v>-4.2999855006190728</v>
      </c>
      <c r="AO31" s="1">
        <f>Table2[[#This Row],[EV Err]]^2</f>
        <v>18.489875305534259</v>
      </c>
      <c r="AP31" s="1"/>
    </row>
    <row r="32" spans="1:42" x14ac:dyDescent="0.25">
      <c r="A32" s="34">
        <v>42672</v>
      </c>
      <c r="B32" t="s">
        <v>128</v>
      </c>
      <c r="C32" t="s">
        <v>123</v>
      </c>
      <c r="D32">
        <f>IF((Table2[[#This Row],[Spread]]-Table2[[#This Row],[Spread/V]])=0,1,IF(Table2[[#This Row],[Spread]]&lt;Table2[[#This Row],[Spread/V]],1,0))</f>
        <v>1</v>
      </c>
      <c r="E32">
        <v>111</v>
      </c>
      <c r="F32">
        <f>IF((Table2[[#This Row],[Spread]]-Table2[[#This Row],[Spread/V]])=0,1,IF(Table2[[#This Row],[Spread]]&gt;Table2[[#This Row],[Spread/V]],1,0))</f>
        <v>0</v>
      </c>
      <c r="G32">
        <v>104</v>
      </c>
      <c r="H32" s="7">
        <f t="shared" si="0"/>
        <v>215</v>
      </c>
      <c r="I32">
        <f>IF(Table2[[#This Row],[Total/V]]&lt;=Table2[[#This Row],[Total]],1,0)</f>
        <v>1</v>
      </c>
      <c r="J32">
        <v>199</v>
      </c>
      <c r="K32"/>
      <c r="L32" s="21">
        <f>(Table2[[#This Row],[H/Pace]]/100)*(VLOOKUP(Table2[[#This Row],[Home/Neutral]],home_lookup,8,FALSE)+VLOOKUP(Table2[[#This Row],[Home/Neutral]],OFR_lookup,2,FALSE)+VLOOKUP(Table2[[#This Row],[Visitor/Neutral]],def_diff_lookup,6,FALSE))</f>
        <v>104.9752698778302</v>
      </c>
      <c r="M32" s="21"/>
      <c r="N32" s="21">
        <f>(Table2[[#This Row],[A/Pace]]/100)*(VLOOKUP(Table2[[#This Row],[Visitor/Neutral]],OFR_lookup,2,FALSE)+VLOOKUP(Table2[[#This Row],[Home/Neutral]],def_diff_lookup,6,FALSE))</f>
        <v>98.915491666666668</v>
      </c>
      <c r="O32" s="21"/>
      <c r="P32" s="21"/>
      <c r="Q32">
        <f>VLOOKUP(Table2[[#This Row],[Home/Neutral]],pace_lookup,7,FALSE)</f>
        <v>96.3</v>
      </c>
      <c r="R32" s="5">
        <f>VLOOKUP(Table2[[#This Row],[Visitor/Neutral]],pace_lookup,7,FALSE)</f>
        <v>92.5</v>
      </c>
      <c r="S32" s="7">
        <f t="shared" si="1"/>
        <v>-7</v>
      </c>
      <c r="T32">
        <v>-3</v>
      </c>
      <c r="U32" s="15"/>
      <c r="W32" s="2">
        <f>-home-VLOOKUP(Table2[[#This Row],[Home/Neutral]],rtg_vlookup,4,FALSE)+VLOOKUP(Table2[[#This Row],[Visitor/Neutral]],rtg_vlookup,4,FALSE)</f>
        <v>-0.23868852459016587</v>
      </c>
      <c r="X32" s="15"/>
      <c r="Y32" s="2"/>
      <c r="Z32" s="2">
        <f>Table2[[#This Row],[A/EV]]-Table2[[#This Row],[H/EV]]</f>
        <v>-6.0597782111635325</v>
      </c>
      <c r="AA32" s="29"/>
      <c r="AB32" s="30"/>
      <c r="AC32" s="30"/>
      <c r="AD32" s="30"/>
      <c r="AE32" s="30"/>
      <c r="AF32" s="7" t="b">
        <f>IF(VLOOKUP(Table2[[#This Row],[Home/Neutral]],division_lookup,9,FALSE)=VLOOKUP(Table2[[#This Row],[Visitor/Neutral]],division_lookup,9,FALSE),TRUE,FALSE)</f>
        <v>0</v>
      </c>
      <c r="AG32" s="15" t="str">
        <f>VLOOKUP(Table2[[#This Row],[Home/Neutral]],division_lookup,9,FALSE)</f>
        <v>A</v>
      </c>
      <c r="AH32" s="15" t="str">
        <f>IF(Table2[[#This Row],[Total/EV]]&lt;Table2[[#This Row],[Total/V]],"UNDER","OVER")</f>
        <v>UNDER</v>
      </c>
      <c r="AI32" s="15"/>
      <c r="AJ32" s="2"/>
      <c r="AK32" s="2"/>
      <c r="AL32" s="18">
        <f>Table2[[#This Row],[SRS]]-Table2[[#This Row],[Spread]]</f>
        <v>6.7613114754098342</v>
      </c>
      <c r="AM32" s="21">
        <f>Table2[[#This Row],[(A) Err]]^2</f>
        <v>45.715332867508707</v>
      </c>
      <c r="AN32" s="6">
        <f>Table2[[#This Row],[EV]]-Table2[[#This Row],[Spread]]</f>
        <v>0.94022178883646745</v>
      </c>
      <c r="AO32" s="1">
        <f>Table2[[#This Row],[EV Err]]^2</f>
        <v>0.88401701220284679</v>
      </c>
      <c r="AP32" s="1"/>
    </row>
    <row r="33" spans="1:42" x14ac:dyDescent="0.25">
      <c r="A33" s="34">
        <v>42672</v>
      </c>
      <c r="B33" t="s">
        <v>138</v>
      </c>
      <c r="C33" t="s">
        <v>109</v>
      </c>
      <c r="D33">
        <f>IF((Table2[[#This Row],[Spread]]-Table2[[#This Row],[Spread/V]])=0,1,IF(Table2[[#This Row],[Spread]]&lt;Table2[[#This Row],[Spread/V]],1,0))</f>
        <v>0</v>
      </c>
      <c r="E33">
        <v>72</v>
      </c>
      <c r="F33">
        <f>IF((Table2[[#This Row],[Spread]]-Table2[[#This Row],[Spread/V]])=0,1,IF(Table2[[#This Row],[Spread]]&gt;Table2[[#This Row],[Spread/V]],1,0))</f>
        <v>1</v>
      </c>
      <c r="G33">
        <v>104</v>
      </c>
      <c r="H33" s="7">
        <f t="shared" si="0"/>
        <v>176</v>
      </c>
      <c r="I33">
        <f>IF(Table2[[#This Row],[Total/V]]&lt;=Table2[[#This Row],[Total]],1,0)</f>
        <v>0</v>
      </c>
      <c r="J33">
        <v>202</v>
      </c>
      <c r="K33"/>
      <c r="L33" s="21">
        <f>(Table2[[#This Row],[H/Pace]]/100)*(VLOOKUP(Table2[[#This Row],[Home/Neutral]],home_lookup,8,FALSE)+VLOOKUP(Table2[[#This Row],[Home/Neutral]],OFR_lookup,2,FALSE)+VLOOKUP(Table2[[#This Row],[Visitor/Neutral]],def_diff_lookup,6,FALSE))</f>
        <v>92.406783531240094</v>
      </c>
      <c r="M33" s="21"/>
      <c r="N33" s="21">
        <f>(Table2[[#This Row],[A/Pace]]/100)*(VLOOKUP(Table2[[#This Row],[Visitor/Neutral]],OFR_lookup,2,FALSE)+VLOOKUP(Table2[[#This Row],[Home/Neutral]],def_diff_lookup,6,FALSE))</f>
        <v>102.96530133333333</v>
      </c>
      <c r="O33" s="21"/>
      <c r="P33" s="21"/>
      <c r="Q33">
        <f>VLOOKUP(Table2[[#This Row],[Home/Neutral]],pace_lookup,7,FALSE)</f>
        <v>97.5</v>
      </c>
      <c r="R33" s="5">
        <f>VLOOKUP(Table2[[#This Row],[Visitor/Neutral]],pace_lookup,7,FALSE)</f>
        <v>99.2</v>
      </c>
      <c r="S33" s="7">
        <f t="shared" si="1"/>
        <v>32</v>
      </c>
      <c r="T33">
        <v>-8</v>
      </c>
      <c r="U33" s="15"/>
      <c r="W33" s="2">
        <f>-home-VLOOKUP(Table2[[#This Row],[Home/Neutral]],rtg_vlookup,4,FALSE)+VLOOKUP(Table2[[#This Row],[Visitor/Neutral]],rtg_vlookup,4,FALSE)</f>
        <v>9.1313114754098343</v>
      </c>
      <c r="X33" s="15"/>
      <c r="Y33" s="2"/>
      <c r="Z33" s="2">
        <f>Table2[[#This Row],[A/EV]]-Table2[[#This Row],[H/EV]]</f>
        <v>10.558517802093235</v>
      </c>
      <c r="AA33" s="29"/>
      <c r="AB33" s="30"/>
      <c r="AC33" s="30"/>
      <c r="AD33" s="30"/>
      <c r="AE33" s="30"/>
      <c r="AF33" s="7" t="b">
        <f>IF(VLOOKUP(Table2[[#This Row],[Home/Neutral]],division_lookup,9,FALSE)=VLOOKUP(Table2[[#This Row],[Visitor/Neutral]],division_lookup,9,FALSE),TRUE,FALSE)</f>
        <v>0</v>
      </c>
      <c r="AG33" s="15" t="str">
        <f>VLOOKUP(Table2[[#This Row],[Home/Neutral]],division_lookup,9,FALSE)</f>
        <v>A</v>
      </c>
      <c r="AH33" s="15" t="str">
        <f>IF(Table2[[#This Row],[Total/EV]]&lt;Table2[[#This Row],[Total/V]],"UNDER","OVER")</f>
        <v>UNDER</v>
      </c>
      <c r="AI33" s="15"/>
      <c r="AJ33" s="2"/>
      <c r="AK33" s="2"/>
      <c r="AL33" s="18">
        <f>Table2[[#This Row],[SRS]]-Table2[[#This Row],[Spread]]</f>
        <v>-22.868688524590166</v>
      </c>
      <c r="AM33" s="21">
        <f>Table2[[#This Row],[(A) Err]]^2</f>
        <v>522.97691483472192</v>
      </c>
      <c r="AN33" s="6">
        <f>Table2[[#This Row],[EV]]-Table2[[#This Row],[Spread]]</f>
        <v>-21.441482197906765</v>
      </c>
      <c r="AO33" s="1">
        <f>Table2[[#This Row],[EV Err]]^2</f>
        <v>459.73715884315271</v>
      </c>
      <c r="AP33" s="1"/>
    </row>
    <row r="34" spans="1:42" x14ac:dyDescent="0.25">
      <c r="A34" s="34">
        <v>42672</v>
      </c>
      <c r="B34" t="s">
        <v>133</v>
      </c>
      <c r="C34" t="s">
        <v>126</v>
      </c>
      <c r="D34">
        <f>IF((Table2[[#This Row],[Spread]]-Table2[[#This Row],[Spread/V]])=0,1,IF(Table2[[#This Row],[Spread]]&lt;Table2[[#This Row],[Spread/V]],1,0))</f>
        <v>1</v>
      </c>
      <c r="E34">
        <v>106</v>
      </c>
      <c r="F34">
        <f>IF((Table2[[#This Row],[Spread]]-Table2[[#This Row],[Spread/V]])=0,1,IF(Table2[[#This Row],[Spread]]&gt;Table2[[#This Row],[Spread/V]],1,0))</f>
        <v>0</v>
      </c>
      <c r="G34">
        <v>103</v>
      </c>
      <c r="H34" s="7">
        <f t="shared" si="0"/>
        <v>209</v>
      </c>
      <c r="I34">
        <f>IF(Table2[[#This Row],[Total/V]]&lt;=Table2[[#This Row],[Total]],1,0)</f>
        <v>1</v>
      </c>
      <c r="J34">
        <v>203</v>
      </c>
      <c r="K34"/>
      <c r="L34" s="21">
        <f>(Table2[[#This Row],[H/Pace]]/100)*(VLOOKUP(Table2[[#This Row],[Home/Neutral]],home_lookup,8,FALSE)+VLOOKUP(Table2[[#This Row],[Home/Neutral]],OFR_lookup,2,FALSE)+VLOOKUP(Table2[[#This Row],[Visitor/Neutral]],def_diff_lookup,6,FALSE))</f>
        <v>111.0658074827998</v>
      </c>
      <c r="M34" s="21"/>
      <c r="N34" s="21">
        <f>(Table2[[#This Row],[A/Pace]]/100)*(VLOOKUP(Table2[[#This Row],[Visitor/Neutral]],OFR_lookup,2,FALSE)+VLOOKUP(Table2[[#This Row],[Home/Neutral]],def_diff_lookup,6,FALSE))</f>
        <v>107.10329300000001</v>
      </c>
      <c r="O34" s="21"/>
      <c r="P34" s="21"/>
      <c r="Q34">
        <f>VLOOKUP(Table2[[#This Row],[Home/Neutral]],pace_lookup,7,FALSE)</f>
        <v>94.2</v>
      </c>
      <c r="R34" s="5">
        <f>VLOOKUP(Table2[[#This Row],[Visitor/Neutral]],pace_lookup,7,FALSE)</f>
        <v>95.7</v>
      </c>
      <c r="S34" s="7">
        <f t="shared" si="1"/>
        <v>-3</v>
      </c>
      <c r="T34">
        <v>0</v>
      </c>
      <c r="U34" s="15"/>
      <c r="W34" s="2">
        <f>-home-VLOOKUP(Table2[[#This Row],[Home/Neutral]],rtg_vlookup,4,FALSE)+VLOOKUP(Table2[[#This Row],[Visitor/Neutral]],rtg_vlookup,4,FALSE)</f>
        <v>-2.0386885245901656</v>
      </c>
      <c r="X34" s="15"/>
      <c r="Y34" s="2"/>
      <c r="Z34" s="2">
        <f>Table2[[#This Row],[A/EV]]-Table2[[#This Row],[H/EV]]</f>
        <v>-3.96251448279979</v>
      </c>
      <c r="AA34" s="29"/>
      <c r="AB34" s="30"/>
      <c r="AC34" s="30"/>
      <c r="AD34" s="30"/>
      <c r="AE34" s="30"/>
      <c r="AF34" s="7" t="b">
        <f>IF(VLOOKUP(Table2[[#This Row],[Home/Neutral]],division_lookup,9,FALSE)=VLOOKUP(Table2[[#This Row],[Visitor/Neutral]],division_lookup,9,FALSE),TRUE,FALSE)</f>
        <v>0</v>
      </c>
      <c r="AG34" s="15" t="str">
        <f>VLOOKUP(Table2[[#This Row],[Home/Neutral]],division_lookup,9,FALSE)</f>
        <v>P</v>
      </c>
      <c r="AH34" s="15" t="str">
        <f>IF(Table2[[#This Row],[Total/EV]]&lt;Table2[[#This Row],[Total/V]],"UNDER","OVER")</f>
        <v>UNDER</v>
      </c>
      <c r="AI34" s="15"/>
      <c r="AJ34" s="2"/>
      <c r="AK34" s="2"/>
      <c r="AL34" s="18">
        <f>Table2[[#This Row],[SRS]]-Table2[[#This Row],[Spread]]</f>
        <v>0.96131147540983442</v>
      </c>
      <c r="AM34" s="21">
        <f>Table2[[#This Row],[(A) Err]]^2</f>
        <v>0.92411975275463265</v>
      </c>
      <c r="AN34" s="6">
        <f>Table2[[#This Row],[EV]]-Table2[[#This Row],[Spread]]</f>
        <v>-0.96251448279979002</v>
      </c>
      <c r="AO34" s="1">
        <f>Table2[[#This Row],[EV Err]]^2</f>
        <v>0.92643412959934723</v>
      </c>
      <c r="AP34" s="1"/>
    </row>
    <row r="35" spans="1:42" ht="15.75" thickBot="1" x14ac:dyDescent="0.3">
      <c r="A35" s="99">
        <v>42672</v>
      </c>
      <c r="B35" s="3" t="s">
        <v>134</v>
      </c>
      <c r="C35" s="3" t="s">
        <v>127</v>
      </c>
      <c r="D35" s="3">
        <f>IF((Table2[[#This Row],[Spread]]-Table2[[#This Row],[Spread/V]])=0,1,IF(Table2[[#This Row],[Spread]]&lt;Table2[[#This Row],[Spread/V]],1,0))</f>
        <v>1</v>
      </c>
      <c r="E35" s="37">
        <v>98</v>
      </c>
      <c r="F35" s="3">
        <f>IF((Table2[[#This Row],[Spread]]-Table2[[#This Row],[Spread/V]])=0,1,IF(Table2[[#This Row],[Spread]]&gt;Table2[[#This Row],[Spread/V]],1,0))</f>
        <v>0</v>
      </c>
      <c r="G35" s="37">
        <v>79</v>
      </c>
      <c r="H35" s="38">
        <f t="shared" si="0"/>
        <v>177</v>
      </c>
      <c r="I35" s="37">
        <f>IF(Table2[[#This Row],[Total/V]]&lt;=Table2[[#This Row],[Total]],1,0)</f>
        <v>0</v>
      </c>
      <c r="J35" s="37">
        <v>203.5</v>
      </c>
      <c r="K35" s="37"/>
      <c r="L35" s="39">
        <f>(Table2[[#This Row],[H/Pace]]/100)*(VLOOKUP(Table2[[#This Row],[Home/Neutral]],home_lookup,8,FALSE)+VLOOKUP(Table2[[#This Row],[Home/Neutral]],OFR_lookup,2,FALSE)+VLOOKUP(Table2[[#This Row],[Visitor/Neutral]],def_diff_lookup,6,FALSE))</f>
        <v>99.459273436381935</v>
      </c>
      <c r="M35" s="39"/>
      <c r="N35" s="39">
        <f>(Table2[[#This Row],[A/Pace]]/100)*(VLOOKUP(Table2[[#This Row],[Visitor/Neutral]],OFR_lookup,2,FALSE)+VLOOKUP(Table2[[#This Row],[Home/Neutral]],def_diff_lookup,6,FALSE))</f>
        <v>100.626317</v>
      </c>
      <c r="O35" s="39"/>
      <c r="P35" s="39"/>
      <c r="Q35" s="37">
        <f>VLOOKUP(Table2[[#This Row],[Home/Neutral]],pace_lookup,7,FALSE)</f>
        <v>93.4</v>
      </c>
      <c r="R35" s="37">
        <f>VLOOKUP(Table2[[#This Row],[Visitor/Neutral]],pace_lookup,7,FALSE)</f>
        <v>99.3</v>
      </c>
      <c r="S35" s="38">
        <f t="shared" si="1"/>
        <v>-19</v>
      </c>
      <c r="T35" s="37">
        <v>-14</v>
      </c>
      <c r="U35" s="42"/>
      <c r="V35" s="37"/>
      <c r="W35" s="40">
        <f>-home-VLOOKUP(Table2[[#This Row],[Home/Neutral]],rtg_vlookup,4,FALSE)+VLOOKUP(Table2[[#This Row],[Visitor/Neutral]],rtg_vlookup,4,FALSE)</f>
        <v>-12.828688524590165</v>
      </c>
      <c r="X35" s="42"/>
      <c r="Y35" s="40"/>
      <c r="Z35" s="40">
        <f>Table2[[#This Row],[A/EV]]-Table2[[#This Row],[H/EV]]</f>
        <v>1.1670435636180656</v>
      </c>
      <c r="AA35" s="41"/>
      <c r="AB35" s="46"/>
      <c r="AC35" s="46"/>
      <c r="AD35" s="46"/>
      <c r="AE35" s="46"/>
      <c r="AF35" s="38" t="b">
        <f>IF(VLOOKUP(Table2[[#This Row],[Home/Neutral]],division_lookup,9,FALSE)=VLOOKUP(Table2[[#This Row],[Visitor/Neutral]],division_lookup,9,FALSE),TRUE,FALSE)</f>
        <v>1</v>
      </c>
      <c r="AG35" s="42" t="str">
        <f>VLOOKUP(Table2[[#This Row],[Home/Neutral]],division_lookup,9,FALSE)</f>
        <v>SW</v>
      </c>
      <c r="AH35" s="42" t="str">
        <f>IF(Table2[[#This Row],[Total/EV]]&lt;Table2[[#This Row],[Total/V]],"UNDER","OVER")</f>
        <v>UNDER</v>
      </c>
      <c r="AI35" s="43"/>
      <c r="AJ35" s="40"/>
      <c r="AK35" s="40"/>
      <c r="AL35" s="44">
        <f>Table2[[#This Row],[SRS]]-Table2[[#This Row],[Spread]]</f>
        <v>6.1713114754098353</v>
      </c>
      <c r="AM35" s="39">
        <f>Table2[[#This Row],[(A) Err]]^2</f>
        <v>38.085085326525117</v>
      </c>
      <c r="AN35" s="45">
        <f>Table2[[#This Row],[EV]]-Table2[[#This Row],[Spread]]</f>
        <v>20.167043563618066</v>
      </c>
      <c r="AO35" s="45">
        <f>Table2[[#This Row],[EV Err]]^2</f>
        <v>406.70964609686882</v>
      </c>
      <c r="AP35" s="63"/>
    </row>
    <row r="36" spans="1:42" x14ac:dyDescent="0.25">
      <c r="A36" s="34">
        <v>42673</v>
      </c>
      <c r="B36" t="s">
        <v>117</v>
      </c>
      <c r="C36" t="s">
        <v>125</v>
      </c>
      <c r="D36">
        <f>IF((Table2[[#This Row],[Spread]]-Table2[[#This Row],[Spread/V]])=0,1,IF(Table2[[#This Row],[Spread]]&lt;Table2[[#This Row],[Spread/V]],1,0))</f>
        <v>1</v>
      </c>
      <c r="E36">
        <v>98</v>
      </c>
      <c r="F36">
        <f>IF((Table2[[#This Row],[Spread]]-Table2[[#This Row],[Spread/V]])=0,1,IF(Table2[[#This Row],[Spread]]&gt;Table2[[#This Row],[Spread/V]],1,0))</f>
        <v>0</v>
      </c>
      <c r="G36">
        <v>83</v>
      </c>
      <c r="H36" s="7">
        <f t="shared" si="0"/>
        <v>181</v>
      </c>
      <c r="I36">
        <f>IF(Table2[[#This Row],[Total/V]]&lt;=Table2[[#This Row],[Total]],1,0)</f>
        <v>0</v>
      </c>
      <c r="J36">
        <v>197.5</v>
      </c>
      <c r="K36"/>
      <c r="L36" s="21">
        <f>(Table2[[#This Row],[H/Pace]]/100)*(VLOOKUP(Table2[[#This Row],[Home/Neutral]],home_lookup,8,FALSE)+VLOOKUP(Table2[[#This Row],[Home/Neutral]],OFR_lookup,2,FALSE)+VLOOKUP(Table2[[#This Row],[Visitor/Neutral]],def_diff_lookup,6,FALSE))</f>
        <v>114.18239591446428</v>
      </c>
      <c r="M36" s="21"/>
      <c r="N36" s="21">
        <f>(Table2[[#This Row],[A/Pace]]/100)*(VLOOKUP(Table2[[#This Row],[Visitor/Neutral]],OFR_lookup,2,FALSE)+VLOOKUP(Table2[[#This Row],[Home/Neutral]],def_diff_lookup,6,FALSE))</f>
        <v>98.354185666666652</v>
      </c>
      <c r="O36" s="21"/>
      <c r="P36" s="21"/>
      <c r="Q36">
        <f>VLOOKUP(Table2[[#This Row],[Home/Neutral]],pace_lookup,7,FALSE)</f>
        <v>94</v>
      </c>
      <c r="R36" s="5">
        <f>VLOOKUP(Table2[[#This Row],[Visitor/Neutral]],pace_lookup,7,FALSE)</f>
        <v>96.1</v>
      </c>
      <c r="S36" s="7">
        <f t="shared" si="1"/>
        <v>-15</v>
      </c>
      <c r="T36">
        <v>-7</v>
      </c>
      <c r="U36" s="15"/>
      <c r="W36" s="2">
        <f>-home-VLOOKUP(Table2[[#This Row],[Home/Neutral]],rtg_vlookup,4,FALSE)+VLOOKUP(Table2[[#This Row],[Visitor/Neutral]],rtg_vlookup,4,FALSE)</f>
        <v>-6.8286885245901665</v>
      </c>
      <c r="X36" s="15"/>
      <c r="Y36" s="2"/>
      <c r="Z36" s="2">
        <f>Table2[[#This Row],[A/EV]]-Table2[[#This Row],[H/EV]]</f>
        <v>-15.828210247797628</v>
      </c>
      <c r="AA36" s="29"/>
      <c r="AB36" s="30"/>
      <c r="AC36" s="30"/>
      <c r="AD36" s="30"/>
      <c r="AE36" s="30"/>
      <c r="AF36" s="7" t="b">
        <f>IF(VLOOKUP(Table2[[#This Row],[Home/Neutral]],division_lookup,9,FALSE)=VLOOKUP(Table2[[#This Row],[Visitor/Neutral]],division_lookup,9,FALSE),TRUE,FALSE)</f>
        <v>1</v>
      </c>
      <c r="AG36" s="15" t="str">
        <f>VLOOKUP(Table2[[#This Row],[Home/Neutral]],division_lookup,9,FALSE)</f>
        <v>C</v>
      </c>
      <c r="AH36" s="15" t="str">
        <f>IF(Table2[[#This Row],[Total/EV]]&lt;Table2[[#This Row],[Total/V]],"UNDER","OVER")</f>
        <v>UNDER</v>
      </c>
      <c r="AI36" s="15"/>
      <c r="AJ36" s="2"/>
      <c r="AK36" s="2"/>
      <c r="AL36" s="18">
        <f>Table2[[#This Row],[SRS]]-Table2[[#This Row],[Spread]]</f>
        <v>8.1713114754098335</v>
      </c>
      <c r="AM36" s="21">
        <f>Table2[[#This Row],[(A) Err]]^2</f>
        <v>66.770331228164423</v>
      </c>
      <c r="AN36" s="6">
        <f>Table2[[#This Row],[EV]]-Table2[[#This Row],[Spread]]</f>
        <v>-0.82821024779762809</v>
      </c>
      <c r="AO36" s="1">
        <f>Table2[[#This Row],[EV Err]]^2</f>
        <v>0.68593221455700848</v>
      </c>
      <c r="AP36" s="1"/>
    </row>
    <row r="37" spans="1:42" x14ac:dyDescent="0.25">
      <c r="A37" s="34">
        <v>42673</v>
      </c>
      <c r="B37" t="s">
        <v>119</v>
      </c>
      <c r="C37" t="s">
        <v>115</v>
      </c>
      <c r="D37">
        <f>IF((Table2[[#This Row],[Spread]]-Table2[[#This Row],[Spread/V]])=0,1,IF(Table2[[#This Row],[Spread]]&lt;Table2[[#This Row],[Spread/V]],1,0))</f>
        <v>0</v>
      </c>
      <c r="E37">
        <v>93</v>
      </c>
      <c r="F37">
        <f>IF((Table2[[#This Row],[Spread]]-Table2[[#This Row],[Spread/V]])=0,1,IF(Table2[[#This Row],[Spread]]&gt;Table2[[#This Row],[Spread/V]],1,0))</f>
        <v>1</v>
      </c>
      <c r="G37">
        <v>92</v>
      </c>
      <c r="H37" s="7">
        <f t="shared" si="0"/>
        <v>185</v>
      </c>
      <c r="I37">
        <f>IF(Table2[[#This Row],[Total/V]]&lt;=Table2[[#This Row],[Total]],1,0)</f>
        <v>0</v>
      </c>
      <c r="J37">
        <v>213.5</v>
      </c>
      <c r="K37"/>
      <c r="L37" s="21">
        <f>(Table2[[#This Row],[H/Pace]]/100)*(VLOOKUP(Table2[[#This Row],[Home/Neutral]],home_lookup,8,FALSE)+VLOOKUP(Table2[[#This Row],[Home/Neutral]],OFR_lookup,2,FALSE)+VLOOKUP(Table2[[#This Row],[Visitor/Neutral]],def_diff_lookup,6,FALSE))</f>
        <v>108.23151376977629</v>
      </c>
      <c r="M37" s="21"/>
      <c r="N37" s="21">
        <f>(Table2[[#This Row],[A/Pace]]/100)*(VLOOKUP(Table2[[#This Row],[Visitor/Neutral]],OFR_lookup,2,FALSE)+VLOOKUP(Table2[[#This Row],[Home/Neutral]],def_diff_lookup,6,FALSE))</f>
        <v>92.728754333333342</v>
      </c>
      <c r="O37" s="21"/>
      <c r="P37" s="21"/>
      <c r="Q37">
        <f>VLOOKUP(Table2[[#This Row],[Home/Neutral]],pace_lookup,7,FALSE)</f>
        <v>96.9</v>
      </c>
      <c r="R37" s="5">
        <f>VLOOKUP(Table2[[#This Row],[Visitor/Neutral]],pace_lookup,7,FALSE)</f>
        <v>92.9</v>
      </c>
      <c r="S37" s="7">
        <f t="shared" si="1"/>
        <v>-1</v>
      </c>
      <c r="T37">
        <v>-6</v>
      </c>
      <c r="U37" s="15"/>
      <c r="W37" s="2">
        <f>-home-VLOOKUP(Table2[[#This Row],[Home/Neutral]],rtg_vlookup,4,FALSE)+VLOOKUP(Table2[[#This Row],[Visitor/Neutral]],rtg_vlookup,4,FALSE)</f>
        <v>-15.318688524590165</v>
      </c>
      <c r="X37" s="15"/>
      <c r="Y37" s="2"/>
      <c r="Z37" s="2">
        <f>Table2[[#This Row],[A/EV]]-Table2[[#This Row],[H/EV]]</f>
        <v>-15.502759436442943</v>
      </c>
      <c r="AA37" s="29"/>
      <c r="AB37" s="30"/>
      <c r="AC37" s="30"/>
      <c r="AD37" s="30"/>
      <c r="AE37" s="30"/>
      <c r="AF37" s="7" t="b">
        <f>IF(VLOOKUP(Table2[[#This Row],[Home/Neutral]],division_lookup,9,FALSE)=VLOOKUP(Table2[[#This Row],[Visitor/Neutral]],division_lookup,9,FALSE),TRUE,FALSE)</f>
        <v>1</v>
      </c>
      <c r="AG37" s="15" t="str">
        <f>VLOOKUP(Table2[[#This Row],[Home/Neutral]],division_lookup,9,FALSE)</f>
        <v>SW</v>
      </c>
      <c r="AH37" s="15" t="str">
        <f>IF(Table2[[#This Row],[Total/EV]]&lt;Table2[[#This Row],[Total/V]],"UNDER","OVER")</f>
        <v>UNDER</v>
      </c>
      <c r="AI37" s="15"/>
      <c r="AJ37" s="2"/>
      <c r="AK37" s="2"/>
      <c r="AL37" s="18">
        <f>Table2[[#This Row],[SRS]]-Table2[[#This Row],[Spread]]</f>
        <v>-14.318688524590165</v>
      </c>
      <c r="AM37" s="21">
        <f>Table2[[#This Row],[(A) Err]]^2</f>
        <v>205.02484106423009</v>
      </c>
      <c r="AN37" s="6">
        <f>Table2[[#This Row],[EV]]-Table2[[#This Row],[Spread]]</f>
        <v>-14.502759436442943</v>
      </c>
      <c r="AO37" s="1">
        <f>Table2[[#This Row],[EV Err]]^2</f>
        <v>210.33003127133483</v>
      </c>
      <c r="AP37" s="1"/>
    </row>
    <row r="38" spans="1:42" x14ac:dyDescent="0.25">
      <c r="A38" s="34">
        <v>42673</v>
      </c>
      <c r="B38" t="s">
        <v>121</v>
      </c>
      <c r="C38" t="s">
        <v>136</v>
      </c>
      <c r="D38">
        <f>IF((Table2[[#This Row],[Spread]]-Table2[[#This Row],[Spread/V]])=0,1,IF(Table2[[#This Row],[Spread]]&lt;Table2[[#This Row],[Spread/V]],1,0))</f>
        <v>1</v>
      </c>
      <c r="E38">
        <v>88</v>
      </c>
      <c r="F38">
        <f>IF((Table2[[#This Row],[Spread]]-Table2[[#This Row],[Spread/V]])=0,1,IF(Table2[[#This Row],[Spread]]&gt;Table2[[#This Row],[Spread/V]],1,0))</f>
        <v>0</v>
      </c>
      <c r="G38">
        <v>75</v>
      </c>
      <c r="H38" s="7">
        <f t="shared" si="0"/>
        <v>163</v>
      </c>
      <c r="I38">
        <f>IF(Table2[[#This Row],[Total/V]]&lt;=Table2[[#This Row],[Total]],1,0)</f>
        <v>0</v>
      </c>
      <c r="J38">
        <v>189.5</v>
      </c>
      <c r="K38"/>
      <c r="L38" s="21">
        <f>(Table2[[#This Row],[H/Pace]]/100)*(VLOOKUP(Table2[[#This Row],[Home/Neutral]],home_lookup,8,FALSE)+VLOOKUP(Table2[[#This Row],[Home/Neutral]],OFR_lookup,2,FALSE)+VLOOKUP(Table2[[#This Row],[Visitor/Neutral]],def_diff_lookup,6,FALSE))</f>
        <v>109.55204060751252</v>
      </c>
      <c r="M38" s="21"/>
      <c r="N38" s="21">
        <f>(Table2[[#This Row],[A/Pace]]/100)*(VLOOKUP(Table2[[#This Row],[Visitor/Neutral]],OFR_lookup,2,FALSE)+VLOOKUP(Table2[[#This Row],[Home/Neutral]],def_diff_lookup,6,FALSE))</f>
        <v>93.454135000000008</v>
      </c>
      <c r="O38" s="21"/>
      <c r="P38" s="21"/>
      <c r="Q38">
        <f>VLOOKUP(Table2[[#This Row],[Home/Neutral]],pace_lookup,7,FALSE)</f>
        <v>96.4</v>
      </c>
      <c r="R38" s="5">
        <f>VLOOKUP(Table2[[#This Row],[Visitor/Neutral]],pace_lookup,7,FALSE)</f>
        <v>91.5</v>
      </c>
      <c r="S38" s="7">
        <f t="shared" si="1"/>
        <v>-13</v>
      </c>
      <c r="T38">
        <v>-7.5</v>
      </c>
      <c r="U38" s="15"/>
      <c r="W38" s="2">
        <f>-home-VLOOKUP(Table2[[#This Row],[Home/Neutral]],rtg_vlookup,4,FALSE)+VLOOKUP(Table2[[#This Row],[Visitor/Neutral]],rtg_vlookup,4,FALSE)</f>
        <v>-11.258688524590166</v>
      </c>
      <c r="X38" s="15"/>
      <c r="Y38" s="2"/>
      <c r="Z38" s="2">
        <f>Table2[[#This Row],[A/EV]]-Table2[[#This Row],[H/EV]]</f>
        <v>-16.097905607512516</v>
      </c>
      <c r="AA38" s="29"/>
      <c r="AB38" s="30"/>
      <c r="AC38" s="30"/>
      <c r="AD38" s="30"/>
      <c r="AE38" s="30"/>
      <c r="AF38" s="7" t="b">
        <f>IF(VLOOKUP(Table2[[#This Row],[Home/Neutral]],division_lookup,9,FALSE)=VLOOKUP(Table2[[#This Row],[Visitor/Neutral]],division_lookup,9,FALSE),TRUE,FALSE)</f>
        <v>0</v>
      </c>
      <c r="AG38" s="15" t="str">
        <f>VLOOKUP(Table2[[#This Row],[Home/Neutral]],division_lookup,9,FALSE)</f>
        <v>P</v>
      </c>
      <c r="AH38" s="15" t="str">
        <f>IF(Table2[[#This Row],[Total/EV]]&lt;Table2[[#This Row],[Total/V]],"UNDER","OVER")</f>
        <v>UNDER</v>
      </c>
      <c r="AI38" s="15"/>
      <c r="AJ38" s="2"/>
      <c r="AK38" s="2"/>
      <c r="AL38" s="18">
        <f>Table2[[#This Row],[SRS]]-Table2[[#This Row],[Spread]]</f>
        <v>1.7413114754098338</v>
      </c>
      <c r="AM38" s="21">
        <f>Table2[[#This Row],[(A) Err]]^2</f>
        <v>3.0321656543939723</v>
      </c>
      <c r="AN38" s="6">
        <f>Table2[[#This Row],[EV]]-Table2[[#This Row],[Spread]]</f>
        <v>-3.0979056075125158</v>
      </c>
      <c r="AO38" s="1">
        <f>Table2[[#This Row],[EV Err]]^2</f>
        <v>9.5970191530574898</v>
      </c>
      <c r="AP38" s="1"/>
    </row>
    <row r="39" spans="1:42" x14ac:dyDescent="0.25">
      <c r="A39" s="34">
        <v>42673</v>
      </c>
      <c r="B39" t="s">
        <v>123</v>
      </c>
      <c r="C39" t="s">
        <v>137</v>
      </c>
      <c r="D39">
        <f>IF((Table2[[#This Row],[Spread]]-Table2[[#This Row],[Spread/V]])=0,1,IF(Table2[[#This Row],[Spread]]&lt;Table2[[#This Row],[Spread/V]],1,0))</f>
        <v>1</v>
      </c>
      <c r="E39">
        <v>112</v>
      </c>
      <c r="F39">
        <f>IF((Table2[[#This Row],[Spread]]-Table2[[#This Row],[Spread/V]])=0,1,IF(Table2[[#This Row],[Spread]]&gt;Table2[[#This Row],[Spread/V]],1,0))</f>
        <v>0</v>
      </c>
      <c r="G39">
        <v>103</v>
      </c>
      <c r="H39" s="7">
        <f t="shared" si="0"/>
        <v>215</v>
      </c>
      <c r="I39">
        <f>IF(Table2[[#This Row],[Total/V]]&lt;=Table2[[#This Row],[Total]],1,0)</f>
        <v>1</v>
      </c>
      <c r="J39">
        <v>204.5</v>
      </c>
      <c r="K39"/>
      <c r="L39" s="21">
        <f>(Table2[[#This Row],[H/Pace]]/100)*(VLOOKUP(Table2[[#This Row],[Home/Neutral]],home_lookup,8,FALSE)+VLOOKUP(Table2[[#This Row],[Home/Neutral]],OFR_lookup,2,FALSE)+VLOOKUP(Table2[[#This Row],[Visitor/Neutral]],def_diff_lookup,6,FALSE))</f>
        <v>105.00067709563918</v>
      </c>
      <c r="M39" s="21"/>
      <c r="N39" s="21">
        <f>(Table2[[#This Row],[A/Pace]]/100)*(VLOOKUP(Table2[[#This Row],[Visitor/Neutral]],OFR_lookup,2,FALSE)+VLOOKUP(Table2[[#This Row],[Home/Neutral]],def_diff_lookup,6,FALSE))</f>
        <v>99.480639999999994</v>
      </c>
      <c r="O39" s="21"/>
      <c r="P39" s="21"/>
      <c r="Q39">
        <f>VLOOKUP(Table2[[#This Row],[Home/Neutral]],pace_lookup,7,FALSE)</f>
        <v>92.5</v>
      </c>
      <c r="R39" s="5">
        <f>VLOOKUP(Table2[[#This Row],[Visitor/Neutral]],pace_lookup,7,FALSE)</f>
        <v>96</v>
      </c>
      <c r="S39" s="7">
        <f t="shared" si="1"/>
        <v>-9</v>
      </c>
      <c r="T39">
        <v>-3.5</v>
      </c>
      <c r="U39" s="15"/>
      <c r="W39" s="2">
        <f>-home-VLOOKUP(Table2[[#This Row],[Home/Neutral]],rtg_vlookup,4,FALSE)+VLOOKUP(Table2[[#This Row],[Visitor/Neutral]],rtg_vlookup,4,FALSE)</f>
        <v>-6.4486885245901657</v>
      </c>
      <c r="X39" s="15"/>
      <c r="Y39" s="2"/>
      <c r="Z39" s="2">
        <f>Table2[[#This Row],[A/EV]]-Table2[[#This Row],[H/EV]]</f>
        <v>-5.5200370956391822</v>
      </c>
      <c r="AA39" s="29"/>
      <c r="AB39" s="30"/>
      <c r="AC39" s="30"/>
      <c r="AD39" s="30"/>
      <c r="AE39" s="30"/>
      <c r="AF39" s="7" t="b">
        <f>IF(VLOOKUP(Table2[[#This Row],[Home/Neutral]],division_lookup,9,FALSE)=VLOOKUP(Table2[[#This Row],[Visitor/Neutral]],division_lookup,9,FALSE),TRUE,FALSE)</f>
        <v>0</v>
      </c>
      <c r="AG39" s="15" t="str">
        <f>VLOOKUP(Table2[[#This Row],[Home/Neutral]],division_lookup,9,FALSE)</f>
        <v>SW</v>
      </c>
      <c r="AH39" s="15" t="str">
        <f>IF(Table2[[#This Row],[Total/EV]]&lt;Table2[[#This Row],[Total/V]],"UNDER","OVER")</f>
        <v>UNDER</v>
      </c>
      <c r="AI39" s="15"/>
      <c r="AJ39" s="2"/>
      <c r="AK39" s="2"/>
      <c r="AL39" s="18">
        <f>Table2[[#This Row],[SRS]]-Table2[[#This Row],[Spread]]</f>
        <v>2.5513114754098343</v>
      </c>
      <c r="AM39" s="21">
        <f>Table2[[#This Row],[(A) Err]]^2</f>
        <v>6.5091902445579057</v>
      </c>
      <c r="AN39" s="6">
        <f>Table2[[#This Row],[EV]]-Table2[[#This Row],[Spread]]</f>
        <v>3.4799629043608178</v>
      </c>
      <c r="AO39" s="1">
        <f>Table2[[#This Row],[EV Err]]^2</f>
        <v>12.110141815727378</v>
      </c>
      <c r="AP39" s="1"/>
    </row>
    <row r="40" spans="1:42" x14ac:dyDescent="0.25">
      <c r="A40" s="34">
        <v>42673</v>
      </c>
      <c r="B40" t="s">
        <v>124</v>
      </c>
      <c r="C40" t="s">
        <v>134</v>
      </c>
      <c r="D40">
        <f>IF((Table2[[#This Row],[Spread]]-Table2[[#This Row],[Spread/V]])=0,1,IF(Table2[[#This Row],[Spread]]&lt;Table2[[#This Row],[Spread/V]],1,0))</f>
        <v>0</v>
      </c>
      <c r="E40">
        <v>99</v>
      </c>
      <c r="F40">
        <f>IF((Table2[[#This Row],[Spread]]-Table2[[#This Row],[Spread/V]])=0,1,IF(Table2[[#This Row],[Spread]]&gt;Table2[[#This Row],[Spread/V]],1,0))</f>
        <v>1</v>
      </c>
      <c r="G40">
        <v>106</v>
      </c>
      <c r="H40" s="7">
        <f t="shared" si="0"/>
        <v>205</v>
      </c>
      <c r="I40">
        <f>IF(Table2[[#This Row],[Total/V]]&lt;=Table2[[#This Row],[Total]],1,0)</f>
        <v>1</v>
      </c>
      <c r="J40">
        <v>194</v>
      </c>
      <c r="K40"/>
      <c r="L40" s="21">
        <f>(Table2[[#This Row],[H/Pace]]/100)*(VLOOKUP(Table2[[#This Row],[Home/Neutral]],home_lookup,8,FALSE)+VLOOKUP(Table2[[#This Row],[Home/Neutral]],OFR_lookup,2,FALSE)+VLOOKUP(Table2[[#This Row],[Visitor/Neutral]],def_diff_lookup,6,FALSE))</f>
        <v>99.917615177235575</v>
      </c>
      <c r="M40" s="21"/>
      <c r="N40" s="21">
        <f>(Table2[[#This Row],[A/Pace]]/100)*(VLOOKUP(Table2[[#This Row],[Visitor/Neutral]],OFR_lookup,2,FALSE)+VLOOKUP(Table2[[#This Row],[Home/Neutral]],def_diff_lookup,6,FALSE))</f>
        <v>103.18427266666666</v>
      </c>
      <c r="O40" s="21"/>
      <c r="P40" s="21"/>
      <c r="Q40">
        <f>VLOOKUP(Table2[[#This Row],[Home/Neutral]],pace_lookup,7,FALSE)</f>
        <v>93.7</v>
      </c>
      <c r="R40" s="5">
        <f>VLOOKUP(Table2[[#This Row],[Visitor/Neutral]],pace_lookup,7,FALSE)</f>
        <v>93.4</v>
      </c>
      <c r="S40" s="7">
        <f t="shared" si="1"/>
        <v>7</v>
      </c>
      <c r="T40">
        <v>-6.5</v>
      </c>
      <c r="U40" s="15"/>
      <c r="W40" s="2">
        <f>-home-VLOOKUP(Table2[[#This Row],[Home/Neutral]],rtg_vlookup,4,FALSE)+VLOOKUP(Table2[[#This Row],[Visitor/Neutral]],rtg_vlookup,4,FALSE)</f>
        <v>5.8113114754098341</v>
      </c>
      <c r="X40" s="15"/>
      <c r="Y40" s="2"/>
      <c r="Z40" s="2">
        <f>Table2[[#This Row],[A/EV]]-Table2[[#This Row],[H/EV]]</f>
        <v>3.2666574894310827</v>
      </c>
      <c r="AA40" s="29"/>
      <c r="AB40" s="30"/>
      <c r="AC40" s="30"/>
      <c r="AD40" s="30"/>
      <c r="AE40" s="30"/>
      <c r="AF40" s="7" t="b">
        <f>IF(VLOOKUP(Table2[[#This Row],[Home/Neutral]],division_lookup,9,FALSE)=VLOOKUP(Table2[[#This Row],[Visitor/Neutral]],division_lookup,9,FALSE),TRUE,FALSE)</f>
        <v>0</v>
      </c>
      <c r="AG40" s="15" t="str">
        <f>VLOOKUP(Table2[[#This Row],[Home/Neutral]],division_lookup,9,FALSE)</f>
        <v>SE</v>
      </c>
      <c r="AH40" s="15" t="str">
        <f>IF(Table2[[#This Row],[Total/EV]]&lt;Table2[[#This Row],[Total/V]],"UNDER","OVER")</f>
        <v>UNDER</v>
      </c>
      <c r="AI40" s="15"/>
      <c r="AJ40" s="2"/>
      <c r="AK40" s="2"/>
      <c r="AL40" s="18">
        <f>Table2[[#This Row],[SRS]]-Table2[[#This Row],[Spread]]</f>
        <v>-1.1886885245901659</v>
      </c>
      <c r="AM40" s="21">
        <f>Table2[[#This Row],[(A) Err]]^2</f>
        <v>1.4129804084923456</v>
      </c>
      <c r="AN40" s="6">
        <f>Table2[[#This Row],[EV]]-Table2[[#This Row],[Spread]]</f>
        <v>-3.7333425105689173</v>
      </c>
      <c r="AO40" s="1">
        <f>Table2[[#This Row],[EV Err]]^2</f>
        <v>13.937846301221027</v>
      </c>
      <c r="AP40" s="1"/>
    </row>
    <row r="41" spans="1:42" x14ac:dyDescent="0.25">
      <c r="A41" s="34">
        <v>42673</v>
      </c>
      <c r="B41" t="s">
        <v>129</v>
      </c>
      <c r="C41" t="s">
        <v>122</v>
      </c>
      <c r="D41">
        <f>IF((Table2[[#This Row],[Spread]]-Table2[[#This Row],[Spread/V]])=0,1,IF(Table2[[#This Row],[Spread]]&lt;Table2[[#This Row],[Spread/V]],1,0))</f>
        <v>1</v>
      </c>
      <c r="E41">
        <v>113</v>
      </c>
      <c r="F41">
        <f>IF((Table2[[#This Row],[Spread]]-Table2[[#This Row],[Spread/V]])=0,1,IF(Table2[[#This Row],[Spread]]&gt;Table2[[#This Row],[Spread/V]],1,0))</f>
        <v>0</v>
      </c>
      <c r="G41">
        <v>96</v>
      </c>
      <c r="H41" s="7">
        <f t="shared" si="0"/>
        <v>209</v>
      </c>
      <c r="I41">
        <f>IF(Table2[[#This Row],[Total/V]]&lt;=Table2[[#This Row],[Total]],1,0)</f>
        <v>0</v>
      </c>
      <c r="J41">
        <v>216</v>
      </c>
      <c r="K41"/>
      <c r="L41" s="21">
        <f>(Table2[[#This Row],[H/Pace]]/100)*(VLOOKUP(Table2[[#This Row],[Home/Neutral]],home_lookup,8,FALSE)+VLOOKUP(Table2[[#This Row],[Home/Neutral]],OFR_lookup,2,FALSE)+VLOOKUP(Table2[[#This Row],[Visitor/Neutral]],def_diff_lookup,6,FALSE))</f>
        <v>111.92570376890107</v>
      </c>
      <c r="M41" s="21"/>
      <c r="N41" s="21">
        <f>(Table2[[#This Row],[A/Pace]]/100)*(VLOOKUP(Table2[[#This Row],[Visitor/Neutral]],OFR_lookup,2,FALSE)+VLOOKUP(Table2[[#This Row],[Home/Neutral]],def_diff_lookup,6,FALSE))</f>
        <v>107.25975799999999</v>
      </c>
      <c r="O41" s="21"/>
      <c r="P41" s="21"/>
      <c r="Q41">
        <f>VLOOKUP(Table2[[#This Row],[Home/Neutral]],pace_lookup,7,FALSE)</f>
        <v>99</v>
      </c>
      <c r="R41" s="5">
        <f>VLOOKUP(Table2[[#This Row],[Visitor/Neutral]],pace_lookup,7,FALSE)</f>
        <v>100.2</v>
      </c>
      <c r="S41" s="7">
        <f t="shared" si="1"/>
        <v>-17</v>
      </c>
      <c r="T41">
        <v>-8.5</v>
      </c>
      <c r="U41" s="15"/>
      <c r="W41" s="2">
        <f>-home-VLOOKUP(Table2[[#This Row],[Home/Neutral]],rtg_vlookup,4,FALSE)+VLOOKUP(Table2[[#This Row],[Visitor/Neutral]],rtg_vlookup,4,FALSE)</f>
        <v>-6.5386885245901656</v>
      </c>
      <c r="X41" s="15"/>
      <c r="Y41" s="2"/>
      <c r="Z41" s="2">
        <f>Table2[[#This Row],[A/EV]]-Table2[[#This Row],[H/EV]]</f>
        <v>-4.6659457689010821</v>
      </c>
      <c r="AA41" s="29"/>
      <c r="AB41" s="30"/>
      <c r="AC41" s="30"/>
      <c r="AD41" s="30"/>
      <c r="AE41" s="30"/>
      <c r="AF41" s="7" t="b">
        <f>IF(VLOOKUP(Table2[[#This Row],[Home/Neutral]],division_lookup,9,FALSE)=VLOOKUP(Table2[[#This Row],[Visitor/Neutral]],division_lookup,9,FALSE),TRUE,FALSE)</f>
        <v>0</v>
      </c>
      <c r="AG41" s="15" t="str">
        <f>VLOOKUP(Table2[[#This Row],[Home/Neutral]],division_lookup,9,FALSE)</f>
        <v>NW</v>
      </c>
      <c r="AH41" s="15" t="str">
        <f>IF(Table2[[#This Row],[Total/EV]]&lt;Table2[[#This Row],[Total/V]],"UNDER","OVER")</f>
        <v>UNDER</v>
      </c>
      <c r="AI41" s="15"/>
      <c r="AJ41" s="2"/>
      <c r="AK41" s="2"/>
      <c r="AL41" s="18">
        <f>Table2[[#This Row],[SRS]]-Table2[[#This Row],[Spread]]</f>
        <v>10.461311475409834</v>
      </c>
      <c r="AM41" s="21">
        <f>Table2[[#This Row],[(A) Err]]^2</f>
        <v>109.43903778554149</v>
      </c>
      <c r="AN41" s="6">
        <f>Table2[[#This Row],[EV]]-Table2[[#This Row],[Spread]]</f>
        <v>12.334054231098918</v>
      </c>
      <c r="AO41" s="1">
        <f>Table2[[#This Row],[EV Err]]^2</f>
        <v>152.12889377568911</v>
      </c>
      <c r="AP41" s="1"/>
    </row>
    <row r="42" spans="1:42" ht="15.75" thickBot="1" x14ac:dyDescent="0.3">
      <c r="A42" s="99">
        <v>42673</v>
      </c>
      <c r="B42" s="3" t="s">
        <v>131</v>
      </c>
      <c r="C42" s="3" t="s">
        <v>118</v>
      </c>
      <c r="D42" s="3">
        <f>IF((Table2[[#This Row],[Spread]]-Table2[[#This Row],[Spread/V]])=0,1,IF(Table2[[#This Row],[Spread]]&lt;Table2[[#This Row],[Spread/V]],1,0))</f>
        <v>0</v>
      </c>
      <c r="E42" s="37">
        <v>100</v>
      </c>
      <c r="F42" s="3">
        <f>IF((Table2[[#This Row],[Spread]]-Table2[[#This Row],[Spread/V]])=0,1,IF(Table2[[#This Row],[Spread]]&gt;Table2[[#This Row],[Spread/V]],1,0))</f>
        <v>1</v>
      </c>
      <c r="G42" s="37">
        <v>106</v>
      </c>
      <c r="H42" s="38">
        <f t="shared" si="0"/>
        <v>206</v>
      </c>
      <c r="I42" s="37">
        <f>IF(Table2[[#This Row],[Total/V]]&lt;=Table2[[#This Row],[Total]],1,0)</f>
        <v>0</v>
      </c>
      <c r="J42" s="37">
        <v>227</v>
      </c>
      <c r="K42" s="37"/>
      <c r="L42" s="39">
        <f>(Table2[[#This Row],[H/Pace]]/100)*(VLOOKUP(Table2[[#This Row],[Home/Neutral]],home_lookup,8,FALSE)+VLOOKUP(Table2[[#This Row],[Home/Neutral]],OFR_lookup,2,FALSE)+VLOOKUP(Table2[[#This Row],[Visitor/Neutral]],def_diff_lookup,6,FALSE))</f>
        <v>95.804449791197669</v>
      </c>
      <c r="M42" s="39"/>
      <c r="N42" s="39">
        <f>(Table2[[#This Row],[A/Pace]]/100)*(VLOOKUP(Table2[[#This Row],[Visitor/Neutral]],OFR_lookup,2,FALSE)+VLOOKUP(Table2[[#This Row],[Home/Neutral]],def_diff_lookup,6,FALSE))</f>
        <v>118.53792933333332</v>
      </c>
      <c r="O42" s="39"/>
      <c r="P42" s="39"/>
      <c r="Q42" s="37">
        <f>VLOOKUP(Table2[[#This Row],[Home/Neutral]],pace_lookup,7,FALSE)</f>
        <v>101.7</v>
      </c>
      <c r="R42" s="37">
        <f>VLOOKUP(Table2[[#This Row],[Visitor/Neutral]],pace_lookup,7,FALSE)</f>
        <v>100.4</v>
      </c>
      <c r="S42" s="38">
        <f t="shared" si="1"/>
        <v>6</v>
      </c>
      <c r="T42" s="37">
        <v>-11.5</v>
      </c>
      <c r="U42" s="42"/>
      <c r="V42" s="37"/>
      <c r="W42" s="40">
        <f>-home-VLOOKUP(Table2[[#This Row],[Home/Neutral]],rtg_vlookup,4,FALSE)+VLOOKUP(Table2[[#This Row],[Visitor/Neutral]],rtg_vlookup,4,FALSE)</f>
        <v>15.021311475409835</v>
      </c>
      <c r="X42" s="42"/>
      <c r="Y42" s="40"/>
      <c r="Z42" s="40">
        <f>Table2[[#This Row],[A/EV]]-Table2[[#This Row],[H/EV]]</f>
        <v>22.733479542135655</v>
      </c>
      <c r="AA42" s="41"/>
      <c r="AB42" s="46"/>
      <c r="AC42" s="46"/>
      <c r="AD42" s="46"/>
      <c r="AE42" s="46"/>
      <c r="AF42" s="38" t="b">
        <f>IF(VLOOKUP(Table2[[#This Row],[Home/Neutral]],division_lookup,9,FALSE)=VLOOKUP(Table2[[#This Row],[Visitor/Neutral]],division_lookup,9,FALSE),TRUE,FALSE)</f>
        <v>1</v>
      </c>
      <c r="AG42" s="42" t="str">
        <f>VLOOKUP(Table2[[#This Row],[Home/Neutral]],division_lookup,9,FALSE)</f>
        <v>P</v>
      </c>
      <c r="AH42" s="42" t="str">
        <f>IF(Table2[[#This Row],[Total/EV]]&lt;Table2[[#This Row],[Total/V]],"UNDER","OVER")</f>
        <v>UNDER</v>
      </c>
      <c r="AI42" s="43"/>
      <c r="AJ42" s="40"/>
      <c r="AK42" s="40"/>
      <c r="AL42" s="44">
        <f>Table2[[#This Row],[SRS]]-Table2[[#This Row],[Spread]]</f>
        <v>9.0213114754098349</v>
      </c>
      <c r="AM42" s="39">
        <f>Table2[[#This Row],[(A) Err]]^2</f>
        <v>81.384060736361178</v>
      </c>
      <c r="AN42" s="45">
        <f>Table2[[#This Row],[EV]]-Table2[[#This Row],[Spread]]</f>
        <v>16.733479542135655</v>
      </c>
      <c r="AO42" s="45">
        <f>Table2[[#This Row],[EV Err]]^2</f>
        <v>280.00933758707248</v>
      </c>
      <c r="AP42" s="63"/>
    </row>
    <row r="43" spans="1:42" x14ac:dyDescent="0.25">
      <c r="A43" s="34">
        <v>42674</v>
      </c>
      <c r="B43" t="s">
        <v>109</v>
      </c>
      <c r="C43" t="s">
        <v>133</v>
      </c>
      <c r="D43">
        <f>IF((Table2[[#This Row],[Spread]]-Table2[[#This Row],[Spread/V]])=0,1,IF(Table2[[#This Row],[Spread]]&lt;Table2[[#This Row],[Spread/V]],1,0))</f>
        <v>1</v>
      </c>
      <c r="E43">
        <v>106</v>
      </c>
      <c r="F43">
        <f>IF((Table2[[#This Row],[Spread]]-Table2[[#This Row],[Spread/V]])=0,1,IF(Table2[[#This Row],[Spread]]&gt;Table2[[#This Row],[Spread/V]],1,0))</f>
        <v>0</v>
      </c>
      <c r="G43">
        <v>95</v>
      </c>
      <c r="H43" s="7">
        <f t="shared" si="0"/>
        <v>201</v>
      </c>
      <c r="I43">
        <f>IF(Table2[[#This Row],[Total/V]]&lt;=Table2[[#This Row],[Total]],1,0)</f>
        <v>0</v>
      </c>
      <c r="J43">
        <v>203</v>
      </c>
      <c r="K43"/>
      <c r="L43" s="21">
        <f>(Table2[[#This Row],[H/Pace]]/100)*(VLOOKUP(Table2[[#This Row],[Home/Neutral]],home_lookup,8,FALSE)+VLOOKUP(Table2[[#This Row],[Home/Neutral]],OFR_lookup,2,FALSE)+VLOOKUP(Table2[[#This Row],[Visitor/Neutral]],def_diff_lookup,6,FALSE))</f>
        <v>103.61952660728637</v>
      </c>
      <c r="M43" s="21"/>
      <c r="N43" s="21">
        <f>(Table2[[#This Row],[A/Pace]]/100)*(VLOOKUP(Table2[[#This Row],[Visitor/Neutral]],OFR_lookup,2,FALSE)+VLOOKUP(Table2[[#This Row],[Home/Neutral]],def_diff_lookup,6,FALSE))</f>
        <v>95.241538000000006</v>
      </c>
      <c r="O43" s="21"/>
      <c r="P43" s="21"/>
      <c r="Q43">
        <f>VLOOKUP(Table2[[#This Row],[Home/Neutral]],pace_lookup,7,FALSE)</f>
        <v>99.2</v>
      </c>
      <c r="R43" s="5">
        <f>VLOOKUP(Table2[[#This Row],[Visitor/Neutral]],pace_lookup,7,FALSE)</f>
        <v>94.2</v>
      </c>
      <c r="S43" s="7">
        <f t="shared" si="1"/>
        <v>-11</v>
      </c>
      <c r="T43">
        <v>-7</v>
      </c>
      <c r="U43" s="15"/>
      <c r="W43" s="2">
        <f>-home-VLOOKUP(Table2[[#This Row],[Home/Neutral]],rtg_vlookup,4,FALSE)+VLOOKUP(Table2[[#This Row],[Visitor/Neutral]],rtg_vlookup,4,FALSE)</f>
        <v>-6.978688524590166</v>
      </c>
      <c r="X43" s="15"/>
      <c r="Y43" s="2"/>
      <c r="Z43" s="2">
        <f>Table2[[#This Row],[A/EV]]-Table2[[#This Row],[H/EV]]</f>
        <v>-8.377988607286369</v>
      </c>
      <c r="AA43" s="29"/>
      <c r="AB43" s="30"/>
      <c r="AC43" s="30"/>
      <c r="AD43" s="30"/>
      <c r="AE43" s="30"/>
      <c r="AF43" s="7" t="b">
        <f>IF(VLOOKUP(Table2[[#This Row],[Home/Neutral]],division_lookup,9,FALSE)=VLOOKUP(Table2[[#This Row],[Visitor/Neutral]],division_lookup,9,FALSE),TRUE,FALSE)</f>
        <v>0</v>
      </c>
      <c r="AG43" s="15" t="str">
        <f>VLOOKUP(Table2[[#This Row],[Home/Neutral]],division_lookup,9,FALSE)</f>
        <v>SE</v>
      </c>
      <c r="AH43" s="15" t="str">
        <f>IF(Table2[[#This Row],[Total/EV]]&lt;Table2[[#This Row],[Total/V]],"UNDER","OVER")</f>
        <v>UNDER</v>
      </c>
      <c r="AI43" s="15"/>
      <c r="AJ43" s="2"/>
      <c r="AK43" s="2"/>
      <c r="AL43" s="18">
        <f>Table2[[#This Row],[SRS]]-Table2[[#This Row],[Spread]]</f>
        <v>4.021311475409834</v>
      </c>
      <c r="AM43" s="21">
        <f>Table2[[#This Row],[(A) Err]]^2</f>
        <v>16.170945982262815</v>
      </c>
      <c r="AN43" s="6">
        <f>Table2[[#This Row],[EV]]-Table2[[#This Row],[Spread]]</f>
        <v>2.622011392713631</v>
      </c>
      <c r="AO43" s="1">
        <f>Table2[[#This Row],[EV Err]]^2</f>
        <v>6.8749437435200749</v>
      </c>
      <c r="AP43" s="1"/>
    </row>
    <row r="44" spans="1:42" x14ac:dyDescent="0.25">
      <c r="A44" s="34">
        <v>42674</v>
      </c>
      <c r="B44" t="s">
        <v>111</v>
      </c>
      <c r="C44" t="s">
        <v>113</v>
      </c>
      <c r="D44">
        <f>IF((Table2[[#This Row],[Spread]]-Table2[[#This Row],[Spread/V]])=0,1,IF(Table2[[#This Row],[Spread]]&lt;Table2[[#This Row],[Spread/V]],1,0))</f>
        <v>0</v>
      </c>
      <c r="E44">
        <v>88</v>
      </c>
      <c r="F44">
        <f>IF((Table2[[#This Row],[Spread]]-Table2[[#This Row],[Spread/V]])=0,1,IF(Table2[[#This Row],[Spread]]&gt;Table2[[#This Row],[Spread/V]],1,0))</f>
        <v>1</v>
      </c>
      <c r="G44">
        <v>118</v>
      </c>
      <c r="H44" s="7">
        <f t="shared" si="0"/>
        <v>206</v>
      </c>
      <c r="I44">
        <f>IF(Table2[[#This Row],[Total/V]]&lt;=Table2[[#This Row],[Total]],1,0)</f>
        <v>0</v>
      </c>
      <c r="J44">
        <v>209.5</v>
      </c>
      <c r="K44"/>
      <c r="L44" s="21">
        <f>(Table2[[#This Row],[H/Pace]]/100)*(VLOOKUP(Table2[[#This Row],[Home/Neutral]],home_lookup,8,FALSE)+VLOOKUP(Table2[[#This Row],[Home/Neutral]],OFR_lookup,2,FALSE)+VLOOKUP(Table2[[#This Row],[Visitor/Neutral]],def_diff_lookup,6,FALSE))</f>
        <v>99.722218327716362</v>
      </c>
      <c r="M44" s="21"/>
      <c r="N44" s="21">
        <f>(Table2[[#This Row],[A/Pace]]/100)*(VLOOKUP(Table2[[#This Row],[Visitor/Neutral]],OFR_lookup,2,FALSE)+VLOOKUP(Table2[[#This Row],[Home/Neutral]],def_diff_lookup,6,FALSE))</f>
        <v>109.49401899999999</v>
      </c>
      <c r="O44" s="21"/>
      <c r="P44" s="21"/>
      <c r="Q44">
        <f>VLOOKUP(Table2[[#This Row],[Home/Neutral]],pace_lookup,7,FALSE)</f>
        <v>102</v>
      </c>
      <c r="R44" s="5">
        <f>VLOOKUP(Table2[[#This Row],[Visitor/Neutral]],pace_lookup,7,FALSE)</f>
        <v>95.1</v>
      </c>
      <c r="S44" s="7">
        <f t="shared" si="1"/>
        <v>30</v>
      </c>
      <c r="T44">
        <v>-6</v>
      </c>
      <c r="U44" s="15"/>
      <c r="W44" s="2">
        <f>-home-VLOOKUP(Table2[[#This Row],[Home/Neutral]],rtg_vlookup,4,FALSE)+VLOOKUP(Table2[[#This Row],[Visitor/Neutral]],rtg_vlookup,4,FALSE)</f>
        <v>10.651311475409834</v>
      </c>
      <c r="X44" s="15"/>
      <c r="Y44" s="2"/>
      <c r="Z44" s="2">
        <f>Table2[[#This Row],[A/EV]]-Table2[[#This Row],[H/EV]]</f>
        <v>9.7718006722836321</v>
      </c>
      <c r="AA44" s="29"/>
      <c r="AB44" s="30"/>
      <c r="AC44" s="30"/>
      <c r="AD44" s="30"/>
      <c r="AE44" s="30"/>
      <c r="AF44" s="7" t="b">
        <f>IF(VLOOKUP(Table2[[#This Row],[Home/Neutral]],division_lookup,9,FALSE)=VLOOKUP(Table2[[#This Row],[Visitor/Neutral]],division_lookup,9,FALSE),TRUE,FALSE)</f>
        <v>0</v>
      </c>
      <c r="AG44" s="15" t="str">
        <f>VLOOKUP(Table2[[#This Row],[Home/Neutral]],division_lookup,9,FALSE)</f>
        <v>A</v>
      </c>
      <c r="AH44" s="15" t="str">
        <f>IF(Table2[[#This Row],[Total/EV]]&lt;Table2[[#This Row],[Total/V]],"UNDER","OVER")</f>
        <v>UNDER</v>
      </c>
      <c r="AI44" s="15"/>
      <c r="AJ44" s="2"/>
      <c r="AK44" s="2"/>
      <c r="AL44" s="18">
        <f>Table2[[#This Row],[SRS]]-Table2[[#This Row],[Spread]]</f>
        <v>-19.348688524590166</v>
      </c>
      <c r="AM44" s="21">
        <f>Table2[[#This Row],[(A) Err]]^2</f>
        <v>374.3717476216072</v>
      </c>
      <c r="AN44" s="6">
        <f>Table2[[#This Row],[EV]]-Table2[[#This Row],[Spread]]</f>
        <v>-20.228199327716368</v>
      </c>
      <c r="AO44" s="1">
        <f>Table2[[#This Row],[EV Err]]^2</f>
        <v>409.18004804182493</v>
      </c>
      <c r="AP44" s="1"/>
    </row>
    <row r="45" spans="1:42" x14ac:dyDescent="0.25">
      <c r="A45" s="34">
        <v>42674</v>
      </c>
      <c r="B45" t="s">
        <v>121</v>
      </c>
      <c r="C45" t="s">
        <v>131</v>
      </c>
      <c r="D45">
        <f>IF((Table2[[#This Row],[Spread]]-Table2[[#This Row],[Spread/V]])=0,1,IF(Table2[[#This Row],[Spread]]&lt;Table2[[#This Row],[Spread/V]],1,0))</f>
        <v>1</v>
      </c>
      <c r="E45">
        <v>116</v>
      </c>
      <c r="F45">
        <f>IF((Table2[[#This Row],[Spread]]-Table2[[#This Row],[Spread/V]])=0,1,IF(Table2[[#This Row],[Spread]]&gt;Table2[[#This Row],[Spread/V]],1,0))</f>
        <v>0</v>
      </c>
      <c r="G45">
        <v>98</v>
      </c>
      <c r="H45" s="7">
        <f t="shared" si="0"/>
        <v>214</v>
      </c>
      <c r="I45">
        <f>IF(Table2[[#This Row],[Total/V]]&lt;=Table2[[#This Row],[Total]],1,0)</f>
        <v>1</v>
      </c>
      <c r="J45">
        <v>204.5</v>
      </c>
      <c r="K45"/>
      <c r="L45" s="21">
        <f>(Table2[[#This Row],[H/Pace]]/100)*(VLOOKUP(Table2[[#This Row],[Home/Neutral]],home_lookup,8,FALSE)+VLOOKUP(Table2[[#This Row],[Home/Neutral]],OFR_lookup,2,FALSE)+VLOOKUP(Table2[[#This Row],[Visitor/Neutral]],def_diff_lookup,6,FALSE))</f>
        <v>114.96972060751253</v>
      </c>
      <c r="M45" s="21"/>
      <c r="N45" s="21">
        <f>(Table2[[#This Row],[A/Pace]]/100)*(VLOOKUP(Table2[[#This Row],[Visitor/Neutral]],OFR_lookup,2,FALSE)+VLOOKUP(Table2[[#This Row],[Home/Neutral]],def_diff_lookup,6,FALSE))</f>
        <v>98.776803000000001</v>
      </c>
      <c r="O45" s="21"/>
      <c r="P45" s="21"/>
      <c r="Q45">
        <f>VLOOKUP(Table2[[#This Row],[Home/Neutral]],pace_lookup,7,FALSE)</f>
        <v>96.4</v>
      </c>
      <c r="R45" s="5">
        <f>VLOOKUP(Table2[[#This Row],[Visitor/Neutral]],pace_lookup,7,FALSE)</f>
        <v>101.7</v>
      </c>
      <c r="S45" s="7">
        <f t="shared" si="1"/>
        <v>-18</v>
      </c>
      <c r="T45">
        <v>-12.5</v>
      </c>
      <c r="U45" s="15"/>
      <c r="W45" s="2">
        <f>-home-VLOOKUP(Table2[[#This Row],[Home/Neutral]],rtg_vlookup,4,FALSE)+VLOOKUP(Table2[[#This Row],[Visitor/Neutral]],rtg_vlookup,4,FALSE)</f>
        <v>-21.888688524590165</v>
      </c>
      <c r="X45" s="15"/>
      <c r="Y45" s="2"/>
      <c r="Z45" s="2">
        <f>Table2[[#This Row],[A/EV]]-Table2[[#This Row],[H/EV]]</f>
        <v>-16.192917607512527</v>
      </c>
      <c r="AA45" s="29"/>
      <c r="AB45" s="30"/>
      <c r="AC45" s="30"/>
      <c r="AD45" s="30"/>
      <c r="AE45" s="30"/>
      <c r="AF45" s="7" t="b">
        <f>IF(VLOOKUP(Table2[[#This Row],[Home/Neutral]],division_lookup,9,FALSE)=VLOOKUP(Table2[[#This Row],[Visitor/Neutral]],division_lookup,9,FALSE),TRUE,FALSE)</f>
        <v>1</v>
      </c>
      <c r="AG45" s="15" t="str">
        <f>VLOOKUP(Table2[[#This Row],[Home/Neutral]],division_lookup,9,FALSE)</f>
        <v>P</v>
      </c>
      <c r="AH45" s="15" t="str">
        <f>IF(Table2[[#This Row],[Total/EV]]&lt;Table2[[#This Row],[Total/V]],"UNDER","OVER")</f>
        <v>UNDER</v>
      </c>
      <c r="AI45" s="15"/>
      <c r="AJ45" s="2"/>
      <c r="AK45" s="2"/>
      <c r="AL45" s="18">
        <f>Table2[[#This Row],[SRS]]-Table2[[#This Row],[Spread]]</f>
        <v>-3.8886885245901652</v>
      </c>
      <c r="AM45" s="21">
        <f>Table2[[#This Row],[(A) Err]]^2</f>
        <v>15.121898441279235</v>
      </c>
      <c r="AN45" s="6">
        <f>Table2[[#This Row],[EV]]-Table2[[#This Row],[Spread]]</f>
        <v>1.807082392487473</v>
      </c>
      <c r="AO45" s="1">
        <f>Table2[[#This Row],[EV Err]]^2</f>
        <v>3.2655467732382495</v>
      </c>
      <c r="AP45" s="1"/>
    </row>
    <row r="46" spans="1:42" ht="15.75" thickBot="1" x14ac:dyDescent="0.3">
      <c r="A46" s="99">
        <v>42674</v>
      </c>
      <c r="B46" s="3" t="s">
        <v>135</v>
      </c>
      <c r="C46" s="3" t="s">
        <v>116</v>
      </c>
      <c r="D46" s="3">
        <f>IF((Table2[[#This Row],[Spread]]-Table2[[#This Row],[Spread/V]])=0,1,IF(Table2[[#This Row],[Spread]]&lt;Table2[[#This Row],[Spread/V]],1,0))</f>
        <v>0</v>
      </c>
      <c r="E46" s="37">
        <v>105</v>
      </c>
      <c r="F46" s="3">
        <f>IF((Table2[[#This Row],[Spread]]-Table2[[#This Row],[Spread/V]])=0,1,IF(Table2[[#This Row],[Spread]]&gt;Table2[[#This Row],[Spread/V]],1,0))</f>
        <v>1</v>
      </c>
      <c r="G46" s="37">
        <v>102</v>
      </c>
      <c r="H46" s="38">
        <f t="shared" si="0"/>
        <v>207</v>
      </c>
      <c r="I46" s="37">
        <f>IF(Table2[[#This Row],[Total/V]]&lt;=Table2[[#This Row],[Total]],1,0)</f>
        <v>1</v>
      </c>
      <c r="J46" s="37">
        <v>206.5</v>
      </c>
      <c r="K46" s="37"/>
      <c r="L46" s="39">
        <f>(Table2[[#This Row],[H/Pace]]/100)*(VLOOKUP(Table2[[#This Row],[Home/Neutral]],home_lookup,8,FALSE)+VLOOKUP(Table2[[#This Row],[Home/Neutral]],OFR_lookup,2,FALSE)+VLOOKUP(Table2[[#This Row],[Visitor/Neutral]],def_diff_lookup,6,FALSE))</f>
        <v>109.90704035324615</v>
      </c>
      <c r="M46" s="39"/>
      <c r="N46" s="39">
        <f>(Table2[[#This Row],[A/Pace]]/100)*(VLOOKUP(Table2[[#This Row],[Visitor/Neutral]],OFR_lookup,2,FALSE)+VLOOKUP(Table2[[#This Row],[Home/Neutral]],def_diff_lookup,6,FALSE))</f>
        <v>106.11198566666667</v>
      </c>
      <c r="O46" s="39"/>
      <c r="P46" s="39"/>
      <c r="Q46" s="37">
        <f>VLOOKUP(Table2[[#This Row],[Home/Neutral]],pace_lookup,7,FALSE)</f>
        <v>95.4</v>
      </c>
      <c r="R46" s="37">
        <f>VLOOKUP(Table2[[#This Row],[Visitor/Neutral]],pace_lookup,7,FALSE)</f>
        <v>99.1</v>
      </c>
      <c r="S46" s="38">
        <f t="shared" si="1"/>
        <v>-3</v>
      </c>
      <c r="T46" s="37">
        <v>-6.5</v>
      </c>
      <c r="U46" s="42"/>
      <c r="V46" s="37"/>
      <c r="W46" s="40">
        <f>-home-VLOOKUP(Table2[[#This Row],[Home/Neutral]],rtg_vlookup,4,FALSE)+VLOOKUP(Table2[[#This Row],[Visitor/Neutral]],rtg_vlookup,4,FALSE)</f>
        <v>-9.4586885245901655</v>
      </c>
      <c r="X46" s="42"/>
      <c r="Y46" s="40"/>
      <c r="Z46" s="40">
        <f>Table2[[#This Row],[A/EV]]-Table2[[#This Row],[H/EV]]</f>
        <v>-3.7950546865794763</v>
      </c>
      <c r="AA46" s="41"/>
      <c r="AB46" s="46"/>
      <c r="AC46" s="46"/>
      <c r="AD46" s="46"/>
      <c r="AE46" s="46"/>
      <c r="AF46" s="38" t="b">
        <f>IF(VLOOKUP(Table2[[#This Row],[Home/Neutral]],division_lookup,9,FALSE)=VLOOKUP(Table2[[#This Row],[Visitor/Neutral]],division_lookup,9,FALSE),TRUE,FALSE)</f>
        <v>0</v>
      </c>
      <c r="AG46" s="42" t="str">
        <f>VLOOKUP(Table2[[#This Row],[Home/Neutral]],division_lookup,9,FALSE)</f>
        <v>A</v>
      </c>
      <c r="AH46" s="42" t="str">
        <f>IF(Table2[[#This Row],[Total/EV]]&lt;Table2[[#This Row],[Total/V]],"UNDER","OVER")</f>
        <v>UNDER</v>
      </c>
      <c r="AI46" s="43"/>
      <c r="AJ46" s="40"/>
      <c r="AK46" s="40"/>
      <c r="AL46" s="44">
        <f>Table2[[#This Row],[SRS]]-Table2[[#This Row],[Spread]]</f>
        <v>-6.4586885245901655</v>
      </c>
      <c r="AM46" s="39">
        <f>Table2[[#This Row],[(A) Err]]^2</f>
        <v>41.714657457672686</v>
      </c>
      <c r="AN46" s="45">
        <f>Table2[[#This Row],[EV]]-Table2[[#This Row],[Spread]]</f>
        <v>-0.79505468657947631</v>
      </c>
      <c r="AO46" s="45">
        <f>Table2[[#This Row],[EV Err]]^2</f>
        <v>0.63211195465198933</v>
      </c>
      <c r="AP46" s="63"/>
    </row>
    <row r="47" spans="1:42" x14ac:dyDescent="0.25">
      <c r="A47" s="34">
        <v>42675</v>
      </c>
      <c r="B47" t="s">
        <v>114</v>
      </c>
      <c r="C47" t="s">
        <v>119</v>
      </c>
      <c r="D47">
        <f>IF((Table2[[#This Row],[Spread]]-Table2[[#This Row],[Spread/V]])=0,1,IF(Table2[[#This Row],[Spread]]&lt;Table2[[#This Row],[Spread/V]],1,0))</f>
        <v>0</v>
      </c>
      <c r="E47">
        <v>128</v>
      </c>
      <c r="F47">
        <f>IF((Table2[[#This Row],[Spread]]-Table2[[#This Row],[Spread/V]])=0,1,IF(Table2[[#This Row],[Spread]]&gt;Table2[[#This Row],[Spread/V]],1,0))</f>
        <v>1</v>
      </c>
      <c r="G47">
        <v>120</v>
      </c>
      <c r="H47" s="7">
        <f t="shared" si="0"/>
        <v>248</v>
      </c>
      <c r="I47">
        <f>IF(Table2[[#This Row],[Total/V]]&lt;=Table2[[#This Row],[Total]],1,0)</f>
        <v>1</v>
      </c>
      <c r="J47">
        <v>217.5</v>
      </c>
      <c r="K47"/>
      <c r="L47" s="21">
        <f>(Table2[[#This Row],[H/Pace]]/100)*(VLOOKUP(Table2[[#This Row],[Home/Neutral]],home_lookup,8,FALSE)+VLOOKUP(Table2[[#This Row],[Home/Neutral]],OFR_lookup,2,FALSE)+VLOOKUP(Table2[[#This Row],[Visitor/Neutral]],def_diff_lookup,6,FALSE))</f>
        <v>116.92717276756467</v>
      </c>
      <c r="M47" s="21"/>
      <c r="N47" s="21">
        <f>(Table2[[#This Row],[A/Pace]]/100)*(VLOOKUP(Table2[[#This Row],[Visitor/Neutral]],OFR_lookup,2,FALSE)+VLOOKUP(Table2[[#This Row],[Home/Neutral]],def_diff_lookup,6,FALSE))</f>
        <v>109.03737100000001</v>
      </c>
      <c r="O47" s="21"/>
      <c r="P47" s="21"/>
      <c r="Q47">
        <f>VLOOKUP(Table2[[#This Row],[Home/Neutral]],pace_lookup,7,FALSE)</f>
        <v>97.3</v>
      </c>
      <c r="R47" s="5">
        <f>VLOOKUP(Table2[[#This Row],[Visitor/Neutral]],pace_lookup,7,FALSE)</f>
        <v>96.9</v>
      </c>
      <c r="S47" s="7">
        <f t="shared" si="1"/>
        <v>-8</v>
      </c>
      <c r="T47">
        <v>-9.5</v>
      </c>
      <c r="U47" s="15"/>
      <c r="V47" s="5"/>
      <c r="W47" s="2">
        <f>-home-VLOOKUP(Table2[[#This Row],[Home/Neutral]],rtg_vlookup,4,FALSE)+VLOOKUP(Table2[[#This Row],[Visitor/Neutral]],rtg_vlookup,4,FALSE)</f>
        <v>-7.7486885245901664</v>
      </c>
      <c r="X47" s="15"/>
      <c r="Y47" s="2"/>
      <c r="Z47" s="2">
        <f>Table2[[#This Row],[A/EV]]-Table2[[#This Row],[H/EV]]</f>
        <v>-7.8898017675646628</v>
      </c>
      <c r="AA47" s="29"/>
      <c r="AB47" s="30"/>
      <c r="AC47" s="30"/>
      <c r="AD47" s="30"/>
      <c r="AE47" s="30"/>
      <c r="AF47" s="7" t="b">
        <f>IF(VLOOKUP(Table2[[#This Row],[Home/Neutral]],division_lookup,9,FALSE)=VLOOKUP(Table2[[#This Row],[Visitor/Neutral]],division_lookup,9,FALSE),TRUE,FALSE)</f>
        <v>0</v>
      </c>
      <c r="AG47" s="15" t="str">
        <f>VLOOKUP(Table2[[#This Row],[Home/Neutral]],division_lookup,9,FALSE)</f>
        <v>C</v>
      </c>
      <c r="AH47" s="15" t="str">
        <f>IF(Table2[[#This Row],[Total/EV]]&lt;Table2[[#This Row],[Total/V]],"UNDER","OVER")</f>
        <v>UNDER</v>
      </c>
      <c r="AI47" s="15"/>
      <c r="AJ47" s="2"/>
      <c r="AK47" s="2"/>
      <c r="AL47" s="18">
        <f>Table2[[#This Row],[SRS]]-Table2[[#This Row],[Spread]]</f>
        <v>0.25131147540983356</v>
      </c>
      <c r="AM47" s="21">
        <f>Table2[[#This Row],[(A) Err]]^2</f>
        <v>6.315745767266738E-2</v>
      </c>
      <c r="AN47" s="6">
        <f>Table2[[#This Row],[EV]]-Table2[[#This Row],[Spread]]</f>
        <v>0.11019823243533722</v>
      </c>
      <c r="AO47" s="1">
        <f>Table2[[#This Row],[EV Err]]^2</f>
        <v>1.2143650431872608E-2</v>
      </c>
      <c r="AP47" s="1"/>
    </row>
    <row r="48" spans="1:42" x14ac:dyDescent="0.25">
      <c r="A48" s="34">
        <v>42675</v>
      </c>
      <c r="B48" t="s">
        <v>117</v>
      </c>
      <c r="C48" t="s">
        <v>128</v>
      </c>
      <c r="D48">
        <f>IF((Table2[[#This Row],[Spread]]-Table2[[#This Row],[Spread/V]])=0,1,IF(Table2[[#This Row],[Spread]]&lt;Table2[[#This Row],[Spread/V]],1,0))</f>
        <v>1</v>
      </c>
      <c r="E48">
        <v>102</v>
      </c>
      <c r="F48">
        <f>IF((Table2[[#This Row],[Spread]]-Table2[[#This Row],[Spread/V]])=0,1,IF(Table2[[#This Row],[Spread]]&gt;Table2[[#This Row],[Spread/V]],1,0))</f>
        <v>0</v>
      </c>
      <c r="G48">
        <v>89</v>
      </c>
      <c r="H48" s="7">
        <f t="shared" si="0"/>
        <v>191</v>
      </c>
      <c r="I48">
        <f>IF(Table2[[#This Row],[Total/V]]&lt;=Table2[[#This Row],[Total]],1,0)</f>
        <v>0</v>
      </c>
      <c r="J48">
        <v>202.5</v>
      </c>
      <c r="K48"/>
      <c r="L48" s="21">
        <f>(Table2[[#This Row],[H/Pace]]/100)*(VLOOKUP(Table2[[#This Row],[Home/Neutral]],home_lookup,8,FALSE)+VLOOKUP(Table2[[#This Row],[Home/Neutral]],OFR_lookup,2,FALSE)+VLOOKUP(Table2[[#This Row],[Visitor/Neutral]],def_diff_lookup,6,FALSE))</f>
        <v>115.18819591446429</v>
      </c>
      <c r="M48" s="21"/>
      <c r="N48" s="21">
        <f>(Table2[[#This Row],[A/Pace]]/100)*(VLOOKUP(Table2[[#This Row],[Visitor/Neutral]],OFR_lookup,2,FALSE)+VLOOKUP(Table2[[#This Row],[Home/Neutral]],def_diff_lookup,6,FALSE))</f>
        <v>100.18634699999998</v>
      </c>
      <c r="O48" s="21"/>
      <c r="P48" s="21"/>
      <c r="Q48">
        <f>VLOOKUP(Table2[[#This Row],[Home/Neutral]],pace_lookup,7,FALSE)</f>
        <v>94</v>
      </c>
      <c r="R48" s="5">
        <f>VLOOKUP(Table2[[#This Row],[Visitor/Neutral]],pace_lookup,7,FALSE)</f>
        <v>96.3</v>
      </c>
      <c r="S48" s="7">
        <f t="shared" si="1"/>
        <v>-13</v>
      </c>
      <c r="T48">
        <v>-3.5</v>
      </c>
      <c r="U48" s="15"/>
      <c r="V48" s="5"/>
      <c r="W48" s="2">
        <f>-home-VLOOKUP(Table2[[#This Row],[Home/Neutral]],rtg_vlookup,4,FALSE)+VLOOKUP(Table2[[#This Row],[Visitor/Neutral]],rtg_vlookup,4,FALSE)</f>
        <v>-6.2086885245901655</v>
      </c>
      <c r="X48" s="15"/>
      <c r="Y48" s="2"/>
      <c r="Z48" s="2">
        <f>Table2[[#This Row],[A/EV]]-Table2[[#This Row],[H/EV]]</f>
        <v>-15.001848914464304</v>
      </c>
      <c r="AA48" s="29"/>
      <c r="AB48" s="30"/>
      <c r="AC48" s="30"/>
      <c r="AD48" s="30"/>
      <c r="AE48" s="30"/>
      <c r="AF48" s="7" t="b">
        <f>IF(VLOOKUP(Table2[[#This Row],[Home/Neutral]],division_lookup,9,FALSE)=VLOOKUP(Table2[[#This Row],[Visitor/Neutral]],division_lookup,9,FALSE),TRUE,FALSE)</f>
        <v>0</v>
      </c>
      <c r="AG48" s="15" t="str">
        <f>VLOOKUP(Table2[[#This Row],[Home/Neutral]],division_lookup,9,FALSE)</f>
        <v>C</v>
      </c>
      <c r="AH48" s="15" t="str">
        <f>IF(Table2[[#This Row],[Total/EV]]&lt;Table2[[#This Row],[Total/V]],"UNDER","OVER")</f>
        <v>UNDER</v>
      </c>
      <c r="AI48" s="15"/>
      <c r="AJ48" s="2"/>
      <c r="AK48" s="2"/>
      <c r="AL48" s="18">
        <f>Table2[[#This Row],[SRS]]-Table2[[#This Row],[Spread]]</f>
        <v>6.7913114754098345</v>
      </c>
      <c r="AM48" s="21">
        <f>Table2[[#This Row],[(A) Err]]^2</f>
        <v>46.121911556033304</v>
      </c>
      <c r="AN48" s="6">
        <f>Table2[[#This Row],[EV]]-Table2[[#This Row],[Spread]]</f>
        <v>-2.0018489144643041</v>
      </c>
      <c r="AO48" s="1">
        <f>Table2[[#This Row],[EV Err]]^2</f>
        <v>4.0073990763419127</v>
      </c>
      <c r="AP48" s="1"/>
    </row>
    <row r="49" spans="1:42" x14ac:dyDescent="0.25">
      <c r="A49" s="34">
        <v>42675</v>
      </c>
      <c r="B49" t="s">
        <v>120</v>
      </c>
      <c r="C49" t="s">
        <v>122</v>
      </c>
      <c r="D49">
        <f>IF((Table2[[#This Row],[Spread]]-Table2[[#This Row],[Spread/V]])=0,1,IF(Table2[[#This Row],[Spread]]&lt;Table2[[#This Row],[Spread/V]],1,0))</f>
        <v>0</v>
      </c>
      <c r="E49">
        <v>115</v>
      </c>
      <c r="F49">
        <f>IF((Table2[[#This Row],[Spread]]-Table2[[#This Row],[Spread/V]])=0,1,IF(Table2[[#This Row],[Spread]]&gt;Table2[[#This Row],[Spread/V]],1,0))</f>
        <v>1</v>
      </c>
      <c r="G49">
        <v>108</v>
      </c>
      <c r="H49" s="7">
        <f t="shared" si="0"/>
        <v>223</v>
      </c>
      <c r="I49">
        <f>IF(Table2[[#This Row],[Total/V]]&lt;=Table2[[#This Row],[Total]],1,0)</f>
        <v>1</v>
      </c>
      <c r="J49">
        <v>213.5</v>
      </c>
      <c r="K49"/>
      <c r="L49" s="21">
        <f>(Table2[[#This Row],[H/Pace]]/100)*(VLOOKUP(Table2[[#This Row],[Home/Neutral]],home_lookup,8,FALSE)+VLOOKUP(Table2[[#This Row],[Home/Neutral]],OFR_lookup,2,FALSE)+VLOOKUP(Table2[[#This Row],[Visitor/Neutral]],def_diff_lookup,6,FALSE))</f>
        <v>110.4682154293086</v>
      </c>
      <c r="M49" s="21"/>
      <c r="N49" s="21">
        <f>(Table2[[#This Row],[A/Pace]]/100)*(VLOOKUP(Table2[[#This Row],[Visitor/Neutral]],OFR_lookup,2,FALSE)+VLOOKUP(Table2[[#This Row],[Home/Neutral]],def_diff_lookup,6,FALSE))</f>
        <v>110.94711799999999</v>
      </c>
      <c r="O49" s="21"/>
      <c r="P49" s="21"/>
      <c r="Q49">
        <f>VLOOKUP(Table2[[#This Row],[Home/Neutral]],pace_lookup,7,FALSE)</f>
        <v>98.3</v>
      </c>
      <c r="R49" s="5">
        <f>VLOOKUP(Table2[[#This Row],[Visitor/Neutral]],pace_lookup,7,FALSE)</f>
        <v>100.2</v>
      </c>
      <c r="S49" s="7">
        <f t="shared" si="1"/>
        <v>-7</v>
      </c>
      <c r="T49">
        <v>-9</v>
      </c>
      <c r="U49" s="15"/>
      <c r="W49" s="2">
        <f>-home-VLOOKUP(Table2[[#This Row],[Home/Neutral]],rtg_vlookup,4,FALSE)+VLOOKUP(Table2[[#This Row],[Visitor/Neutral]],rtg_vlookup,4,FALSE)</f>
        <v>-0.32868852459016562</v>
      </c>
      <c r="X49" s="15"/>
      <c r="Y49" s="2"/>
      <c r="Z49" s="2">
        <f>Table2[[#This Row],[A/EV]]-Table2[[#This Row],[H/EV]]</f>
        <v>0.47890257069138897</v>
      </c>
      <c r="AA49" s="29"/>
      <c r="AB49" s="30"/>
      <c r="AC49" s="30"/>
      <c r="AD49" s="30"/>
      <c r="AE49" s="30"/>
      <c r="AF49" s="7" t="b">
        <f>IF(VLOOKUP(Table2[[#This Row],[Home/Neutral]],division_lookup,9,FALSE)=VLOOKUP(Table2[[#This Row],[Visitor/Neutral]],division_lookup,9,FALSE),TRUE,FALSE)</f>
        <v>0</v>
      </c>
      <c r="AG49" s="15" t="str">
        <f>VLOOKUP(Table2[[#This Row],[Home/Neutral]],division_lookup,9,FALSE)</f>
        <v>C</v>
      </c>
      <c r="AH49" s="15" t="str">
        <f>IF(Table2[[#This Row],[Total/EV]]&lt;Table2[[#This Row],[Total/V]],"UNDER","OVER")</f>
        <v>UNDER</v>
      </c>
      <c r="AI49" s="15"/>
      <c r="AJ49" s="2"/>
      <c r="AK49" s="2"/>
      <c r="AL49" s="18">
        <f>Table2[[#This Row],[SRS]]-Table2[[#This Row],[Spread]]</f>
        <v>6.6713114754098344</v>
      </c>
      <c r="AM49" s="21">
        <f>Table2[[#This Row],[(A) Err]]^2</f>
        <v>44.50639680193494</v>
      </c>
      <c r="AN49" s="6">
        <f>Table2[[#This Row],[EV]]-Table2[[#This Row],[Spread]]</f>
        <v>7.478902570691389</v>
      </c>
      <c r="AO49" s="1">
        <f>Table2[[#This Row],[EV Err]]^2</f>
        <v>55.933983661894267</v>
      </c>
      <c r="AP49" s="1"/>
    </row>
    <row r="50" spans="1:42" x14ac:dyDescent="0.25">
      <c r="A50" s="34">
        <v>42675</v>
      </c>
      <c r="B50" t="s">
        <v>124</v>
      </c>
      <c r="C50" t="s">
        <v>133</v>
      </c>
      <c r="D50">
        <f>IF((Table2[[#This Row],[Spread]]-Table2[[#This Row],[Spread/V]])=0,1,IF(Table2[[#This Row],[Spread]]&lt;Table2[[#This Row],[Spread/V]],1,0))</f>
        <v>1</v>
      </c>
      <c r="E50">
        <v>108</v>
      </c>
      <c r="F50">
        <f>IF((Table2[[#This Row],[Spread]]-Table2[[#This Row],[Spread/V]])=0,1,IF(Table2[[#This Row],[Spread]]&gt;Table2[[#This Row],[Spread/V]],1,0))</f>
        <v>0</v>
      </c>
      <c r="G50">
        <v>96</v>
      </c>
      <c r="H50" s="7">
        <f t="shared" si="0"/>
        <v>204</v>
      </c>
      <c r="I50">
        <f>IF(Table2[[#This Row],[Total/V]]&lt;=Table2[[#This Row],[Total]],1,0)</f>
        <v>1</v>
      </c>
      <c r="J50">
        <v>199.5</v>
      </c>
      <c r="K50"/>
      <c r="L50" s="21">
        <f>(Table2[[#This Row],[H/Pace]]/100)*(VLOOKUP(Table2[[#This Row],[Home/Neutral]],home_lookup,8,FALSE)+VLOOKUP(Table2[[#This Row],[Home/Neutral]],OFR_lookup,2,FALSE)+VLOOKUP(Table2[[#This Row],[Visitor/Neutral]],def_diff_lookup,6,FALSE))</f>
        <v>104.22781517723557</v>
      </c>
      <c r="M50" s="21"/>
      <c r="N50" s="21">
        <f>(Table2[[#This Row],[A/Pace]]/100)*(VLOOKUP(Table2[[#This Row],[Visitor/Neutral]],OFR_lookup,2,FALSE)+VLOOKUP(Table2[[#This Row],[Home/Neutral]],def_diff_lookup,6,FALSE))</f>
        <v>99.631258000000003</v>
      </c>
      <c r="O50" s="21"/>
      <c r="P50" s="21"/>
      <c r="Q50">
        <f>VLOOKUP(Table2[[#This Row],[Home/Neutral]],pace_lookup,7,FALSE)</f>
        <v>93.7</v>
      </c>
      <c r="R50" s="5">
        <f>VLOOKUP(Table2[[#This Row],[Visitor/Neutral]],pace_lookup,7,FALSE)</f>
        <v>94.2</v>
      </c>
      <c r="S50" s="7">
        <f t="shared" si="1"/>
        <v>-12</v>
      </c>
      <c r="T50">
        <v>-3.5</v>
      </c>
      <c r="U50" s="15"/>
      <c r="W50" s="2">
        <f>-home-VLOOKUP(Table2[[#This Row],[Home/Neutral]],rtg_vlookup,4,FALSE)+VLOOKUP(Table2[[#This Row],[Visitor/Neutral]],rtg_vlookup,4,FALSE)</f>
        <v>-3.4986885245901655</v>
      </c>
      <c r="X50" s="15"/>
      <c r="Y50" s="2"/>
      <c r="Z50" s="2">
        <f>Table2[[#This Row],[A/EV]]-Table2[[#This Row],[H/EV]]</f>
        <v>-4.5965571772355673</v>
      </c>
      <c r="AA50" s="29"/>
      <c r="AB50" s="30"/>
      <c r="AC50" s="30"/>
      <c r="AD50" s="30"/>
      <c r="AE50" s="30"/>
      <c r="AF50" s="7" t="b">
        <f>IF(VLOOKUP(Table2[[#This Row],[Home/Neutral]],division_lookup,9,FALSE)=VLOOKUP(Table2[[#This Row],[Visitor/Neutral]],division_lookup,9,FALSE),TRUE,FALSE)</f>
        <v>0</v>
      </c>
      <c r="AG50" s="15" t="str">
        <f>VLOOKUP(Table2[[#This Row],[Home/Neutral]],division_lookup,9,FALSE)</f>
        <v>SE</v>
      </c>
      <c r="AH50" s="15" t="str">
        <f>IF(Table2[[#This Row],[Total/EV]]&lt;Table2[[#This Row],[Total/V]],"UNDER","OVER")</f>
        <v>UNDER</v>
      </c>
      <c r="AI50" s="15"/>
      <c r="AJ50" s="2"/>
      <c r="AK50" s="2"/>
      <c r="AL50" s="18">
        <f>Table2[[#This Row],[SRS]]-Table2[[#This Row],[Spread]]</f>
        <v>8.5013114754098353</v>
      </c>
      <c r="AM50" s="21">
        <f>Table2[[#This Row],[(A) Err]]^2</f>
        <v>72.272296801934957</v>
      </c>
      <c r="AN50" s="6">
        <f>Table2[[#This Row],[EV]]-Table2[[#This Row],[Spread]]</f>
        <v>7.4034428227644327</v>
      </c>
      <c r="AO50" s="1">
        <f>Table2[[#This Row],[EV Err]]^2</f>
        <v>54.810965629942189</v>
      </c>
      <c r="AP50" s="1"/>
    </row>
    <row r="51" spans="1:42" x14ac:dyDescent="0.25">
      <c r="A51" s="34">
        <v>42675</v>
      </c>
      <c r="B51" t="s">
        <v>126</v>
      </c>
      <c r="C51" t="s">
        <v>123</v>
      </c>
      <c r="D51">
        <f>IF((Table2[[#This Row],[Spread]]-Table2[[#This Row],[Spread/V]])=0,1,IF(Table2[[#This Row],[Spread]]&lt;Table2[[#This Row],[Spread/V]],1,0))</f>
        <v>1</v>
      </c>
      <c r="E51">
        <v>116</v>
      </c>
      <c r="F51">
        <f>IF((Table2[[#This Row],[Spread]]-Table2[[#This Row],[Spread/V]])=0,1,IF(Table2[[#This Row],[Spread]]&gt;Table2[[#This Row],[Spread/V]],1,0))</f>
        <v>0</v>
      </c>
      <c r="G51">
        <v>80</v>
      </c>
      <c r="H51" s="7">
        <f t="shared" si="0"/>
        <v>196</v>
      </c>
      <c r="I51">
        <f>IF(Table2[[#This Row],[Total/V]]&lt;=Table2[[#This Row],[Total]],1,0)</f>
        <v>0</v>
      </c>
      <c r="J51">
        <v>197.5</v>
      </c>
      <c r="K51"/>
      <c r="L51" s="21">
        <f>(Table2[[#This Row],[H/Pace]]/100)*(VLOOKUP(Table2[[#This Row],[Home/Neutral]],home_lookup,8,FALSE)+VLOOKUP(Table2[[#This Row],[Home/Neutral]],OFR_lookup,2,FALSE)+VLOOKUP(Table2[[#This Row],[Visitor/Neutral]],def_diff_lookup,6,FALSE))</f>
        <v>111.50510777050785</v>
      </c>
      <c r="M51" s="21"/>
      <c r="N51" s="21">
        <f>(Table2[[#This Row],[A/Pace]]/100)*(VLOOKUP(Table2[[#This Row],[Visitor/Neutral]],OFR_lookup,2,FALSE)+VLOOKUP(Table2[[#This Row],[Home/Neutral]],def_diff_lookup,6,FALSE))</f>
        <v>98.980241666666657</v>
      </c>
      <c r="O51" s="21"/>
      <c r="P51" s="21"/>
      <c r="Q51">
        <f>VLOOKUP(Table2[[#This Row],[Home/Neutral]],pace_lookup,7,FALSE)</f>
        <v>95.7</v>
      </c>
      <c r="R51" s="5">
        <f>VLOOKUP(Table2[[#This Row],[Visitor/Neutral]],pace_lookup,7,FALSE)</f>
        <v>92.5</v>
      </c>
      <c r="S51" s="7">
        <f t="shared" si="1"/>
        <v>-36</v>
      </c>
      <c r="T51">
        <v>-7.5</v>
      </c>
      <c r="U51" s="15"/>
      <c r="W51" s="2">
        <f>-home-VLOOKUP(Table2[[#This Row],[Home/Neutral]],rtg_vlookup,4,FALSE)+VLOOKUP(Table2[[#This Row],[Visitor/Neutral]],rtg_vlookup,4,FALSE)</f>
        <v>-0.91868852459016581</v>
      </c>
      <c r="X51" s="15"/>
      <c r="Y51" s="2"/>
      <c r="Z51" s="2">
        <f>Table2[[#This Row],[A/EV]]-Table2[[#This Row],[H/EV]]</f>
        <v>-12.524866103841191</v>
      </c>
      <c r="AA51" s="29"/>
      <c r="AB51" s="30"/>
      <c r="AC51" s="30"/>
      <c r="AD51" s="30"/>
      <c r="AE51" s="30"/>
      <c r="AF51" s="7" t="b">
        <f>IF(VLOOKUP(Table2[[#This Row],[Home/Neutral]],division_lookup,9,FALSE)=VLOOKUP(Table2[[#This Row],[Visitor/Neutral]],division_lookup,9,FALSE),TRUE,FALSE)</f>
        <v>0</v>
      </c>
      <c r="AG51" s="15" t="str">
        <f>VLOOKUP(Table2[[#This Row],[Home/Neutral]],division_lookup,9,FALSE)</f>
        <v>NW</v>
      </c>
      <c r="AH51" s="15" t="str">
        <f>IF(Table2[[#This Row],[Total/EV]]&lt;Table2[[#This Row],[Total/V]],"UNDER","OVER")</f>
        <v>UNDER</v>
      </c>
      <c r="AI51" s="15"/>
      <c r="AJ51" s="2"/>
      <c r="AK51" s="2"/>
      <c r="AL51" s="18">
        <f>Table2[[#This Row],[SRS]]-Table2[[#This Row],[Spread]]</f>
        <v>35.081311475409834</v>
      </c>
      <c r="AM51" s="21">
        <f>Table2[[#This Row],[(A) Err]]^2</f>
        <v>1230.6984148347217</v>
      </c>
      <c r="AN51" s="6">
        <f>Table2[[#This Row],[EV]]-Table2[[#This Row],[Spread]]</f>
        <v>23.475133896158809</v>
      </c>
      <c r="AO51" s="1">
        <f>Table2[[#This Row],[EV Err]]^2</f>
        <v>551.08191144258421</v>
      </c>
      <c r="AP51" s="1"/>
    </row>
    <row r="52" spans="1:42" x14ac:dyDescent="0.25">
      <c r="A52" s="34">
        <v>42675</v>
      </c>
      <c r="B52" t="s">
        <v>127</v>
      </c>
      <c r="C52" t="s">
        <v>125</v>
      </c>
      <c r="D52">
        <f>IF((Table2[[#This Row],[Spread]]-Table2[[#This Row],[Spread/V]])=0,1,IF(Table2[[#This Row],[Spread]]&lt;Table2[[#This Row],[Spread/V]],1,0))</f>
        <v>0</v>
      </c>
      <c r="E52">
        <v>113</v>
      </c>
      <c r="F52">
        <f>IF((Table2[[#This Row],[Spread]]-Table2[[#This Row],[Spread/V]])=0,1,IF(Table2[[#This Row],[Spread]]&gt;Table2[[#This Row],[Spread/V]],1,0))</f>
        <v>1</v>
      </c>
      <c r="G52">
        <v>117</v>
      </c>
      <c r="H52" s="7">
        <f t="shared" si="0"/>
        <v>230</v>
      </c>
      <c r="I52">
        <f>IF(Table2[[#This Row],[Total/V]]&lt;=Table2[[#This Row],[Total]],1,0)</f>
        <v>1</v>
      </c>
      <c r="J52">
        <v>204.5</v>
      </c>
      <c r="K52"/>
      <c r="L52" s="21">
        <f>(Table2[[#This Row],[H/Pace]]/100)*(VLOOKUP(Table2[[#This Row],[Home/Neutral]],home_lookup,8,FALSE)+VLOOKUP(Table2[[#This Row],[Home/Neutral]],OFR_lookup,2,FALSE)+VLOOKUP(Table2[[#This Row],[Visitor/Neutral]],def_diff_lookup,6,FALSE))</f>
        <v>104.73501493743048</v>
      </c>
      <c r="M52" s="21"/>
      <c r="N52" s="21">
        <f>(Table2[[#This Row],[A/Pace]]/100)*(VLOOKUP(Table2[[#This Row],[Visitor/Neutral]],OFR_lookup,2,FALSE)+VLOOKUP(Table2[[#This Row],[Home/Neutral]],def_diff_lookup,6,FALSE))</f>
        <v>100.85278566666665</v>
      </c>
      <c r="O52" s="21"/>
      <c r="P52" s="21"/>
      <c r="Q52">
        <f>VLOOKUP(Table2[[#This Row],[Home/Neutral]],pace_lookup,7,FALSE)</f>
        <v>99.3</v>
      </c>
      <c r="R52" s="5">
        <f>VLOOKUP(Table2[[#This Row],[Visitor/Neutral]],pace_lookup,7,FALSE)</f>
        <v>96.1</v>
      </c>
      <c r="S52" s="7">
        <f t="shared" si="1"/>
        <v>4</v>
      </c>
      <c r="T52">
        <v>-3.5</v>
      </c>
      <c r="U52" s="15"/>
      <c r="W52" s="2">
        <f>-home-VLOOKUP(Table2[[#This Row],[Home/Neutral]],rtg_vlookup,4,FALSE)+VLOOKUP(Table2[[#This Row],[Visitor/Neutral]],rtg_vlookup,4,FALSE)</f>
        <v>-2.5986885245901656</v>
      </c>
      <c r="X52" s="15"/>
      <c r="Y52" s="2"/>
      <c r="Z52" s="2">
        <f>Table2[[#This Row],[A/EV]]-Table2[[#This Row],[H/EV]]</f>
        <v>-3.8822292707638297</v>
      </c>
      <c r="AA52" s="29"/>
      <c r="AB52" s="30"/>
      <c r="AC52" s="30"/>
      <c r="AD52" s="30"/>
      <c r="AE52" s="30"/>
      <c r="AF52" s="7" t="b">
        <f>IF(VLOOKUP(Table2[[#This Row],[Home/Neutral]],division_lookup,9,FALSE)=VLOOKUP(Table2[[#This Row],[Visitor/Neutral]],division_lookup,9,FALSE),TRUE,FALSE)</f>
        <v>0</v>
      </c>
      <c r="AG52" s="15" t="str">
        <f>VLOOKUP(Table2[[#This Row],[Home/Neutral]],division_lookup,9,FALSE)</f>
        <v>SW</v>
      </c>
      <c r="AH52" s="15" t="str">
        <f>IF(Table2[[#This Row],[Total/EV]]&lt;Table2[[#This Row],[Total/V]],"UNDER","OVER")</f>
        <v>UNDER</v>
      </c>
      <c r="AI52" s="15"/>
      <c r="AJ52" s="2"/>
      <c r="AK52" s="2"/>
      <c r="AL52" s="18">
        <f>Table2[[#This Row],[SRS]]-Table2[[#This Row],[Spread]]</f>
        <v>-6.5986885245901661</v>
      </c>
      <c r="AM52" s="21">
        <f>Table2[[#This Row],[(A) Err]]^2</f>
        <v>43.542690244557946</v>
      </c>
      <c r="AN52" s="6">
        <f>Table2[[#This Row],[EV]]-Table2[[#This Row],[Spread]]</f>
        <v>-7.8822292707638297</v>
      </c>
      <c r="AO52" s="1">
        <f>Table2[[#This Row],[EV Err]]^2</f>
        <v>62.129538276886095</v>
      </c>
      <c r="AP52" s="1"/>
    </row>
    <row r="53" spans="1:42" x14ac:dyDescent="0.25">
      <c r="A53" s="34">
        <v>42675</v>
      </c>
      <c r="B53" t="s">
        <v>138</v>
      </c>
      <c r="C53" t="s">
        <v>130</v>
      </c>
      <c r="D53">
        <f>IF((Table2[[#This Row],[Spread]]-Table2[[#This Row],[Spread/V]])=0,1,IF(Table2[[#This Row],[Spread]]&lt;Table2[[#This Row],[Spread/V]],1,0))</f>
        <v>0</v>
      </c>
      <c r="E53">
        <v>101</v>
      </c>
      <c r="F53">
        <f>IF((Table2[[#This Row],[Spread]]-Table2[[#This Row],[Spread/V]])=0,1,IF(Table2[[#This Row],[Spread]]&gt;Table2[[#This Row],[Spread/V]],1,0))</f>
        <v>1</v>
      </c>
      <c r="G53">
        <v>103</v>
      </c>
      <c r="H53" s="7">
        <f t="shared" si="0"/>
        <v>204</v>
      </c>
      <c r="I53">
        <f>IF(Table2[[#This Row],[Total/V]]&lt;=Table2[[#This Row],[Total]],1,0)</f>
        <v>1</v>
      </c>
      <c r="J53">
        <v>198.5</v>
      </c>
      <c r="K53"/>
      <c r="L53" s="21">
        <f>(Table2[[#This Row],[H/Pace]]/100)*(VLOOKUP(Table2[[#This Row],[Home/Neutral]],home_lookup,8,FALSE)+VLOOKUP(Table2[[#This Row],[Home/Neutral]],OFR_lookup,2,FALSE)+VLOOKUP(Table2[[#This Row],[Visitor/Neutral]],def_diff_lookup,6,FALSE))</f>
        <v>98.9197835312401</v>
      </c>
      <c r="M53" s="21"/>
      <c r="N53" s="21">
        <f>(Table2[[#This Row],[A/Pace]]/100)*(VLOOKUP(Table2[[#This Row],[Visitor/Neutral]],OFR_lookup,2,FALSE)+VLOOKUP(Table2[[#This Row],[Home/Neutral]],def_diff_lookup,6,FALSE))</f>
        <v>93.772018000000003</v>
      </c>
      <c r="O53" s="21"/>
      <c r="P53" s="21"/>
      <c r="Q53">
        <f>VLOOKUP(Table2[[#This Row],[Home/Neutral]],pace_lookup,7,FALSE)</f>
        <v>97.5</v>
      </c>
      <c r="R53" s="5">
        <f>VLOOKUP(Table2[[#This Row],[Visitor/Neutral]],pace_lookup,7,FALSE)</f>
        <v>94.2</v>
      </c>
      <c r="S53" s="7">
        <f t="shared" si="1"/>
        <v>2</v>
      </c>
      <c r="T53">
        <v>-5</v>
      </c>
      <c r="U53" s="15"/>
      <c r="W53" s="2">
        <f>-home-VLOOKUP(Table2[[#This Row],[Home/Neutral]],rtg_vlookup,4,FALSE)+VLOOKUP(Table2[[#This Row],[Visitor/Neutral]],rtg_vlookup,4,FALSE)</f>
        <v>-1.7786885245901658</v>
      </c>
      <c r="X53" s="15"/>
      <c r="Y53" s="2"/>
      <c r="Z53" s="2">
        <f>Table2[[#This Row],[A/EV]]-Table2[[#This Row],[H/EV]]</f>
        <v>-5.1477655312400969</v>
      </c>
      <c r="AA53" s="29"/>
      <c r="AB53" s="30"/>
      <c r="AC53" s="30"/>
      <c r="AD53" s="30"/>
      <c r="AE53" s="30"/>
      <c r="AF53" s="7" t="b">
        <f>IF(VLOOKUP(Table2[[#This Row],[Home/Neutral]],division_lookup,9,FALSE)=VLOOKUP(Table2[[#This Row],[Visitor/Neutral]],division_lookup,9,FALSE),TRUE,FALSE)</f>
        <v>0</v>
      </c>
      <c r="AG53" s="15" t="str">
        <f>VLOOKUP(Table2[[#This Row],[Home/Neutral]],division_lookup,9,FALSE)</f>
        <v>A</v>
      </c>
      <c r="AH53" s="15" t="str">
        <f>IF(Table2[[#This Row],[Total/EV]]&lt;Table2[[#This Row],[Total/V]],"UNDER","OVER")</f>
        <v>UNDER</v>
      </c>
      <c r="AI53" s="15"/>
      <c r="AJ53" s="2"/>
      <c r="AK53" s="2"/>
      <c r="AL53" s="18">
        <f>Table2[[#This Row],[SRS]]-Table2[[#This Row],[Spread]]</f>
        <v>-3.7786885245901658</v>
      </c>
      <c r="AM53" s="21">
        <f>Table2[[#This Row],[(A) Err]]^2</f>
        <v>14.278486965869405</v>
      </c>
      <c r="AN53" s="6">
        <f>Table2[[#This Row],[EV]]-Table2[[#This Row],[Spread]]</f>
        <v>-7.1477655312400969</v>
      </c>
      <c r="AO53" s="1">
        <f>Table2[[#This Row],[EV Err]]^2</f>
        <v>51.090552089584023</v>
      </c>
      <c r="AP53" s="1"/>
    </row>
    <row r="54" spans="1:42" x14ac:dyDescent="0.25">
      <c r="A54" s="34">
        <v>42675</v>
      </c>
      <c r="B54" t="s">
        <v>132</v>
      </c>
      <c r="C54" t="s">
        <v>118</v>
      </c>
      <c r="D54">
        <f>IF((Table2[[#This Row],[Spread]]-Table2[[#This Row],[Spread/V]])=0,1,IF(Table2[[#This Row],[Spread]]&lt;Table2[[#This Row],[Spread/V]],1,0))</f>
        <v>0</v>
      </c>
      <c r="E54">
        <v>104</v>
      </c>
      <c r="F54">
        <f>IF((Table2[[#This Row],[Spread]]-Table2[[#This Row],[Spread/V]])=0,1,IF(Table2[[#This Row],[Spread]]&gt;Table2[[#This Row],[Spread/V]],1,0))</f>
        <v>1</v>
      </c>
      <c r="G54">
        <v>127</v>
      </c>
      <c r="H54" s="7">
        <f t="shared" si="0"/>
        <v>231</v>
      </c>
      <c r="I54">
        <f>IF(Table2[[#This Row],[Total/V]]&lt;=Table2[[#This Row],[Total]],1,0)</f>
        <v>1</v>
      </c>
      <c r="J54">
        <v>226</v>
      </c>
      <c r="K54"/>
      <c r="L54" s="21">
        <f>(Table2[[#This Row],[H/Pace]]/100)*(VLOOKUP(Table2[[#This Row],[Home/Neutral]],home_lookup,8,FALSE)+VLOOKUP(Table2[[#This Row],[Home/Neutral]],OFR_lookup,2,FALSE)+VLOOKUP(Table2[[#This Row],[Visitor/Neutral]],def_diff_lookup,6,FALSE))</f>
        <v>107.8483014460698</v>
      </c>
      <c r="M54" s="21"/>
      <c r="N54" s="21">
        <f>(Table2[[#This Row],[A/Pace]]/100)*(VLOOKUP(Table2[[#This Row],[Visitor/Neutral]],OFR_lookup,2,FALSE)+VLOOKUP(Table2[[#This Row],[Home/Neutral]],def_diff_lookup,6,FALSE))</f>
        <v>122.94548933333333</v>
      </c>
      <c r="O54" s="21"/>
      <c r="P54" s="21"/>
      <c r="Q54">
        <f>VLOOKUP(Table2[[#This Row],[Home/Neutral]],pace_lookup,7,FALSE)</f>
        <v>98.8</v>
      </c>
      <c r="R54" s="5">
        <f>VLOOKUP(Table2[[#This Row],[Visitor/Neutral]],pace_lookup,7,FALSE)</f>
        <v>100.4</v>
      </c>
      <c r="S54" s="7">
        <f t="shared" si="1"/>
        <v>23</v>
      </c>
      <c r="T54">
        <v>-6</v>
      </c>
      <c r="U54" s="15"/>
      <c r="W54" s="2">
        <f>-home-VLOOKUP(Table2[[#This Row],[Home/Neutral]],rtg_vlookup,4,FALSE)+VLOOKUP(Table2[[#This Row],[Visitor/Neutral]],rtg_vlookup,4,FALSE)</f>
        <v>11.081311475409834</v>
      </c>
      <c r="X54" s="15"/>
      <c r="Y54" s="2"/>
      <c r="Z54" s="2">
        <f>Table2[[#This Row],[A/EV]]-Table2[[#This Row],[H/EV]]</f>
        <v>15.09718788726353</v>
      </c>
      <c r="AA54" s="29"/>
      <c r="AB54" s="30"/>
      <c r="AC54" s="30"/>
      <c r="AD54" s="30"/>
      <c r="AE54" s="30"/>
      <c r="AF54" s="7" t="b">
        <f>IF(VLOOKUP(Table2[[#This Row],[Home/Neutral]],division_lookup,9,FALSE)=VLOOKUP(Table2[[#This Row],[Visitor/Neutral]],division_lookup,9,FALSE),TRUE,FALSE)</f>
        <v>0</v>
      </c>
      <c r="AG54" s="15" t="str">
        <f>VLOOKUP(Table2[[#This Row],[Home/Neutral]],division_lookup,9,FALSE)</f>
        <v>NW</v>
      </c>
      <c r="AH54" s="15" t="str">
        <f>IF(Table2[[#This Row],[Total/EV]]&lt;Table2[[#This Row],[Total/V]],"UNDER","OVER")</f>
        <v>UNDER</v>
      </c>
      <c r="AI54" s="15"/>
      <c r="AJ54" s="2"/>
      <c r="AK54" s="2"/>
      <c r="AL54" s="18">
        <f>Table2[[#This Row],[SRS]]-Table2[[#This Row],[Spread]]</f>
        <v>-11.918688524590166</v>
      </c>
      <c r="AM54" s="21">
        <f>Table2[[#This Row],[(A) Err]]^2</f>
        <v>142.05513614619733</v>
      </c>
      <c r="AN54" s="6">
        <f>Table2[[#This Row],[EV]]-Table2[[#This Row],[Spread]]</f>
        <v>-7.9028121127364699</v>
      </c>
      <c r="AO54" s="1">
        <f>Table2[[#This Row],[EV Err]]^2</f>
        <v>62.454439289214264</v>
      </c>
      <c r="AP54" s="1"/>
    </row>
    <row r="55" spans="1:42" ht="15.75" thickBot="1" x14ac:dyDescent="0.3">
      <c r="A55" s="100">
        <v>42675</v>
      </c>
      <c r="B55" s="3" t="s">
        <v>134</v>
      </c>
      <c r="C55" s="3" t="s">
        <v>136</v>
      </c>
      <c r="D55" s="3">
        <f>IF((Table2[[#This Row],[Spread]]-Table2[[#This Row],[Spread/V]])=0,1,IF(Table2[[#This Row],[Spread]]&lt;Table2[[#This Row],[Spread/V]],1,0))</f>
        <v>0</v>
      </c>
      <c r="E55" s="3">
        <v>91</v>
      </c>
      <c r="F55" s="3">
        <f>IF((Table2[[#This Row],[Spread]]-Table2[[#This Row],[Spread/V]])=0,1,IF(Table2[[#This Row],[Spread]]&gt;Table2[[#This Row],[Spread/V]],1,0))</f>
        <v>1</v>
      </c>
      <c r="G55" s="3">
        <v>106</v>
      </c>
      <c r="H55" s="8">
        <f t="shared" si="0"/>
        <v>197</v>
      </c>
      <c r="I55" s="3">
        <f>IF(Table2[[#This Row],[Total/V]]&lt;=Table2[[#This Row],[Total]],1,0)</f>
        <v>1</v>
      </c>
      <c r="J55" s="3">
        <v>186</v>
      </c>
      <c r="K55" s="3"/>
      <c r="L55" s="22">
        <f>(Table2[[#This Row],[H/Pace]]/100)*(VLOOKUP(Table2[[#This Row],[Home/Neutral]],home_lookup,8,FALSE)+VLOOKUP(Table2[[#This Row],[Home/Neutral]],OFR_lookup,2,FALSE)+VLOOKUP(Table2[[#This Row],[Visitor/Neutral]],def_diff_lookup,6,FALSE))</f>
        <v>96.479813436381932</v>
      </c>
      <c r="M55" s="22"/>
      <c r="N55" s="22">
        <f>(Table2[[#This Row],[A/Pace]]/100)*(VLOOKUP(Table2[[#This Row],[Visitor/Neutral]],OFR_lookup,2,FALSE)+VLOOKUP(Table2[[#This Row],[Home/Neutral]],def_diff_lookup,6,FALSE))</f>
        <v>96.125934999999998</v>
      </c>
      <c r="O55" s="22"/>
      <c r="P55" s="22"/>
      <c r="Q55" s="3">
        <f>VLOOKUP(Table2[[#This Row],[Home/Neutral]],pace_lookup,7,FALSE)</f>
        <v>93.4</v>
      </c>
      <c r="R55" s="3">
        <f>VLOOKUP(Table2[[#This Row],[Visitor/Neutral]],pace_lookup,7,FALSE)</f>
        <v>91.5</v>
      </c>
      <c r="S55" s="8">
        <f t="shared" si="1"/>
        <v>15</v>
      </c>
      <c r="T55" s="3">
        <v>-10</v>
      </c>
      <c r="U55" s="16"/>
      <c r="V55" s="3"/>
      <c r="W55" s="9">
        <f>-home-VLOOKUP(Table2[[#This Row],[Home/Neutral]],rtg_vlookup,4,FALSE)+VLOOKUP(Table2[[#This Row],[Visitor/Neutral]],rtg_vlookup,4,FALSE)</f>
        <v>-5.9186885245901646</v>
      </c>
      <c r="X55" s="16"/>
      <c r="Y55" s="9"/>
      <c r="Z55" s="9">
        <f>Table2[[#This Row],[A/EV]]-Table2[[#This Row],[H/EV]]</f>
        <v>-0.35387843638193317</v>
      </c>
      <c r="AA55" s="31"/>
      <c r="AB55" s="32"/>
      <c r="AC55" s="32"/>
      <c r="AD55" s="32"/>
      <c r="AE55" s="32"/>
      <c r="AF55" s="8" t="b">
        <f>IF(VLOOKUP(Table2[[#This Row],[Home/Neutral]],division_lookup,9,FALSE)=VLOOKUP(Table2[[#This Row],[Visitor/Neutral]],division_lookup,9,FALSE),TRUE,FALSE)</f>
        <v>0</v>
      </c>
      <c r="AG55" s="16" t="str">
        <f>VLOOKUP(Table2[[#This Row],[Home/Neutral]],division_lookup,9,FALSE)</f>
        <v>SW</v>
      </c>
      <c r="AH55" s="16" t="str">
        <f>IF(Table2[[#This Row],[Total/EV]]&lt;Table2[[#This Row],[Total/V]],"UNDER","OVER")</f>
        <v>UNDER</v>
      </c>
      <c r="AI55" s="17"/>
      <c r="AJ55" s="9"/>
      <c r="AK55" s="9"/>
      <c r="AL55" s="19">
        <f>Table2[[#This Row],[SRS]]-Table2[[#This Row],[Spread]]</f>
        <v>-20.918688524590166</v>
      </c>
      <c r="AM55" s="22">
        <f>Table2[[#This Row],[(A) Err]]^2</f>
        <v>437.59152958882032</v>
      </c>
      <c r="AN55" s="4">
        <f>Table2[[#This Row],[EV]]-Table2[[#This Row],[Spread]]</f>
        <v>-15.353878436381933</v>
      </c>
      <c r="AO55" s="4">
        <f>Table2[[#This Row],[EV Err]]^2</f>
        <v>235.74158303919413</v>
      </c>
      <c r="AP55" s="6"/>
    </row>
    <row r="56" spans="1:42" x14ac:dyDescent="0.25">
      <c r="A56" s="34">
        <v>42676</v>
      </c>
      <c r="B56" t="s">
        <v>109</v>
      </c>
      <c r="C56" t="s">
        <v>122</v>
      </c>
      <c r="D56">
        <f>IF((Table2[[#This Row],[Spread]]-Table2[[#This Row],[Spread/V]])=0,1,IF(Table2[[#This Row],[Spread]]&lt;Table2[[#This Row],[Spread/V]],1,0))</f>
        <v>0</v>
      </c>
      <c r="E56">
        <v>116</v>
      </c>
      <c r="F56">
        <f>IF((Table2[[#This Row],[Spread]]-Table2[[#This Row],[Spread/V]])=0,1,IF(Table2[[#This Row],[Spread]]&gt;Table2[[#This Row],[Spread/V]],1,0))</f>
        <v>1</v>
      </c>
      <c r="G56">
        <v>123</v>
      </c>
      <c r="H56" s="7">
        <f t="shared" si="0"/>
        <v>239</v>
      </c>
      <c r="I56">
        <f>IF(Table2[[#This Row],[Total/V]]&lt;=Table2[[#This Row],[Total]],1,0)</f>
        <v>1</v>
      </c>
      <c r="J56">
        <v>205</v>
      </c>
      <c r="K56"/>
      <c r="L56" s="21">
        <f>(Table2[[#This Row],[H/Pace]]/100)*(VLOOKUP(Table2[[#This Row],[Home/Neutral]],home_lookup,8,FALSE)+VLOOKUP(Table2[[#This Row],[Home/Neutral]],OFR_lookup,2,FALSE)+VLOOKUP(Table2[[#This Row],[Visitor/Neutral]],def_diff_lookup,6,FALSE))</f>
        <v>104.92896660728637</v>
      </c>
      <c r="M56" s="21"/>
      <c r="N56" s="21">
        <f>(Table2[[#This Row],[A/Pace]]/100)*(VLOOKUP(Table2[[#This Row],[Visitor/Neutral]],OFR_lookup,2,FALSE)+VLOOKUP(Table2[[#This Row],[Home/Neutral]],def_diff_lookup,6,FALSE))</f>
        <v>102.29985799999999</v>
      </c>
      <c r="O56" s="21"/>
      <c r="P56" s="21"/>
      <c r="Q56">
        <f>VLOOKUP(Table2[[#This Row],[Home/Neutral]],pace_lookup,7,FALSE)</f>
        <v>99.2</v>
      </c>
      <c r="R56" s="5">
        <f>VLOOKUP(Table2[[#This Row],[Visitor/Neutral]],pace_lookup,7,FALSE)</f>
        <v>100.2</v>
      </c>
      <c r="S56" s="7">
        <f t="shared" si="1"/>
        <v>7</v>
      </c>
      <c r="T56">
        <v>-12</v>
      </c>
      <c r="U56" s="15"/>
      <c r="W56" s="2">
        <f>-home-VLOOKUP(Table2[[#This Row],[Home/Neutral]],rtg_vlookup,4,FALSE)+VLOOKUP(Table2[[#This Row],[Visitor/Neutral]],rtg_vlookup,4,FALSE)</f>
        <v>-7.308688524590166</v>
      </c>
      <c r="X56" s="15"/>
      <c r="Y56" s="2"/>
      <c r="Z56" s="2">
        <f>Table2[[#This Row],[A/EV]]-Table2[[#This Row],[H/EV]]</f>
        <v>-2.6291086072863834</v>
      </c>
      <c r="AA56" s="29"/>
      <c r="AB56" s="30"/>
      <c r="AC56" s="30"/>
      <c r="AD56" s="30"/>
      <c r="AE56" s="30"/>
      <c r="AF56" s="7" t="b">
        <f>IF(VLOOKUP(Table2[[#This Row],[Home/Neutral]],division_lookup,9,FALSE)=VLOOKUP(Table2[[#This Row],[Visitor/Neutral]],division_lookup,9,FALSE),TRUE,FALSE)</f>
        <v>0</v>
      </c>
      <c r="AG56" s="15" t="str">
        <f>VLOOKUP(Table2[[#This Row],[Home/Neutral]],division_lookup,9,FALSE)</f>
        <v>SE</v>
      </c>
      <c r="AH56" s="15" t="str">
        <f>IF(Table2[[#This Row],[Total/EV]]&lt;Table2[[#This Row],[Total/V]],"UNDER","OVER")</f>
        <v>UNDER</v>
      </c>
      <c r="AI56" s="15"/>
      <c r="AJ56" s="2"/>
      <c r="AK56" s="2"/>
      <c r="AL56" s="18">
        <f>Table2[[#This Row],[SRS]]-Table2[[#This Row],[Spread]]</f>
        <v>-14.308688524590167</v>
      </c>
      <c r="AM56" s="21">
        <f>Table2[[#This Row],[(A) Err]]^2</f>
        <v>204.73856729373833</v>
      </c>
      <c r="AN56" s="6">
        <f>Table2[[#This Row],[EV]]-Table2[[#This Row],[Spread]]</f>
        <v>-9.6291086072863834</v>
      </c>
      <c r="AO56" s="1">
        <f>Table2[[#This Row],[EV Err]]^2</f>
        <v>92.719732570916719</v>
      </c>
      <c r="AP56" s="1"/>
    </row>
    <row r="57" spans="1:42" x14ac:dyDescent="0.25">
      <c r="A57" s="34">
        <v>42676</v>
      </c>
      <c r="B57" t="s">
        <v>110</v>
      </c>
      <c r="C57" t="s">
        <v>113</v>
      </c>
      <c r="D57">
        <f>IF((Table2[[#This Row],[Spread]]-Table2[[#This Row],[Spread/V]])=0,1,IF(Table2[[#This Row],[Spread]]&lt;Table2[[#This Row],[Spread/V]],1,0))</f>
        <v>1</v>
      </c>
      <c r="E57">
        <v>107</v>
      </c>
      <c r="F57">
        <f>IF((Table2[[#This Row],[Spread]]-Table2[[#This Row],[Spread/V]])=0,1,IF(Table2[[#This Row],[Spread]]&gt;Table2[[#This Row],[Spread/V]],1,0))</f>
        <v>0</v>
      </c>
      <c r="G57">
        <v>100</v>
      </c>
      <c r="H57" s="7">
        <f t="shared" si="0"/>
        <v>207</v>
      </c>
      <c r="I57">
        <f>IF(Table2[[#This Row],[Total/V]]&lt;=Table2[[#This Row],[Total]],1,0)</f>
        <v>1</v>
      </c>
      <c r="J57">
        <v>207</v>
      </c>
      <c r="K57"/>
      <c r="L57" s="21">
        <f>(Table2[[#This Row],[H/Pace]]/100)*(VLOOKUP(Table2[[#This Row],[Home/Neutral]],home_lookup,8,FALSE)+VLOOKUP(Table2[[#This Row],[Home/Neutral]],OFR_lookup,2,FALSE)+VLOOKUP(Table2[[#This Row],[Visitor/Neutral]],def_diff_lookup,6,FALSE))</f>
        <v>105.33017118900941</v>
      </c>
      <c r="M57" s="21"/>
      <c r="N57" s="21">
        <f>(Table2[[#This Row],[A/Pace]]/100)*(VLOOKUP(Table2[[#This Row],[Visitor/Neutral]],OFR_lookup,2,FALSE)+VLOOKUP(Table2[[#This Row],[Home/Neutral]],def_diff_lookup,6,FALSE))</f>
        <v>106.098949</v>
      </c>
      <c r="O57" s="21"/>
      <c r="P57" s="21"/>
      <c r="Q57">
        <f>VLOOKUP(Table2[[#This Row],[Home/Neutral]],pace_lookup,7,FALSE)</f>
        <v>96.2</v>
      </c>
      <c r="R57" s="5">
        <f>VLOOKUP(Table2[[#This Row],[Visitor/Neutral]],pace_lookup,7,FALSE)</f>
        <v>95.1</v>
      </c>
      <c r="S57" s="7">
        <f t="shared" si="1"/>
        <v>-7</v>
      </c>
      <c r="T57">
        <v>-3</v>
      </c>
      <c r="U57" s="15"/>
      <c r="W57" s="2">
        <f>-home-VLOOKUP(Table2[[#This Row],[Home/Neutral]],rtg_vlookup,4,FALSE)+VLOOKUP(Table2[[#This Row],[Visitor/Neutral]],rtg_vlookup,4,FALSE)</f>
        <v>1.3913114754098346</v>
      </c>
      <c r="X57" s="15"/>
      <c r="Y57" s="2"/>
      <c r="Z57" s="2">
        <f>Table2[[#This Row],[A/EV]]-Table2[[#This Row],[H/EV]]</f>
        <v>0.76877781099059916</v>
      </c>
      <c r="AA57" s="29"/>
      <c r="AB57" s="30"/>
      <c r="AC57" s="30"/>
      <c r="AD57" s="30"/>
      <c r="AE57" s="30"/>
      <c r="AF57" s="7" t="b">
        <f>IF(VLOOKUP(Table2[[#This Row],[Home/Neutral]],division_lookup,9,FALSE)=VLOOKUP(Table2[[#This Row],[Visitor/Neutral]],division_lookup,9,FALSE),TRUE,FALSE)</f>
        <v>0</v>
      </c>
      <c r="AG57" s="15" t="str">
        <f>VLOOKUP(Table2[[#This Row],[Home/Neutral]],division_lookup,9,FALSE)</f>
        <v>A</v>
      </c>
      <c r="AH57" s="15" t="str">
        <f>IF(Table2[[#This Row],[Total/EV]]&lt;Table2[[#This Row],[Total/V]],"UNDER","OVER")</f>
        <v>UNDER</v>
      </c>
      <c r="AI57" s="15"/>
      <c r="AJ57" s="2"/>
      <c r="AK57" s="2"/>
      <c r="AL57" s="18">
        <f>Table2[[#This Row],[SRS]]-Table2[[#This Row],[Spread]]</f>
        <v>8.3913114754098341</v>
      </c>
      <c r="AM57" s="21">
        <f>Table2[[#This Row],[(A) Err]]^2</f>
        <v>70.414108277344766</v>
      </c>
      <c r="AN57" s="6">
        <f>Table2[[#This Row],[EV]]-Table2[[#This Row],[Spread]]</f>
        <v>7.7687778109905992</v>
      </c>
      <c r="AO57" s="1">
        <f>Table2[[#This Row],[EV Err]]^2</f>
        <v>60.353908676539888</v>
      </c>
      <c r="AP57" s="1"/>
    </row>
    <row r="58" spans="1:42" x14ac:dyDescent="0.25">
      <c r="A58" s="34">
        <v>42676</v>
      </c>
      <c r="B58" t="s">
        <v>111</v>
      </c>
      <c r="C58" t="s">
        <v>117</v>
      </c>
      <c r="D58">
        <f>IF((Table2[[#This Row],[Spread]]-Table2[[#This Row],[Spread/V]])=0,1,IF(Table2[[#This Row],[Spread]]&lt;Table2[[#This Row],[Spread/V]],1,0))</f>
        <v>1</v>
      </c>
      <c r="E58" s="5">
        <v>109</v>
      </c>
      <c r="F58">
        <f>IF((Table2[[#This Row],[Spread]]-Table2[[#This Row],[Spread/V]])=0,1,IF(Table2[[#This Row],[Spread]]&gt;Table2[[#This Row],[Spread/V]],1,0))</f>
        <v>0</v>
      </c>
      <c r="G58">
        <v>101</v>
      </c>
      <c r="H58" s="7">
        <f t="shared" si="0"/>
        <v>210</v>
      </c>
      <c r="I58">
        <f>IF(Table2[[#This Row],[Total/V]]&lt;=Table2[[#This Row],[Total]],1,0)</f>
        <v>1</v>
      </c>
      <c r="J58">
        <v>205</v>
      </c>
      <c r="K58"/>
      <c r="L58" s="21">
        <f>(Table2[[#This Row],[H/Pace]]/100)*(VLOOKUP(Table2[[#This Row],[Home/Neutral]],home_lookup,8,FALSE)+VLOOKUP(Table2[[#This Row],[Home/Neutral]],OFR_lookup,2,FALSE)+VLOOKUP(Table2[[#This Row],[Visitor/Neutral]],def_diff_lookup,6,FALSE))</f>
        <v>96.203218327716357</v>
      </c>
      <c r="M58" s="21"/>
      <c r="N58" s="21">
        <f>(Table2[[#This Row],[A/Pace]]/100)*(VLOOKUP(Table2[[#This Row],[Visitor/Neutral]],OFR_lookup,2,FALSE)+VLOOKUP(Table2[[#This Row],[Home/Neutral]],def_diff_lookup,6,FALSE))</f>
        <v>102.09872666666665</v>
      </c>
      <c r="O58" s="21"/>
      <c r="P58" s="21"/>
      <c r="Q58">
        <f>VLOOKUP(Table2[[#This Row],[Home/Neutral]],pace_lookup,7,FALSE)</f>
        <v>102</v>
      </c>
      <c r="R58" s="5">
        <f>VLOOKUP(Table2[[#This Row],[Visitor/Neutral]],pace_lookup,7,FALSE)</f>
        <v>94</v>
      </c>
      <c r="S58" s="7">
        <f t="shared" si="1"/>
        <v>-8</v>
      </c>
      <c r="T58">
        <v>-4</v>
      </c>
      <c r="U58" s="15"/>
      <c r="W58" s="2">
        <f>-home-VLOOKUP(Table2[[#This Row],[Home/Neutral]],rtg_vlookup,4,FALSE)+VLOOKUP(Table2[[#This Row],[Visitor/Neutral]],rtg_vlookup,4,FALSE)</f>
        <v>7.5713114754098338</v>
      </c>
      <c r="X58" s="15"/>
      <c r="Y58" s="2"/>
      <c r="Z58" s="2">
        <f>Table2[[#This Row],[A/EV]]-Table2[[#This Row],[H/EV]]</f>
        <v>5.8955083389502931</v>
      </c>
      <c r="AA58" s="29"/>
      <c r="AB58" s="30"/>
      <c r="AC58" s="30"/>
      <c r="AD58" s="30"/>
      <c r="AE58" s="30"/>
      <c r="AF58" s="7" t="b">
        <f>IF(VLOOKUP(Table2[[#This Row],[Home/Neutral]],division_lookup,9,FALSE)=VLOOKUP(Table2[[#This Row],[Visitor/Neutral]],division_lookup,9,FALSE),TRUE,FALSE)</f>
        <v>0</v>
      </c>
      <c r="AG58" s="15" t="str">
        <f>VLOOKUP(Table2[[#This Row],[Home/Neutral]],division_lookup,9,FALSE)</f>
        <v>A</v>
      </c>
      <c r="AH58" s="15" t="str">
        <f>IF(Table2[[#This Row],[Total/EV]]&lt;Table2[[#This Row],[Total/V]],"UNDER","OVER")</f>
        <v>UNDER</v>
      </c>
      <c r="AI58" s="15"/>
      <c r="AJ58" s="2"/>
      <c r="AK58" s="2"/>
      <c r="AL58" s="18">
        <f>Table2[[#This Row],[SRS]]-Table2[[#This Row],[Spread]]</f>
        <v>15.571311475409834</v>
      </c>
      <c r="AM58" s="21">
        <f>Table2[[#This Row],[(A) Err]]^2</f>
        <v>242.46574106422997</v>
      </c>
      <c r="AN58" s="6">
        <f>Table2[[#This Row],[EV]]-Table2[[#This Row],[Spread]]</f>
        <v>13.895508338950293</v>
      </c>
      <c r="AO58" s="1">
        <f>Table2[[#This Row],[EV Err]]^2</f>
        <v>193.08515199783713</v>
      </c>
      <c r="AP58" s="1"/>
    </row>
    <row r="59" spans="1:42" x14ac:dyDescent="0.25">
      <c r="A59" s="34">
        <v>42676</v>
      </c>
      <c r="B59" t="s">
        <v>112</v>
      </c>
      <c r="C59" t="s">
        <v>138</v>
      </c>
      <c r="D59">
        <f>IF((Table2[[#This Row],[Spread]]-Table2[[#This Row],[Spread/V]])=0,1,IF(Table2[[#This Row],[Spread]]&lt;Table2[[#This Row],[Spread/V]],1,0))</f>
        <v>1</v>
      </c>
      <c r="E59">
        <v>109</v>
      </c>
      <c r="F59">
        <f>IF((Table2[[#This Row],[Spread]]-Table2[[#This Row],[Spread/V]])=0,1,IF(Table2[[#This Row],[Spread]]&gt;Table2[[#This Row],[Spread/V]],1,0))</f>
        <v>0</v>
      </c>
      <c r="G59">
        <v>93</v>
      </c>
      <c r="H59" s="7">
        <f t="shared" si="0"/>
        <v>202</v>
      </c>
      <c r="I59">
        <f>IF(Table2[[#This Row],[Total/V]]&lt;=Table2[[#This Row],[Total]],1,0)</f>
        <v>1</v>
      </c>
      <c r="J59">
        <v>197</v>
      </c>
      <c r="K59"/>
      <c r="L59" s="21">
        <f>(Table2[[#This Row],[H/Pace]]/100)*(VLOOKUP(Table2[[#This Row],[Home/Neutral]],home_lookup,8,FALSE)+VLOOKUP(Table2[[#This Row],[Home/Neutral]],OFR_lookup,2,FALSE)+VLOOKUP(Table2[[#This Row],[Visitor/Neutral]],def_diff_lookup,6,FALSE))</f>
        <v>105.85504195313484</v>
      </c>
      <c r="M59" s="21"/>
      <c r="N59" s="21">
        <f>(Table2[[#This Row],[A/Pace]]/100)*(VLOOKUP(Table2[[#This Row],[Visitor/Neutral]],OFR_lookup,2,FALSE)+VLOOKUP(Table2[[#This Row],[Home/Neutral]],def_diff_lookup,6,FALSE))</f>
        <v>95.380024999999989</v>
      </c>
      <c r="O59" s="21"/>
      <c r="P59" s="21"/>
      <c r="Q59">
        <f>VLOOKUP(Table2[[#This Row],[Home/Neutral]],pace_lookup,7,FALSE)</f>
        <v>97.4</v>
      </c>
      <c r="R59" s="5">
        <f>VLOOKUP(Table2[[#This Row],[Visitor/Neutral]],pace_lookup,7,FALSE)</f>
        <v>97.5</v>
      </c>
      <c r="S59" s="7">
        <f t="shared" si="1"/>
        <v>-16</v>
      </c>
      <c r="T59">
        <v>-12.5</v>
      </c>
      <c r="U59" s="15"/>
      <c r="W59" s="2">
        <f>-home-VLOOKUP(Table2[[#This Row],[Home/Neutral]],rtg_vlookup,4,FALSE)+VLOOKUP(Table2[[#This Row],[Visitor/Neutral]],rtg_vlookup,4,FALSE)</f>
        <v>-14.448688524590168</v>
      </c>
      <c r="X59" s="15"/>
      <c r="Y59" s="2"/>
      <c r="Z59" s="2">
        <f>Table2[[#This Row],[A/EV]]-Table2[[#This Row],[H/EV]]</f>
        <v>-10.475016953134855</v>
      </c>
      <c r="AA59" s="29"/>
      <c r="AB59" s="30"/>
      <c r="AC59" s="30"/>
      <c r="AD59" s="30"/>
      <c r="AE59" s="30"/>
      <c r="AF59" s="7" t="b">
        <f>IF(VLOOKUP(Table2[[#This Row],[Home/Neutral]],division_lookup,9,FALSE)=VLOOKUP(Table2[[#This Row],[Visitor/Neutral]],division_lookup,9,FALSE),TRUE,FALSE)</f>
        <v>0</v>
      </c>
      <c r="AG59" s="15" t="str">
        <f>VLOOKUP(Table2[[#This Row],[Home/Neutral]],division_lookup,9,FALSE)</f>
        <v>SE</v>
      </c>
      <c r="AH59" s="15" t="str">
        <f>IF(Table2[[#This Row],[Total/EV]]&lt;Table2[[#This Row],[Total/V]],"UNDER","OVER")</f>
        <v>UNDER</v>
      </c>
      <c r="AI59" s="15"/>
      <c r="AJ59" s="2"/>
      <c r="AK59" s="2"/>
      <c r="AL59" s="18">
        <f>Table2[[#This Row],[SRS]]-Table2[[#This Row],[Spread]]</f>
        <v>1.5513114754098325</v>
      </c>
      <c r="AM59" s="21">
        <f>Table2[[#This Row],[(A) Err]]^2</f>
        <v>2.4065672937382314</v>
      </c>
      <c r="AN59" s="6">
        <f>Table2[[#This Row],[EV]]-Table2[[#This Row],[Spread]]</f>
        <v>5.5249830468651453</v>
      </c>
      <c r="AO59" s="1">
        <f>Table2[[#This Row],[EV Err]]^2</f>
        <v>30.525437668147266</v>
      </c>
      <c r="AP59" s="1"/>
    </row>
    <row r="60" spans="1:42" x14ac:dyDescent="0.25">
      <c r="A60" s="34">
        <v>42676</v>
      </c>
      <c r="B60" t="s">
        <v>121</v>
      </c>
      <c r="C60" t="s">
        <v>129</v>
      </c>
      <c r="D60">
        <f>IF((Table2[[#This Row],[Spread]]-Table2[[#This Row],[Spread/V]])=0,1,IF(Table2[[#This Row],[Spread]]&lt;Table2[[#This Row],[Spread/V]],1,0))</f>
        <v>0</v>
      </c>
      <c r="E60">
        <v>83</v>
      </c>
      <c r="F60">
        <f>IF((Table2[[#This Row],[Spread]]-Table2[[#This Row],[Spread/V]])=0,1,IF(Table2[[#This Row],[Spread]]&gt;Table2[[#This Row],[Spread/V]],1,0))</f>
        <v>1</v>
      </c>
      <c r="G60">
        <v>85</v>
      </c>
      <c r="H60" s="7">
        <f t="shared" si="0"/>
        <v>168</v>
      </c>
      <c r="I60">
        <f>IF(Table2[[#This Row],[Total/V]]&lt;=Table2[[#This Row],[Total]],1,0)</f>
        <v>0</v>
      </c>
      <c r="J60">
        <v>209</v>
      </c>
      <c r="K60"/>
      <c r="L60" s="21">
        <f>(Table2[[#This Row],[H/Pace]]/100)*(VLOOKUP(Table2[[#This Row],[Home/Neutral]],home_lookup,8,FALSE)+VLOOKUP(Table2[[#This Row],[Home/Neutral]],OFR_lookup,2,FALSE)+VLOOKUP(Table2[[#This Row],[Visitor/Neutral]],def_diff_lookup,6,FALSE))</f>
        <v>112.02952060751254</v>
      </c>
      <c r="M60" s="21"/>
      <c r="N60" s="21">
        <f>(Table2[[#This Row],[A/Pace]]/100)*(VLOOKUP(Table2[[#This Row],[Visitor/Neutral]],OFR_lookup,2,FALSE)+VLOOKUP(Table2[[#This Row],[Home/Neutral]],def_diff_lookup,6,FALSE))</f>
        <v>100.94601</v>
      </c>
      <c r="O60" s="21"/>
      <c r="P60" s="21"/>
      <c r="Q60">
        <f>VLOOKUP(Table2[[#This Row],[Home/Neutral]],pace_lookup,7,FALSE)</f>
        <v>96.4</v>
      </c>
      <c r="R60" s="5">
        <f>VLOOKUP(Table2[[#This Row],[Visitor/Neutral]],pace_lookup,7,FALSE)</f>
        <v>99</v>
      </c>
      <c r="S60" s="7">
        <f t="shared" si="1"/>
        <v>2</v>
      </c>
      <c r="T60">
        <v>-7</v>
      </c>
      <c r="U60" s="15"/>
      <c r="W60" s="2">
        <f>-home-VLOOKUP(Table2[[#This Row],[Home/Neutral]],rtg_vlookup,4,FALSE)+VLOOKUP(Table2[[#This Row],[Visitor/Neutral]],rtg_vlookup,4,FALSE)</f>
        <v>-13.998688524590166</v>
      </c>
      <c r="X60" s="15"/>
      <c r="Y60" s="2"/>
      <c r="Z60" s="2">
        <f>Table2[[#This Row],[A/EV]]-Table2[[#This Row],[H/EV]]</f>
        <v>-11.083510607512537</v>
      </c>
      <c r="AA60" s="29"/>
      <c r="AB60" s="30"/>
      <c r="AC60" s="30"/>
      <c r="AD60" s="30"/>
      <c r="AE60" s="30"/>
      <c r="AF60" s="7" t="b">
        <f>IF(VLOOKUP(Table2[[#This Row],[Home/Neutral]],division_lookup,9,FALSE)=VLOOKUP(Table2[[#This Row],[Visitor/Neutral]],division_lookup,9,FALSE),TRUE,FALSE)</f>
        <v>0</v>
      </c>
      <c r="AG60" s="15" t="str">
        <f>VLOOKUP(Table2[[#This Row],[Home/Neutral]],division_lookup,9,FALSE)</f>
        <v>P</v>
      </c>
      <c r="AH60" s="15" t="str">
        <f>IF(Table2[[#This Row],[Total/EV]]&lt;Table2[[#This Row],[Total/V]],"UNDER","OVER")</f>
        <v>UNDER</v>
      </c>
      <c r="AI60" s="15"/>
      <c r="AJ60" s="2"/>
      <c r="AK60" s="2"/>
      <c r="AL60" s="18">
        <f>Table2[[#This Row],[SRS]]-Table2[[#This Row],[Spread]]</f>
        <v>-15.998688524590166</v>
      </c>
      <c r="AM60" s="21">
        <f>Table2[[#This Row],[(A) Err]]^2</f>
        <v>255.95803450685307</v>
      </c>
      <c r="AN60" s="6">
        <f>Table2[[#This Row],[EV]]-Table2[[#This Row],[Spread]]</f>
        <v>-13.083510607512537</v>
      </c>
      <c r="AO60" s="1">
        <f>Table2[[#This Row],[EV Err]]^2</f>
        <v>171.17824981689307</v>
      </c>
      <c r="AP60" s="1"/>
    </row>
    <row r="61" spans="1:42" x14ac:dyDescent="0.25">
      <c r="A61" s="34">
        <v>42676</v>
      </c>
      <c r="B61" t="s">
        <v>123</v>
      </c>
      <c r="C61" t="s">
        <v>127</v>
      </c>
      <c r="D61">
        <f>IF((Table2[[#This Row],[Spread]]-Table2[[#This Row],[Spread/V]])=0,1,IF(Table2[[#This Row],[Spread]]&lt;Table2[[#This Row],[Spread/V]],1,0))</f>
        <v>1</v>
      </c>
      <c r="E61">
        <v>89</v>
      </c>
      <c r="F61">
        <f>IF((Table2[[#This Row],[Spread]]-Table2[[#This Row],[Spread/V]])=0,1,IF(Table2[[#This Row],[Spread]]&gt;Table2[[#This Row],[Spread/V]],1,0))</f>
        <v>0</v>
      </c>
      <c r="G61">
        <v>83</v>
      </c>
      <c r="H61" s="7">
        <f t="shared" si="0"/>
        <v>172</v>
      </c>
      <c r="I61">
        <f>IF(Table2[[#This Row],[Total/V]]&lt;=Table2[[#This Row],[Total]],1,0)</f>
        <v>0</v>
      </c>
      <c r="J61">
        <v>207.5</v>
      </c>
      <c r="K61"/>
      <c r="L61" s="21">
        <f>(Table2[[#This Row],[H/Pace]]/100)*(VLOOKUP(Table2[[#This Row],[Home/Neutral]],home_lookup,8,FALSE)+VLOOKUP(Table2[[#This Row],[Home/Neutral]],OFR_lookup,2,FALSE)+VLOOKUP(Table2[[#This Row],[Visitor/Neutral]],def_diff_lookup,6,FALSE))</f>
        <v>100.55142709563917</v>
      </c>
      <c r="M61" s="21"/>
      <c r="N61" s="21">
        <f>(Table2[[#This Row],[A/Pace]]/100)*(VLOOKUP(Table2[[#This Row],[Visitor/Neutral]],OFR_lookup,2,FALSE)+VLOOKUP(Table2[[#This Row],[Home/Neutral]],def_diff_lookup,6,FALSE))</f>
        <v>98.451646999999994</v>
      </c>
      <c r="O61" s="21"/>
      <c r="P61" s="21"/>
      <c r="Q61">
        <f>VLOOKUP(Table2[[#This Row],[Home/Neutral]],pace_lookup,7,FALSE)</f>
        <v>92.5</v>
      </c>
      <c r="R61" s="5">
        <f>VLOOKUP(Table2[[#This Row],[Visitor/Neutral]],pace_lookup,7,FALSE)</f>
        <v>99.3</v>
      </c>
      <c r="S61" s="7">
        <f t="shared" si="1"/>
        <v>-6</v>
      </c>
      <c r="T61">
        <v>-5</v>
      </c>
      <c r="U61" s="15"/>
      <c r="W61" s="2">
        <f>-home-VLOOKUP(Table2[[#This Row],[Home/Neutral]],rtg_vlookup,4,FALSE)+VLOOKUP(Table2[[#This Row],[Visitor/Neutral]],rtg_vlookup,4,FALSE)</f>
        <v>-6.1186885245901657</v>
      </c>
      <c r="X61" s="15"/>
      <c r="Y61" s="2"/>
      <c r="Z61" s="2">
        <f>Table2[[#This Row],[A/EV]]-Table2[[#This Row],[H/EV]]</f>
        <v>-2.0997800956391757</v>
      </c>
      <c r="AA61" s="29"/>
      <c r="AB61" s="30"/>
      <c r="AC61" s="30"/>
      <c r="AD61" s="30"/>
      <c r="AE61" s="30"/>
      <c r="AF61" s="7" t="b">
        <f>IF(VLOOKUP(Table2[[#This Row],[Home/Neutral]],division_lookup,9,FALSE)=VLOOKUP(Table2[[#This Row],[Visitor/Neutral]],division_lookup,9,FALSE),TRUE,FALSE)</f>
        <v>1</v>
      </c>
      <c r="AG61" s="15" t="str">
        <f>VLOOKUP(Table2[[#This Row],[Home/Neutral]],division_lookup,9,FALSE)</f>
        <v>SW</v>
      </c>
      <c r="AH61" s="15" t="str">
        <f>IF(Table2[[#This Row],[Total/EV]]&lt;Table2[[#This Row],[Total/V]],"UNDER","OVER")</f>
        <v>UNDER</v>
      </c>
      <c r="AI61" s="15"/>
      <c r="AJ61" s="2"/>
      <c r="AK61" s="2"/>
      <c r="AL61" s="18">
        <f>Table2[[#This Row],[SRS]]-Table2[[#This Row],[Spread]]</f>
        <v>-0.11868852459016566</v>
      </c>
      <c r="AM61" s="21">
        <f>Table2[[#This Row],[(A) Err]]^2</f>
        <v>1.4086965869390358E-2</v>
      </c>
      <c r="AN61" s="6">
        <f>Table2[[#This Row],[EV]]-Table2[[#This Row],[Spread]]</f>
        <v>3.9002199043608243</v>
      </c>
      <c r="AO61" s="1">
        <f>Table2[[#This Row],[EV Err]]^2</f>
        <v>15.211715302372358</v>
      </c>
      <c r="AP61" s="1"/>
    </row>
    <row r="62" spans="1:42" x14ac:dyDescent="0.25">
      <c r="A62" s="34">
        <v>42676</v>
      </c>
      <c r="B62" t="s">
        <v>128</v>
      </c>
      <c r="C62" t="s">
        <v>119</v>
      </c>
      <c r="D62">
        <f>IF((Table2[[#This Row],[Spread]]-Table2[[#This Row],[Spread/V]])=0,1,IF(Table2[[#This Row],[Spread]]&lt;Table2[[#This Row],[Spread/V]],1,0))</f>
        <v>0</v>
      </c>
      <c r="E62">
        <v>99</v>
      </c>
      <c r="F62">
        <f>IF((Table2[[#This Row],[Spread]]-Table2[[#This Row],[Spread/V]])=0,1,IF(Table2[[#This Row],[Spread]]&gt;Table2[[#This Row],[Spread/V]],1,0))</f>
        <v>1</v>
      </c>
      <c r="G62">
        <v>118</v>
      </c>
      <c r="H62" s="7">
        <f t="shared" si="0"/>
        <v>217</v>
      </c>
      <c r="I62">
        <f>IF(Table2[[#This Row],[Total/V]]&lt;=Table2[[#This Row],[Total]],1,0)</f>
        <v>0</v>
      </c>
      <c r="J62">
        <v>219</v>
      </c>
      <c r="K62"/>
      <c r="L62" s="21">
        <f>(Table2[[#This Row],[H/Pace]]/100)*(VLOOKUP(Table2[[#This Row],[Home/Neutral]],home_lookup,8,FALSE)+VLOOKUP(Table2[[#This Row],[Home/Neutral]],OFR_lookup,2,FALSE)+VLOOKUP(Table2[[#This Row],[Visitor/Neutral]],def_diff_lookup,6,FALSE))</f>
        <v>111.0132798778302</v>
      </c>
      <c r="M62" s="21"/>
      <c r="N62" s="21">
        <f>(Table2[[#This Row],[A/Pace]]/100)*(VLOOKUP(Table2[[#This Row],[Visitor/Neutral]],OFR_lookup,2,FALSE)+VLOOKUP(Table2[[#This Row],[Home/Neutral]],def_diff_lookup,6,FALSE))</f>
        <v>112.59360100000001</v>
      </c>
      <c r="O62" s="21"/>
      <c r="P62" s="21"/>
      <c r="Q62">
        <f>VLOOKUP(Table2[[#This Row],[Home/Neutral]],pace_lookup,7,FALSE)</f>
        <v>96.3</v>
      </c>
      <c r="R62" s="5">
        <f>VLOOKUP(Table2[[#This Row],[Visitor/Neutral]],pace_lookup,7,FALSE)</f>
        <v>96.9</v>
      </c>
      <c r="S62" s="7">
        <f t="shared" si="1"/>
        <v>19</v>
      </c>
      <c r="T62">
        <v>-1</v>
      </c>
      <c r="U62" s="15"/>
      <c r="W62" s="2">
        <f>-home-VLOOKUP(Table2[[#This Row],[Home/Neutral]],rtg_vlookup,4,FALSE)+VLOOKUP(Table2[[#This Row],[Visitor/Neutral]],rtg_vlookup,4,FALSE)</f>
        <v>2.7613114754098342</v>
      </c>
      <c r="X62" s="15"/>
      <c r="Y62" s="2"/>
      <c r="Z62" s="2">
        <f>Table2[[#This Row],[A/EV]]-Table2[[#This Row],[H/EV]]</f>
        <v>1.5803211221698064</v>
      </c>
      <c r="AA62" s="29"/>
      <c r="AB62" s="30"/>
      <c r="AC62" s="30"/>
      <c r="AD62" s="30"/>
      <c r="AE62" s="30"/>
      <c r="AF62" s="7" t="b">
        <f>IF(VLOOKUP(Table2[[#This Row],[Home/Neutral]],division_lookup,9,FALSE)=VLOOKUP(Table2[[#This Row],[Visitor/Neutral]],division_lookup,9,FALSE),TRUE,FALSE)</f>
        <v>0</v>
      </c>
      <c r="AG62" s="15" t="str">
        <f>VLOOKUP(Table2[[#This Row],[Home/Neutral]],division_lookup,9,FALSE)</f>
        <v>A</v>
      </c>
      <c r="AH62" s="15" t="str">
        <f>IF(Table2[[#This Row],[Total/EV]]&lt;Table2[[#This Row],[Total/V]],"UNDER","OVER")</f>
        <v>UNDER</v>
      </c>
      <c r="AI62" s="15"/>
      <c r="AJ62" s="2"/>
      <c r="AK62" s="2"/>
      <c r="AL62" s="18">
        <f>Table2[[#This Row],[SRS]]-Table2[[#This Row],[Spread]]</f>
        <v>-16.238688524590167</v>
      </c>
      <c r="AM62" s="21">
        <f>Table2[[#This Row],[(A) Err]]^2</f>
        <v>263.69500499865637</v>
      </c>
      <c r="AN62" s="6">
        <f>Table2[[#This Row],[EV]]-Table2[[#This Row],[Spread]]</f>
        <v>-17.419678877830194</v>
      </c>
      <c r="AO62" s="1">
        <f>Table2[[#This Row],[EV Err]]^2</f>
        <v>303.4452122067234</v>
      </c>
      <c r="AP62" s="1"/>
    </row>
    <row r="63" spans="1:42" x14ac:dyDescent="0.25">
      <c r="A63" s="34">
        <v>42676</v>
      </c>
      <c r="B63" t="s">
        <v>131</v>
      </c>
      <c r="C63" t="s">
        <v>132</v>
      </c>
      <c r="D63">
        <f>IF((Table2[[#This Row],[Spread]]-Table2[[#This Row],[Spread/V]])=0,1,IF(Table2[[#This Row],[Spread]]&lt;Table2[[#This Row],[Spread/V]],1,0))</f>
        <v>1</v>
      </c>
      <c r="E63">
        <v>118</v>
      </c>
      <c r="F63">
        <f>IF((Table2[[#This Row],[Spread]]-Table2[[#This Row],[Spread/V]])=0,1,IF(Table2[[#This Row],[Spread]]&gt;Table2[[#This Row],[Spread/V]],1,0))</f>
        <v>0</v>
      </c>
      <c r="G63">
        <v>115</v>
      </c>
      <c r="H63" s="7">
        <f t="shared" si="0"/>
        <v>233</v>
      </c>
      <c r="I63">
        <f>IF(Table2[[#This Row],[Total/V]]&lt;=Table2[[#This Row],[Total]],1,0)</f>
        <v>1</v>
      </c>
      <c r="J63">
        <v>216.5</v>
      </c>
      <c r="K63"/>
      <c r="L63" s="21">
        <f>(Table2[[#This Row],[H/Pace]]/100)*(VLOOKUP(Table2[[#This Row],[Home/Neutral]],home_lookup,8,FALSE)+VLOOKUP(Table2[[#This Row],[Home/Neutral]],OFR_lookup,2,FALSE)+VLOOKUP(Table2[[#This Row],[Visitor/Neutral]],def_diff_lookup,6,FALSE))</f>
        <v>102.57766979119766</v>
      </c>
      <c r="M63" s="21"/>
      <c r="N63" s="21">
        <f>(Table2[[#This Row],[A/Pace]]/100)*(VLOOKUP(Table2[[#This Row],[Visitor/Neutral]],OFR_lookup,2,FALSE)+VLOOKUP(Table2[[#This Row],[Home/Neutral]],def_diff_lookup,6,FALSE))</f>
        <v>109.53527866666667</v>
      </c>
      <c r="O63" s="21"/>
      <c r="P63" s="21"/>
      <c r="Q63">
        <f>VLOOKUP(Table2[[#This Row],[Home/Neutral]],pace_lookup,7,FALSE)</f>
        <v>101.7</v>
      </c>
      <c r="R63" s="5">
        <f>VLOOKUP(Table2[[#This Row],[Visitor/Neutral]],pace_lookup,7,FALSE)</f>
        <v>98.8</v>
      </c>
      <c r="S63" s="7">
        <f t="shared" si="1"/>
        <v>-3</v>
      </c>
      <c r="T63">
        <v>-2.5</v>
      </c>
      <c r="U63" s="15"/>
      <c r="W63" s="2">
        <f>-home-VLOOKUP(Table2[[#This Row],[Home/Neutral]],rtg_vlookup,4,FALSE)+VLOOKUP(Table2[[#This Row],[Visitor/Neutral]],rtg_vlookup,4,FALSE)</f>
        <v>1.1613114754098341</v>
      </c>
      <c r="X63" s="15"/>
      <c r="Y63" s="2"/>
      <c r="Z63" s="2">
        <f>Table2[[#This Row],[A/EV]]-Table2[[#This Row],[H/EV]]</f>
        <v>6.9576088754690062</v>
      </c>
      <c r="AA63" s="29"/>
      <c r="AB63" s="30"/>
      <c r="AC63" s="30"/>
      <c r="AD63" s="30"/>
      <c r="AE63" s="30"/>
      <c r="AF63" s="7" t="b">
        <f>IF(VLOOKUP(Table2[[#This Row],[Home/Neutral]],division_lookup,9,FALSE)=VLOOKUP(Table2[[#This Row],[Visitor/Neutral]],division_lookup,9,FALSE),TRUE,FALSE)</f>
        <v>0</v>
      </c>
      <c r="AG63" s="15" t="str">
        <f>VLOOKUP(Table2[[#This Row],[Home/Neutral]],division_lookup,9,FALSE)</f>
        <v>P</v>
      </c>
      <c r="AH63" s="15" t="str">
        <f>IF(Table2[[#This Row],[Total/EV]]&lt;Table2[[#This Row],[Total/V]],"UNDER","OVER")</f>
        <v>UNDER</v>
      </c>
      <c r="AI63" s="15"/>
      <c r="AJ63" s="2"/>
      <c r="AK63" s="2"/>
      <c r="AL63" s="18">
        <f>Table2[[#This Row],[SRS]]-Table2[[#This Row],[Spread]]</f>
        <v>4.1613114754098337</v>
      </c>
      <c r="AM63" s="21">
        <f>Table2[[#This Row],[(A) Err]]^2</f>
        <v>17.316513195377567</v>
      </c>
      <c r="AN63" s="6">
        <f>Table2[[#This Row],[EV]]-Table2[[#This Row],[Spread]]</f>
        <v>9.9576088754690062</v>
      </c>
      <c r="AO63" s="1">
        <f>Table2[[#This Row],[EV Err]]^2</f>
        <v>99.153974516819133</v>
      </c>
      <c r="AP63" s="1"/>
    </row>
    <row r="64" spans="1:42" x14ac:dyDescent="0.25">
      <c r="A64" s="101">
        <v>42676</v>
      </c>
      <c r="B64" t="s">
        <v>136</v>
      </c>
      <c r="C64" t="s">
        <v>115</v>
      </c>
      <c r="D64">
        <f>IF((Table2[[#This Row],[Spread]]-Table2[[#This Row],[Spread/V]])=0,1,IF(Table2[[#This Row],[Spread]]&lt;Table2[[#This Row],[Spread/V]],1,0))</f>
        <v>1</v>
      </c>
      <c r="E64" s="5">
        <v>97</v>
      </c>
      <c r="F64">
        <f>IF((Table2[[#This Row],[Spread]]-Table2[[#This Row],[Spread/V]])=0,1,IF(Table2[[#This Row],[Spread]]&gt;Table2[[#This Row],[Spread/V]],1,0))</f>
        <v>0</v>
      </c>
      <c r="G64" s="5">
        <v>81</v>
      </c>
      <c r="H64" s="7">
        <f t="shared" si="0"/>
        <v>178</v>
      </c>
      <c r="I64" s="5">
        <f>IF(Table2[[#This Row],[Total/V]]&lt;=Table2[[#This Row],[Total]],1,0)</f>
        <v>0</v>
      </c>
      <c r="J64" s="5">
        <v>186.5</v>
      </c>
      <c r="K64" s="5"/>
      <c r="L64" s="23">
        <f>(Table2[[#This Row],[H/Pace]]/100)*(VLOOKUP(Table2[[#This Row],[Home/Neutral]],home_lookup,8,FALSE)+VLOOKUP(Table2[[#This Row],[Home/Neutral]],OFR_lookup,2,FALSE)+VLOOKUP(Table2[[#This Row],[Visitor/Neutral]],def_diff_lookup,6,FALSE))</f>
        <v>104.41663534991899</v>
      </c>
      <c r="M64" s="23"/>
      <c r="N64" s="23">
        <f>(Table2[[#This Row],[A/Pace]]/100)*(VLOOKUP(Table2[[#This Row],[Visitor/Neutral]],OFR_lookup,2,FALSE)+VLOOKUP(Table2[[#This Row],[Home/Neutral]],def_diff_lookup,6,FALSE))</f>
        <v>86.030664333333334</v>
      </c>
      <c r="O64" s="23"/>
      <c r="P64" s="23"/>
      <c r="Q64" s="5">
        <f>VLOOKUP(Table2[[#This Row],[Home/Neutral]],pace_lookup,7,FALSE)</f>
        <v>91.5</v>
      </c>
      <c r="R64" s="5">
        <f>VLOOKUP(Table2[[#This Row],[Visitor/Neutral]],pace_lookup,7,FALSE)</f>
        <v>92.9</v>
      </c>
      <c r="S64" s="7">
        <f t="shared" si="1"/>
        <v>-16</v>
      </c>
      <c r="T64" s="5">
        <v>-3</v>
      </c>
      <c r="U64" s="26"/>
      <c r="V64" s="5"/>
      <c r="W64" s="10">
        <f>-home-VLOOKUP(Table2[[#This Row],[Home/Neutral]],rtg_vlookup,4,FALSE)+VLOOKUP(Table2[[#This Row],[Visitor/Neutral]],rtg_vlookup,4,FALSE)</f>
        <v>-15.888688524590165</v>
      </c>
      <c r="X64" s="26"/>
      <c r="Y64" s="10"/>
      <c r="Z64" s="10">
        <f>Table2[[#This Row],[A/EV]]-Table2[[#This Row],[H/EV]]</f>
        <v>-18.385971016585657</v>
      </c>
      <c r="AA64" s="29"/>
      <c r="AB64" s="30"/>
      <c r="AC64" s="30"/>
      <c r="AD64" s="30"/>
      <c r="AE64" s="30"/>
      <c r="AF64" s="7" t="b">
        <f>IF(VLOOKUP(Table2[[#This Row],[Home/Neutral]],division_lookup,9,FALSE)=VLOOKUP(Table2[[#This Row],[Visitor/Neutral]],division_lookup,9,FALSE),TRUE,FALSE)</f>
        <v>0</v>
      </c>
      <c r="AG64" s="15" t="str">
        <f>VLOOKUP(Table2[[#This Row],[Home/Neutral]],division_lookup,9,FALSE)</f>
        <v>NW</v>
      </c>
      <c r="AH64" s="15" t="str">
        <f>IF(Table2[[#This Row],[Total/EV]]&lt;Table2[[#This Row],[Total/V]],"UNDER","OVER")</f>
        <v>UNDER</v>
      </c>
      <c r="AI64" s="15"/>
      <c r="AJ64" s="2"/>
      <c r="AK64" s="2"/>
      <c r="AL64" s="18">
        <f>Table2[[#This Row],[SRS]]-Table2[[#This Row],[Spread]]</f>
        <v>0.11131147540983477</v>
      </c>
      <c r="AM64" s="23">
        <f>Table2[[#This Row],[(A) Err]]^2</f>
        <v>1.2390244557914251E-2</v>
      </c>
      <c r="AN64" s="6">
        <f>Table2[[#This Row],[EV]]-Table2[[#This Row],[Spread]]</f>
        <v>-2.3859710165856569</v>
      </c>
      <c r="AO64" s="1">
        <f>Table2[[#This Row],[EV Err]]^2</f>
        <v>5.6928576919867933</v>
      </c>
      <c r="AP64" s="1"/>
    </row>
    <row r="65" spans="1:42" ht="15.75" thickBot="1" x14ac:dyDescent="0.3">
      <c r="A65" s="100">
        <v>42676</v>
      </c>
      <c r="B65" s="3" t="s">
        <v>137</v>
      </c>
      <c r="C65" s="3" t="s">
        <v>135</v>
      </c>
      <c r="D65" s="3">
        <f>IF((Table2[[#This Row],[Spread]]-Table2[[#This Row],[Spread/V]])=0,1,IF(Table2[[#This Row],[Spread]]&lt;Table2[[#This Row],[Spread/V]],1,0))</f>
        <v>0</v>
      </c>
      <c r="E65" s="3">
        <v>103</v>
      </c>
      <c r="F65" s="3">
        <f>IF((Table2[[#This Row],[Spread]]-Table2[[#This Row],[Spread/V]])=0,1,IF(Table2[[#This Row],[Spread]]&gt;Table2[[#This Row],[Spread/V]],1,0))</f>
        <v>1</v>
      </c>
      <c r="G65" s="3">
        <v>113</v>
      </c>
      <c r="H65" s="8">
        <f t="shared" si="0"/>
        <v>216</v>
      </c>
      <c r="I65" s="3">
        <f>IF(Table2[[#This Row],[Total/V]]&lt;=Table2[[#This Row],[Total]],1,0)</f>
        <v>1</v>
      </c>
      <c r="J65" s="3">
        <v>205.5</v>
      </c>
      <c r="K65" s="3"/>
      <c r="L65" s="22">
        <f>(Table2[[#This Row],[H/Pace]]/100)*(VLOOKUP(Table2[[#This Row],[Home/Neutral]],home_lookup,8,FALSE)+VLOOKUP(Table2[[#This Row],[Home/Neutral]],OFR_lookup,2,FALSE)+VLOOKUP(Table2[[#This Row],[Visitor/Neutral]],def_diff_lookup,6,FALSE))</f>
        <v>108.7609325542187</v>
      </c>
      <c r="M65" s="22"/>
      <c r="N65" s="22">
        <f>(Table2[[#This Row],[A/Pace]]/100)*(VLOOKUP(Table2[[#This Row],[Visitor/Neutral]],OFR_lookup,2,FALSE)+VLOOKUP(Table2[[#This Row],[Home/Neutral]],def_diff_lookup,6,FALSE))</f>
        <v>111.623406</v>
      </c>
      <c r="O65" s="22"/>
      <c r="P65" s="22"/>
      <c r="Q65" s="3">
        <f>VLOOKUP(Table2[[#This Row],[Home/Neutral]],pace_lookup,7,FALSE)</f>
        <v>96</v>
      </c>
      <c r="R65" s="3">
        <f>VLOOKUP(Table2[[#This Row],[Visitor/Neutral]],pace_lookup,7,FALSE)</f>
        <v>95.4</v>
      </c>
      <c r="S65" s="8">
        <f t="shared" si="1"/>
        <v>10</v>
      </c>
      <c r="T65" s="3">
        <v>-1.5</v>
      </c>
      <c r="U65" s="16"/>
      <c r="V65" s="3"/>
      <c r="W65" s="9">
        <f>-home-VLOOKUP(Table2[[#This Row],[Home/Neutral]],rtg_vlookup,4,FALSE)+VLOOKUP(Table2[[#This Row],[Visitor/Neutral]],rtg_vlookup,4,FALSE)</f>
        <v>6.1513114754098339</v>
      </c>
      <c r="X65" s="16"/>
      <c r="Y65" s="9"/>
      <c r="Z65" s="9">
        <f>Table2[[#This Row],[A/EV]]-Table2[[#This Row],[H/EV]]</f>
        <v>2.8624734457813048</v>
      </c>
      <c r="AA65" s="31"/>
      <c r="AB65" s="32"/>
      <c r="AC65" s="32"/>
      <c r="AD65" s="32"/>
      <c r="AE65" s="32"/>
      <c r="AF65" s="8" t="b">
        <f>IF(VLOOKUP(Table2[[#This Row],[Home/Neutral]],division_lookup,9,FALSE)=VLOOKUP(Table2[[#This Row],[Visitor/Neutral]],division_lookup,9,FALSE),TRUE,FALSE)</f>
        <v>0</v>
      </c>
      <c r="AG65" s="16" t="str">
        <f>VLOOKUP(Table2[[#This Row],[Home/Neutral]],division_lookup,9,FALSE)</f>
        <v>SE</v>
      </c>
      <c r="AH65" s="16" t="str">
        <f>IF(Table2[[#This Row],[Total/EV]]&lt;Table2[[#This Row],[Total/V]],"UNDER","OVER")</f>
        <v>UNDER</v>
      </c>
      <c r="AI65" s="17"/>
      <c r="AJ65" s="9"/>
      <c r="AK65" s="9"/>
      <c r="AL65" s="19">
        <f>Table2[[#This Row],[SRS]]-Table2[[#This Row],[Spread]]</f>
        <v>-3.8486885245901661</v>
      </c>
      <c r="AM65" s="22">
        <f>Table2[[#This Row],[(A) Err]]^2</f>
        <v>14.812403359312029</v>
      </c>
      <c r="AN65" s="4">
        <f>Table2[[#This Row],[EV]]-Table2[[#This Row],[Spread]]</f>
        <v>-7.1375265542186952</v>
      </c>
      <c r="AO65" s="4">
        <f>Table2[[#This Row],[EV Err]]^2</f>
        <v>50.944285312177001</v>
      </c>
      <c r="AP65" s="6"/>
    </row>
    <row r="66" spans="1:42" x14ac:dyDescent="0.25">
      <c r="A66" s="34">
        <v>42677</v>
      </c>
      <c r="B66" t="s">
        <v>114</v>
      </c>
      <c r="C66" t="s">
        <v>110</v>
      </c>
      <c r="D66">
        <f>IF((Table2[[#This Row],[Spread]]-Table2[[#This Row],[Spread/V]])=0,1,IF(Table2[[#This Row],[Spread]]&lt;Table2[[#This Row],[Spread/V]],1,0))</f>
        <v>0</v>
      </c>
      <c r="E66">
        <v>128</v>
      </c>
      <c r="F66">
        <f>IF((Table2[[#This Row],[Spread]]-Table2[[#This Row],[Spread/V]])=0,1,IF(Table2[[#This Row],[Spread]]&gt;Table2[[#This Row],[Spread/V]],1,0))</f>
        <v>1</v>
      </c>
      <c r="G66">
        <v>122</v>
      </c>
      <c r="H66" s="7">
        <f t="shared" si="0"/>
        <v>250</v>
      </c>
      <c r="I66">
        <f>IF(Table2[[#This Row],[Total/V]]&lt;=Table2[[#This Row],[Total]],1,0)</f>
        <v>1</v>
      </c>
      <c r="J66">
        <v>207</v>
      </c>
      <c r="K66"/>
      <c r="L66" s="21">
        <f>(Table2[[#This Row],[H/Pace]]/100)*(VLOOKUP(Table2[[#This Row],[Home/Neutral]],home_lookup,8,FALSE)+VLOOKUP(Table2[[#This Row],[Home/Neutral]],OFR_lookup,2,FALSE)+VLOOKUP(Table2[[#This Row],[Visitor/Neutral]],def_diff_lookup,6,FALSE))</f>
        <v>114.98117276756467</v>
      </c>
      <c r="M66" s="21"/>
      <c r="N66" s="21">
        <f>(Table2[[#This Row],[A/Pace]]/100)*(VLOOKUP(Table2[[#This Row],[Visitor/Neutral]],OFR_lookup,2,FALSE)+VLOOKUP(Table2[[#This Row],[Home/Neutral]],def_diff_lookup,6,FALSE))</f>
        <v>103.23767133333335</v>
      </c>
      <c r="O66" s="21"/>
      <c r="P66" s="21"/>
      <c r="Q66">
        <f>VLOOKUP(Table2[[#This Row],[Home/Neutral]],pace_lookup,7,FALSE)</f>
        <v>97.3</v>
      </c>
      <c r="R66" s="5">
        <f>VLOOKUP(Table2[[#This Row],[Visitor/Neutral]],pace_lookup,7,FALSE)</f>
        <v>96.2</v>
      </c>
      <c r="S66" s="7">
        <f t="shared" si="1"/>
        <v>-6</v>
      </c>
      <c r="T66">
        <v>-11</v>
      </c>
      <c r="U66" s="15"/>
      <c r="W66" s="2">
        <f>-home-VLOOKUP(Table2[[#This Row],[Home/Neutral]],rtg_vlookup,4,FALSE)+VLOOKUP(Table2[[#This Row],[Visitor/Neutral]],rtg_vlookup,4,FALSE)</f>
        <v>-10.948688524590166</v>
      </c>
      <c r="X66" s="15"/>
      <c r="Y66" s="2"/>
      <c r="Z66" s="2">
        <f>Table2[[#This Row],[A/EV]]-Table2[[#This Row],[H/EV]]</f>
        <v>-11.74350143423132</v>
      </c>
      <c r="AA66" s="29"/>
      <c r="AB66" s="30"/>
      <c r="AC66" s="30"/>
      <c r="AD66" s="30"/>
      <c r="AE66" s="30"/>
      <c r="AF66" s="7" t="b">
        <f>IF(VLOOKUP(Table2[[#This Row],[Home/Neutral]],division_lookup,9,FALSE)=VLOOKUP(Table2[[#This Row],[Visitor/Neutral]],division_lookup,9,FALSE),TRUE,FALSE)</f>
        <v>0</v>
      </c>
      <c r="AG66" s="15" t="str">
        <f>VLOOKUP(Table2[[#This Row],[Home/Neutral]],division_lookup,9,FALSE)</f>
        <v>C</v>
      </c>
      <c r="AH66" s="15" t="str">
        <f>IF(Table2[[#This Row],[Total/EV]]&lt;Table2[[#This Row],[Total/V]],"UNDER","OVER")</f>
        <v>UNDER</v>
      </c>
      <c r="AI66" s="15"/>
      <c r="AJ66" s="2"/>
      <c r="AK66" s="2"/>
      <c r="AL66" s="18">
        <f>Table2[[#This Row],[SRS]]-Table2[[#This Row],[Spread]]</f>
        <v>-4.9486885245901657</v>
      </c>
      <c r="AM66" s="21">
        <f>Table2[[#This Row],[(A) Err]]^2</f>
        <v>24.489518113410391</v>
      </c>
      <c r="AN66" s="6">
        <f>Table2[[#This Row],[EV]]-Table2[[#This Row],[Spread]]</f>
        <v>-5.7435014342313195</v>
      </c>
      <c r="AO66" s="1">
        <f>Table2[[#This Row],[EV Err]]^2</f>
        <v>32.987808725017224</v>
      </c>
      <c r="AP66" s="1"/>
    </row>
    <row r="67" spans="1:42" x14ac:dyDescent="0.25">
      <c r="A67" s="34">
        <v>42677</v>
      </c>
      <c r="B67" t="s">
        <v>118</v>
      </c>
      <c r="C67" t="s">
        <v>129</v>
      </c>
      <c r="D67">
        <f>IF((Table2[[#This Row],[Spread]]-Table2[[#This Row],[Spread/V]])=0,1,IF(Table2[[#This Row],[Spread]]&lt;Table2[[#This Row],[Spread/V]],1,0))</f>
        <v>1</v>
      </c>
      <c r="E67">
        <v>122</v>
      </c>
      <c r="F67">
        <f>IF((Table2[[#This Row],[Spread]]-Table2[[#This Row],[Spread/V]])=0,1,IF(Table2[[#This Row],[Spread]]&gt;Table2[[#This Row],[Spread/V]],1,0))</f>
        <v>0</v>
      </c>
      <c r="G67">
        <v>96</v>
      </c>
      <c r="H67" s="7">
        <f t="shared" ref="H67:H130" si="2">E67+G67</f>
        <v>218</v>
      </c>
      <c r="I67">
        <f>IF(Table2[[#This Row],[Total/V]]&lt;=Table2[[#This Row],[Total]],1,0)</f>
        <v>0</v>
      </c>
      <c r="J67">
        <v>222.5</v>
      </c>
      <c r="K67"/>
      <c r="L67" s="21">
        <f>(Table2[[#This Row],[H/Pace]]/100)*(VLOOKUP(Table2[[#This Row],[Home/Neutral]],home_lookup,8,FALSE)+VLOOKUP(Table2[[#This Row],[Home/Neutral]],OFR_lookup,2,FALSE)+VLOOKUP(Table2[[#This Row],[Visitor/Neutral]],def_diff_lookup,6,FALSE))</f>
        <v>112.82483838078238</v>
      </c>
      <c r="M67" s="21"/>
      <c r="N67" s="21">
        <f>(Table2[[#This Row],[A/Pace]]/100)*(VLOOKUP(Table2[[#This Row],[Visitor/Neutral]],OFR_lookup,2,FALSE)+VLOOKUP(Table2[[#This Row],[Home/Neutral]],def_diff_lookup,6,FALSE))</f>
        <v>104.05461</v>
      </c>
      <c r="O67" s="21"/>
      <c r="P67" s="21"/>
      <c r="Q67">
        <f>VLOOKUP(Table2[[#This Row],[Home/Neutral]],pace_lookup,7,FALSE)</f>
        <v>100.4</v>
      </c>
      <c r="R67" s="5">
        <f>VLOOKUP(Table2[[#This Row],[Visitor/Neutral]],pace_lookup,7,FALSE)</f>
        <v>99</v>
      </c>
      <c r="S67" s="7">
        <f t="shared" ref="S67:S130" si="3">G67-E67</f>
        <v>-26</v>
      </c>
      <c r="T67">
        <v>-12.5</v>
      </c>
      <c r="U67" s="15"/>
      <c r="W67" s="2">
        <f>-home-VLOOKUP(Table2[[#This Row],[Home/Neutral]],rtg_vlookup,4,FALSE)+VLOOKUP(Table2[[#This Row],[Visitor/Neutral]],rtg_vlookup,4,FALSE)</f>
        <v>-12.688688524590166</v>
      </c>
      <c r="X67" s="15"/>
      <c r="Y67" s="2"/>
      <c r="Z67" s="2">
        <f>Table2[[#This Row],[A/EV]]-Table2[[#This Row],[H/EV]]</f>
        <v>-8.7702283807823846</v>
      </c>
      <c r="AA67" s="29"/>
      <c r="AB67" s="30"/>
      <c r="AC67" s="30"/>
      <c r="AD67" s="30"/>
      <c r="AE67" s="30"/>
      <c r="AF67" s="7" t="b">
        <f>IF(VLOOKUP(Table2[[#This Row],[Home/Neutral]],division_lookup,9,FALSE)=VLOOKUP(Table2[[#This Row],[Visitor/Neutral]],division_lookup,9,FALSE),TRUE,FALSE)</f>
        <v>0</v>
      </c>
      <c r="AG67" s="15" t="str">
        <f>VLOOKUP(Table2[[#This Row],[Home/Neutral]],division_lookup,9,FALSE)</f>
        <v>P</v>
      </c>
      <c r="AH67" s="15" t="str">
        <f>IF(Table2[[#This Row],[Total/EV]]&lt;Table2[[#This Row],[Total/V]],"UNDER","OVER")</f>
        <v>UNDER</v>
      </c>
      <c r="AI67" s="15"/>
      <c r="AJ67" s="2"/>
      <c r="AK67" s="2"/>
      <c r="AL67" s="18">
        <f>Table2[[#This Row],[SRS]]-Table2[[#This Row],[Spread]]</f>
        <v>13.311311475409834</v>
      </c>
      <c r="AM67" s="21">
        <f>Table2[[#This Row],[(A) Err]]^2</f>
        <v>177.19101319537754</v>
      </c>
      <c r="AN67" s="6">
        <f>Table2[[#This Row],[EV]]-Table2[[#This Row],[Spread]]</f>
        <v>17.229771619217615</v>
      </c>
      <c r="AO67" s="1">
        <f>Table2[[#This Row],[EV Err]]^2</f>
        <v>296.8650300503968</v>
      </c>
      <c r="AP67" s="1"/>
    </row>
    <row r="68" spans="1:42" x14ac:dyDescent="0.25">
      <c r="A68" s="34">
        <v>42677</v>
      </c>
      <c r="B68" t="s">
        <v>125</v>
      </c>
      <c r="C68" t="s">
        <v>120</v>
      </c>
      <c r="D68">
        <f>IF((Table2[[#This Row],[Spread]]-Table2[[#This Row],[Spread/V]])=0,1,IF(Table2[[#This Row],[Spread]]&lt;Table2[[#This Row],[Spread/V]],1,0))</f>
        <v>1</v>
      </c>
      <c r="E68">
        <v>125</v>
      </c>
      <c r="F68">
        <f>IF((Table2[[#This Row],[Spread]]-Table2[[#This Row],[Spread/V]])=0,1,IF(Table2[[#This Row],[Spread]]&gt;Table2[[#This Row],[Spread/V]],1,0))</f>
        <v>0</v>
      </c>
      <c r="G68">
        <v>107</v>
      </c>
      <c r="H68" s="7">
        <f t="shared" si="2"/>
        <v>232</v>
      </c>
      <c r="I68">
        <f>IF(Table2[[#This Row],[Total/V]]&lt;=Table2[[#This Row],[Total]],1,0)</f>
        <v>1</v>
      </c>
      <c r="J68">
        <v>211</v>
      </c>
      <c r="K68"/>
      <c r="L68" s="21">
        <f>(Table2[[#This Row],[H/Pace]]/100)*(VLOOKUP(Table2[[#This Row],[Home/Neutral]],home_lookup,8,FALSE)+VLOOKUP(Table2[[#This Row],[Home/Neutral]],OFR_lookup,2,FALSE)+VLOOKUP(Table2[[#This Row],[Visitor/Neutral]],def_diff_lookup,6,FALSE))</f>
        <v>110.18903550061907</v>
      </c>
      <c r="M68" s="21"/>
      <c r="N68" s="21">
        <f>(Table2[[#This Row],[A/Pace]]/100)*(VLOOKUP(Table2[[#This Row],[Visitor/Neutral]],OFR_lookup,2,FALSE)+VLOOKUP(Table2[[#This Row],[Home/Neutral]],def_diff_lookup,6,FALSE))</f>
        <v>103.97748033333333</v>
      </c>
      <c r="O68" s="21"/>
      <c r="P68" s="21"/>
      <c r="Q68">
        <f>VLOOKUP(Table2[[#This Row],[Home/Neutral]],pace_lookup,7,FALSE)</f>
        <v>96.1</v>
      </c>
      <c r="R68" s="5">
        <f>VLOOKUP(Table2[[#This Row],[Visitor/Neutral]],pace_lookup,7,FALSE)</f>
        <v>98.3</v>
      </c>
      <c r="S68" s="7">
        <f t="shared" si="3"/>
        <v>-18</v>
      </c>
      <c r="T68">
        <v>-3</v>
      </c>
      <c r="U68" s="15"/>
      <c r="W68" s="2">
        <f>-home-VLOOKUP(Table2[[#This Row],[Home/Neutral]],rtg_vlookup,4,FALSE)+VLOOKUP(Table2[[#This Row],[Visitor/Neutral]],rtg_vlookup,4,FALSE)</f>
        <v>-4.9986885245901664</v>
      </c>
      <c r="X68" s="15"/>
      <c r="Y68" s="2"/>
      <c r="Z68" s="2">
        <f>Table2[[#This Row],[A/EV]]-Table2[[#This Row],[H/EV]]</f>
        <v>-6.2115551672857379</v>
      </c>
      <c r="AA68" s="29"/>
      <c r="AB68" s="30"/>
      <c r="AC68" s="30"/>
      <c r="AD68" s="30"/>
      <c r="AE68" s="30"/>
      <c r="AF68" s="7" t="b">
        <f>IF(VLOOKUP(Table2[[#This Row],[Home/Neutral]],division_lookup,9,FALSE)=VLOOKUP(Table2[[#This Row],[Visitor/Neutral]],division_lookup,9,FALSE),TRUE,FALSE)</f>
        <v>1</v>
      </c>
      <c r="AG68" s="15" t="str">
        <f>VLOOKUP(Table2[[#This Row],[Home/Neutral]],division_lookup,9,FALSE)</f>
        <v>C</v>
      </c>
      <c r="AH68" s="15" t="str">
        <f>IF(Table2[[#This Row],[Total/EV]]&lt;Table2[[#This Row],[Total/V]],"UNDER","OVER")</f>
        <v>UNDER</v>
      </c>
      <c r="AI68" s="15"/>
      <c r="AJ68" s="2"/>
      <c r="AK68" s="2"/>
      <c r="AL68" s="18">
        <f>Table2[[#This Row],[SRS]]-Table2[[#This Row],[Spread]]</f>
        <v>13.001311475409834</v>
      </c>
      <c r="AM68" s="21">
        <f>Table2[[#This Row],[(A) Err]]^2</f>
        <v>169.03410008062343</v>
      </c>
      <c r="AN68" s="6">
        <f>Table2[[#This Row],[EV]]-Table2[[#This Row],[Spread]]</f>
        <v>11.788444832714262</v>
      </c>
      <c r="AO68" s="1">
        <f>Table2[[#This Row],[EV Err]]^2</f>
        <v>138.96743157394758</v>
      </c>
      <c r="AP68" s="1"/>
    </row>
    <row r="69" spans="1:42" x14ac:dyDescent="0.25">
      <c r="A69" s="101">
        <v>42677</v>
      </c>
      <c r="B69" t="s">
        <v>126</v>
      </c>
      <c r="C69" s="5" t="s">
        <v>116</v>
      </c>
      <c r="D69" s="5">
        <f>IF((Table2[[#This Row],[Spread]]-Table2[[#This Row],[Spread/V]])=0,1,IF(Table2[[#This Row],[Spread]]&lt;Table2[[#This Row],[Spread/V]],1,0))</f>
        <v>0</v>
      </c>
      <c r="E69" s="5">
        <v>99</v>
      </c>
      <c r="F69" s="5">
        <f>IF((Table2[[#This Row],[Spread]]-Table2[[#This Row],[Spread/V]])=0,1,IF(Table2[[#This Row],[Spread]]&gt;Table2[[#This Row],[Spread/V]],1,0))</f>
        <v>1</v>
      </c>
      <c r="G69" s="96">
        <v>102</v>
      </c>
      <c r="H69" s="7">
        <f t="shared" si="2"/>
        <v>201</v>
      </c>
      <c r="I69" s="5">
        <f>IF(Table2[[#This Row],[Total/V]]&lt;=Table2[[#This Row],[Total]],1,0)</f>
        <v>0</v>
      </c>
      <c r="J69" s="5">
        <v>204</v>
      </c>
      <c r="K69" s="5"/>
      <c r="L69" s="23">
        <f>(Table2[[#This Row],[H/Pace]]/100)*(VLOOKUP(Table2[[#This Row],[Home/Neutral]],home_lookup,8,FALSE)+VLOOKUP(Table2[[#This Row],[Home/Neutral]],OFR_lookup,2,FALSE)+VLOOKUP(Table2[[#This Row],[Visitor/Neutral]],def_diff_lookup,6,FALSE))</f>
        <v>115.15127777050786</v>
      </c>
      <c r="M69" s="23"/>
      <c r="N69" s="23">
        <f>(Table2[[#This Row],[A/Pace]]/100)*(VLOOKUP(Table2[[#This Row],[Visitor/Neutral]],OFR_lookup,2,FALSE)+VLOOKUP(Table2[[#This Row],[Home/Neutral]],def_diff_lookup,6,FALSE))</f>
        <v>108.40119566666667</v>
      </c>
      <c r="O69" s="23"/>
      <c r="P69" s="23"/>
      <c r="Q69" s="5">
        <f>VLOOKUP(Table2[[#This Row],[Home/Neutral]],pace_lookup,7,FALSE)</f>
        <v>95.7</v>
      </c>
      <c r="R69" s="5">
        <f>VLOOKUP(Table2[[#This Row],[Visitor/Neutral]],pace_lookup,7,FALSE)</f>
        <v>99.1</v>
      </c>
      <c r="S69" s="7">
        <f t="shared" si="3"/>
        <v>3</v>
      </c>
      <c r="T69" s="5">
        <v>-3.5</v>
      </c>
      <c r="U69" s="26"/>
      <c r="V69" s="5"/>
      <c r="W69" s="10">
        <f>-home-VLOOKUP(Table2[[#This Row],[Home/Neutral]],rtg_vlookup,4,FALSE)+VLOOKUP(Table2[[#This Row],[Visitor/Neutral]],rtg_vlookup,4,FALSE)</f>
        <v>-2.3386885245901659</v>
      </c>
      <c r="X69" s="26"/>
      <c r="Y69" s="10"/>
      <c r="Z69" s="10">
        <f>Table2[[#This Row],[A/EV]]-Table2[[#This Row],[H/EV]]</f>
        <v>-6.7500821038411942</v>
      </c>
      <c r="AA69" s="29"/>
      <c r="AB69" s="33"/>
      <c r="AC69" s="33"/>
      <c r="AD69" s="33"/>
      <c r="AE69" s="33"/>
      <c r="AF69" s="7" t="b">
        <f>IF(VLOOKUP(Table2[[#This Row],[Home/Neutral]],division_lookup,9,FALSE)=VLOOKUP(Table2[[#This Row],[Visitor/Neutral]],division_lookup,9,FALSE),TRUE,FALSE)</f>
        <v>1</v>
      </c>
      <c r="AG69" s="26" t="str">
        <f>VLOOKUP(Table2[[#This Row],[Home/Neutral]],division_lookup,9,FALSE)</f>
        <v>NW</v>
      </c>
      <c r="AH69" s="26" t="str">
        <f>IF(Table2[[#This Row],[Total/EV]]&lt;Table2[[#This Row],[Total/V]],"UNDER","OVER")</f>
        <v>UNDER</v>
      </c>
      <c r="AI69" s="26"/>
      <c r="AJ69" s="10"/>
      <c r="AK69" s="2"/>
      <c r="AL69" s="18">
        <f>Table2[[#This Row],[SRS]]-Table2[[#This Row],[Spread]]</f>
        <v>-5.3386885245901663</v>
      </c>
      <c r="AM69" s="21">
        <f>Table2[[#This Row],[(A) Err]]^2</f>
        <v>28.501595162590725</v>
      </c>
      <c r="AN69" s="6">
        <f>Table2[[#This Row],[EV]]-Table2[[#This Row],[Spread]]</f>
        <v>-9.7500821038411942</v>
      </c>
      <c r="AO69" s="1">
        <f>Table2[[#This Row],[EV Err]]^2</f>
        <v>95.064101031644327</v>
      </c>
      <c r="AP69" s="1"/>
    </row>
    <row r="70" spans="1:42" ht="15.75" thickBot="1" x14ac:dyDescent="0.3">
      <c r="A70" s="100">
        <v>42677</v>
      </c>
      <c r="B70" s="3" t="s">
        <v>130</v>
      </c>
      <c r="C70" s="3" t="s">
        <v>133</v>
      </c>
      <c r="D70" s="3">
        <f>IF((Table2[[#This Row],[Spread]]-Table2[[#This Row],[Spread/V]])=0,1,IF(Table2[[#This Row],[Spread]]&lt;Table2[[#This Row],[Spread/V]],1,0))</f>
        <v>1</v>
      </c>
      <c r="E70" s="3">
        <v>102</v>
      </c>
      <c r="F70" s="3">
        <f>IF((Table2[[#This Row],[Spread]]-Table2[[#This Row],[Spread/V]])=0,1,IF(Table2[[#This Row],[Spread]]&gt;Table2[[#This Row],[Spread/V]],1,0))</f>
        <v>0</v>
      </c>
      <c r="G70" s="3">
        <v>94</v>
      </c>
      <c r="H70" s="8">
        <f t="shared" si="2"/>
        <v>196</v>
      </c>
      <c r="I70" s="3">
        <f>IF(Table2[[#This Row],[Total/V]]&lt;=Table2[[#This Row],[Total]],1,0)</f>
        <v>0</v>
      </c>
      <c r="J70" s="3">
        <v>199</v>
      </c>
      <c r="K70" s="3"/>
      <c r="L70" s="22">
        <f>(Table2[[#This Row],[H/Pace]]/100)*(VLOOKUP(Table2[[#This Row],[Home/Neutral]],home_lookup,8,FALSE)+VLOOKUP(Table2[[#This Row],[Home/Neutral]],OFR_lookup,2,FALSE)+VLOOKUP(Table2[[#This Row],[Visitor/Neutral]],def_diff_lookup,6,FALSE))</f>
        <v>99.539864967109395</v>
      </c>
      <c r="M70" s="22"/>
      <c r="N70" s="22">
        <f>(Table2[[#This Row],[A/Pace]]/100)*(VLOOKUP(Table2[[#This Row],[Visitor/Neutral]],OFR_lookup,2,FALSE)+VLOOKUP(Table2[[#This Row],[Home/Neutral]],def_diff_lookup,6,FALSE))</f>
        <v>101.534098</v>
      </c>
      <c r="O70" s="22"/>
      <c r="P70" s="22"/>
      <c r="Q70" s="3">
        <f>VLOOKUP(Table2[[#This Row],[Home/Neutral]],pace_lookup,7,FALSE)</f>
        <v>94.2</v>
      </c>
      <c r="R70" s="3">
        <f>VLOOKUP(Table2[[#This Row],[Visitor/Neutral]],pace_lookup,7,FALSE)</f>
        <v>94.2</v>
      </c>
      <c r="S70" s="8">
        <f t="shared" si="3"/>
        <v>-8</v>
      </c>
      <c r="T70" s="3">
        <v>0</v>
      </c>
      <c r="U70" s="16"/>
      <c r="V70" s="3"/>
      <c r="W70" s="9">
        <f>-home-VLOOKUP(Table2[[#This Row],[Home/Neutral]],rtg_vlookup,4,FALSE)+VLOOKUP(Table2[[#This Row],[Visitor/Neutral]],rtg_vlookup,4,FALSE)</f>
        <v>3.9313114754098351</v>
      </c>
      <c r="X70" s="16"/>
      <c r="Y70" s="9"/>
      <c r="Z70" s="9">
        <f>Table2[[#This Row],[A/EV]]-Table2[[#This Row],[H/EV]]</f>
        <v>1.9942330328906053</v>
      </c>
      <c r="AA70" s="31"/>
      <c r="AB70" s="32"/>
      <c r="AC70" s="32"/>
      <c r="AD70" s="32"/>
      <c r="AE70" s="32"/>
      <c r="AF70" s="8" t="b">
        <f>IF(VLOOKUP(Table2[[#This Row],[Home/Neutral]],division_lookup,9,FALSE)=VLOOKUP(Table2[[#This Row],[Visitor/Neutral]],division_lookup,9,FALSE),TRUE,FALSE)</f>
        <v>0</v>
      </c>
      <c r="AG70" s="16" t="str">
        <f>VLOOKUP(Table2[[#This Row],[Home/Neutral]],division_lookup,9,FALSE)</f>
        <v>SE</v>
      </c>
      <c r="AH70" s="16" t="str">
        <f>IF(Table2[[#This Row],[Total/EV]]&lt;Table2[[#This Row],[Total/V]],"UNDER","OVER")</f>
        <v>UNDER</v>
      </c>
      <c r="AI70" s="16"/>
      <c r="AJ70" s="9"/>
      <c r="AK70" s="9"/>
      <c r="AL70" s="20">
        <f>Table2[[#This Row],[SRS]]-Table2[[#This Row],[Spread]]</f>
        <v>11.931311475409835</v>
      </c>
      <c r="AM70" s="24">
        <f>Table2[[#This Row],[(A) Err]]^2</f>
        <v>142.35619352324642</v>
      </c>
      <c r="AN70" s="4">
        <f>Table2[[#This Row],[EV]]-Table2[[#This Row],[Spread]]</f>
        <v>9.9942330328906053</v>
      </c>
      <c r="AO70" s="4">
        <f>Table2[[#This Row],[EV Err]]^2</f>
        <v>99.884693915721741</v>
      </c>
      <c r="AP70" s="6"/>
    </row>
    <row r="71" spans="1:42" x14ac:dyDescent="0.25">
      <c r="A71" s="34">
        <v>42678</v>
      </c>
      <c r="B71" t="s">
        <v>111</v>
      </c>
      <c r="C71" t="s">
        <v>112</v>
      </c>
      <c r="D71">
        <f>IF((Table2[[#This Row],[Spread]]-Table2[[#This Row],[Spread/V]])=0,1,IF(Table2[[#This Row],[Spread]]&lt;Table2[[#This Row],[Spread/V]],1,0))</f>
        <v>0</v>
      </c>
      <c r="E71">
        <v>95</v>
      </c>
      <c r="F71">
        <f>IF((Table2[[#This Row],[Spread]]-Table2[[#This Row],[Spread/V]])=0,1,IF(Table2[[#This Row],[Spread]]&gt;Table2[[#This Row],[Spread/V]],1,0))</f>
        <v>1</v>
      </c>
      <c r="G71">
        <v>99</v>
      </c>
      <c r="H71" s="7">
        <f t="shared" si="2"/>
        <v>194</v>
      </c>
      <c r="I71">
        <f>IF(Table2[[#This Row],[Total/V]]&lt;=Table2[[#This Row],[Total]],1,0)</f>
        <v>0</v>
      </c>
      <c r="J71">
        <v>203</v>
      </c>
      <c r="K71"/>
      <c r="L71" s="21">
        <f>(Table2[[#This Row],[H/Pace]]/100)*(VLOOKUP(Table2[[#This Row],[Home/Neutral]],home_lookup,8,FALSE)+VLOOKUP(Table2[[#This Row],[Home/Neutral]],OFR_lookup,2,FALSE)+VLOOKUP(Table2[[#This Row],[Visitor/Neutral]],def_diff_lookup,6,FALSE))</f>
        <v>99.232618327716352</v>
      </c>
      <c r="M71" s="21"/>
      <c r="N71" s="21">
        <f>(Table2[[#This Row],[A/Pace]]/100)*(VLOOKUP(Table2[[#This Row],[Visitor/Neutral]],OFR_lookup,2,FALSE)+VLOOKUP(Table2[[#This Row],[Home/Neutral]],def_diff_lookup,6,FALSE))</f>
        <v>109.15195933333334</v>
      </c>
      <c r="O71" s="21"/>
      <c r="P71" s="21"/>
      <c r="Q71">
        <f>VLOOKUP(Table2[[#This Row],[Home/Neutral]],pace_lookup,7,FALSE)</f>
        <v>102</v>
      </c>
      <c r="R71" s="5">
        <f>VLOOKUP(Table2[[#This Row],[Visitor/Neutral]],pace_lookup,7,FALSE)</f>
        <v>97.4</v>
      </c>
      <c r="S71" s="7">
        <f t="shared" si="3"/>
        <v>4</v>
      </c>
      <c r="T71">
        <v>-6.5</v>
      </c>
      <c r="U71" s="15"/>
      <c r="W71" s="2">
        <f>-home-VLOOKUP(Table2[[#This Row],[Home/Neutral]],rtg_vlookup,4,FALSE)+VLOOKUP(Table2[[#This Row],[Visitor/Neutral]],rtg_vlookup,4,FALSE)</f>
        <v>8.0413114754098345</v>
      </c>
      <c r="X71" s="15"/>
      <c r="Y71" s="2"/>
      <c r="Z71" s="2">
        <f>Table2[[#This Row],[A/EV]]-Table2[[#This Row],[H/EV]]</f>
        <v>9.9193410056169853</v>
      </c>
      <c r="AA71" s="29"/>
      <c r="AB71" s="30"/>
      <c r="AC71" s="30"/>
      <c r="AD71" s="30"/>
      <c r="AE71" s="30"/>
      <c r="AF71" s="7" t="b">
        <f>IF(VLOOKUP(Table2[[#This Row],[Home/Neutral]],division_lookup,9,FALSE)=VLOOKUP(Table2[[#This Row],[Visitor/Neutral]],division_lookup,9,FALSE),TRUE,FALSE)</f>
        <v>0</v>
      </c>
      <c r="AG71" s="15" t="str">
        <f>VLOOKUP(Table2[[#This Row],[Home/Neutral]],division_lookup,9,FALSE)</f>
        <v>A</v>
      </c>
      <c r="AH71" s="15" t="str">
        <f>IF(Table2[[#This Row],[Total/EV]]&lt;Table2[[#This Row],[Total/V]],"UNDER","OVER")</f>
        <v>UNDER</v>
      </c>
      <c r="AI71" s="15"/>
      <c r="AJ71" s="2"/>
      <c r="AK71" s="2"/>
      <c r="AL71" s="18">
        <f>Table2[[#This Row],[SRS]]-Table2[[#This Row],[Spread]]</f>
        <v>4.0413114754098345</v>
      </c>
      <c r="AM71" s="21">
        <f>Table2[[#This Row],[(A) Err]]^2</f>
        <v>16.332198441279214</v>
      </c>
      <c r="AN71" s="6">
        <f>Table2[[#This Row],[EV]]-Table2[[#This Row],[Spread]]</f>
        <v>5.9193410056169853</v>
      </c>
      <c r="AO71" s="1">
        <f>Table2[[#This Row],[EV Err]]^2</f>
        <v>35.0385979407787</v>
      </c>
      <c r="AP71" s="1"/>
    </row>
    <row r="72" spans="1:42" x14ac:dyDescent="0.25">
      <c r="A72" s="34">
        <v>42678</v>
      </c>
      <c r="B72" t="s">
        <v>113</v>
      </c>
      <c r="C72" t="s">
        <v>128</v>
      </c>
      <c r="D72">
        <f>IF((Table2[[#This Row],[Spread]]-Table2[[#This Row],[Spread/V]])=0,1,IF(Table2[[#This Row],[Spread]]&lt;Table2[[#This Row],[Spread/V]],1,0))</f>
        <v>0</v>
      </c>
      <c r="E72">
        <v>104</v>
      </c>
      <c r="F72">
        <f>IF((Table2[[#This Row],[Spread]]-Table2[[#This Row],[Spread/V]])=0,1,IF(Table2[[#This Row],[Spread]]&gt;Table2[[#This Row],[Spread/V]],1,0))</f>
        <v>1</v>
      </c>
      <c r="G72">
        <v>117</v>
      </c>
      <c r="H72" s="7">
        <f t="shared" si="2"/>
        <v>221</v>
      </c>
      <c r="I72">
        <f>IF(Table2[[#This Row],[Total/V]]&lt;=Table2[[#This Row],[Total]],1,0)</f>
        <v>1</v>
      </c>
      <c r="J72">
        <v>210</v>
      </c>
      <c r="K72"/>
      <c r="L72" s="21">
        <f>(Table2[[#This Row],[H/Pace]]/100)*(VLOOKUP(Table2[[#This Row],[Home/Neutral]],home_lookup,8,FALSE)+VLOOKUP(Table2[[#This Row],[Home/Neutral]],OFR_lookup,2,FALSE)+VLOOKUP(Table2[[#This Row],[Visitor/Neutral]],def_diff_lookup,6,FALSE))</f>
        <v>112.1241138801628</v>
      </c>
      <c r="M72" s="21"/>
      <c r="N72" s="21">
        <f>(Table2[[#This Row],[A/Pace]]/100)*(VLOOKUP(Table2[[#This Row],[Visitor/Neutral]],OFR_lookup,2,FALSE)+VLOOKUP(Table2[[#This Row],[Home/Neutral]],def_diff_lookup,6,FALSE))</f>
        <v>103.50869699999998</v>
      </c>
      <c r="O72" s="21"/>
      <c r="P72" s="21"/>
      <c r="Q72">
        <f>VLOOKUP(Table2[[#This Row],[Home/Neutral]],pace_lookup,7,FALSE)</f>
        <v>95.1</v>
      </c>
      <c r="R72" s="5">
        <f>VLOOKUP(Table2[[#This Row],[Visitor/Neutral]],pace_lookup,7,FALSE)</f>
        <v>96.3</v>
      </c>
      <c r="S72" s="7">
        <f t="shared" si="3"/>
        <v>13</v>
      </c>
      <c r="T72">
        <v>-7.5</v>
      </c>
      <c r="U72" s="15"/>
      <c r="W72" s="2">
        <f>-home-VLOOKUP(Table2[[#This Row],[Home/Neutral]],rtg_vlookup,4,FALSE)+VLOOKUP(Table2[[#This Row],[Visitor/Neutral]],rtg_vlookup,4,FALSE)</f>
        <v>-9.2886885245901656</v>
      </c>
      <c r="X72" s="15"/>
      <c r="Y72" s="2"/>
      <c r="Z72" s="2">
        <f>Table2[[#This Row],[A/EV]]-Table2[[#This Row],[H/EV]]</f>
        <v>-8.6154168801628117</v>
      </c>
      <c r="AA72" s="29"/>
      <c r="AB72" s="30"/>
      <c r="AC72" s="30"/>
      <c r="AD72" s="30"/>
      <c r="AE72" s="30"/>
      <c r="AF72" s="7" t="b">
        <f>IF(VLOOKUP(Table2[[#This Row],[Home/Neutral]],division_lookup,9,FALSE)=VLOOKUP(Table2[[#This Row],[Visitor/Neutral]],division_lookup,9,FALSE),TRUE,FALSE)</f>
        <v>0</v>
      </c>
      <c r="AG72" s="15" t="str">
        <f>VLOOKUP(Table2[[#This Row],[Home/Neutral]],division_lookup,9,FALSE)</f>
        <v>C</v>
      </c>
      <c r="AH72" s="15" t="str">
        <f>IF(Table2[[#This Row],[Total/EV]]&lt;Table2[[#This Row],[Total/V]],"UNDER","OVER")</f>
        <v>UNDER</v>
      </c>
      <c r="AI72" s="15"/>
      <c r="AJ72" s="2"/>
      <c r="AK72" s="2"/>
      <c r="AL72" s="18">
        <f>Table2[[#This Row],[SRS]]-Table2[[#This Row],[Spread]]</f>
        <v>-22.288688524590164</v>
      </c>
      <c r="AM72" s="21">
        <f>Table2[[#This Row],[(A) Err]]^2</f>
        <v>496.78563614619725</v>
      </c>
      <c r="AN72" s="6">
        <f>Table2[[#This Row],[EV]]-Table2[[#This Row],[Spread]]</f>
        <v>-21.615416880162812</v>
      </c>
      <c r="AO72" s="1">
        <f>Table2[[#This Row],[EV Err]]^2</f>
        <v>467.22624690322743</v>
      </c>
      <c r="AP72" s="1"/>
    </row>
    <row r="73" spans="1:42" x14ac:dyDescent="0.25">
      <c r="A73" s="34">
        <v>42678</v>
      </c>
      <c r="B73" t="s">
        <v>115</v>
      </c>
      <c r="C73" t="s">
        <v>132</v>
      </c>
      <c r="D73">
        <f>IF((Table2[[#This Row],[Spread]]-Table2[[#This Row],[Spread/V]])=0,1,IF(Table2[[#This Row],[Spread]]&lt;Table2[[#This Row],[Spread/V]],1,0))</f>
        <v>0</v>
      </c>
      <c r="E73">
        <v>95</v>
      </c>
      <c r="F73">
        <f>IF((Table2[[#This Row],[Spread]]-Table2[[#This Row],[Spread/V]])=0,1,IF(Table2[[#This Row],[Spread]]&gt;Table2[[#This Row],[Spread/V]],1,0))</f>
        <v>1</v>
      </c>
      <c r="G73">
        <v>105</v>
      </c>
      <c r="H73" s="7">
        <f t="shared" si="2"/>
        <v>200</v>
      </c>
      <c r="I73">
        <f>IF(Table2[[#This Row],[Total/V]]&lt;=Table2[[#This Row],[Total]],1,0)</f>
        <v>0</v>
      </c>
      <c r="J73">
        <v>208</v>
      </c>
      <c r="K73"/>
      <c r="L73" s="21">
        <f>(Table2[[#This Row],[H/Pace]]/100)*(VLOOKUP(Table2[[#This Row],[Home/Neutral]],home_lookup,8,FALSE)+VLOOKUP(Table2[[#This Row],[Home/Neutral]],OFR_lookup,2,FALSE)+VLOOKUP(Table2[[#This Row],[Visitor/Neutral]],def_diff_lookup,6,FALSE))</f>
        <v>100.53375311596776</v>
      </c>
      <c r="M73" s="21"/>
      <c r="N73" s="21">
        <f>(Table2[[#This Row],[A/Pace]]/100)*(VLOOKUP(Table2[[#This Row],[Visitor/Neutral]],OFR_lookup,2,FALSE)+VLOOKUP(Table2[[#This Row],[Home/Neutral]],def_diff_lookup,6,FALSE))</f>
        <v>107.72723866666666</v>
      </c>
      <c r="O73" s="21"/>
      <c r="P73" s="21"/>
      <c r="Q73">
        <f>VLOOKUP(Table2[[#This Row],[Home/Neutral]],pace_lookup,7,FALSE)</f>
        <v>92.9</v>
      </c>
      <c r="R73" s="5">
        <f>VLOOKUP(Table2[[#This Row],[Visitor/Neutral]],pace_lookup,7,FALSE)</f>
        <v>98.8</v>
      </c>
      <c r="S73" s="7">
        <f t="shared" si="3"/>
        <v>10</v>
      </c>
      <c r="T73">
        <v>-2.5</v>
      </c>
      <c r="U73" s="15"/>
      <c r="W73" s="2">
        <f>-home-VLOOKUP(Table2[[#This Row],[Home/Neutral]],rtg_vlookup,4,FALSE)+VLOOKUP(Table2[[#This Row],[Visitor/Neutral]],rtg_vlookup,4,FALSE)</f>
        <v>3.6413114754098337</v>
      </c>
      <c r="X73" s="15"/>
      <c r="Y73" s="2"/>
      <c r="Z73" s="2">
        <f>Table2[[#This Row],[A/EV]]-Table2[[#This Row],[H/EV]]</f>
        <v>7.1934855506989095</v>
      </c>
      <c r="AA73" s="29"/>
      <c r="AB73" s="30"/>
      <c r="AC73" s="30"/>
      <c r="AD73" s="30"/>
      <c r="AE73" s="30"/>
      <c r="AF73" s="7" t="b">
        <f>IF(VLOOKUP(Table2[[#This Row],[Home/Neutral]],division_lookup,9,FALSE)=VLOOKUP(Table2[[#This Row],[Visitor/Neutral]],division_lookup,9,FALSE),TRUE,FALSE)</f>
        <v>0</v>
      </c>
      <c r="AG73" s="15" t="str">
        <f>VLOOKUP(Table2[[#This Row],[Home/Neutral]],division_lookup,9,FALSE)</f>
        <v>SW</v>
      </c>
      <c r="AH73" s="15" t="str">
        <f>IF(Table2[[#This Row],[Total/EV]]&lt;Table2[[#This Row],[Total/V]],"UNDER","OVER")</f>
        <v>UNDER</v>
      </c>
      <c r="AI73" s="15"/>
      <c r="AJ73" s="2"/>
      <c r="AK73" s="2"/>
      <c r="AL73" s="18">
        <f>Table2[[#This Row],[SRS]]-Table2[[#This Row],[Spread]]</f>
        <v>-6.3586885245901659</v>
      </c>
      <c r="AM73" s="21">
        <f>Table2[[#This Row],[(A) Err]]^2</f>
        <v>40.432919752754664</v>
      </c>
      <c r="AN73" s="6">
        <f>Table2[[#This Row],[EV]]-Table2[[#This Row],[Spread]]</f>
        <v>-2.8065144493010905</v>
      </c>
      <c r="AO73" s="1">
        <f>Table2[[#This Row],[EV Err]]^2</f>
        <v>7.8765233541358031</v>
      </c>
      <c r="AP73" s="1"/>
    </row>
    <row r="74" spans="1:42" x14ac:dyDescent="0.25">
      <c r="A74" s="34">
        <v>42678</v>
      </c>
      <c r="B74" t="s">
        <v>122</v>
      </c>
      <c r="C74" t="s">
        <v>118</v>
      </c>
      <c r="D74">
        <f>IF((Table2[[#This Row],[Spread]]-Table2[[#This Row],[Spread/V]])=0,1,IF(Table2[[#This Row],[Spread]]&lt;Table2[[#This Row],[Spread/V]],1,0))</f>
        <v>1</v>
      </c>
      <c r="E74">
        <v>117</v>
      </c>
      <c r="F74">
        <f>IF((Table2[[#This Row],[Spread]]-Table2[[#This Row],[Spread/V]])=0,1,IF(Table2[[#This Row],[Spread]]&gt;Table2[[#This Row],[Spread/V]],1,0))</f>
        <v>0</v>
      </c>
      <c r="G74">
        <v>97</v>
      </c>
      <c r="H74" s="7">
        <f t="shared" si="2"/>
        <v>214</v>
      </c>
      <c r="I74">
        <f>IF(Table2[[#This Row],[Total/V]]&lt;=Table2[[#This Row],[Total]],1,0)</f>
        <v>0</v>
      </c>
      <c r="J74">
        <v>228.5</v>
      </c>
      <c r="K74"/>
      <c r="L74" s="21">
        <f>(Table2[[#This Row],[H/Pace]]/100)*(VLOOKUP(Table2[[#This Row],[Home/Neutral]],home_lookup,8,FALSE)+VLOOKUP(Table2[[#This Row],[Home/Neutral]],OFR_lookup,2,FALSE)+VLOOKUP(Table2[[#This Row],[Visitor/Neutral]],def_diff_lookup,6,FALSE))</f>
        <v>108.66570832744732</v>
      </c>
      <c r="M74" s="21"/>
      <c r="N74" s="21">
        <f>(Table2[[#This Row],[A/Pace]]/100)*(VLOOKUP(Table2[[#This Row],[Visitor/Neutral]],OFR_lookup,2,FALSE)+VLOOKUP(Table2[[#This Row],[Home/Neutral]],def_diff_lookup,6,FALSE))</f>
        <v>121.98164933333332</v>
      </c>
      <c r="O74" s="21"/>
      <c r="P74" s="21"/>
      <c r="Q74">
        <f>VLOOKUP(Table2[[#This Row],[Home/Neutral]],pace_lookup,7,FALSE)</f>
        <v>100.2</v>
      </c>
      <c r="R74" s="5">
        <f>VLOOKUP(Table2[[#This Row],[Visitor/Neutral]],pace_lookup,7,FALSE)</f>
        <v>100.4</v>
      </c>
      <c r="S74" s="7">
        <f t="shared" si="3"/>
        <v>-20</v>
      </c>
      <c r="T74">
        <v>-11.5</v>
      </c>
      <c r="U74" s="15"/>
      <c r="W74" s="2">
        <f>-home-VLOOKUP(Table2[[#This Row],[Home/Neutral]],rtg_vlookup,4,FALSE)+VLOOKUP(Table2[[#This Row],[Visitor/Neutral]],rtg_vlookup,4,FALSE)</f>
        <v>10.891311475409834</v>
      </c>
      <c r="X74" s="15"/>
      <c r="Y74" s="2"/>
      <c r="Z74" s="2">
        <f>Table2[[#This Row],[A/EV]]-Table2[[#This Row],[H/EV]]</f>
        <v>13.315941005886003</v>
      </c>
      <c r="AA74" s="29"/>
      <c r="AB74" s="30"/>
      <c r="AC74" s="30"/>
      <c r="AD74" s="30"/>
      <c r="AE74" s="30"/>
      <c r="AF74" s="7" t="b">
        <f>IF(VLOOKUP(Table2[[#This Row],[Home/Neutral]],division_lookup,9,FALSE)=VLOOKUP(Table2[[#This Row],[Visitor/Neutral]],division_lookup,9,FALSE),TRUE,FALSE)</f>
        <v>1</v>
      </c>
      <c r="AG74" s="15" t="str">
        <f>VLOOKUP(Table2[[#This Row],[Home/Neutral]],division_lookup,9,FALSE)</f>
        <v>P</v>
      </c>
      <c r="AH74" s="15" t="str">
        <f>IF(Table2[[#This Row],[Total/EV]]&lt;Table2[[#This Row],[Total/V]],"UNDER","OVER")</f>
        <v>UNDER</v>
      </c>
      <c r="AI74" s="15"/>
      <c r="AJ74" s="2"/>
      <c r="AK74" s="2"/>
      <c r="AL74" s="18">
        <f>Table2[[#This Row],[SRS]]-Table2[[#This Row],[Spread]]</f>
        <v>30.891311475409836</v>
      </c>
      <c r="AM74" s="21">
        <f>Table2[[#This Row],[(A) Err]]^2</f>
        <v>954.27312467078741</v>
      </c>
      <c r="AN74" s="6">
        <f>Table2[[#This Row],[EV]]-Table2[[#This Row],[Spread]]</f>
        <v>33.315941005886003</v>
      </c>
      <c r="AO74" s="1">
        <f>Table2[[#This Row],[EV Err]]^2</f>
        <v>1109.9519251076765</v>
      </c>
      <c r="AP74" s="1"/>
    </row>
    <row r="75" spans="1:42" x14ac:dyDescent="0.25">
      <c r="A75" s="34">
        <v>42678</v>
      </c>
      <c r="B75" t="s">
        <v>123</v>
      </c>
      <c r="C75" t="s">
        <v>121</v>
      </c>
      <c r="D75">
        <f>IF((Table2[[#This Row],[Spread]]-Table2[[#This Row],[Spread/V]])=0,1,IF(Table2[[#This Row],[Spread]]&lt;Table2[[#This Row],[Spread/V]],1,0))</f>
        <v>0</v>
      </c>
      <c r="E75">
        <v>88</v>
      </c>
      <c r="F75">
        <f>IF((Table2[[#This Row],[Spread]]-Table2[[#This Row],[Spread/V]])=0,1,IF(Table2[[#This Row],[Spread]]&gt;Table2[[#This Row],[Spread/V]],1,0))</f>
        <v>1</v>
      </c>
      <c r="G75">
        <v>99</v>
      </c>
      <c r="H75" s="7">
        <f t="shared" si="2"/>
        <v>187</v>
      </c>
      <c r="I75">
        <f>IF(Table2[[#This Row],[Total/V]]&lt;=Table2[[#This Row],[Total]],1,0)</f>
        <v>0</v>
      </c>
      <c r="J75">
        <v>197.5</v>
      </c>
      <c r="K75"/>
      <c r="L75" s="21">
        <f>(Table2[[#This Row],[H/Pace]]/100)*(VLOOKUP(Table2[[#This Row],[Home/Neutral]],home_lookup,8,FALSE)+VLOOKUP(Table2[[#This Row],[Home/Neutral]],OFR_lookup,2,FALSE)+VLOOKUP(Table2[[#This Row],[Visitor/Neutral]],def_diff_lookup,6,FALSE))</f>
        <v>97.794927095639181</v>
      </c>
      <c r="M75" s="21"/>
      <c r="N75" s="21">
        <f>(Table2[[#This Row],[A/Pace]]/100)*(VLOOKUP(Table2[[#This Row],[Visitor/Neutral]],OFR_lookup,2,FALSE)+VLOOKUP(Table2[[#This Row],[Home/Neutral]],def_diff_lookup,6,FALSE))</f>
        <v>107.53966266666666</v>
      </c>
      <c r="O75" s="21"/>
      <c r="P75" s="21"/>
      <c r="Q75">
        <f>VLOOKUP(Table2[[#This Row],[Home/Neutral]],pace_lookup,7,FALSE)</f>
        <v>92.5</v>
      </c>
      <c r="R75" s="5">
        <f>VLOOKUP(Table2[[#This Row],[Visitor/Neutral]],pace_lookup,7,FALSE)</f>
        <v>96.4</v>
      </c>
      <c r="S75" s="7">
        <f t="shared" si="3"/>
        <v>11</v>
      </c>
      <c r="T75">
        <v>-5.5</v>
      </c>
      <c r="U75" s="15"/>
      <c r="W75" s="2">
        <f>-home-VLOOKUP(Table2[[#This Row],[Home/Neutral]],rtg_vlookup,4,FALSE)+VLOOKUP(Table2[[#This Row],[Visitor/Neutral]],rtg_vlookup,4,FALSE)</f>
        <v>9.2713114754098349</v>
      </c>
      <c r="X75" s="15"/>
      <c r="Y75" s="2"/>
      <c r="Z75" s="2">
        <f>Table2[[#This Row],[A/EV]]-Table2[[#This Row],[H/EV]]</f>
        <v>9.7447355710274763</v>
      </c>
      <c r="AA75" s="29"/>
      <c r="AB75" s="30"/>
      <c r="AC75" s="30"/>
      <c r="AD75" s="30"/>
      <c r="AE75" s="30"/>
      <c r="AF75" s="7" t="b">
        <f>IF(VLOOKUP(Table2[[#This Row],[Home/Neutral]],division_lookup,9,FALSE)=VLOOKUP(Table2[[#This Row],[Visitor/Neutral]],division_lookup,9,FALSE),TRUE,FALSE)</f>
        <v>0</v>
      </c>
      <c r="AG75" s="15" t="str">
        <f>VLOOKUP(Table2[[#This Row],[Home/Neutral]],division_lookup,9,FALSE)</f>
        <v>SW</v>
      </c>
      <c r="AH75" s="15" t="str">
        <f>IF(Table2[[#This Row],[Total/EV]]&lt;Table2[[#This Row],[Total/V]],"UNDER","OVER")</f>
        <v>UNDER</v>
      </c>
      <c r="AI75" s="15"/>
      <c r="AJ75" s="2"/>
      <c r="AK75" s="2"/>
      <c r="AL75" s="18">
        <f>Table2[[#This Row],[SRS]]-Table2[[#This Row],[Spread]]</f>
        <v>-1.7286885245901651</v>
      </c>
      <c r="AM75" s="21">
        <f>Table2[[#This Row],[(A) Err]]^2</f>
        <v>2.9883640150497217</v>
      </c>
      <c r="AN75" s="6">
        <f>Table2[[#This Row],[EV]]-Table2[[#This Row],[Spread]]</f>
        <v>-1.2552644289725237</v>
      </c>
      <c r="AO75" s="1">
        <f>Table2[[#This Row],[EV Err]]^2</f>
        <v>1.5756887866437159</v>
      </c>
      <c r="AP75" s="1"/>
    </row>
    <row r="76" spans="1:42" x14ac:dyDescent="0.25">
      <c r="A76" s="34">
        <v>42678</v>
      </c>
      <c r="B76" t="s">
        <v>127</v>
      </c>
      <c r="C76" t="s">
        <v>131</v>
      </c>
      <c r="D76">
        <f>IF((Table2[[#This Row],[Spread]]-Table2[[#This Row],[Spread/V]])=0,1,IF(Table2[[#This Row],[Spread]]&lt;Table2[[#This Row],[Spread/V]],1,0))</f>
        <v>0</v>
      </c>
      <c r="E76">
        <v>111</v>
      </c>
      <c r="F76">
        <f>IF((Table2[[#This Row],[Spread]]-Table2[[#This Row],[Spread/V]])=0,1,IF(Table2[[#This Row],[Spread]]&gt;Table2[[#This Row],[Spread/V]],1,0))</f>
        <v>1</v>
      </c>
      <c r="G76">
        <v>112</v>
      </c>
      <c r="H76" s="7">
        <f t="shared" si="2"/>
        <v>223</v>
      </c>
      <c r="I76">
        <f>IF(Table2[[#This Row],[Total/V]]&lt;=Table2[[#This Row],[Total]],1,0)</f>
        <v>1</v>
      </c>
      <c r="J76">
        <v>210.5</v>
      </c>
      <c r="K76"/>
      <c r="L76" s="21">
        <f>(Table2[[#This Row],[H/Pace]]/100)*(VLOOKUP(Table2[[#This Row],[Home/Neutral]],home_lookup,8,FALSE)+VLOOKUP(Table2[[#This Row],[Home/Neutral]],OFR_lookup,2,FALSE)+VLOOKUP(Table2[[#This Row],[Visitor/Neutral]],def_diff_lookup,6,FALSE))</f>
        <v>103.80159493743048</v>
      </c>
      <c r="M76" s="21"/>
      <c r="N76" s="21">
        <f>(Table2[[#This Row],[A/Pace]]/100)*(VLOOKUP(Table2[[#This Row],[Visitor/Neutral]],OFR_lookup,2,FALSE)+VLOOKUP(Table2[[#This Row],[Home/Neutral]],def_diff_lookup,6,FALSE))</f>
        <v>101.807463</v>
      </c>
      <c r="O76" s="21"/>
      <c r="P76" s="21"/>
      <c r="Q76">
        <f>VLOOKUP(Table2[[#This Row],[Home/Neutral]],pace_lookup,7,FALSE)</f>
        <v>99.3</v>
      </c>
      <c r="R76" s="5">
        <f>VLOOKUP(Table2[[#This Row],[Visitor/Neutral]],pace_lookup,7,FALSE)</f>
        <v>101.7</v>
      </c>
      <c r="S76" s="7">
        <f t="shared" si="3"/>
        <v>1</v>
      </c>
      <c r="T76">
        <v>-2.5</v>
      </c>
      <c r="U76" s="15"/>
      <c r="W76" s="2">
        <f>-home-VLOOKUP(Table2[[#This Row],[Home/Neutral]],rtg_vlookup,4,FALSE)+VLOOKUP(Table2[[#This Row],[Visitor/Neutral]],rtg_vlookup,4,FALSE)</f>
        <v>-6.4986885245901655</v>
      </c>
      <c r="X76" s="15"/>
      <c r="Y76" s="2"/>
      <c r="Z76" s="2">
        <f>Table2[[#This Row],[A/EV]]-Table2[[#This Row],[H/EV]]</f>
        <v>-1.9941319374304811</v>
      </c>
      <c r="AA76" s="29"/>
      <c r="AB76" s="30"/>
      <c r="AC76" s="30"/>
      <c r="AD76" s="30"/>
      <c r="AE76" s="30"/>
      <c r="AF76" s="7" t="b">
        <f>IF(VLOOKUP(Table2[[#This Row],[Home/Neutral]],division_lookup,9,FALSE)=VLOOKUP(Table2[[#This Row],[Visitor/Neutral]],division_lookup,9,FALSE),TRUE,FALSE)</f>
        <v>0</v>
      </c>
      <c r="AG76" s="15" t="str">
        <f>VLOOKUP(Table2[[#This Row],[Home/Neutral]],division_lookup,9,FALSE)</f>
        <v>SW</v>
      </c>
      <c r="AH76" s="15" t="str">
        <f>IF(Table2[[#This Row],[Total/EV]]&lt;Table2[[#This Row],[Total/V]],"UNDER","OVER")</f>
        <v>UNDER</v>
      </c>
      <c r="AI76" s="15"/>
      <c r="AJ76" s="2"/>
      <c r="AK76" s="2"/>
      <c r="AL76" s="18">
        <f>Table2[[#This Row],[SRS]]-Table2[[#This Row],[Spread]]</f>
        <v>-7.4986885245901655</v>
      </c>
      <c r="AM76" s="21">
        <f>Table2[[#This Row],[(A) Err]]^2</f>
        <v>56.230329588820233</v>
      </c>
      <c r="AN76" s="6">
        <f>Table2[[#This Row],[EV]]-Table2[[#This Row],[Spread]]</f>
        <v>-2.9941319374304811</v>
      </c>
      <c r="AO76" s="1">
        <f>Table2[[#This Row],[EV Err]]^2</f>
        <v>8.9648260587412061</v>
      </c>
      <c r="AP76" s="1"/>
    </row>
    <row r="77" spans="1:42" x14ac:dyDescent="0.25">
      <c r="A77" s="34">
        <v>42678</v>
      </c>
      <c r="B77" t="s">
        <v>135</v>
      </c>
      <c r="C77" t="s">
        <v>124</v>
      </c>
      <c r="D77">
        <f>IF((Table2[[#This Row],[Spread]]-Table2[[#This Row],[Spread/V]])=0,1,IF(Table2[[#This Row],[Spread]]&lt;Table2[[#This Row],[Spread/V]],1,0))</f>
        <v>1</v>
      </c>
      <c r="E77">
        <v>96</v>
      </c>
      <c r="F77">
        <f>IF((Table2[[#This Row],[Spread]]-Table2[[#This Row],[Spread/V]])=0,1,IF(Table2[[#This Row],[Spread]]&gt;Table2[[#This Row],[Spread/V]],1,0))</f>
        <v>0</v>
      </c>
      <c r="G77">
        <v>87</v>
      </c>
      <c r="H77" s="7">
        <f t="shared" si="2"/>
        <v>183</v>
      </c>
      <c r="I77">
        <f>IF(Table2[[#This Row],[Total/V]]&lt;=Table2[[#This Row],[Total]],1,0)</f>
        <v>0</v>
      </c>
      <c r="J77">
        <v>202</v>
      </c>
      <c r="K77"/>
      <c r="L77" s="21">
        <f>(Table2[[#This Row],[H/Pace]]/100)*(VLOOKUP(Table2[[#This Row],[Home/Neutral]],home_lookup,8,FALSE)+VLOOKUP(Table2[[#This Row],[Home/Neutral]],OFR_lookup,2,FALSE)+VLOOKUP(Table2[[#This Row],[Visitor/Neutral]],def_diff_lookup,6,FALSE))</f>
        <v>107.55066035324614</v>
      </c>
      <c r="M77" s="21"/>
      <c r="N77" s="21">
        <f>(Table2[[#This Row],[A/Pace]]/100)*(VLOOKUP(Table2[[#This Row],[Visitor/Neutral]],OFR_lookup,2,FALSE)+VLOOKUP(Table2[[#This Row],[Home/Neutral]],def_diff_lookup,6,FALSE))</f>
        <v>97.584489666666656</v>
      </c>
      <c r="O77" s="21"/>
      <c r="P77" s="21"/>
      <c r="Q77">
        <f>VLOOKUP(Table2[[#This Row],[Home/Neutral]],pace_lookup,7,FALSE)</f>
        <v>95.4</v>
      </c>
      <c r="R77" s="5">
        <f>VLOOKUP(Table2[[#This Row],[Visitor/Neutral]],pace_lookup,7,FALSE)</f>
        <v>93.7</v>
      </c>
      <c r="S77" s="7">
        <f t="shared" si="3"/>
        <v>-9</v>
      </c>
      <c r="T77">
        <v>-7</v>
      </c>
      <c r="U77" s="15"/>
      <c r="W77" s="2">
        <f>-home-VLOOKUP(Table2[[#This Row],[Home/Neutral]],rtg_vlookup,4,FALSE)+VLOOKUP(Table2[[#This Row],[Visitor/Neutral]],rtg_vlookup,4,FALSE)</f>
        <v>-9.9186885245901646</v>
      </c>
      <c r="X77" s="15"/>
      <c r="Y77" s="2"/>
      <c r="Z77" s="2">
        <f>Table2[[#This Row],[A/EV]]-Table2[[#This Row],[H/EV]]</f>
        <v>-9.9661706865794883</v>
      </c>
      <c r="AA77" s="29"/>
      <c r="AB77" s="30"/>
      <c r="AC77" s="30"/>
      <c r="AD77" s="30"/>
      <c r="AE77" s="30"/>
      <c r="AF77" s="7" t="b">
        <f>IF(VLOOKUP(Table2[[#This Row],[Home/Neutral]],division_lookup,9,FALSE)=VLOOKUP(Table2[[#This Row],[Visitor/Neutral]],division_lookup,9,FALSE),TRUE,FALSE)</f>
        <v>0</v>
      </c>
      <c r="AG77" s="15" t="str">
        <f>VLOOKUP(Table2[[#This Row],[Home/Neutral]],division_lookup,9,FALSE)</f>
        <v>A</v>
      </c>
      <c r="AH77" s="15" t="str">
        <f>IF(Table2[[#This Row],[Total/EV]]&lt;Table2[[#This Row],[Total/V]],"UNDER","OVER")</f>
        <v>UNDER</v>
      </c>
      <c r="AI77" s="15"/>
      <c r="AJ77" s="2"/>
      <c r="AK77" s="2"/>
      <c r="AL77" s="18">
        <f>Table2[[#This Row],[SRS]]-Table2[[#This Row],[Spread]]</f>
        <v>-0.91868852459016459</v>
      </c>
      <c r="AM77" s="21">
        <f>Table2[[#This Row],[(A) Err]]^2</f>
        <v>0.84398860521365349</v>
      </c>
      <c r="AN77" s="6">
        <f>Table2[[#This Row],[EV]]-Table2[[#This Row],[Spread]]</f>
        <v>-0.96617068657948835</v>
      </c>
      <c r="AO77" s="1">
        <f>Table2[[#This Row],[EV Err]]^2</f>
        <v>0.93348579560547995</v>
      </c>
      <c r="AP77" s="1"/>
    </row>
    <row r="78" spans="1:42" x14ac:dyDescent="0.25">
      <c r="A78" s="34">
        <v>42678</v>
      </c>
      <c r="B78" t="s">
        <v>136</v>
      </c>
      <c r="C78" t="s">
        <v>134</v>
      </c>
      <c r="D78">
        <f>IF((Table2[[#This Row],[Spread]]-Table2[[#This Row],[Spread/V]])=0,1,IF(Table2[[#This Row],[Spread]]&lt;Table2[[#This Row],[Spread/V]],1,0))</f>
        <v>0</v>
      </c>
      <c r="E78">
        <v>86</v>
      </c>
      <c r="F78">
        <f>IF((Table2[[#This Row],[Spread]]-Table2[[#This Row],[Spread/V]])=0,1,IF(Table2[[#This Row],[Spread]]&gt;Table2[[#This Row],[Spread/V]],1,0))</f>
        <v>1</v>
      </c>
      <c r="G78">
        <v>100</v>
      </c>
      <c r="H78" s="7">
        <f t="shared" si="2"/>
        <v>186</v>
      </c>
      <c r="I78">
        <f>IF(Table2[[#This Row],[Total/V]]&lt;=Table2[[#This Row],[Total]],1,0)</f>
        <v>1</v>
      </c>
      <c r="J78">
        <v>183.5</v>
      </c>
      <c r="K78"/>
      <c r="L78" s="21">
        <f>(Table2[[#This Row],[H/Pace]]/100)*(VLOOKUP(Table2[[#This Row],[Home/Neutral]],home_lookup,8,FALSE)+VLOOKUP(Table2[[#This Row],[Home/Neutral]],OFR_lookup,2,FALSE)+VLOOKUP(Table2[[#This Row],[Visitor/Neutral]],def_diff_lookup,6,FALSE))</f>
        <v>103.812735349919</v>
      </c>
      <c r="M78" s="21"/>
      <c r="N78" s="21">
        <f>(Table2[[#This Row],[A/Pace]]/100)*(VLOOKUP(Table2[[#This Row],[Visitor/Neutral]],OFR_lookup,2,FALSE)+VLOOKUP(Table2[[#This Row],[Home/Neutral]],def_diff_lookup,6,FALSE))</f>
        <v>101.05475266666666</v>
      </c>
      <c r="O78" s="21"/>
      <c r="P78" s="21"/>
      <c r="Q78">
        <f>VLOOKUP(Table2[[#This Row],[Home/Neutral]],pace_lookup,7,FALSE)</f>
        <v>91.5</v>
      </c>
      <c r="R78" s="5">
        <f>VLOOKUP(Table2[[#This Row],[Visitor/Neutral]],pace_lookup,7,FALSE)</f>
        <v>93.4</v>
      </c>
      <c r="S78" s="7">
        <f t="shared" si="3"/>
        <v>14</v>
      </c>
      <c r="T78">
        <v>-3.5</v>
      </c>
      <c r="U78" s="15"/>
      <c r="W78" s="2">
        <f>-home-VLOOKUP(Table2[[#This Row],[Home/Neutral]],rtg_vlookup,4,FALSE)+VLOOKUP(Table2[[#This Row],[Visitor/Neutral]],rtg_vlookup,4,FALSE)</f>
        <v>0.36131147540983388</v>
      </c>
      <c r="X78" s="15"/>
      <c r="Y78" s="2"/>
      <c r="Z78" s="2">
        <f>Table2[[#This Row],[A/EV]]-Table2[[#This Row],[H/EV]]</f>
        <v>-2.7579826832523366</v>
      </c>
      <c r="AA78" s="29"/>
      <c r="AB78" s="30"/>
      <c r="AC78" s="30"/>
      <c r="AD78" s="30"/>
      <c r="AE78" s="30"/>
      <c r="AF78" s="7" t="b">
        <f>IF(VLOOKUP(Table2[[#This Row],[Home/Neutral]],division_lookup,9,FALSE)=VLOOKUP(Table2[[#This Row],[Visitor/Neutral]],division_lookup,9,FALSE),TRUE,FALSE)</f>
        <v>0</v>
      </c>
      <c r="AG78" s="15" t="str">
        <f>VLOOKUP(Table2[[#This Row],[Home/Neutral]],division_lookup,9,FALSE)</f>
        <v>NW</v>
      </c>
      <c r="AH78" s="15" t="str">
        <f>IF(Table2[[#This Row],[Total/EV]]&lt;Table2[[#This Row],[Total/V]],"UNDER","OVER")</f>
        <v>UNDER</v>
      </c>
      <c r="AI78" s="15"/>
      <c r="AJ78" s="2"/>
      <c r="AK78" s="2"/>
      <c r="AL78" s="18">
        <f>Table2[[#This Row],[SRS]]-Table2[[#This Row],[Spread]]</f>
        <v>-13.638688524590165</v>
      </c>
      <c r="AM78" s="21">
        <f>Table2[[#This Row],[(A) Err]]^2</f>
        <v>186.01382467078747</v>
      </c>
      <c r="AN78" s="6">
        <f>Table2[[#This Row],[EV]]-Table2[[#This Row],[Spread]]</f>
        <v>-16.757982683252337</v>
      </c>
      <c r="AO78" s="1">
        <f>Table2[[#This Row],[EV Err]]^2</f>
        <v>280.82998361218517</v>
      </c>
      <c r="AP78" s="1"/>
    </row>
    <row r="79" spans="1:42" ht="15.75" thickBot="1" x14ac:dyDescent="0.3">
      <c r="A79" s="100">
        <v>42678</v>
      </c>
      <c r="B79" s="3" t="s">
        <v>137</v>
      </c>
      <c r="C79" s="3" t="s">
        <v>109</v>
      </c>
      <c r="D79" s="3">
        <f>IF((Table2[[#This Row],[Spread]]-Table2[[#This Row],[Spread/V]])=0,1,IF(Table2[[#This Row],[Spread]]&lt;Table2[[#This Row],[Spread/V]],1,0))</f>
        <v>1</v>
      </c>
      <c r="E79" s="3">
        <v>95</v>
      </c>
      <c r="F79" s="3">
        <f>IF((Table2[[#This Row],[Spread]]-Table2[[#This Row],[Spread/V]])=0,1,IF(Table2[[#This Row],[Spread]]&gt;Table2[[#This Row],[Spread/V]],1,0))</f>
        <v>0</v>
      </c>
      <c r="G79" s="3">
        <v>92</v>
      </c>
      <c r="H79" s="8">
        <f t="shared" si="2"/>
        <v>187</v>
      </c>
      <c r="I79" s="3">
        <f>IF(Table2[[#This Row],[Total/V]]&lt;=Table2[[#This Row],[Total]],1,0)</f>
        <v>0</v>
      </c>
      <c r="J79" s="3">
        <v>205</v>
      </c>
      <c r="K79" s="3"/>
      <c r="L79" s="22">
        <f>(Table2[[#This Row],[H/Pace]]/100)*(VLOOKUP(Table2[[#This Row],[Home/Neutral]],home_lookup,8,FALSE)+VLOOKUP(Table2[[#This Row],[Home/Neutral]],OFR_lookup,2,FALSE)+VLOOKUP(Table2[[#This Row],[Visitor/Neutral]],def_diff_lookup,6,FALSE))</f>
        <v>101.3017325542187</v>
      </c>
      <c r="M79" s="22"/>
      <c r="N79" s="22">
        <f>(Table2[[#This Row],[A/Pace]]/100)*(VLOOKUP(Table2[[#This Row],[Visitor/Neutral]],OFR_lookup,2,FALSE)+VLOOKUP(Table2[[#This Row],[Home/Neutral]],def_diff_lookup,6,FALSE))</f>
        <v>104.74098133333332</v>
      </c>
      <c r="O79" s="22"/>
      <c r="P79" s="22"/>
      <c r="Q79" s="3">
        <f>VLOOKUP(Table2[[#This Row],[Home/Neutral]],pace_lookup,7,FALSE)</f>
        <v>96</v>
      </c>
      <c r="R79" s="3">
        <f>VLOOKUP(Table2[[#This Row],[Visitor/Neutral]],pace_lookup,7,FALSE)</f>
        <v>99.2</v>
      </c>
      <c r="S79" s="8">
        <f t="shared" si="3"/>
        <v>-3</v>
      </c>
      <c r="T79" s="3">
        <v>-1.5</v>
      </c>
      <c r="U79" s="16"/>
      <c r="V79" s="3"/>
      <c r="W79" s="9">
        <f>-home-VLOOKUP(Table2[[#This Row],[Home/Neutral]],rtg_vlookup,4,FALSE)+VLOOKUP(Table2[[#This Row],[Visitor/Neutral]],rtg_vlookup,4,FALSE)</f>
        <v>2.4913114754098342</v>
      </c>
      <c r="X79" s="16"/>
      <c r="Y79" s="9"/>
      <c r="Z79" s="9">
        <f>Table2[[#This Row],[A/EV]]-Table2[[#This Row],[H/EV]]</f>
        <v>3.4392487791146209</v>
      </c>
      <c r="AA79" s="31"/>
      <c r="AB79" s="32"/>
      <c r="AC79" s="32"/>
      <c r="AD79" s="32"/>
      <c r="AE79" s="32"/>
      <c r="AF79" s="8" t="b">
        <f>IF(VLOOKUP(Table2[[#This Row],[Home/Neutral]],division_lookup,9,FALSE)=VLOOKUP(Table2[[#This Row],[Visitor/Neutral]],division_lookup,9,FALSE),TRUE,FALSE)</f>
        <v>1</v>
      </c>
      <c r="AG79" s="16" t="str">
        <f>VLOOKUP(Table2[[#This Row],[Home/Neutral]],division_lookup,9,FALSE)</f>
        <v>SE</v>
      </c>
      <c r="AH79" s="16" t="str">
        <f>IF(Table2[[#This Row],[Total/EV]]&lt;Table2[[#This Row],[Total/V]],"UNDER","OVER")</f>
        <v>UNDER</v>
      </c>
      <c r="AI79" s="16"/>
      <c r="AJ79" s="9"/>
      <c r="AK79" s="9"/>
      <c r="AL79" s="19">
        <f>Table2[[#This Row],[SRS]]-Table2[[#This Row],[Spread]]</f>
        <v>5.4913114754098338</v>
      </c>
      <c r="AM79" s="22">
        <f>Table2[[#This Row],[(A) Err]]^2</f>
        <v>30.154501719967726</v>
      </c>
      <c r="AN79" s="4">
        <f>Table2[[#This Row],[EV]]-Table2[[#This Row],[Spread]]</f>
        <v>6.4392487791146209</v>
      </c>
      <c r="AO79" s="4">
        <f>Table2[[#This Row],[EV Err]]^2</f>
        <v>41.463924839329138</v>
      </c>
      <c r="AP79" s="6"/>
    </row>
    <row r="80" spans="1:42" x14ac:dyDescent="0.25">
      <c r="A80" s="34">
        <v>42679</v>
      </c>
      <c r="B80" t="s">
        <v>109</v>
      </c>
      <c r="C80" t="s">
        <v>119</v>
      </c>
      <c r="D80">
        <f>IF((Table2[[#This Row],[Spread]]-Table2[[#This Row],[Spread/V]])=0,1,IF(Table2[[#This Row],[Spread]]&lt;Table2[[#This Row],[Spread/V]],1,0))</f>
        <v>1</v>
      </c>
      <c r="E80">
        <v>112</v>
      </c>
      <c r="F80">
        <f>IF((Table2[[#This Row],[Spread]]-Table2[[#This Row],[Spread/V]])=0,1,IF(Table2[[#This Row],[Spread]]&gt;Table2[[#This Row],[Spread/V]],1,0))</f>
        <v>0</v>
      </c>
      <c r="G80">
        <v>97</v>
      </c>
      <c r="H80" s="7">
        <f t="shared" si="2"/>
        <v>209</v>
      </c>
      <c r="I80">
        <f>IF(Table2[[#This Row],[Total/V]]&lt;=Table2[[#This Row],[Total]],1,0)</f>
        <v>0</v>
      </c>
      <c r="J80">
        <v>218.5</v>
      </c>
      <c r="K80"/>
      <c r="L80" s="21">
        <f>(Table2[[#This Row],[H/Pace]]/100)*(VLOOKUP(Table2[[#This Row],[Home/Neutral]],home_lookup,8,FALSE)+VLOOKUP(Table2[[#This Row],[Home/Neutral]],OFR_lookup,2,FALSE)+VLOOKUP(Table2[[#This Row],[Visitor/Neutral]],def_diff_lookup,6,FALSE))</f>
        <v>103.10368660728638</v>
      </c>
      <c r="M80" s="21"/>
      <c r="N80" s="21">
        <f>(Table2[[#This Row],[A/Pace]]/100)*(VLOOKUP(Table2[[#This Row],[Visitor/Neutral]],OFR_lookup,2,FALSE)+VLOOKUP(Table2[[#This Row],[Home/Neutral]],def_diff_lookup,6,FALSE))</f>
        <v>102.893911</v>
      </c>
      <c r="O80" s="21"/>
      <c r="P80" s="21"/>
      <c r="Q80">
        <f>VLOOKUP(Table2[[#This Row],[Home/Neutral]],pace_lookup,7,FALSE)</f>
        <v>99.2</v>
      </c>
      <c r="R80" s="5">
        <f>VLOOKUP(Table2[[#This Row],[Visitor/Neutral]],pace_lookup,7,FALSE)</f>
        <v>96.9</v>
      </c>
      <c r="S80" s="7">
        <f t="shared" si="3"/>
        <v>-15</v>
      </c>
      <c r="T80">
        <v>-3</v>
      </c>
      <c r="U80" s="15"/>
      <c r="W80" s="2">
        <f>-home-VLOOKUP(Table2[[#This Row],[Home/Neutral]],rtg_vlookup,4,FALSE)+VLOOKUP(Table2[[#This Row],[Visitor/Neutral]],rtg_vlookup,4,FALSE)</f>
        <v>-1.3786885245901659</v>
      </c>
      <c r="X80" s="15"/>
      <c r="Y80" s="2"/>
      <c r="Z80" s="2">
        <f>Table2[[#This Row],[A/EV]]-Table2[[#This Row],[H/EV]]</f>
        <v>-0.20977560728637457</v>
      </c>
      <c r="AA80" s="29"/>
      <c r="AB80" s="30"/>
      <c r="AC80" s="30"/>
      <c r="AD80" s="30"/>
      <c r="AE80" s="30"/>
      <c r="AF80" s="7" t="b">
        <f>IF(VLOOKUP(Table2[[#This Row],[Home/Neutral]],division_lookup,9,FALSE)=VLOOKUP(Table2[[#This Row],[Visitor/Neutral]],division_lookup,9,FALSE),TRUE,FALSE)</f>
        <v>0</v>
      </c>
      <c r="AG80" s="15" t="str">
        <f>VLOOKUP(Table2[[#This Row],[Home/Neutral]],division_lookup,9,FALSE)</f>
        <v>SE</v>
      </c>
      <c r="AH80" s="15" t="str">
        <f>IF(Table2[[#This Row],[Total/EV]]&lt;Table2[[#This Row],[Total/V]],"UNDER","OVER")</f>
        <v>UNDER</v>
      </c>
      <c r="AI80" s="15"/>
      <c r="AJ80" s="2"/>
      <c r="AK80" s="2"/>
      <c r="AL80" s="18">
        <f>Table2[[#This Row],[SRS]]-Table2[[#This Row],[Spread]]</f>
        <v>13.621311475409835</v>
      </c>
      <c r="AM80" s="21">
        <f>Table2[[#This Row],[(A) Err]]^2</f>
        <v>185.54012631013165</v>
      </c>
      <c r="AN80" s="6">
        <f>Table2[[#This Row],[EV]]-Table2[[#This Row],[Spread]]</f>
        <v>14.790224392713625</v>
      </c>
      <c r="AO80" s="1">
        <f>Table2[[#This Row],[EV Err]]^2</f>
        <v>218.75073758682112</v>
      </c>
      <c r="AP80" s="1"/>
    </row>
    <row r="81" spans="1:42" x14ac:dyDescent="0.25">
      <c r="A81" s="34">
        <v>42679</v>
      </c>
      <c r="B81" t="s">
        <v>117</v>
      </c>
      <c r="C81" t="s">
        <v>116</v>
      </c>
      <c r="D81">
        <f>IF((Table2[[#This Row],[Spread]]-Table2[[#This Row],[Spread/V]])=0,1,IF(Table2[[#This Row],[Spread]]&lt;Table2[[#This Row],[Spread/V]],1,0))</f>
        <v>1</v>
      </c>
      <c r="E81">
        <v>103</v>
      </c>
      <c r="F81">
        <f>IF((Table2[[#This Row],[Spread]]-Table2[[#This Row],[Spread/V]])=0,1,IF(Table2[[#This Row],[Spread]]&gt;Table2[[#This Row],[Spread/V]],1,0))</f>
        <v>0</v>
      </c>
      <c r="G81">
        <v>86</v>
      </c>
      <c r="H81" s="7">
        <f t="shared" si="2"/>
        <v>189</v>
      </c>
      <c r="I81">
        <f>IF(Table2[[#This Row],[Total/V]]&lt;=Table2[[#This Row],[Total]],1,0)</f>
        <v>0</v>
      </c>
      <c r="J81">
        <v>200</v>
      </c>
      <c r="K81"/>
      <c r="L81" s="21">
        <f>(Table2[[#This Row],[H/Pace]]/100)*(VLOOKUP(Table2[[#This Row],[Home/Neutral]],home_lookup,8,FALSE)+VLOOKUP(Table2[[#This Row],[Home/Neutral]],OFR_lookup,2,FALSE)+VLOOKUP(Table2[[#This Row],[Visitor/Neutral]],def_diff_lookup,6,FALSE))</f>
        <v>112.48099591446429</v>
      </c>
      <c r="M81" s="21"/>
      <c r="N81" s="21">
        <f>(Table2[[#This Row],[A/Pace]]/100)*(VLOOKUP(Table2[[#This Row],[Visitor/Neutral]],OFR_lookup,2,FALSE)+VLOOKUP(Table2[[#This Row],[Home/Neutral]],def_diff_lookup,6,FALSE))</f>
        <v>101.35518566666667</v>
      </c>
      <c r="O81" s="21"/>
      <c r="P81" s="21"/>
      <c r="Q81">
        <f>VLOOKUP(Table2[[#This Row],[Home/Neutral]],pace_lookup,7,FALSE)</f>
        <v>94</v>
      </c>
      <c r="R81" s="5">
        <f>VLOOKUP(Table2[[#This Row],[Visitor/Neutral]],pace_lookup,7,FALSE)</f>
        <v>99.1</v>
      </c>
      <c r="S81" s="7">
        <f t="shared" si="3"/>
        <v>-17</v>
      </c>
      <c r="T81">
        <v>-4.5</v>
      </c>
      <c r="U81" s="15"/>
      <c r="W81" s="2">
        <f>-home-VLOOKUP(Table2[[#This Row],[Home/Neutral]],rtg_vlookup,4,FALSE)+VLOOKUP(Table2[[#This Row],[Visitor/Neutral]],rtg_vlookup,4,FALSE)</f>
        <v>-5.0886885245901663</v>
      </c>
      <c r="X81" s="15"/>
      <c r="Y81" s="2"/>
      <c r="Z81" s="2">
        <f>Table2[[#This Row],[A/EV]]-Table2[[#This Row],[H/EV]]</f>
        <v>-11.125810247797617</v>
      </c>
      <c r="AA81" s="29"/>
      <c r="AB81" s="30"/>
      <c r="AC81" s="30"/>
      <c r="AD81" s="30"/>
      <c r="AE81" s="30"/>
      <c r="AF81" s="7" t="b">
        <f>IF(VLOOKUP(Table2[[#This Row],[Home/Neutral]],division_lookup,9,FALSE)=VLOOKUP(Table2[[#This Row],[Visitor/Neutral]],division_lookup,9,FALSE),TRUE,FALSE)</f>
        <v>0</v>
      </c>
      <c r="AG81" s="15" t="str">
        <f>VLOOKUP(Table2[[#This Row],[Home/Neutral]],division_lookup,9,FALSE)</f>
        <v>C</v>
      </c>
      <c r="AH81" s="15" t="str">
        <f>IF(Table2[[#This Row],[Total/EV]]&lt;Table2[[#This Row],[Total/V]],"UNDER","OVER")</f>
        <v>UNDER</v>
      </c>
      <c r="AI81" s="15"/>
      <c r="AJ81" s="2"/>
      <c r="AK81" s="2"/>
      <c r="AL81" s="18">
        <f>Table2[[#This Row],[SRS]]-Table2[[#This Row],[Spread]]</f>
        <v>11.911311475409834</v>
      </c>
      <c r="AM81" s="21">
        <f>Table2[[#This Row],[(A) Err]]^2</f>
        <v>141.87934106422998</v>
      </c>
      <c r="AN81" s="6">
        <f>Table2[[#This Row],[EV]]-Table2[[#This Row],[Spread]]</f>
        <v>5.8741897522023834</v>
      </c>
      <c r="AO81" s="1">
        <f>Table2[[#This Row],[EV Err]]^2</f>
        <v>34.5061052448795</v>
      </c>
      <c r="AP81" s="1"/>
    </row>
    <row r="82" spans="1:42" x14ac:dyDescent="0.25">
      <c r="A82" s="34">
        <v>42679</v>
      </c>
      <c r="B82" t="s">
        <v>120</v>
      </c>
      <c r="C82" t="s">
        <v>113</v>
      </c>
      <c r="D82">
        <f>IF((Table2[[#This Row],[Spread]]-Table2[[#This Row],[Spread/V]])=0,1,IF(Table2[[#This Row],[Spread]]&lt;Table2[[#This Row],[Spread/V]],1,0))</f>
        <v>1</v>
      </c>
      <c r="E82">
        <v>111</v>
      </c>
      <c r="F82">
        <f>IF((Table2[[#This Row],[Spread]]-Table2[[#This Row],[Spread/V]])=0,1,IF(Table2[[#This Row],[Spread]]&gt;Table2[[#This Row],[Spread/V]],1,0))</f>
        <v>0</v>
      </c>
      <c r="G82">
        <v>94</v>
      </c>
      <c r="H82" s="7">
        <f t="shared" si="2"/>
        <v>205</v>
      </c>
      <c r="I82">
        <f>IF(Table2[[#This Row],[Total/V]]&lt;=Table2[[#This Row],[Total]],1,0)</f>
        <v>0</v>
      </c>
      <c r="J82">
        <v>209.5</v>
      </c>
      <c r="K82"/>
      <c r="L82" s="21">
        <f>(Table2[[#This Row],[H/Pace]]/100)*(VLOOKUP(Table2[[#This Row],[Home/Neutral]],home_lookup,8,FALSE)+VLOOKUP(Table2[[#This Row],[Home/Neutral]],OFR_lookup,2,FALSE)+VLOOKUP(Table2[[#This Row],[Visitor/Neutral]],def_diff_lookup,6,FALSE))</f>
        <v>105.54338542930861</v>
      </c>
      <c r="M82" s="21"/>
      <c r="N82" s="21">
        <f>(Table2[[#This Row],[A/Pace]]/100)*(VLOOKUP(Table2[[#This Row],[Visitor/Neutral]],OFR_lookup,2,FALSE)+VLOOKUP(Table2[[#This Row],[Home/Neutral]],def_diff_lookup,6,FALSE))</f>
        <v>107.08798899999999</v>
      </c>
      <c r="O82" s="21"/>
      <c r="P82" s="21"/>
      <c r="Q82">
        <f>VLOOKUP(Table2[[#This Row],[Home/Neutral]],pace_lookup,7,FALSE)</f>
        <v>98.3</v>
      </c>
      <c r="R82" s="5">
        <f>VLOOKUP(Table2[[#This Row],[Visitor/Neutral]],pace_lookup,7,FALSE)</f>
        <v>95.1</v>
      </c>
      <c r="S82" s="7">
        <f t="shared" si="3"/>
        <v>-17</v>
      </c>
      <c r="T82">
        <v>-3.5</v>
      </c>
      <c r="U82" s="15"/>
      <c r="W82" s="2">
        <f>-home-VLOOKUP(Table2[[#This Row],[Home/Neutral]],rtg_vlookup,4,FALSE)+VLOOKUP(Table2[[#This Row],[Visitor/Neutral]],rtg_vlookup,4,FALSE)</f>
        <v>6.5713114754098347</v>
      </c>
      <c r="X82" s="15"/>
      <c r="Y82" s="2"/>
      <c r="Z82" s="2">
        <f>Table2[[#This Row],[A/EV]]-Table2[[#This Row],[H/EV]]</f>
        <v>1.544603570691379</v>
      </c>
      <c r="AA82" s="29"/>
      <c r="AB82" s="30"/>
      <c r="AC82" s="30"/>
      <c r="AD82" s="30"/>
      <c r="AE82" s="30"/>
      <c r="AF82" s="7" t="b">
        <f>IF(VLOOKUP(Table2[[#This Row],[Home/Neutral]],division_lookup,9,FALSE)=VLOOKUP(Table2[[#This Row],[Visitor/Neutral]],division_lookup,9,FALSE),TRUE,FALSE)</f>
        <v>1</v>
      </c>
      <c r="AG82" s="15" t="str">
        <f>VLOOKUP(Table2[[#This Row],[Home/Neutral]],division_lookup,9,FALSE)</f>
        <v>C</v>
      </c>
      <c r="AH82" s="15" t="str">
        <f>IF(Table2[[#This Row],[Total/EV]]&lt;Table2[[#This Row],[Total/V]],"UNDER","OVER")</f>
        <v>UNDER</v>
      </c>
      <c r="AI82" s="15"/>
      <c r="AJ82" s="2"/>
      <c r="AK82" s="2"/>
      <c r="AL82" s="18">
        <f>Table2[[#This Row],[SRS]]-Table2[[#This Row],[Spread]]</f>
        <v>23.571311475409836</v>
      </c>
      <c r="AM82" s="21">
        <f>Table2[[#This Row],[(A) Err]]^2</f>
        <v>555.60672467078746</v>
      </c>
      <c r="AN82" s="6">
        <f>Table2[[#This Row],[EV]]-Table2[[#This Row],[Spread]]</f>
        <v>18.544603570691379</v>
      </c>
      <c r="AO82" s="1">
        <f>Table2[[#This Row],[EV Err]]^2</f>
        <v>343.90232159409942</v>
      </c>
      <c r="AP82" s="1"/>
    </row>
    <row r="83" spans="1:42" x14ac:dyDescent="0.25">
      <c r="A83" s="34">
        <v>42679</v>
      </c>
      <c r="B83" t="s">
        <v>125</v>
      </c>
      <c r="C83" t="s">
        <v>133</v>
      </c>
      <c r="D83">
        <f>IF((Table2[[#This Row],[Spread]]-Table2[[#This Row],[Spread/V]])=0,1,IF(Table2[[#This Row],[Spread]]&lt;Table2[[#This Row],[Spread/V]],1,0))</f>
        <v>1</v>
      </c>
      <c r="E83">
        <v>117</v>
      </c>
      <c r="F83">
        <f>IF((Table2[[#This Row],[Spread]]-Table2[[#This Row],[Spread/V]])=0,1,IF(Table2[[#This Row],[Spread]]&gt;Table2[[#This Row],[Spread/V]],1,0))</f>
        <v>0</v>
      </c>
      <c r="G83">
        <v>91</v>
      </c>
      <c r="H83" s="7">
        <f t="shared" si="2"/>
        <v>208</v>
      </c>
      <c r="I83">
        <f>IF(Table2[[#This Row],[Total/V]]&lt;=Table2[[#This Row],[Total]],1,0)</f>
        <v>1</v>
      </c>
      <c r="J83">
        <v>202</v>
      </c>
      <c r="K83"/>
      <c r="L83" s="21">
        <f>(Table2[[#This Row],[H/Pace]]/100)*(VLOOKUP(Table2[[#This Row],[Home/Neutral]],home_lookup,8,FALSE)+VLOOKUP(Table2[[#This Row],[Home/Neutral]],OFR_lookup,2,FALSE)+VLOOKUP(Table2[[#This Row],[Visitor/Neutral]],def_diff_lookup,6,FALSE))</f>
        <v>111.61131550061909</v>
      </c>
      <c r="M83" s="21"/>
      <c r="N83" s="21">
        <f>(Table2[[#This Row],[A/Pace]]/100)*(VLOOKUP(Table2[[#This Row],[Visitor/Neutral]],OFR_lookup,2,FALSE)+VLOOKUP(Table2[[#This Row],[Home/Neutral]],def_diff_lookup,6,FALSE))</f>
        <v>103.66301800000001</v>
      </c>
      <c r="O83" s="21"/>
      <c r="P83" s="21"/>
      <c r="Q83">
        <f>VLOOKUP(Table2[[#This Row],[Home/Neutral]],pace_lookup,7,FALSE)</f>
        <v>96.1</v>
      </c>
      <c r="R83" s="5">
        <f>VLOOKUP(Table2[[#This Row],[Visitor/Neutral]],pace_lookup,7,FALSE)</f>
        <v>94.2</v>
      </c>
      <c r="S83" s="7">
        <f t="shared" si="3"/>
        <v>-26</v>
      </c>
      <c r="T83">
        <v>-3.5</v>
      </c>
      <c r="U83" s="15"/>
      <c r="W83" s="2">
        <f>-home-VLOOKUP(Table2[[#This Row],[Home/Neutral]],rtg_vlookup,4,FALSE)+VLOOKUP(Table2[[#This Row],[Visitor/Neutral]],rtg_vlookup,4,FALSE)</f>
        <v>-2.2186885245901657</v>
      </c>
      <c r="X83" s="15"/>
      <c r="Y83" s="2"/>
      <c r="Z83" s="2">
        <f>Table2[[#This Row],[A/EV]]-Table2[[#This Row],[H/EV]]</f>
        <v>-7.948297500619077</v>
      </c>
      <c r="AA83" s="29"/>
      <c r="AB83" s="30"/>
      <c r="AC83" s="30"/>
      <c r="AD83" s="30"/>
      <c r="AE83" s="30"/>
      <c r="AF83" s="7" t="b">
        <f>IF(VLOOKUP(Table2[[#This Row],[Home/Neutral]],division_lookup,9,FALSE)=VLOOKUP(Table2[[#This Row],[Visitor/Neutral]],division_lookup,9,FALSE),TRUE,FALSE)</f>
        <v>0</v>
      </c>
      <c r="AG83" s="15" t="str">
        <f>VLOOKUP(Table2[[#This Row],[Home/Neutral]],division_lookup,9,FALSE)</f>
        <v>C</v>
      </c>
      <c r="AH83" s="15" t="str">
        <f>IF(Table2[[#This Row],[Total/EV]]&lt;Table2[[#This Row],[Total/V]],"UNDER","OVER")</f>
        <v>UNDER</v>
      </c>
      <c r="AI83" s="15"/>
      <c r="AJ83" s="2"/>
      <c r="AK83" s="2"/>
      <c r="AL83" s="18">
        <f>Table2[[#This Row],[SRS]]-Table2[[#This Row],[Spread]]</f>
        <v>23.781311475409833</v>
      </c>
      <c r="AM83" s="21">
        <f>Table2[[#This Row],[(A) Err]]^2</f>
        <v>565.55077549045939</v>
      </c>
      <c r="AN83" s="6">
        <f>Table2[[#This Row],[EV]]-Table2[[#This Row],[Spread]]</f>
        <v>18.051702499380923</v>
      </c>
      <c r="AO83" s="1">
        <f>Table2[[#This Row],[EV Err]]^2</f>
        <v>325.86396312615545</v>
      </c>
      <c r="AP83" s="1"/>
    </row>
    <row r="84" spans="1:42" x14ac:dyDescent="0.25">
      <c r="A84" s="34">
        <v>42679</v>
      </c>
      <c r="B84" t="s">
        <v>129</v>
      </c>
      <c r="C84" t="s">
        <v>126</v>
      </c>
      <c r="D84">
        <f>IF((Table2[[#This Row],[Spread]]-Table2[[#This Row],[Spread/V]])=0,1,IF(Table2[[#This Row],[Spread]]&lt;Table2[[#This Row],[Spread/V]],1,0))</f>
        <v>1</v>
      </c>
      <c r="E84">
        <v>112</v>
      </c>
      <c r="F84">
        <f>IF((Table2[[#This Row],[Spread]]-Table2[[#This Row],[Spread/V]])=0,1,IF(Table2[[#This Row],[Spread]]&gt;Table2[[#This Row],[Spread/V]],1,0))</f>
        <v>0</v>
      </c>
      <c r="G84">
        <v>92</v>
      </c>
      <c r="H84" s="7">
        <f t="shared" si="2"/>
        <v>204</v>
      </c>
      <c r="I84">
        <f>IF(Table2[[#This Row],[Total/V]]&lt;=Table2[[#This Row],[Total]],1,0)</f>
        <v>0</v>
      </c>
      <c r="J84">
        <v>209.5</v>
      </c>
      <c r="K84"/>
      <c r="L84" s="21">
        <f>(Table2[[#This Row],[H/Pace]]/100)*(VLOOKUP(Table2[[#This Row],[Home/Neutral]],home_lookup,8,FALSE)+VLOOKUP(Table2[[#This Row],[Home/Neutral]],OFR_lookup,2,FALSE)+VLOOKUP(Table2[[#This Row],[Visitor/Neutral]],def_diff_lookup,6,FALSE))</f>
        <v>110.58920376890107</v>
      </c>
      <c r="M84" s="21"/>
      <c r="N84" s="21">
        <f>(Table2[[#This Row],[A/Pace]]/100)*(VLOOKUP(Table2[[#This Row],[Visitor/Neutral]],OFR_lookup,2,FALSE)+VLOOKUP(Table2[[#This Row],[Home/Neutral]],def_diff_lookup,6,FALSE))</f>
        <v>102.16517300000001</v>
      </c>
      <c r="O84" s="21"/>
      <c r="P84" s="21"/>
      <c r="Q84">
        <f>VLOOKUP(Table2[[#This Row],[Home/Neutral]],pace_lookup,7,FALSE)</f>
        <v>99</v>
      </c>
      <c r="R84" s="5">
        <f>VLOOKUP(Table2[[#This Row],[Visitor/Neutral]],pace_lookup,7,FALSE)</f>
        <v>95.7</v>
      </c>
      <c r="S84" s="7">
        <f t="shared" si="3"/>
        <v>-20</v>
      </c>
      <c r="T84">
        <v>-4.5</v>
      </c>
      <c r="U84" s="15"/>
      <c r="W84" s="2">
        <f>-home-VLOOKUP(Table2[[#This Row],[Home/Neutral]],rtg_vlookup,4,FALSE)+VLOOKUP(Table2[[#This Row],[Visitor/Neutral]],rtg_vlookup,4,FALSE)</f>
        <v>-5.4686885245901653</v>
      </c>
      <c r="X84" s="15"/>
      <c r="Y84" s="2"/>
      <c r="Z84" s="2">
        <f>Table2[[#This Row],[A/EV]]-Table2[[#This Row],[H/EV]]</f>
        <v>-8.4240307689010621</v>
      </c>
      <c r="AA84" s="29"/>
      <c r="AB84" s="30"/>
      <c r="AC84" s="30"/>
      <c r="AD84" s="30"/>
      <c r="AE84" s="30"/>
      <c r="AF84" s="7" t="b">
        <f>IF(VLOOKUP(Table2[[#This Row],[Home/Neutral]],division_lookup,9,FALSE)=VLOOKUP(Table2[[#This Row],[Visitor/Neutral]],division_lookup,9,FALSE),TRUE,FALSE)</f>
        <v>1</v>
      </c>
      <c r="AG84" s="15" t="str">
        <f>VLOOKUP(Table2[[#This Row],[Home/Neutral]],division_lookup,9,FALSE)</f>
        <v>NW</v>
      </c>
      <c r="AH84" s="15" t="str">
        <f>IF(Table2[[#This Row],[Total/EV]]&lt;Table2[[#This Row],[Total/V]],"UNDER","OVER")</f>
        <v>UNDER</v>
      </c>
      <c r="AI84" s="15"/>
      <c r="AJ84" s="2"/>
      <c r="AK84" s="2"/>
      <c r="AL84" s="18">
        <f>Table2[[#This Row],[SRS]]-Table2[[#This Row],[Spread]]</f>
        <v>14.531311475409835</v>
      </c>
      <c r="AM84" s="21">
        <f>Table2[[#This Row],[(A) Err]]^2</f>
        <v>211.15901319537755</v>
      </c>
      <c r="AN84" s="6">
        <f>Table2[[#This Row],[EV]]-Table2[[#This Row],[Spread]]</f>
        <v>11.575969231098938</v>
      </c>
      <c r="AO84" s="1">
        <f>Table2[[#This Row],[EV Err]]^2</f>
        <v>134.00306363934934</v>
      </c>
      <c r="AP84" s="1"/>
    </row>
    <row r="85" spans="1:42" x14ac:dyDescent="0.25">
      <c r="A85" s="34">
        <v>42679</v>
      </c>
      <c r="B85" t="s">
        <v>130</v>
      </c>
      <c r="C85" t="s">
        <v>137</v>
      </c>
      <c r="D85">
        <f>IF((Table2[[#This Row],[Spread]]-Table2[[#This Row],[Spread/V]])=0,1,IF(Table2[[#This Row],[Spread]]&lt;Table2[[#This Row],[Spread/V]],1,0))</f>
        <v>0</v>
      </c>
      <c r="E85">
        <v>88</v>
      </c>
      <c r="F85">
        <f>IF((Table2[[#This Row],[Spread]]-Table2[[#This Row],[Spread/V]])=0,1,IF(Table2[[#This Row],[Spread]]&gt;Table2[[#This Row],[Spread/V]],1,0))</f>
        <v>1</v>
      </c>
      <c r="G85">
        <v>86</v>
      </c>
      <c r="H85" s="7">
        <f t="shared" si="2"/>
        <v>174</v>
      </c>
      <c r="I85">
        <f>IF(Table2[[#This Row],[Total/V]]&lt;=Table2[[#This Row],[Total]],1,0)</f>
        <v>0</v>
      </c>
      <c r="J85">
        <v>201</v>
      </c>
      <c r="K85"/>
      <c r="L85" s="21">
        <f>(Table2[[#This Row],[H/Pace]]/100)*(VLOOKUP(Table2[[#This Row],[Home/Neutral]],home_lookup,8,FALSE)+VLOOKUP(Table2[[#This Row],[Home/Neutral]],OFR_lookup,2,FALSE)+VLOOKUP(Table2[[#This Row],[Visitor/Neutral]],def_diff_lookup,6,FALSE))</f>
        <v>99.794204967109394</v>
      </c>
      <c r="M85" s="21"/>
      <c r="N85" s="21">
        <f>(Table2[[#This Row],[A/Pace]]/100)*(VLOOKUP(Table2[[#This Row],[Visitor/Neutral]],OFR_lookup,2,FALSE)+VLOOKUP(Table2[[#This Row],[Home/Neutral]],def_diff_lookup,6,FALSE))</f>
        <v>102.70623999999999</v>
      </c>
      <c r="O85" s="21"/>
      <c r="P85" s="21"/>
      <c r="Q85">
        <f>VLOOKUP(Table2[[#This Row],[Home/Neutral]],pace_lookup,7,FALSE)</f>
        <v>94.2</v>
      </c>
      <c r="R85" s="5">
        <f>VLOOKUP(Table2[[#This Row],[Visitor/Neutral]],pace_lookup,7,FALSE)</f>
        <v>96</v>
      </c>
      <c r="S85" s="7">
        <f t="shared" si="3"/>
        <v>-2</v>
      </c>
      <c r="T85">
        <v>-6.5</v>
      </c>
      <c r="U85" s="15"/>
      <c r="W85" s="2">
        <f>-home-VLOOKUP(Table2[[#This Row],[Home/Neutral]],rtg_vlookup,4,FALSE)+VLOOKUP(Table2[[#This Row],[Visitor/Neutral]],rtg_vlookup,4,FALSE)</f>
        <v>2.8613114754098352</v>
      </c>
      <c r="X85" s="15"/>
      <c r="Y85" s="2"/>
      <c r="Z85" s="2">
        <f>Table2[[#This Row],[A/EV]]-Table2[[#This Row],[H/EV]]</f>
        <v>2.9120350328906</v>
      </c>
      <c r="AA85" s="29"/>
      <c r="AB85" s="30"/>
      <c r="AC85" s="30"/>
      <c r="AD85" s="30"/>
      <c r="AE85" s="30"/>
      <c r="AF85" s="7" t="b">
        <f>IF(VLOOKUP(Table2[[#This Row],[Home/Neutral]],division_lookup,9,FALSE)=VLOOKUP(Table2[[#This Row],[Visitor/Neutral]],division_lookup,9,FALSE),TRUE,FALSE)</f>
        <v>1</v>
      </c>
      <c r="AG85" s="15" t="str">
        <f>VLOOKUP(Table2[[#This Row],[Home/Neutral]],division_lookup,9,FALSE)</f>
        <v>SE</v>
      </c>
      <c r="AH85" s="15" t="str">
        <f>IF(Table2[[#This Row],[Total/EV]]&lt;Table2[[#This Row],[Total/V]],"UNDER","OVER")</f>
        <v>UNDER</v>
      </c>
      <c r="AI85" s="15"/>
      <c r="AJ85" s="2"/>
      <c r="AK85" s="2"/>
      <c r="AL85" s="18">
        <f>Table2[[#This Row],[SRS]]-Table2[[#This Row],[Spread]]</f>
        <v>4.8613114754098348</v>
      </c>
      <c r="AM85" s="21">
        <f>Table2[[#This Row],[(A) Err]]^2</f>
        <v>23.632349260951344</v>
      </c>
      <c r="AN85" s="6">
        <f>Table2[[#This Row],[EV]]-Table2[[#This Row],[Spread]]</f>
        <v>4.9120350328906</v>
      </c>
      <c r="AO85" s="1">
        <f>Table2[[#This Row],[EV Err]]^2</f>
        <v>24.128088164344557</v>
      </c>
      <c r="AP85" s="1"/>
    </row>
    <row r="86" spans="1:42" x14ac:dyDescent="0.25">
      <c r="A86" s="34">
        <v>42679</v>
      </c>
      <c r="B86" t="s">
        <v>138</v>
      </c>
      <c r="C86" t="s">
        <v>114</v>
      </c>
      <c r="D86">
        <f>IF((Table2[[#This Row],[Spread]]-Table2[[#This Row],[Spread/V]])=0,1,IF(Table2[[#This Row],[Spread]]&lt;Table2[[#This Row],[Spread/V]],1,0))</f>
        <v>0</v>
      </c>
      <c r="E86">
        <v>101</v>
      </c>
      <c r="F86">
        <f>IF((Table2[[#This Row],[Spread]]-Table2[[#This Row],[Spread/V]])=0,1,IF(Table2[[#This Row],[Spread]]&gt;Table2[[#This Row],[Spread/V]],1,0))</f>
        <v>1</v>
      </c>
      <c r="G86">
        <v>102</v>
      </c>
      <c r="H86" s="7">
        <f t="shared" si="2"/>
        <v>203</v>
      </c>
      <c r="I86">
        <f>IF(Table2[[#This Row],[Total/V]]&lt;=Table2[[#This Row],[Total]],1,0)</f>
        <v>0</v>
      </c>
      <c r="J86">
        <v>209.5</v>
      </c>
      <c r="K86"/>
      <c r="L86" s="21">
        <f>(Table2[[#This Row],[H/Pace]]/100)*(VLOOKUP(Table2[[#This Row],[Home/Neutral]],home_lookup,8,FALSE)+VLOOKUP(Table2[[#This Row],[Home/Neutral]],OFR_lookup,2,FALSE)+VLOOKUP(Table2[[#This Row],[Visitor/Neutral]],def_diff_lookup,6,FALSE))</f>
        <v>98.588283531240108</v>
      </c>
      <c r="M86" s="21"/>
      <c r="N86" s="21">
        <f>(Table2[[#This Row],[A/Pace]]/100)*(VLOOKUP(Table2[[#This Row],[Visitor/Neutral]],OFR_lookup,2,FALSE)+VLOOKUP(Table2[[#This Row],[Home/Neutral]],def_diff_lookup,6,FALSE))</f>
        <v>113.35028366666666</v>
      </c>
      <c r="O86" s="21"/>
      <c r="P86" s="21"/>
      <c r="Q86">
        <f>VLOOKUP(Table2[[#This Row],[Home/Neutral]],pace_lookup,7,FALSE)</f>
        <v>97.5</v>
      </c>
      <c r="R86" s="5">
        <f>VLOOKUP(Table2[[#This Row],[Visitor/Neutral]],pace_lookup,7,FALSE)</f>
        <v>97.3</v>
      </c>
      <c r="S86" s="7">
        <f t="shared" si="3"/>
        <v>1</v>
      </c>
      <c r="T86">
        <v>-12</v>
      </c>
      <c r="U86" s="15"/>
      <c r="W86" s="2">
        <f>-home-VLOOKUP(Table2[[#This Row],[Home/Neutral]],rtg_vlookup,4,FALSE)+VLOOKUP(Table2[[#This Row],[Visitor/Neutral]],rtg_vlookup,4,FALSE)</f>
        <v>15.501311475409835</v>
      </c>
      <c r="X86" s="15"/>
      <c r="Y86" s="2"/>
      <c r="Z86" s="2">
        <f>Table2[[#This Row],[A/EV]]-Table2[[#This Row],[H/EV]]</f>
        <v>14.762000135426547</v>
      </c>
      <c r="AA86" s="29"/>
      <c r="AB86" s="30"/>
      <c r="AC86" s="30"/>
      <c r="AD86" s="30"/>
      <c r="AE86" s="30"/>
      <c r="AF86" s="7" t="b">
        <f>IF(VLOOKUP(Table2[[#This Row],[Home/Neutral]],division_lookup,9,FALSE)=VLOOKUP(Table2[[#This Row],[Visitor/Neutral]],division_lookup,9,FALSE),TRUE,FALSE)</f>
        <v>0</v>
      </c>
      <c r="AG86" s="15" t="str">
        <f>VLOOKUP(Table2[[#This Row],[Home/Neutral]],division_lookup,9,FALSE)</f>
        <v>A</v>
      </c>
      <c r="AH86" s="15" t="str">
        <f>IF(Table2[[#This Row],[Total/EV]]&lt;Table2[[#This Row],[Total/V]],"UNDER","OVER")</f>
        <v>UNDER</v>
      </c>
      <c r="AI86" s="15"/>
      <c r="AJ86" s="2"/>
      <c r="AK86" s="2"/>
      <c r="AL86" s="18">
        <f>Table2[[#This Row],[SRS]]-Table2[[#This Row],[Spread]]</f>
        <v>14.501311475409835</v>
      </c>
      <c r="AM86" s="21">
        <f>Table2[[#This Row],[(A) Err]]^2</f>
        <v>210.28803450685297</v>
      </c>
      <c r="AN86" s="6">
        <f>Table2[[#This Row],[EV]]-Table2[[#This Row],[Spread]]</f>
        <v>13.762000135426547</v>
      </c>
      <c r="AO86" s="1">
        <f>Table2[[#This Row],[EV Err]]^2</f>
        <v>189.39264772748029</v>
      </c>
      <c r="AP86" s="1"/>
    </row>
    <row r="87" spans="1:42" ht="15.75" thickBot="1" x14ac:dyDescent="0.3">
      <c r="A87" s="100">
        <v>42679</v>
      </c>
      <c r="B87" s="3" t="s">
        <v>134</v>
      </c>
      <c r="C87" s="3" t="s">
        <v>121</v>
      </c>
      <c r="D87" s="3">
        <f>IF((Table2[[#This Row],[Spread]]-Table2[[#This Row],[Spread/V]])=0,1,IF(Table2[[#This Row],[Spread]]&lt;Table2[[#This Row],[Spread/V]],1,0))</f>
        <v>0</v>
      </c>
      <c r="E87" s="3">
        <v>92</v>
      </c>
      <c r="F87" s="3">
        <f>IF((Table2[[#This Row],[Spread]]-Table2[[#This Row],[Spread/V]])=0,1,IF(Table2[[#This Row],[Spread]]&gt;Table2[[#This Row],[Spread/V]],1,0))</f>
        <v>1</v>
      </c>
      <c r="G87" s="3">
        <v>116</v>
      </c>
      <c r="H87" s="8">
        <f t="shared" si="2"/>
        <v>208</v>
      </c>
      <c r="I87" s="3">
        <f>IF(Table2[[#This Row],[Total/V]]&lt;=Table2[[#This Row],[Total]],1,0)</f>
        <v>1</v>
      </c>
      <c r="J87" s="3">
        <v>198</v>
      </c>
      <c r="K87" s="3"/>
      <c r="L87" s="22">
        <f>(Table2[[#This Row],[H/Pace]]/100)*(VLOOKUP(Table2[[#This Row],[Home/Neutral]],home_lookup,8,FALSE)+VLOOKUP(Table2[[#This Row],[Home/Neutral]],OFR_lookup,2,FALSE)+VLOOKUP(Table2[[#This Row],[Visitor/Neutral]],def_diff_lookup,6,FALSE))</f>
        <v>96.675953436381931</v>
      </c>
      <c r="M87" s="22"/>
      <c r="N87" s="22">
        <f>(Table2[[#This Row],[A/Pace]]/100)*(VLOOKUP(Table2[[#This Row],[Visitor/Neutral]],OFR_lookup,2,FALSE)+VLOOKUP(Table2[[#This Row],[Home/Neutral]],def_diff_lookup,6,FALSE))</f>
        <v>109.65082266666667</v>
      </c>
      <c r="O87" s="22"/>
      <c r="P87" s="22"/>
      <c r="Q87" s="3">
        <f>VLOOKUP(Table2[[#This Row],[Home/Neutral]],pace_lookup,7,FALSE)</f>
        <v>93.4</v>
      </c>
      <c r="R87" s="3">
        <f>VLOOKUP(Table2[[#This Row],[Visitor/Neutral]],pace_lookup,7,FALSE)</f>
        <v>96.4</v>
      </c>
      <c r="S87" s="8">
        <f t="shared" si="3"/>
        <v>24</v>
      </c>
      <c r="T87" s="3">
        <v>-4.5</v>
      </c>
      <c r="U87" s="16"/>
      <c r="V87" s="3"/>
      <c r="W87" s="9">
        <f>-home-VLOOKUP(Table2[[#This Row],[Home/Neutral]],rtg_vlookup,4,FALSE)+VLOOKUP(Table2[[#This Row],[Visitor/Neutral]],rtg_vlookup,4,FALSE)</f>
        <v>2.5613114754098358</v>
      </c>
      <c r="X87" s="16"/>
      <c r="Y87" s="9"/>
      <c r="Z87" s="9">
        <f>Table2[[#This Row],[A/EV]]-Table2[[#This Row],[H/EV]]</f>
        <v>12.974869230284739</v>
      </c>
      <c r="AA87" s="31"/>
      <c r="AB87" s="32"/>
      <c r="AC87" s="32"/>
      <c r="AD87" s="32"/>
      <c r="AE87" s="32"/>
      <c r="AF87" s="8" t="b">
        <f>IF(VLOOKUP(Table2[[#This Row],[Home/Neutral]],division_lookup,9,FALSE)=VLOOKUP(Table2[[#This Row],[Visitor/Neutral]],division_lookup,9,FALSE),TRUE,FALSE)</f>
        <v>0</v>
      </c>
      <c r="AG87" s="16" t="str">
        <f>VLOOKUP(Table2[[#This Row],[Home/Neutral]],division_lookup,9,FALSE)</f>
        <v>SW</v>
      </c>
      <c r="AH87" s="16" t="str">
        <f>IF(Table2[[#This Row],[Total/EV]]&lt;Table2[[#This Row],[Total/V]],"UNDER","OVER")</f>
        <v>UNDER</v>
      </c>
      <c r="AI87" s="16"/>
      <c r="AJ87" s="9"/>
      <c r="AK87" s="9"/>
      <c r="AL87" s="19">
        <f>Table2[[#This Row],[SRS]]-Table2[[#This Row],[Spread]]</f>
        <v>-21.438688524590162</v>
      </c>
      <c r="AM87" s="22">
        <f>Table2[[#This Row],[(A) Err]]^2</f>
        <v>459.61736565439389</v>
      </c>
      <c r="AN87" s="4">
        <f>Table2[[#This Row],[EV]]-Table2[[#This Row],[Spread]]</f>
        <v>-11.025130769715261</v>
      </c>
      <c r="AO87" s="4">
        <f>Table2[[#This Row],[EV Err]]^2</f>
        <v>121.55350848932223</v>
      </c>
      <c r="AP87" s="6"/>
    </row>
    <row r="88" spans="1:42" x14ac:dyDescent="0.25">
      <c r="A88" s="34">
        <v>42680</v>
      </c>
      <c r="B88" t="s">
        <v>110</v>
      </c>
      <c r="C88" t="s">
        <v>116</v>
      </c>
      <c r="D88">
        <f>IF((Table2[[#This Row],[Spread]]-Table2[[#This Row],[Spread/V]])=0,1,IF(Table2[[#This Row],[Spread]]&lt;Table2[[#This Row],[Spread/V]],1,0))</f>
        <v>0</v>
      </c>
      <c r="E88">
        <v>107</v>
      </c>
      <c r="F88">
        <f>IF((Table2[[#This Row],[Spread]]-Table2[[#This Row],[Spread/V]])=0,1,IF(Table2[[#This Row],[Spread]]&gt;Table2[[#This Row],[Spread/V]],1,0))</f>
        <v>1</v>
      </c>
      <c r="G88">
        <v>123</v>
      </c>
      <c r="H88" s="7">
        <f t="shared" si="2"/>
        <v>230</v>
      </c>
      <c r="I88">
        <f>IF(Table2[[#This Row],[Total/V]]&lt;=Table2[[#This Row],[Total]],1,0)</f>
        <v>1</v>
      </c>
      <c r="J88">
        <v>212.5</v>
      </c>
      <c r="K88"/>
      <c r="L88" s="21">
        <f>(Table2[[#This Row],[H/Pace]]/100)*(VLOOKUP(Table2[[#This Row],[Home/Neutral]],home_lookup,8,FALSE)+VLOOKUP(Table2[[#This Row],[Home/Neutral]],OFR_lookup,2,FALSE)+VLOOKUP(Table2[[#This Row],[Visitor/Neutral]],def_diff_lookup,6,FALSE))</f>
        <v>106.01319118900939</v>
      </c>
      <c r="M88" s="21"/>
      <c r="N88" s="21">
        <f>(Table2[[#This Row],[A/Pace]]/100)*(VLOOKUP(Table2[[#This Row],[Visitor/Neutral]],OFR_lookup,2,FALSE)+VLOOKUP(Table2[[#This Row],[Home/Neutral]],def_diff_lookup,6,FALSE))</f>
        <v>105.93360566666667</v>
      </c>
      <c r="O88" s="21"/>
      <c r="P88" s="21"/>
      <c r="Q88">
        <f>VLOOKUP(Table2[[#This Row],[Home/Neutral]],pace_lookup,7,FALSE)</f>
        <v>96.2</v>
      </c>
      <c r="R88" s="5">
        <f>VLOOKUP(Table2[[#This Row],[Visitor/Neutral]],pace_lookup,7,FALSE)</f>
        <v>99.1</v>
      </c>
      <c r="S88" s="7">
        <f t="shared" si="3"/>
        <v>16</v>
      </c>
      <c r="T88">
        <v>-7</v>
      </c>
      <c r="U88" s="15"/>
      <c r="W88" s="2">
        <f>-home-VLOOKUP(Table2[[#This Row],[Home/Neutral]],rtg_vlookup,4,FALSE)+VLOOKUP(Table2[[#This Row],[Visitor/Neutral]],rtg_vlookup,4,FALSE)</f>
        <v>-3.9986885245901655</v>
      </c>
      <c r="X88" s="15"/>
      <c r="Y88" s="2"/>
      <c r="Z88" s="2">
        <f>Table2[[#This Row],[A/EV]]-Table2[[#This Row],[H/EV]]</f>
        <v>-7.9585522342725312E-2</v>
      </c>
      <c r="AA88" s="29"/>
      <c r="AB88" s="30"/>
      <c r="AC88" s="30"/>
      <c r="AD88" s="30"/>
      <c r="AE88" s="30"/>
      <c r="AF88" s="7" t="b">
        <f>IF(VLOOKUP(Table2[[#This Row],[Home/Neutral]],division_lookup,9,FALSE)=VLOOKUP(Table2[[#This Row],[Visitor/Neutral]],division_lookup,9,FALSE),TRUE,FALSE)</f>
        <v>0</v>
      </c>
      <c r="AG88" s="15" t="str">
        <f>VLOOKUP(Table2[[#This Row],[Home/Neutral]],division_lookup,9,FALSE)</f>
        <v>A</v>
      </c>
      <c r="AH88" s="15" t="str">
        <f>IF(Table2[[#This Row],[Total/EV]]&lt;Table2[[#This Row],[Total/V]],"UNDER","OVER")</f>
        <v>UNDER</v>
      </c>
      <c r="AI88" s="15"/>
      <c r="AJ88" s="2"/>
      <c r="AK88" s="2"/>
      <c r="AL88" s="18">
        <f>Table2[[#This Row],[SRS]]-Table2[[#This Row],[Spread]]</f>
        <v>-19.998688524590165</v>
      </c>
      <c r="AM88" s="21">
        <f>Table2[[#This Row],[(A) Err]]^2</f>
        <v>399.94754270357436</v>
      </c>
      <c r="AN88" s="6">
        <f>Table2[[#This Row],[EV]]-Table2[[#This Row],[Spread]]</f>
        <v>-16.079585522342725</v>
      </c>
      <c r="AO88" s="1">
        <f>Table2[[#This Row],[EV Err]]^2</f>
        <v>258.55307057033377</v>
      </c>
      <c r="AP88" s="1"/>
    </row>
    <row r="89" spans="1:42" x14ac:dyDescent="0.25">
      <c r="A89" s="34">
        <v>42680</v>
      </c>
      <c r="B89" t="s">
        <v>115</v>
      </c>
      <c r="C89" t="s">
        <v>125</v>
      </c>
      <c r="D89">
        <f>IF((Table2[[#This Row],[Spread]]-Table2[[#This Row],[Spread/V]])=0,1,IF(Table2[[#This Row],[Spread]]&lt;Table2[[#This Row],[Spread/V]],1,0))</f>
        <v>1</v>
      </c>
      <c r="E89">
        <v>86</v>
      </c>
      <c r="F89">
        <f>IF((Table2[[#This Row],[Spread]]-Table2[[#This Row],[Spread/V]])=0,1,IF(Table2[[#This Row],[Spread]]&gt;Table2[[#This Row],[Spread/V]],1,0))</f>
        <v>0</v>
      </c>
      <c r="G89">
        <v>75</v>
      </c>
      <c r="H89" s="7">
        <f t="shared" si="2"/>
        <v>161</v>
      </c>
      <c r="I89">
        <f>IF(Table2[[#This Row],[Total/V]]&lt;=Table2[[#This Row],[Total]],1,0)</f>
        <v>0</v>
      </c>
      <c r="J89">
        <v>199</v>
      </c>
      <c r="K89"/>
      <c r="L89" s="21">
        <f>(Table2[[#This Row],[H/Pace]]/100)*(VLOOKUP(Table2[[#This Row],[Home/Neutral]],home_lookup,8,FALSE)+VLOOKUP(Table2[[#This Row],[Home/Neutral]],OFR_lookup,2,FALSE)+VLOOKUP(Table2[[#This Row],[Visitor/Neutral]],def_diff_lookup,6,FALSE))</f>
        <v>97.328703115967755</v>
      </c>
      <c r="M89" s="21"/>
      <c r="N89" s="21">
        <f>(Table2[[#This Row],[A/Pace]]/100)*(VLOOKUP(Table2[[#This Row],[Visitor/Neutral]],OFR_lookup,2,FALSE)+VLOOKUP(Table2[[#This Row],[Home/Neutral]],def_diff_lookup,6,FALSE))</f>
        <v>101.42938566666666</v>
      </c>
      <c r="O89" s="21"/>
      <c r="P89" s="21"/>
      <c r="Q89">
        <f>VLOOKUP(Table2[[#This Row],[Home/Neutral]],pace_lookup,7,FALSE)</f>
        <v>92.9</v>
      </c>
      <c r="R89" s="5">
        <f>VLOOKUP(Table2[[#This Row],[Visitor/Neutral]],pace_lookup,7,FALSE)</f>
        <v>96.1</v>
      </c>
      <c r="S89" s="7">
        <f t="shared" si="3"/>
        <v>-11</v>
      </c>
      <c r="T89">
        <v>-2.5</v>
      </c>
      <c r="U89" s="15"/>
      <c r="W89" s="2">
        <f>-home-VLOOKUP(Table2[[#This Row],[Home/Neutral]],rtg_vlookup,4,FALSE)+VLOOKUP(Table2[[#This Row],[Visitor/Neutral]],rtg_vlookup,4,FALSE)</f>
        <v>3.6013114754098337</v>
      </c>
      <c r="X89" s="15"/>
      <c r="Y89" s="2"/>
      <c r="Z89" s="2">
        <f>Table2[[#This Row],[A/EV]]-Table2[[#This Row],[H/EV]]</f>
        <v>4.100682550698906</v>
      </c>
      <c r="AA89" s="29"/>
      <c r="AB89" s="30"/>
      <c r="AC89" s="30"/>
      <c r="AD89" s="30"/>
      <c r="AE89" s="30"/>
      <c r="AF89" s="7" t="b">
        <f>IF(VLOOKUP(Table2[[#This Row],[Home/Neutral]],division_lookup,9,FALSE)=VLOOKUP(Table2[[#This Row],[Visitor/Neutral]],division_lookup,9,FALSE),TRUE,FALSE)</f>
        <v>0</v>
      </c>
      <c r="AG89" s="15" t="str">
        <f>VLOOKUP(Table2[[#This Row],[Home/Neutral]],division_lookup,9,FALSE)</f>
        <v>SW</v>
      </c>
      <c r="AH89" s="15" t="str">
        <f>IF(Table2[[#This Row],[Total/EV]]&lt;Table2[[#This Row],[Total/V]],"UNDER","OVER")</f>
        <v>UNDER</v>
      </c>
      <c r="AI89" s="15"/>
      <c r="AJ89" s="2"/>
      <c r="AK89" s="2"/>
      <c r="AL89" s="18">
        <f>Table2[[#This Row],[SRS]]-Table2[[#This Row],[Spread]]</f>
        <v>14.601311475409833</v>
      </c>
      <c r="AM89" s="21">
        <f>Table2[[#This Row],[(A) Err]]^2</f>
        <v>213.19829680193487</v>
      </c>
      <c r="AN89" s="6">
        <f>Table2[[#This Row],[EV]]-Table2[[#This Row],[Spread]]</f>
        <v>15.100682550698906</v>
      </c>
      <c r="AO89" s="1">
        <f>Table2[[#This Row],[EV Err]]^2</f>
        <v>228.03061349698243</v>
      </c>
      <c r="AP89" s="1"/>
    </row>
    <row r="90" spans="1:42" x14ac:dyDescent="0.25">
      <c r="A90" s="34">
        <v>42680</v>
      </c>
      <c r="B90" t="s">
        <v>122</v>
      </c>
      <c r="C90" t="s">
        <v>131</v>
      </c>
      <c r="D90">
        <f>IF((Table2[[#This Row],[Spread]]-Table2[[#This Row],[Spread/V]])=0,1,IF(Table2[[#This Row],[Spread]]&lt;Table2[[#This Row],[Spread/V]],1,0))</f>
        <v>1</v>
      </c>
      <c r="E90">
        <v>119</v>
      </c>
      <c r="F90">
        <f>IF((Table2[[#This Row],[Spread]]-Table2[[#This Row],[Spread/V]])=0,1,IF(Table2[[#This Row],[Spread]]&gt;Table2[[#This Row],[Spread/V]],1,0))</f>
        <v>0</v>
      </c>
      <c r="G90">
        <v>108</v>
      </c>
      <c r="H90" s="7">
        <f t="shared" si="2"/>
        <v>227</v>
      </c>
      <c r="I90">
        <f>IF(Table2[[#This Row],[Total/V]]&lt;=Table2[[#This Row],[Total]],1,0)</f>
        <v>1</v>
      </c>
      <c r="J90">
        <v>216.5</v>
      </c>
      <c r="K90"/>
      <c r="L90" s="21">
        <f>(Table2[[#This Row],[H/Pace]]/100)*(VLOOKUP(Table2[[#This Row],[Home/Neutral]],home_lookup,8,FALSE)+VLOOKUP(Table2[[#This Row],[Home/Neutral]],OFR_lookup,2,FALSE)+VLOOKUP(Table2[[#This Row],[Visitor/Neutral]],def_diff_lookup,6,FALSE))</f>
        <v>110.94024832744731</v>
      </c>
      <c r="M90" s="21"/>
      <c r="N90" s="21">
        <f>(Table2[[#This Row],[A/Pace]]/100)*(VLOOKUP(Table2[[#This Row],[Visitor/Neutral]],OFR_lookup,2,FALSE)+VLOOKUP(Table2[[#This Row],[Home/Neutral]],def_diff_lookup,6,FALSE))</f>
        <v>107.767083</v>
      </c>
      <c r="O90" s="21"/>
      <c r="P90" s="21"/>
      <c r="Q90">
        <f>VLOOKUP(Table2[[#This Row],[Home/Neutral]],pace_lookup,7,FALSE)</f>
        <v>100.2</v>
      </c>
      <c r="R90" s="5">
        <f>VLOOKUP(Table2[[#This Row],[Visitor/Neutral]],pace_lookup,7,FALSE)</f>
        <v>101.7</v>
      </c>
      <c r="S90" s="7">
        <f t="shared" si="3"/>
        <v>-11</v>
      </c>
      <c r="T90">
        <v>-4</v>
      </c>
      <c r="U90" s="15"/>
      <c r="W90" s="2">
        <f>-home-VLOOKUP(Table2[[#This Row],[Home/Neutral]],rtg_vlookup,4,FALSE)+VLOOKUP(Table2[[#This Row],[Visitor/Neutral]],rtg_vlookup,4,FALSE)</f>
        <v>-6.9086885245901657</v>
      </c>
      <c r="X90" s="15"/>
      <c r="Y90" s="2"/>
      <c r="Z90" s="2">
        <f>Table2[[#This Row],[A/EV]]-Table2[[#This Row],[H/EV]]</f>
        <v>-3.1731653274473075</v>
      </c>
      <c r="AA90" s="29"/>
      <c r="AB90" s="30"/>
      <c r="AC90" s="30"/>
      <c r="AD90" s="30"/>
      <c r="AE90" s="30"/>
      <c r="AF90" s="7" t="b">
        <f>IF(VLOOKUP(Table2[[#This Row],[Home/Neutral]],division_lookup,9,FALSE)=VLOOKUP(Table2[[#This Row],[Visitor/Neutral]],division_lookup,9,FALSE),TRUE,FALSE)</f>
        <v>1</v>
      </c>
      <c r="AG90" s="15" t="str">
        <f>VLOOKUP(Table2[[#This Row],[Home/Neutral]],division_lookup,9,FALSE)</f>
        <v>P</v>
      </c>
      <c r="AH90" s="15" t="str">
        <f>IF(Table2[[#This Row],[Total/EV]]&lt;Table2[[#This Row],[Total/V]],"UNDER","OVER")</f>
        <v>UNDER</v>
      </c>
      <c r="AI90" s="15"/>
      <c r="AJ90" s="2"/>
      <c r="AK90" s="2"/>
      <c r="AL90" s="18">
        <f>Table2[[#This Row],[SRS]]-Table2[[#This Row],[Spread]]</f>
        <v>4.0913114754098343</v>
      </c>
      <c r="AM90" s="21">
        <f>Table2[[#This Row],[(A) Err]]^2</f>
        <v>16.738829588820195</v>
      </c>
      <c r="AN90" s="6">
        <f>Table2[[#This Row],[EV]]-Table2[[#This Row],[Spread]]</f>
        <v>7.8268346725526925</v>
      </c>
      <c r="AO90" s="1">
        <f>Table2[[#This Row],[EV Err]]^2</f>
        <v>61.25934099147301</v>
      </c>
      <c r="AP90" s="1"/>
    </row>
    <row r="91" spans="1:42" x14ac:dyDescent="0.25">
      <c r="A91" s="34">
        <v>42680</v>
      </c>
      <c r="B91" t="s">
        <v>123</v>
      </c>
      <c r="C91" t="s">
        <v>132</v>
      </c>
      <c r="D91">
        <f>IF((Table2[[#This Row],[Spread]]-Table2[[#This Row],[Spread/V]])=0,1,IF(Table2[[#This Row],[Spread]]&lt;Table2[[#This Row],[Spread/V]],1,0))</f>
        <v>0</v>
      </c>
      <c r="E91">
        <v>94</v>
      </c>
      <c r="F91">
        <f>IF((Table2[[#This Row],[Spread]]-Table2[[#This Row],[Spread/V]])=0,1,IF(Table2[[#This Row],[Spread]]&gt;Table2[[#This Row],[Spread/V]],1,0))</f>
        <v>1</v>
      </c>
      <c r="G91">
        <v>100</v>
      </c>
      <c r="H91" s="7">
        <f t="shared" si="2"/>
        <v>194</v>
      </c>
      <c r="I91">
        <f>IF(Table2[[#This Row],[Total/V]]&lt;=Table2[[#This Row],[Total]],1,0)</f>
        <v>0</v>
      </c>
      <c r="J91">
        <v>204</v>
      </c>
      <c r="K91"/>
      <c r="L91" s="21">
        <f>(Table2[[#This Row],[H/Pace]]/100)*(VLOOKUP(Table2[[#This Row],[Home/Neutral]],home_lookup,8,FALSE)+VLOOKUP(Table2[[#This Row],[Home/Neutral]],OFR_lookup,2,FALSE)+VLOOKUP(Table2[[#This Row],[Visitor/Neutral]],def_diff_lookup,6,FALSE))</f>
        <v>106.85992709563918</v>
      </c>
      <c r="M91" s="21"/>
      <c r="N91" s="21">
        <f>(Table2[[#This Row],[A/Pace]]/100)*(VLOOKUP(Table2[[#This Row],[Visitor/Neutral]],OFR_lookup,2,FALSE)+VLOOKUP(Table2[[#This Row],[Home/Neutral]],def_diff_lookup,6,FALSE))</f>
        <v>104.91143866666665</v>
      </c>
      <c r="O91" s="21"/>
      <c r="P91" s="21"/>
      <c r="Q91">
        <f>VLOOKUP(Table2[[#This Row],[Home/Neutral]],pace_lookup,7,FALSE)</f>
        <v>92.5</v>
      </c>
      <c r="R91" s="5">
        <f>VLOOKUP(Table2[[#This Row],[Visitor/Neutral]],pace_lookup,7,FALSE)</f>
        <v>98.8</v>
      </c>
      <c r="S91" s="7">
        <f t="shared" si="3"/>
        <v>6</v>
      </c>
      <c r="T91">
        <v>-1</v>
      </c>
      <c r="U91" s="15"/>
      <c r="W91" s="2">
        <f>-home-VLOOKUP(Table2[[#This Row],[Home/Neutral]],rtg_vlookup,4,FALSE)+VLOOKUP(Table2[[#This Row],[Visitor/Neutral]],rtg_vlookup,4,FALSE)</f>
        <v>-5.8986885245901659</v>
      </c>
      <c r="X91" s="15"/>
      <c r="Y91" s="2"/>
      <c r="Z91" s="2">
        <f>Table2[[#This Row],[A/EV]]-Table2[[#This Row],[H/EV]]</f>
        <v>-1.9484884289725244</v>
      </c>
      <c r="AA91" s="29"/>
      <c r="AB91" s="30"/>
      <c r="AC91" s="30"/>
      <c r="AD91" s="30"/>
      <c r="AE91" s="30"/>
      <c r="AF91" s="7" t="b">
        <f>IF(VLOOKUP(Table2[[#This Row],[Home/Neutral]],division_lookup,9,FALSE)=VLOOKUP(Table2[[#This Row],[Visitor/Neutral]],division_lookup,9,FALSE),TRUE,FALSE)</f>
        <v>0</v>
      </c>
      <c r="AG91" s="15" t="str">
        <f>VLOOKUP(Table2[[#This Row],[Home/Neutral]],division_lookup,9,FALSE)</f>
        <v>SW</v>
      </c>
      <c r="AH91" s="15" t="str">
        <f>IF(Table2[[#This Row],[Total/EV]]&lt;Table2[[#This Row],[Total/V]],"UNDER","OVER")</f>
        <v>UNDER</v>
      </c>
      <c r="AI91" s="15"/>
      <c r="AJ91" s="2"/>
      <c r="AK91" s="2"/>
      <c r="AL91" s="18">
        <f>Table2[[#This Row],[SRS]]-Table2[[#This Row],[Spread]]</f>
        <v>-11.898688524590167</v>
      </c>
      <c r="AM91" s="21">
        <f>Table2[[#This Row],[(A) Err]]^2</f>
        <v>141.57878860521373</v>
      </c>
      <c r="AN91" s="6">
        <f>Table2[[#This Row],[EV]]-Table2[[#This Row],[Spread]]</f>
        <v>-7.9484884289725244</v>
      </c>
      <c r="AO91" s="1">
        <f>Table2[[#This Row],[EV Err]]^2</f>
        <v>63.178468305510108</v>
      </c>
      <c r="AP91" s="1"/>
    </row>
    <row r="92" spans="1:42" x14ac:dyDescent="0.25">
      <c r="A92" s="34">
        <v>42680</v>
      </c>
      <c r="B92" t="s">
        <v>128</v>
      </c>
      <c r="C92" t="s">
        <v>136</v>
      </c>
      <c r="D92">
        <f>IF((Table2[[#This Row],[Spread]]-Table2[[#This Row],[Spread/V]])=0,1,IF(Table2[[#This Row],[Spread]]&lt;Table2[[#This Row],[Spread/V]],1,0))</f>
        <v>0</v>
      </c>
      <c r="E92">
        <v>109</v>
      </c>
      <c r="F92">
        <f>IF((Table2[[#This Row],[Spread]]-Table2[[#This Row],[Spread/V]])=0,1,IF(Table2[[#This Row],[Spread]]&gt;Table2[[#This Row],[Spread/V]],1,0))</f>
        <v>1</v>
      </c>
      <c r="G92">
        <v>114</v>
      </c>
      <c r="H92" s="7">
        <f t="shared" si="2"/>
        <v>223</v>
      </c>
      <c r="I92">
        <f>IF(Table2[[#This Row],[Total/V]]&lt;=Table2[[#This Row],[Total]],1,0)</f>
        <v>1</v>
      </c>
      <c r="J92">
        <v>193</v>
      </c>
      <c r="K92"/>
      <c r="L92" s="21">
        <f>(Table2[[#This Row],[H/Pace]]/100)*(VLOOKUP(Table2[[#This Row],[Home/Neutral]],home_lookup,8,FALSE)+VLOOKUP(Table2[[#This Row],[Home/Neutral]],OFR_lookup,2,FALSE)+VLOOKUP(Table2[[#This Row],[Visitor/Neutral]],def_diff_lookup,6,FALSE))</f>
        <v>104.0700498778302</v>
      </c>
      <c r="M92" s="21"/>
      <c r="N92" s="21">
        <f>(Table2[[#This Row],[A/Pace]]/100)*(VLOOKUP(Table2[[#This Row],[Visitor/Neutral]],OFR_lookup,2,FALSE)+VLOOKUP(Table2[[#This Row],[Home/Neutral]],def_diff_lookup,6,FALSE))</f>
        <v>100.24343500000001</v>
      </c>
      <c r="O92" s="21"/>
      <c r="P92" s="21"/>
      <c r="Q92">
        <f>VLOOKUP(Table2[[#This Row],[Home/Neutral]],pace_lookup,7,FALSE)</f>
        <v>96.3</v>
      </c>
      <c r="R92" s="5">
        <f>VLOOKUP(Table2[[#This Row],[Visitor/Neutral]],pace_lookup,7,FALSE)</f>
        <v>91.5</v>
      </c>
      <c r="S92" s="7">
        <f t="shared" si="3"/>
        <v>5</v>
      </c>
      <c r="T92">
        <v>-2.5</v>
      </c>
      <c r="U92" s="15"/>
      <c r="W92" s="2">
        <f>-home-VLOOKUP(Table2[[#This Row],[Home/Neutral]],rtg_vlookup,4,FALSE)+VLOOKUP(Table2[[#This Row],[Visitor/Neutral]],rtg_vlookup,4,FALSE)</f>
        <v>3.3313114754098341</v>
      </c>
      <c r="X92" s="15"/>
      <c r="Y92" s="2"/>
      <c r="Z92" s="2">
        <f>Table2[[#This Row],[A/EV]]-Table2[[#This Row],[H/EV]]</f>
        <v>-3.8266148778301954</v>
      </c>
      <c r="AA92" s="29"/>
      <c r="AB92" s="30"/>
      <c r="AC92" s="30"/>
      <c r="AD92" s="30"/>
      <c r="AE92" s="30"/>
      <c r="AF92" s="7" t="b">
        <f>IF(VLOOKUP(Table2[[#This Row],[Home/Neutral]],division_lookup,9,FALSE)=VLOOKUP(Table2[[#This Row],[Visitor/Neutral]],division_lookup,9,FALSE),TRUE,FALSE)</f>
        <v>0</v>
      </c>
      <c r="AG92" s="15" t="str">
        <f>VLOOKUP(Table2[[#This Row],[Home/Neutral]],division_lookup,9,FALSE)</f>
        <v>A</v>
      </c>
      <c r="AH92" s="15" t="str">
        <f>IF(Table2[[#This Row],[Total/EV]]&lt;Table2[[#This Row],[Total/V]],"UNDER","OVER")</f>
        <v>UNDER</v>
      </c>
      <c r="AI92" s="15"/>
      <c r="AJ92" s="2"/>
      <c r="AK92" s="2"/>
      <c r="AL92" s="18">
        <f>Table2[[#This Row],[SRS]]-Table2[[#This Row],[Spread]]</f>
        <v>-1.6686885245901659</v>
      </c>
      <c r="AM92" s="21">
        <f>Table2[[#This Row],[(A) Err]]^2</f>
        <v>2.7845213920989047</v>
      </c>
      <c r="AN92" s="6">
        <f>Table2[[#This Row],[EV]]-Table2[[#This Row],[Spread]]</f>
        <v>-8.8266148778301954</v>
      </c>
      <c r="AO92" s="1">
        <f>Table2[[#This Row],[EV Err]]^2</f>
        <v>77.909130201533358</v>
      </c>
      <c r="AP92" s="1"/>
    </row>
    <row r="93" spans="1:42" ht="15.75" thickBot="1" x14ac:dyDescent="0.3">
      <c r="A93" s="100">
        <v>42680</v>
      </c>
      <c r="B93" s="3" t="s">
        <v>135</v>
      </c>
      <c r="C93" s="3" t="s">
        <v>133</v>
      </c>
      <c r="D93" s="3">
        <f>IF((Table2[[#This Row],[Spread]]-Table2[[#This Row],[Spread/V]])=0,1,IF(Table2[[#This Row],[Spread]]&lt;Table2[[#This Row],[Spread/V]],1,0))</f>
        <v>0</v>
      </c>
      <c r="E93" s="3">
        <v>91</v>
      </c>
      <c r="F93" s="3">
        <f>IF((Table2[[#This Row],[Spread]]-Table2[[#This Row],[Spread/V]])=0,1,IF(Table2[[#This Row],[Spread]]&gt;Table2[[#This Row],[Spread/V]],1,0))</f>
        <v>1</v>
      </c>
      <c r="G93" s="3">
        <v>96</v>
      </c>
      <c r="H93" s="8">
        <f t="shared" si="2"/>
        <v>187</v>
      </c>
      <c r="I93" s="3">
        <f>IF(Table2[[#This Row],[Total/V]]&lt;=Table2[[#This Row],[Total]],1,0)</f>
        <v>0</v>
      </c>
      <c r="J93" s="3">
        <v>197.5</v>
      </c>
      <c r="K93" s="3"/>
      <c r="L93" s="22">
        <f>(Table2[[#This Row],[H/Pace]]/100)*(VLOOKUP(Table2[[#This Row],[Home/Neutral]],home_lookup,8,FALSE)+VLOOKUP(Table2[[#This Row],[Home/Neutral]],OFR_lookup,2,FALSE)+VLOOKUP(Table2[[#This Row],[Visitor/Neutral]],def_diff_lookup,6,FALSE))</f>
        <v>112.74996035324614</v>
      </c>
      <c r="M93" s="22"/>
      <c r="N93" s="22">
        <f>(Table2[[#This Row],[A/Pace]]/100)*(VLOOKUP(Table2[[#This Row],[Visitor/Neutral]],OFR_lookup,2,FALSE)+VLOOKUP(Table2[[#This Row],[Home/Neutral]],def_diff_lookup,6,FALSE))</f>
        <v>102.560878</v>
      </c>
      <c r="O93" s="22"/>
      <c r="P93" s="22"/>
      <c r="Q93" s="3">
        <f>VLOOKUP(Table2[[#This Row],[Home/Neutral]],pace_lookup,7,FALSE)</f>
        <v>95.4</v>
      </c>
      <c r="R93" s="3">
        <f>VLOOKUP(Table2[[#This Row],[Visitor/Neutral]],pace_lookup,7,FALSE)</f>
        <v>94.2</v>
      </c>
      <c r="S93" s="8">
        <f t="shared" si="3"/>
        <v>5</v>
      </c>
      <c r="T93" s="3">
        <v>-7</v>
      </c>
      <c r="U93" s="16"/>
      <c r="V93" s="3"/>
      <c r="W93" s="9">
        <f>-home-VLOOKUP(Table2[[#This Row],[Home/Neutral]],rtg_vlookup,4,FALSE)+VLOOKUP(Table2[[#This Row],[Visitor/Neutral]],rtg_vlookup,4,FALSE)</f>
        <v>-10.638688524590165</v>
      </c>
      <c r="X93" s="16"/>
      <c r="Y93" s="9"/>
      <c r="Z93" s="9">
        <f>Table2[[#This Row],[A/EV]]-Table2[[#This Row],[H/EV]]</f>
        <v>-10.189082353246135</v>
      </c>
      <c r="AA93" s="31"/>
      <c r="AB93" s="32"/>
      <c r="AC93" s="32"/>
      <c r="AD93" s="32"/>
      <c r="AE93" s="32"/>
      <c r="AF93" s="8" t="b">
        <f>IF(VLOOKUP(Table2[[#This Row],[Home/Neutral]],division_lookup,9,FALSE)=VLOOKUP(Table2[[#This Row],[Visitor/Neutral]],division_lookup,9,FALSE),TRUE,FALSE)</f>
        <v>0</v>
      </c>
      <c r="AG93" s="16" t="str">
        <f>VLOOKUP(Table2[[#This Row],[Home/Neutral]],division_lookup,9,FALSE)</f>
        <v>A</v>
      </c>
      <c r="AH93" s="16" t="str">
        <f>IF(Table2[[#This Row],[Total/EV]]&lt;Table2[[#This Row],[Total/V]],"UNDER","OVER")</f>
        <v>UNDER</v>
      </c>
      <c r="AI93" s="16"/>
      <c r="AJ93" s="9"/>
      <c r="AK93" s="9"/>
      <c r="AL93" s="19">
        <f>Table2[[#This Row],[SRS]]-Table2[[#This Row],[Spread]]</f>
        <v>-15.638688524590165</v>
      </c>
      <c r="AM93" s="22">
        <f>Table2[[#This Row],[(A) Err]]^2</f>
        <v>244.56857876914813</v>
      </c>
      <c r="AN93" s="4">
        <f>Table2[[#This Row],[EV]]-Table2[[#This Row],[Spread]]</f>
        <v>-15.189082353246135</v>
      </c>
      <c r="AO93" s="4">
        <f>Table2[[#This Row],[EV Err]]^2</f>
        <v>230.70822273369316</v>
      </c>
      <c r="AP93" s="6"/>
    </row>
    <row r="94" spans="1:42" x14ac:dyDescent="0.25">
      <c r="A94" s="34">
        <v>42681</v>
      </c>
      <c r="B94" t="s">
        <v>113</v>
      </c>
      <c r="C94" t="s">
        <v>130</v>
      </c>
      <c r="D94">
        <f>IF((Table2[[#This Row],[Spread]]-Table2[[#This Row],[Spread/V]])=0,1,IF(Table2[[#This Row],[Spread]]&lt;Table2[[#This Row],[Spread/V]],1,0))</f>
        <v>1</v>
      </c>
      <c r="E94">
        <v>112</v>
      </c>
      <c r="F94">
        <f>IF((Table2[[#This Row],[Spread]]-Table2[[#This Row],[Spread/V]])=0,1,IF(Table2[[#This Row],[Spread]]&gt;Table2[[#This Row],[Spread/V]],1,0))</f>
        <v>0</v>
      </c>
      <c r="G94">
        <v>80</v>
      </c>
      <c r="H94" s="7">
        <f t="shared" si="2"/>
        <v>192</v>
      </c>
      <c r="I94">
        <f>IF(Table2[[#This Row],[Total/V]]&lt;=Table2[[#This Row],[Total]],1,0)</f>
        <v>0</v>
      </c>
      <c r="J94" s="15">
        <v>198.5</v>
      </c>
      <c r="K94"/>
      <c r="L94" s="21">
        <f>(Table2[[#This Row],[H/Pace]]/100)*(VLOOKUP(Table2[[#This Row],[Home/Neutral]],home_lookup,8,FALSE)+VLOOKUP(Table2[[#This Row],[Home/Neutral]],OFR_lookup,2,FALSE)+VLOOKUP(Table2[[#This Row],[Visitor/Neutral]],def_diff_lookup,6,FALSE))</f>
        <v>108.95728388016279</v>
      </c>
      <c r="M94" s="21"/>
      <c r="N94" s="21">
        <f>(Table2[[#This Row],[A/Pace]]/100)*(VLOOKUP(Table2[[#This Row],[Visitor/Neutral]],OFR_lookup,2,FALSE)+VLOOKUP(Table2[[#This Row],[Home/Neutral]],def_diff_lookup,6,FALSE))</f>
        <v>91.727878000000004</v>
      </c>
      <c r="O94" s="21"/>
      <c r="P94" s="21"/>
      <c r="Q94">
        <f>VLOOKUP(Table2[[#This Row],[Home/Neutral]],pace_lookup,7,FALSE)</f>
        <v>95.1</v>
      </c>
      <c r="R94" s="5">
        <f>VLOOKUP(Table2[[#This Row],[Visitor/Neutral]],pace_lookup,7,FALSE)</f>
        <v>94.2</v>
      </c>
      <c r="S94" s="7">
        <f t="shared" si="3"/>
        <v>-32</v>
      </c>
      <c r="T94">
        <v>-7</v>
      </c>
      <c r="U94" s="15"/>
      <c r="W94" s="2">
        <f>-home-VLOOKUP(Table2[[#This Row],[Home/Neutral]],rtg_vlookup,4,FALSE)+VLOOKUP(Table2[[#This Row],[Visitor/Neutral]],rtg_vlookup,4,FALSE)</f>
        <v>-16.058688524590167</v>
      </c>
      <c r="X94" s="15"/>
      <c r="Y94" s="2"/>
      <c r="Z94" s="2">
        <f>Table2[[#This Row],[A/EV]]-Table2[[#This Row],[H/EV]]</f>
        <v>-17.229405880162787</v>
      </c>
      <c r="AA94" s="29"/>
      <c r="AB94" s="30"/>
      <c r="AC94" s="30"/>
      <c r="AD94" s="30"/>
      <c r="AE94" s="30"/>
      <c r="AF94" s="7" t="b">
        <f>IF(VLOOKUP(Table2[[#This Row],[Home/Neutral]],division_lookup,9,FALSE)=VLOOKUP(Table2[[#This Row],[Visitor/Neutral]],division_lookup,9,FALSE),TRUE,FALSE)</f>
        <v>0</v>
      </c>
      <c r="AG94" s="15" t="str">
        <f>VLOOKUP(Table2[[#This Row],[Home/Neutral]],division_lookup,9,FALSE)</f>
        <v>C</v>
      </c>
      <c r="AH94" s="15" t="str">
        <f>IF(Table2[[#This Row],[Total/EV]]&lt;Table2[[#This Row],[Total/V]],"UNDER","OVER")</f>
        <v>UNDER</v>
      </c>
      <c r="AI94" s="15"/>
      <c r="AJ94" s="2"/>
      <c r="AK94" s="2"/>
      <c r="AL94" s="18">
        <f>Table2[[#This Row],[SRS]]-Table2[[#This Row],[Spread]]</f>
        <v>15.941311475409833</v>
      </c>
      <c r="AM94" s="21">
        <f>Table2[[#This Row],[(A) Err]]^2</f>
        <v>254.12541155603324</v>
      </c>
      <c r="AN94" s="6">
        <f>Table2[[#This Row],[EV]]-Table2[[#This Row],[Spread]]</f>
        <v>14.770594119837213</v>
      </c>
      <c r="AO94" s="1">
        <f>Table2[[#This Row],[EV Err]]^2</f>
        <v>218.17045065296966</v>
      </c>
      <c r="AP94" s="1"/>
    </row>
    <row r="95" spans="1:42" x14ac:dyDescent="0.25">
      <c r="A95" s="34">
        <v>42681</v>
      </c>
      <c r="B95" t="s">
        <v>112</v>
      </c>
      <c r="C95" t="s">
        <v>120</v>
      </c>
      <c r="D95">
        <f>IF((Table2[[#This Row],[Spread]]-Table2[[#This Row],[Spread/V]])=0,1,IF(Table2[[#This Row],[Spread]]&lt;Table2[[#This Row],[Spread/V]],1,0))</f>
        <v>1</v>
      </c>
      <c r="E95">
        <v>122</v>
      </c>
      <c r="F95">
        <f>IF((Table2[[#This Row],[Spread]]-Table2[[#This Row],[Spread/V]])=0,1,IF(Table2[[#This Row],[Spread]]&gt;Table2[[#This Row],[Spread/V]],1,0))</f>
        <v>0</v>
      </c>
      <c r="G95">
        <v>100</v>
      </c>
      <c r="H95" s="7">
        <f t="shared" si="2"/>
        <v>222</v>
      </c>
      <c r="I95">
        <f>IF(Table2[[#This Row],[Total/V]]&lt;=Table2[[#This Row],[Total]],1,0)</f>
        <v>1</v>
      </c>
      <c r="J95">
        <v>205</v>
      </c>
      <c r="K95"/>
      <c r="L95" s="21">
        <f>(Table2[[#This Row],[H/Pace]]/100)*(VLOOKUP(Table2[[#This Row],[Home/Neutral]],home_lookup,8,FALSE)+VLOOKUP(Table2[[#This Row],[Home/Neutral]],OFR_lookup,2,FALSE)+VLOOKUP(Table2[[#This Row],[Visitor/Neutral]],def_diff_lookup,6,FALSE))</f>
        <v>105.89400195313483</v>
      </c>
      <c r="M95" s="21"/>
      <c r="N95" s="21">
        <f>(Table2[[#This Row],[A/Pace]]/100)*(VLOOKUP(Table2[[#This Row],[Visitor/Neutral]],OFR_lookup,2,FALSE)+VLOOKUP(Table2[[#This Row],[Home/Neutral]],def_diff_lookup,6,FALSE))</f>
        <v>101.02848033333333</v>
      </c>
      <c r="O95" s="21"/>
      <c r="P95" s="21"/>
      <c r="Q95">
        <f>VLOOKUP(Table2[[#This Row],[Home/Neutral]],pace_lookup,7,FALSE)</f>
        <v>97.4</v>
      </c>
      <c r="R95" s="5">
        <f>VLOOKUP(Table2[[#This Row],[Visitor/Neutral]],pace_lookup,7,FALSE)</f>
        <v>98.3</v>
      </c>
      <c r="S95" s="7">
        <f t="shared" si="3"/>
        <v>-22</v>
      </c>
      <c r="T95">
        <v>-2.5</v>
      </c>
      <c r="U95" s="15"/>
      <c r="W95" s="2">
        <f>-home-VLOOKUP(Table2[[#This Row],[Home/Neutral]],rtg_vlookup,4,FALSE)+VLOOKUP(Table2[[#This Row],[Visitor/Neutral]],rtg_vlookup,4,FALSE)</f>
        <v>-9.518688524590166</v>
      </c>
      <c r="X95" s="15"/>
      <c r="Y95" s="2"/>
      <c r="Z95" s="2">
        <f>Table2[[#This Row],[A/EV]]-Table2[[#This Row],[H/EV]]</f>
        <v>-4.8655216198014983</v>
      </c>
      <c r="AA95" s="29"/>
      <c r="AB95" s="30"/>
      <c r="AC95" s="30"/>
      <c r="AD95" s="30"/>
      <c r="AE95" s="30"/>
      <c r="AF95" s="7" t="b">
        <f>IF(VLOOKUP(Table2[[#This Row],[Home/Neutral]],division_lookup,9,FALSE)=VLOOKUP(Table2[[#This Row],[Visitor/Neutral]],division_lookup,9,FALSE),TRUE,FALSE)</f>
        <v>0</v>
      </c>
      <c r="AG95" s="15" t="str">
        <f>VLOOKUP(Table2[[#This Row],[Home/Neutral]],division_lookup,9,FALSE)</f>
        <v>SE</v>
      </c>
      <c r="AH95" s="15" t="str">
        <f>IF(Table2[[#This Row],[Total/EV]]&lt;Table2[[#This Row],[Total/V]],"UNDER","OVER")</f>
        <v>UNDER</v>
      </c>
      <c r="AI95" s="15"/>
      <c r="AJ95" s="2"/>
      <c r="AK95" s="2"/>
      <c r="AL95" s="18">
        <f>Table2[[#This Row],[SRS]]-Table2[[#This Row],[Spread]]</f>
        <v>12.481311475409834</v>
      </c>
      <c r="AM95" s="21">
        <f>Table2[[#This Row],[(A) Err]]^2</f>
        <v>155.78313614619719</v>
      </c>
      <c r="AN95" s="6">
        <f>Table2[[#This Row],[EV]]-Table2[[#This Row],[Spread]]</f>
        <v>17.134478380198502</v>
      </c>
      <c r="AO95" s="1">
        <f>Table2[[#This Row],[EV Err]]^2</f>
        <v>293.59034936148987</v>
      </c>
      <c r="AP95" s="1"/>
    </row>
    <row r="96" spans="1:42" x14ac:dyDescent="0.25">
      <c r="A96" s="34">
        <v>42681</v>
      </c>
      <c r="B96" t="s">
        <v>118</v>
      </c>
      <c r="C96" t="s">
        <v>127</v>
      </c>
      <c r="D96">
        <f>IF((Table2[[#This Row],[Spread]]-Table2[[#This Row],[Spread/V]])=0,1,IF(Table2[[#This Row],[Spread]]&lt;Table2[[#This Row],[Spread/V]],1,0))</f>
        <v>0</v>
      </c>
      <c r="E96">
        <v>116</v>
      </c>
      <c r="F96">
        <f>IF((Table2[[#This Row],[Spread]]-Table2[[#This Row],[Spread/V]])=0,1,IF(Table2[[#This Row],[Spread]]&gt;Table2[[#This Row],[Spread/V]],1,0))</f>
        <v>1</v>
      </c>
      <c r="G96">
        <v>106</v>
      </c>
      <c r="H96" s="7">
        <f t="shared" si="2"/>
        <v>222</v>
      </c>
      <c r="I96">
        <f>IF(Table2[[#This Row],[Total/V]]&lt;=Table2[[#This Row],[Total]],1,0)</f>
        <v>1</v>
      </c>
      <c r="J96">
        <v>220.5</v>
      </c>
      <c r="K96"/>
      <c r="L96" s="21">
        <f>(Table2[[#This Row],[H/Pace]]/100)*(VLOOKUP(Table2[[#This Row],[Home/Neutral]],home_lookup,8,FALSE)+VLOOKUP(Table2[[#This Row],[Home/Neutral]],OFR_lookup,2,FALSE)+VLOOKUP(Table2[[#This Row],[Visitor/Neutral]],def_diff_lookup,6,FALSE))</f>
        <v>113.44731838078236</v>
      </c>
      <c r="M96" s="21"/>
      <c r="N96" s="21">
        <f>(Table2[[#This Row],[A/Pace]]/100)*(VLOOKUP(Table2[[#This Row],[Visitor/Neutral]],OFR_lookup,2,FALSE)+VLOOKUP(Table2[[#This Row],[Home/Neutral]],def_diff_lookup,6,FALSE))</f>
        <v>100.84477699999999</v>
      </c>
      <c r="O96" s="21"/>
      <c r="P96" s="21"/>
      <c r="Q96">
        <f>VLOOKUP(Table2[[#This Row],[Home/Neutral]],pace_lookup,7,FALSE)</f>
        <v>100.4</v>
      </c>
      <c r="R96" s="5">
        <f>VLOOKUP(Table2[[#This Row],[Visitor/Neutral]],pace_lookup,7,FALSE)</f>
        <v>99.3</v>
      </c>
      <c r="S96" s="7">
        <f t="shared" si="3"/>
        <v>-10</v>
      </c>
      <c r="T96">
        <v>-16.5</v>
      </c>
      <c r="U96" s="15"/>
      <c r="W96" s="2">
        <f>-home-VLOOKUP(Table2[[#This Row],[Home/Neutral]],rtg_vlookup,4,FALSE)+VLOOKUP(Table2[[#This Row],[Visitor/Neutral]],rtg_vlookup,4,FALSE)</f>
        <v>-16.858688524590164</v>
      </c>
      <c r="X96" s="15"/>
      <c r="Y96" s="2"/>
      <c r="Z96" s="2">
        <f>Table2[[#This Row],[A/EV]]-Table2[[#This Row],[H/EV]]</f>
        <v>-12.60254138078237</v>
      </c>
      <c r="AA96" s="29"/>
      <c r="AB96" s="30"/>
      <c r="AC96" s="30"/>
      <c r="AD96" s="30"/>
      <c r="AE96" s="30"/>
      <c r="AF96" s="7" t="b">
        <f>IF(VLOOKUP(Table2[[#This Row],[Home/Neutral]],division_lookup,9,FALSE)=VLOOKUP(Table2[[#This Row],[Visitor/Neutral]],division_lookup,9,FALSE),TRUE,FALSE)</f>
        <v>0</v>
      </c>
      <c r="AG96" s="15" t="str">
        <f>VLOOKUP(Table2[[#This Row],[Home/Neutral]],division_lookup,9,FALSE)</f>
        <v>P</v>
      </c>
      <c r="AH96" s="15" t="str">
        <f>IF(Table2[[#This Row],[Total/EV]]&lt;Table2[[#This Row],[Total/V]],"UNDER","OVER")</f>
        <v>UNDER</v>
      </c>
      <c r="AI96" s="15"/>
      <c r="AJ96" s="2"/>
      <c r="AK96" s="2"/>
      <c r="AL96" s="18">
        <f>Table2[[#This Row],[SRS]]-Table2[[#This Row],[Spread]]</f>
        <v>-6.8586885245901641</v>
      </c>
      <c r="AM96" s="21">
        <f>Table2[[#This Row],[(A) Err]]^2</f>
        <v>47.0416082773448</v>
      </c>
      <c r="AN96" s="6">
        <f>Table2[[#This Row],[EV]]-Table2[[#This Row],[Spread]]</f>
        <v>-2.6025413807823696</v>
      </c>
      <c r="AO96" s="1">
        <f>Table2[[#This Row],[EV Err]]^2</f>
        <v>6.7732216386846034</v>
      </c>
      <c r="AP96" s="1"/>
    </row>
    <row r="97" spans="1:42" x14ac:dyDescent="0.25">
      <c r="A97" s="34">
        <v>42681</v>
      </c>
      <c r="B97" t="s">
        <v>121</v>
      </c>
      <c r="C97" t="s">
        <v>117</v>
      </c>
      <c r="D97">
        <f>IF((Table2[[#This Row],[Spread]]-Table2[[#This Row],[Spread/V]])=0,1,IF(Table2[[#This Row],[Spread]]&lt;Table2[[#This Row],[Spread/V]],1,0))</f>
        <v>1</v>
      </c>
      <c r="E97">
        <v>114</v>
      </c>
      <c r="F97">
        <f>IF((Table2[[#This Row],[Spread]]-Table2[[#This Row],[Spread/V]])=0,1,IF(Table2[[#This Row],[Spread]]&gt;Table2[[#This Row],[Spread/V]],1,0))</f>
        <v>0</v>
      </c>
      <c r="G97">
        <v>82</v>
      </c>
      <c r="H97" s="7">
        <f t="shared" si="2"/>
        <v>196</v>
      </c>
      <c r="I97">
        <f>IF(Table2[[#This Row],[Total/V]]&lt;=Table2[[#This Row],[Total]],1,0)</f>
        <v>0</v>
      </c>
      <c r="J97">
        <v>196.5</v>
      </c>
      <c r="K97"/>
      <c r="L97" s="21">
        <f>(Table2[[#This Row],[H/Pace]]/100)*(VLOOKUP(Table2[[#This Row],[Home/Neutral]],home_lookup,8,FALSE)+VLOOKUP(Table2[[#This Row],[Home/Neutral]],OFR_lookup,2,FALSE)+VLOOKUP(Table2[[#This Row],[Visitor/Neutral]],def_diff_lookup,6,FALSE))</f>
        <v>110.12080060751254</v>
      </c>
      <c r="M97" s="21"/>
      <c r="N97" s="21">
        <f>(Table2[[#This Row],[A/Pace]]/100)*(VLOOKUP(Table2[[#This Row],[Visitor/Neutral]],OFR_lookup,2,FALSE)+VLOOKUP(Table2[[#This Row],[Home/Neutral]],def_diff_lookup,6,FALSE))</f>
        <v>94.042926666666659</v>
      </c>
      <c r="O97" s="21"/>
      <c r="P97" s="21"/>
      <c r="Q97">
        <f>VLOOKUP(Table2[[#This Row],[Home/Neutral]],pace_lookup,7,FALSE)</f>
        <v>96.4</v>
      </c>
      <c r="R97" s="5">
        <f>VLOOKUP(Table2[[#This Row],[Visitor/Neutral]],pace_lookup,7,FALSE)</f>
        <v>94</v>
      </c>
      <c r="S97" s="7">
        <f t="shared" si="3"/>
        <v>-32</v>
      </c>
      <c r="T97">
        <v>-8</v>
      </c>
      <c r="U97" s="15"/>
      <c r="W97" s="2">
        <f>-home-VLOOKUP(Table2[[#This Row],[Home/Neutral]],rtg_vlookup,4,FALSE)+VLOOKUP(Table2[[#This Row],[Visitor/Neutral]],rtg_vlookup,4,FALSE)</f>
        <v>-13.938688524590166</v>
      </c>
      <c r="X97" s="15"/>
      <c r="Y97" s="2"/>
      <c r="Z97" s="2">
        <f>Table2[[#This Row],[A/EV]]-Table2[[#This Row],[H/EV]]</f>
        <v>-16.077873940845876</v>
      </c>
      <c r="AA97" s="29"/>
      <c r="AB97" s="30"/>
      <c r="AC97" s="30"/>
      <c r="AD97" s="30"/>
      <c r="AE97" s="30"/>
      <c r="AF97" s="7" t="b">
        <f>IF(VLOOKUP(Table2[[#This Row],[Home/Neutral]],division_lookup,9,FALSE)=VLOOKUP(Table2[[#This Row],[Visitor/Neutral]],division_lookup,9,FALSE),TRUE,FALSE)</f>
        <v>0</v>
      </c>
      <c r="AG97" s="15" t="str">
        <f>VLOOKUP(Table2[[#This Row],[Home/Neutral]],division_lookup,9,FALSE)</f>
        <v>P</v>
      </c>
      <c r="AH97" s="15" t="str">
        <f>IF(Table2[[#This Row],[Total/EV]]&lt;Table2[[#This Row],[Total/V]],"UNDER","OVER")</f>
        <v>UNDER</v>
      </c>
      <c r="AI97" s="15"/>
      <c r="AJ97" s="2"/>
      <c r="AK97" s="2"/>
      <c r="AL97" s="18">
        <f>Table2[[#This Row],[SRS]]-Table2[[#This Row],[Spread]]</f>
        <v>18.061311475409834</v>
      </c>
      <c r="AM97" s="21">
        <f>Table2[[#This Row],[(A) Err]]^2</f>
        <v>326.21097221177098</v>
      </c>
      <c r="AN97" s="6">
        <f>Table2[[#This Row],[EV]]-Table2[[#This Row],[Spread]]</f>
        <v>15.922126059154124</v>
      </c>
      <c r="AO97" s="1">
        <f>Table2[[#This Row],[EV Err]]^2</f>
        <v>253.51409824359482</v>
      </c>
      <c r="AP97" s="1"/>
    </row>
    <row r="98" spans="1:42" x14ac:dyDescent="0.25">
      <c r="A98" s="34">
        <v>42681</v>
      </c>
      <c r="B98" t="s">
        <v>129</v>
      </c>
      <c r="C98" t="s">
        <v>124</v>
      </c>
      <c r="D98">
        <f>IF((Table2[[#This Row],[Spread]]-Table2[[#This Row],[Spread/V]])=0,1,IF(Table2[[#This Row],[Spread]]&lt;Table2[[#This Row],[Spread/V]],1,0))</f>
        <v>1</v>
      </c>
      <c r="E98">
        <v>97</v>
      </c>
      <c r="F98">
        <f>IF((Table2[[#This Row],[Spread]]-Table2[[#This Row],[Spread/V]])=0,1,IF(Table2[[#This Row],[Spread]]&gt;Table2[[#This Row],[Spread/V]],1,0))</f>
        <v>0</v>
      </c>
      <c r="G98">
        <v>85</v>
      </c>
      <c r="H98" s="7">
        <f t="shared" si="2"/>
        <v>182</v>
      </c>
      <c r="I98">
        <f>IF(Table2[[#This Row],[Total/V]]&lt;=Table2[[#This Row],[Total]],1,0)</f>
        <v>0</v>
      </c>
      <c r="J98">
        <v>203</v>
      </c>
      <c r="K98"/>
      <c r="L98" s="21">
        <f>(Table2[[#This Row],[H/Pace]]/100)*(VLOOKUP(Table2[[#This Row],[Home/Neutral]],home_lookup,8,FALSE)+VLOOKUP(Table2[[#This Row],[Home/Neutral]],OFR_lookup,2,FALSE)+VLOOKUP(Table2[[#This Row],[Visitor/Neutral]],def_diff_lookup,6,FALSE))</f>
        <v>105.22340376890108</v>
      </c>
      <c r="M98" s="21"/>
      <c r="N98" s="21">
        <f>(Table2[[#This Row],[A/Pace]]/100)*(VLOOKUP(Table2[[#This Row],[Visitor/Neutral]],OFR_lookup,2,FALSE)+VLOOKUP(Table2[[#This Row],[Home/Neutral]],def_diff_lookup,6,FALSE))</f>
        <v>94.942149666666666</v>
      </c>
      <c r="O98" s="21"/>
      <c r="P98" s="21"/>
      <c r="Q98">
        <f>VLOOKUP(Table2[[#This Row],[Home/Neutral]],pace_lookup,7,FALSE)</f>
        <v>99</v>
      </c>
      <c r="R98" s="5">
        <f>VLOOKUP(Table2[[#This Row],[Visitor/Neutral]],pace_lookup,7,FALSE)</f>
        <v>93.7</v>
      </c>
      <c r="S98" s="7">
        <f t="shared" si="3"/>
        <v>-12</v>
      </c>
      <c r="T98">
        <v>-5.5</v>
      </c>
      <c r="U98" s="15"/>
      <c r="W98" s="2">
        <f>-home-VLOOKUP(Table2[[#This Row],[Home/Neutral]],rtg_vlookup,4,FALSE)+VLOOKUP(Table2[[#This Row],[Visitor/Neutral]],rtg_vlookup,4,FALSE)</f>
        <v>-5.4886885245901658</v>
      </c>
      <c r="X98" s="15"/>
      <c r="Y98" s="2"/>
      <c r="Z98" s="2">
        <f>Table2[[#This Row],[A/EV]]-Table2[[#This Row],[H/EV]]</f>
        <v>-10.281254102234413</v>
      </c>
      <c r="AA98" s="29"/>
      <c r="AB98" s="30"/>
      <c r="AC98" s="30"/>
      <c r="AD98" s="30"/>
      <c r="AE98" s="30"/>
      <c r="AF98" s="7" t="b">
        <f>IF(VLOOKUP(Table2[[#This Row],[Home/Neutral]],division_lookup,9,FALSE)=VLOOKUP(Table2[[#This Row],[Visitor/Neutral]],division_lookup,9,FALSE),TRUE,FALSE)</f>
        <v>0</v>
      </c>
      <c r="AG98" s="15" t="str">
        <f>VLOOKUP(Table2[[#This Row],[Home/Neutral]],division_lookup,9,FALSE)</f>
        <v>NW</v>
      </c>
      <c r="AH98" s="15" t="str">
        <f>IF(Table2[[#This Row],[Total/EV]]&lt;Table2[[#This Row],[Total/V]],"UNDER","OVER")</f>
        <v>UNDER</v>
      </c>
      <c r="AI98" s="15"/>
      <c r="AJ98" s="2"/>
      <c r="AK98" s="2"/>
      <c r="AL98" s="18">
        <f>Table2[[#This Row],[SRS]]-Table2[[#This Row],[Spread]]</f>
        <v>6.5113114754098342</v>
      </c>
      <c r="AM98" s="21">
        <f>Table2[[#This Row],[(A) Err]]^2</f>
        <v>42.397177129803794</v>
      </c>
      <c r="AN98" s="6">
        <f>Table2[[#This Row],[EV]]-Table2[[#This Row],[Spread]]</f>
        <v>1.7187458977655865</v>
      </c>
      <c r="AO98" s="1">
        <f>Table2[[#This Row],[EV Err]]^2</f>
        <v>2.9540874610860319</v>
      </c>
      <c r="AP98" s="1"/>
    </row>
    <row r="99" spans="1:42" x14ac:dyDescent="0.25">
      <c r="A99" s="34">
        <v>42681</v>
      </c>
      <c r="B99" t="s">
        <v>138</v>
      </c>
      <c r="C99" t="s">
        <v>136</v>
      </c>
      <c r="D99">
        <f>IF((Table2[[#This Row],[Spread]]-Table2[[#This Row],[Spread/V]])=0,1,IF(Table2[[#This Row],[Spread]]&lt;Table2[[#This Row],[Spread/V]],1,0))</f>
        <v>0</v>
      </c>
      <c r="E99">
        <v>84</v>
      </c>
      <c r="F99">
        <f>IF((Table2[[#This Row],[Spread]]-Table2[[#This Row],[Spread/V]])=0,1,IF(Table2[[#This Row],[Spread]]&gt;Table2[[#This Row],[Spread/V]],1,0))</f>
        <v>1</v>
      </c>
      <c r="G99">
        <v>109</v>
      </c>
      <c r="H99" s="7">
        <f t="shared" si="2"/>
        <v>193</v>
      </c>
      <c r="I99">
        <f>IF(Table2[[#This Row],[Total/V]]&lt;=Table2[[#This Row],[Total]],1,0)</f>
        <v>1</v>
      </c>
      <c r="J99">
        <v>189</v>
      </c>
      <c r="K99"/>
      <c r="L99" s="21">
        <f>(Table2[[#This Row],[H/Pace]]/100)*(VLOOKUP(Table2[[#This Row],[Home/Neutral]],home_lookup,8,FALSE)+VLOOKUP(Table2[[#This Row],[Home/Neutral]],OFR_lookup,2,FALSE)+VLOOKUP(Table2[[#This Row],[Visitor/Neutral]],def_diff_lookup,6,FALSE))</f>
        <v>94.72728353124009</v>
      </c>
      <c r="M99" s="21"/>
      <c r="N99" s="21">
        <f>(Table2[[#This Row],[A/Pace]]/100)*(VLOOKUP(Table2[[#This Row],[Visitor/Neutral]],OFR_lookup,2,FALSE)+VLOOKUP(Table2[[#This Row],[Home/Neutral]],def_diff_lookup,6,FALSE))</f>
        <v>98.944135000000003</v>
      </c>
      <c r="O99" s="21"/>
      <c r="P99" s="21"/>
      <c r="Q99">
        <f>VLOOKUP(Table2[[#This Row],[Home/Neutral]],pace_lookup,7,FALSE)</f>
        <v>97.5</v>
      </c>
      <c r="R99" s="5">
        <f>VLOOKUP(Table2[[#This Row],[Visitor/Neutral]],pace_lookup,7,FALSE)</f>
        <v>91.5</v>
      </c>
      <c r="S99" s="7">
        <f t="shared" si="3"/>
        <v>25</v>
      </c>
      <c r="T99">
        <v>-5</v>
      </c>
      <c r="U99" s="15"/>
      <c r="W99" s="2">
        <f>-home-VLOOKUP(Table2[[#This Row],[Home/Neutral]],rtg_vlookup,4,FALSE)+VLOOKUP(Table2[[#This Row],[Visitor/Neutral]],rtg_vlookup,4,FALSE)</f>
        <v>11.101311475409835</v>
      </c>
      <c r="X99" s="15"/>
      <c r="Y99" s="2"/>
      <c r="Z99" s="2">
        <f>Table2[[#This Row],[A/EV]]-Table2[[#This Row],[H/EV]]</f>
        <v>4.2168514687599128</v>
      </c>
      <c r="AA99" s="29"/>
      <c r="AB99" s="30"/>
      <c r="AC99" s="30"/>
      <c r="AD99" s="30"/>
      <c r="AE99" s="30"/>
      <c r="AF99" s="7" t="b">
        <f>IF(VLOOKUP(Table2[[#This Row],[Home/Neutral]],division_lookup,9,FALSE)=VLOOKUP(Table2[[#This Row],[Visitor/Neutral]],division_lookup,9,FALSE),TRUE,FALSE)</f>
        <v>0</v>
      </c>
      <c r="AG99" s="15" t="str">
        <f>VLOOKUP(Table2[[#This Row],[Home/Neutral]],division_lookup,9,FALSE)</f>
        <v>A</v>
      </c>
      <c r="AH99" s="15" t="str">
        <f>IF(Table2[[#This Row],[Total/EV]]&lt;Table2[[#This Row],[Total/V]],"UNDER","OVER")</f>
        <v>UNDER</v>
      </c>
      <c r="AI99" s="15"/>
      <c r="AJ99" s="2"/>
      <c r="AK99" s="2"/>
      <c r="AL99" s="18">
        <f>Table2[[#This Row],[SRS]]-Table2[[#This Row],[Spread]]</f>
        <v>-13.898688524590165</v>
      </c>
      <c r="AM99" s="21">
        <f>Table2[[#This Row],[(A) Err]]^2</f>
        <v>193.17354270357433</v>
      </c>
      <c r="AN99" s="6">
        <f>Table2[[#This Row],[EV]]-Table2[[#This Row],[Spread]]</f>
        <v>-20.783148531240087</v>
      </c>
      <c r="AO99" s="1">
        <f>Table2[[#This Row],[EV Err]]^2</f>
        <v>431.939262871587</v>
      </c>
      <c r="AP99" s="1"/>
    </row>
    <row r="100" spans="1:42" ht="15.75" thickBot="1" x14ac:dyDescent="0.3">
      <c r="A100" s="100">
        <v>42681</v>
      </c>
      <c r="B100" s="3" t="s">
        <v>137</v>
      </c>
      <c r="C100" s="3" t="s">
        <v>119</v>
      </c>
      <c r="D100" s="3">
        <f>IF((Table2[[#This Row],[Spread]]-Table2[[#This Row],[Spread/V]])=0,1,IF(Table2[[#This Row],[Spread]]&lt;Table2[[#This Row],[Spread/V]],1,0))</f>
        <v>0</v>
      </c>
      <c r="E100" s="3">
        <v>106</v>
      </c>
      <c r="F100" s="3">
        <f>IF((Table2[[#This Row],[Spread]]-Table2[[#This Row],[Spread/V]])=0,1,IF(Table2[[#This Row],[Spread]]&gt;Table2[[#This Row],[Spread/V]],1,0))</f>
        <v>1</v>
      </c>
      <c r="G100" s="3">
        <v>114</v>
      </c>
      <c r="H100" s="8">
        <f t="shared" si="2"/>
        <v>220</v>
      </c>
      <c r="I100" s="3">
        <f>IF(Table2[[#This Row],[Total/V]]&lt;=Table2[[#This Row],[Total]],1,0)</f>
        <v>0</v>
      </c>
      <c r="J100" s="3">
        <v>220.5</v>
      </c>
      <c r="K100" s="3"/>
      <c r="L100" s="22">
        <f>(Table2[[#This Row],[H/Pace]]/100)*(VLOOKUP(Table2[[#This Row],[Home/Neutral]],home_lookup,8,FALSE)+VLOOKUP(Table2[[#This Row],[Home/Neutral]],OFR_lookup,2,FALSE)+VLOOKUP(Table2[[#This Row],[Visitor/Neutral]],def_diff_lookup,6,FALSE))</f>
        <v>110.5081325542187</v>
      </c>
      <c r="M100" s="22"/>
      <c r="N100" s="22">
        <f>(Table2[[#This Row],[A/Pace]]/100)*(VLOOKUP(Table2[[#This Row],[Visitor/Neutral]],OFR_lookup,2,FALSE)+VLOOKUP(Table2[[#This Row],[Home/Neutral]],def_diff_lookup,6,FALSE))</f>
        <v>112.95213100000001</v>
      </c>
      <c r="O100" s="22"/>
      <c r="P100" s="22"/>
      <c r="Q100" s="3">
        <f>VLOOKUP(Table2[[#This Row],[Home/Neutral]],pace_lookup,7,FALSE)</f>
        <v>96</v>
      </c>
      <c r="R100" s="3">
        <f>VLOOKUP(Table2[[#This Row],[Visitor/Neutral]],pace_lookup,7,FALSE)</f>
        <v>96.9</v>
      </c>
      <c r="S100" s="8">
        <f t="shared" si="3"/>
        <v>8</v>
      </c>
      <c r="T100" s="3">
        <v>0</v>
      </c>
      <c r="U100" s="16"/>
      <c r="V100" s="3"/>
      <c r="W100" s="9">
        <f>-home-VLOOKUP(Table2[[#This Row],[Home/Neutral]],rtg_vlookup,4,FALSE)+VLOOKUP(Table2[[#This Row],[Visitor/Neutral]],rtg_vlookup,4,FALSE)</f>
        <v>3.8913114754098341</v>
      </c>
      <c r="X100" s="16"/>
      <c r="Y100" s="9"/>
      <c r="Z100" s="9">
        <f>Table2[[#This Row],[A/EV]]-Table2[[#This Row],[H/EV]]</f>
        <v>2.443998445781304</v>
      </c>
      <c r="AA100" s="31"/>
      <c r="AB100" s="32"/>
      <c r="AC100" s="32"/>
      <c r="AD100" s="32"/>
      <c r="AE100" s="32"/>
      <c r="AF100" s="8" t="b">
        <f>IF(VLOOKUP(Table2[[#This Row],[Home/Neutral]],division_lookup,9,FALSE)=VLOOKUP(Table2[[#This Row],[Visitor/Neutral]],division_lookup,9,FALSE),TRUE,FALSE)</f>
        <v>0</v>
      </c>
      <c r="AG100" s="16" t="str">
        <f>VLOOKUP(Table2[[#This Row],[Home/Neutral]],division_lookup,9,FALSE)</f>
        <v>SE</v>
      </c>
      <c r="AH100" s="16" t="str">
        <f>IF(Table2[[#This Row],[Total/EV]]&lt;Table2[[#This Row],[Total/V]],"UNDER","OVER")</f>
        <v>UNDER</v>
      </c>
      <c r="AI100" s="16"/>
      <c r="AJ100" s="9"/>
      <c r="AK100" s="9"/>
      <c r="AL100" s="19">
        <f>Table2[[#This Row],[SRS]]-Table2[[#This Row],[Spread]]</f>
        <v>-4.1086885245901659</v>
      </c>
      <c r="AM100" s="22">
        <f>Table2[[#This Row],[(A) Err]]^2</f>
        <v>16.881321392098915</v>
      </c>
      <c r="AN100" s="4">
        <f>Table2[[#This Row],[EV]]-Table2[[#This Row],[Spread]]</f>
        <v>-5.556001554218696</v>
      </c>
      <c r="AO100" s="4">
        <f>Table2[[#This Row],[EV Err]]^2</f>
        <v>30.869153270480567</v>
      </c>
      <c r="AP100" s="6"/>
    </row>
    <row r="101" spans="1:42" x14ac:dyDescent="0.25">
      <c r="A101" s="34">
        <v>42682</v>
      </c>
      <c r="B101" t="s">
        <v>111</v>
      </c>
      <c r="C101" t="s">
        <v>126</v>
      </c>
      <c r="D101">
        <f>IF((Table2[[#This Row],[Spread]]-Table2[[#This Row],[Spread/V]])=0,1,IF(Table2[[#This Row],[Spread]]&lt;Table2[[#This Row],[Spread/V]],1,0))</f>
        <v>1</v>
      </c>
      <c r="E101">
        <v>119</v>
      </c>
      <c r="F101">
        <f>IF((Table2[[#This Row],[Spread]]-Table2[[#This Row],[Spread/V]])=0,1,IF(Table2[[#This Row],[Spread]]&gt;Table2[[#This Row],[Spread/V]],1,0))</f>
        <v>0</v>
      </c>
      <c r="G101">
        <v>110</v>
      </c>
      <c r="H101" s="7">
        <f t="shared" si="2"/>
        <v>229</v>
      </c>
      <c r="I101">
        <f>IF(Table2[[#This Row],[Total/V]]&lt;=Table2[[#This Row],[Total]],1,0)</f>
        <v>1</v>
      </c>
      <c r="J101">
        <v>209.5</v>
      </c>
      <c r="K101"/>
      <c r="L101" s="21">
        <f>(Table2[[#This Row],[H/Pace]]/100)*(VLOOKUP(Table2[[#This Row],[Home/Neutral]],home_lookup,8,FALSE)+VLOOKUP(Table2[[#This Row],[Home/Neutral]],OFR_lookup,2,FALSE)+VLOOKUP(Table2[[#This Row],[Visitor/Neutral]],def_diff_lookup,6,FALSE))</f>
        <v>103.45541832771636</v>
      </c>
      <c r="M101" s="21"/>
      <c r="N101" s="21">
        <f>(Table2[[#This Row],[A/Pace]]/100)*(VLOOKUP(Table2[[#This Row],[Visitor/Neutral]],OFR_lookup,2,FALSE)+VLOOKUP(Table2[[#This Row],[Home/Neutral]],def_diff_lookup,6,FALSE))</f>
        <v>108.10814300000001</v>
      </c>
      <c r="O101" s="21"/>
      <c r="P101" s="21"/>
      <c r="Q101">
        <f>VLOOKUP(Table2[[#This Row],[Home/Neutral]],pace_lookup,7,FALSE)</f>
        <v>102</v>
      </c>
      <c r="R101" s="5">
        <f>VLOOKUP(Table2[[#This Row],[Visitor/Neutral]],pace_lookup,7,FALSE)</f>
        <v>95.7</v>
      </c>
      <c r="S101" s="7">
        <f t="shared" si="3"/>
        <v>-9</v>
      </c>
      <c r="T101">
        <v>-4</v>
      </c>
      <c r="U101" s="15"/>
      <c r="W101" s="2">
        <f>-home-VLOOKUP(Table2[[#This Row],[Home/Neutral]],rtg_vlookup,4,FALSE)+VLOOKUP(Table2[[#This Row],[Visitor/Neutral]],rtg_vlookup,4,FALSE)</f>
        <v>4.8213114754098338</v>
      </c>
      <c r="X101" s="15"/>
      <c r="Y101" s="2"/>
      <c r="Z101" s="2">
        <f>Table2[[#This Row],[A/EV]]-Table2[[#This Row],[H/EV]]</f>
        <v>4.6527246722836537</v>
      </c>
      <c r="AA101" s="29"/>
      <c r="AB101" s="30"/>
      <c r="AC101" s="30"/>
      <c r="AD101" s="30"/>
      <c r="AE101" s="30"/>
      <c r="AF101" s="7" t="b">
        <f>IF(VLOOKUP(Table2[[#This Row],[Home/Neutral]],division_lookup,9,FALSE)=VLOOKUP(Table2[[#This Row],[Visitor/Neutral]],division_lookup,9,FALSE),TRUE,FALSE)</f>
        <v>0</v>
      </c>
      <c r="AG101" s="15" t="str">
        <f>VLOOKUP(Table2[[#This Row],[Home/Neutral]],division_lookup,9,FALSE)</f>
        <v>A</v>
      </c>
      <c r="AH101" s="15" t="str">
        <f>IF(Table2[[#This Row],[Total/EV]]&lt;Table2[[#This Row],[Total/V]],"UNDER","OVER")</f>
        <v>UNDER</v>
      </c>
      <c r="AI101" s="15"/>
      <c r="AJ101" s="2"/>
      <c r="AK101" s="2"/>
      <c r="AL101" s="18">
        <f>Table2[[#This Row],[SRS]]-Table2[[#This Row],[Spread]]</f>
        <v>13.821311475409834</v>
      </c>
      <c r="AM101" s="21">
        <f>Table2[[#This Row],[(A) Err]]^2</f>
        <v>191.02865090029556</v>
      </c>
      <c r="AN101" s="6">
        <f>Table2[[#This Row],[EV]]-Table2[[#This Row],[Spread]]</f>
        <v>13.652724672283654</v>
      </c>
      <c r="AO101" s="1">
        <f>Table2[[#This Row],[EV Err]]^2</f>
        <v>186.39689097718281</v>
      </c>
      <c r="AP101" s="1"/>
    </row>
    <row r="102" spans="1:42" x14ac:dyDescent="0.25">
      <c r="A102" s="34">
        <v>42682</v>
      </c>
      <c r="B102" t="s">
        <v>114</v>
      </c>
      <c r="C102" t="s">
        <v>109</v>
      </c>
      <c r="D102">
        <f>IF((Table2[[#This Row],[Spread]]-Table2[[#This Row],[Spread/V]])=0,1,IF(Table2[[#This Row],[Spread]]&lt;Table2[[#This Row],[Spread/V]],1,0))</f>
        <v>0</v>
      </c>
      <c r="E102">
        <v>106</v>
      </c>
      <c r="F102">
        <f>IF((Table2[[#This Row],[Spread]]-Table2[[#This Row],[Spread/V]])=0,1,IF(Table2[[#This Row],[Spread]]&gt;Table2[[#This Row],[Spread/V]],1,0))</f>
        <v>1</v>
      </c>
      <c r="G102">
        <v>110</v>
      </c>
      <c r="H102" s="7">
        <f t="shared" si="2"/>
        <v>216</v>
      </c>
      <c r="I102">
        <f>IF(Table2[[#This Row],[Total/V]]&lt;=Table2[[#This Row],[Total]],1,0)</f>
        <v>1</v>
      </c>
      <c r="J102">
        <v>207.5</v>
      </c>
      <c r="K102"/>
      <c r="L102" s="21">
        <f>(Table2[[#This Row],[H/Pace]]/100)*(VLOOKUP(Table2[[#This Row],[Home/Neutral]],home_lookup,8,FALSE)+VLOOKUP(Table2[[#This Row],[Home/Neutral]],OFR_lookup,2,FALSE)+VLOOKUP(Table2[[#This Row],[Visitor/Neutral]],def_diff_lookup,6,FALSE))</f>
        <v>107.59610276756466</v>
      </c>
      <c r="M102" s="21"/>
      <c r="N102" s="21">
        <f>(Table2[[#This Row],[A/Pace]]/100)*(VLOOKUP(Table2[[#This Row],[Visitor/Neutral]],OFR_lookup,2,FALSE)+VLOOKUP(Table2[[#This Row],[Home/Neutral]],def_diff_lookup,6,FALSE))</f>
        <v>100.73330133333333</v>
      </c>
      <c r="O102" s="21"/>
      <c r="P102" s="21"/>
      <c r="Q102">
        <f>VLOOKUP(Table2[[#This Row],[Home/Neutral]],pace_lookup,7,FALSE)</f>
        <v>97.3</v>
      </c>
      <c r="R102" s="5">
        <f>VLOOKUP(Table2[[#This Row],[Visitor/Neutral]],pace_lookup,7,FALSE)</f>
        <v>99.2</v>
      </c>
      <c r="S102" s="7">
        <f t="shared" si="3"/>
        <v>4</v>
      </c>
      <c r="T102">
        <v>-7.5</v>
      </c>
      <c r="U102" s="15"/>
      <c r="W102" s="2">
        <f>-home-VLOOKUP(Table2[[#This Row],[Home/Neutral]],rtg_vlookup,4,FALSE)+VLOOKUP(Table2[[#This Row],[Visitor/Neutral]],rtg_vlookup,4,FALSE)</f>
        <v>-9.1486885245901668</v>
      </c>
      <c r="X102" s="15"/>
      <c r="Y102" s="2"/>
      <c r="Z102" s="2">
        <f>Table2[[#This Row],[A/EV]]-Table2[[#This Row],[H/EV]]</f>
        <v>-6.8628014342313293</v>
      </c>
      <c r="AA102" s="29"/>
      <c r="AB102" s="30"/>
      <c r="AC102" s="30"/>
      <c r="AD102" s="30"/>
      <c r="AE102" s="30"/>
      <c r="AF102" s="7" t="b">
        <f>IF(VLOOKUP(Table2[[#This Row],[Home/Neutral]],division_lookup,9,FALSE)=VLOOKUP(Table2[[#This Row],[Visitor/Neutral]],division_lookup,9,FALSE),TRUE,FALSE)</f>
        <v>0</v>
      </c>
      <c r="AG102" s="15" t="str">
        <f>VLOOKUP(Table2[[#This Row],[Home/Neutral]],division_lookup,9,FALSE)</f>
        <v>C</v>
      </c>
      <c r="AH102" s="15" t="str">
        <f>IF(Table2[[#This Row],[Total/EV]]&lt;Table2[[#This Row],[Total/V]],"UNDER","OVER")</f>
        <v>UNDER</v>
      </c>
      <c r="AI102" s="15"/>
      <c r="AJ102" s="2"/>
      <c r="AK102" s="2"/>
      <c r="AL102" s="18">
        <f>Table2[[#This Row],[SRS]]-Table2[[#This Row],[Spread]]</f>
        <v>-13.148688524590167</v>
      </c>
      <c r="AM102" s="21">
        <f>Table2[[#This Row],[(A) Err]]^2</f>
        <v>172.88800991668913</v>
      </c>
      <c r="AN102" s="6">
        <f>Table2[[#This Row],[EV]]-Table2[[#This Row],[Spread]]</f>
        <v>-10.862801434231329</v>
      </c>
      <c r="AO102" s="1">
        <f>Table2[[#This Row],[EV Err]]^2</f>
        <v>118.00045499953822</v>
      </c>
      <c r="AP102" s="1"/>
    </row>
    <row r="103" spans="1:42" x14ac:dyDescent="0.25">
      <c r="A103" s="34">
        <v>42682</v>
      </c>
      <c r="B103" t="s">
        <v>122</v>
      </c>
      <c r="C103" t="s">
        <v>115</v>
      </c>
      <c r="D103">
        <f>IF((Table2[[#This Row],[Spread]]-Table2[[#This Row],[Spread/V]])=0,1,IF(Table2[[#This Row],[Spread]]&lt;Table2[[#This Row],[Spread/V]],1,0))</f>
        <v>0</v>
      </c>
      <c r="E103">
        <v>97</v>
      </c>
      <c r="F103">
        <f>IF((Table2[[#This Row],[Spread]]-Table2[[#This Row],[Spread/V]])=0,1,IF(Table2[[#This Row],[Spread]]&gt;Table2[[#This Row],[Spread/V]],1,0))</f>
        <v>1</v>
      </c>
      <c r="G103">
        <v>109</v>
      </c>
      <c r="H103" s="7">
        <f t="shared" si="2"/>
        <v>206</v>
      </c>
      <c r="I103">
        <f>IF(Table2[[#This Row],[Total/V]]&lt;=Table2[[#This Row],[Total]],1,0)</f>
        <v>1</v>
      </c>
      <c r="J103">
        <v>202.5</v>
      </c>
      <c r="K103"/>
      <c r="L103" s="21">
        <f>(Table2[[#This Row],[H/Pace]]/100)*(VLOOKUP(Table2[[#This Row],[Home/Neutral]],home_lookup,8,FALSE)+VLOOKUP(Table2[[#This Row],[Home/Neutral]],OFR_lookup,2,FALSE)+VLOOKUP(Table2[[#This Row],[Visitor/Neutral]],def_diff_lookup,6,FALSE))</f>
        <v>109.10658832744731</v>
      </c>
      <c r="M103" s="21"/>
      <c r="N103" s="21">
        <f>(Table2[[#This Row],[A/Pace]]/100)*(VLOOKUP(Table2[[#This Row],[Visitor/Neutral]],OFR_lookup,2,FALSE)+VLOOKUP(Table2[[#This Row],[Home/Neutral]],def_diff_lookup,6,FALSE))</f>
        <v>94.438114333333331</v>
      </c>
      <c r="O103" s="21"/>
      <c r="P103" s="21"/>
      <c r="Q103">
        <f>VLOOKUP(Table2[[#This Row],[Home/Neutral]],pace_lookup,7,FALSE)</f>
        <v>100.2</v>
      </c>
      <c r="R103" s="5">
        <f>VLOOKUP(Table2[[#This Row],[Visitor/Neutral]],pace_lookup,7,FALSE)</f>
        <v>92.9</v>
      </c>
      <c r="S103" s="7">
        <f t="shared" si="3"/>
        <v>12</v>
      </c>
      <c r="T103">
        <v>-4.5</v>
      </c>
      <c r="U103" s="15"/>
      <c r="W103" s="2">
        <f>-home-VLOOKUP(Table2[[#This Row],[Home/Neutral]],rtg_vlookup,4,FALSE)+VLOOKUP(Table2[[#This Row],[Visitor/Neutral]],rtg_vlookup,4,FALSE)</f>
        <v>-9.3886885245901652</v>
      </c>
      <c r="X103" s="15"/>
      <c r="Y103" s="2"/>
      <c r="Z103" s="2">
        <f>Table2[[#This Row],[A/EV]]-Table2[[#This Row],[H/EV]]</f>
        <v>-14.668473994113981</v>
      </c>
      <c r="AA103" s="29"/>
      <c r="AB103" s="30"/>
      <c r="AC103" s="30"/>
      <c r="AD103" s="30"/>
      <c r="AE103" s="30"/>
      <c r="AF103" s="7" t="b">
        <f>IF(VLOOKUP(Table2[[#This Row],[Home/Neutral]],division_lookup,9,FALSE)=VLOOKUP(Table2[[#This Row],[Visitor/Neutral]],division_lookup,9,FALSE),TRUE,FALSE)</f>
        <v>0</v>
      </c>
      <c r="AG103" s="15" t="str">
        <f>VLOOKUP(Table2[[#This Row],[Home/Neutral]],division_lookup,9,FALSE)</f>
        <v>P</v>
      </c>
      <c r="AH103" s="15" t="str">
        <f>IF(Table2[[#This Row],[Total/EV]]&lt;Table2[[#This Row],[Total/V]],"UNDER","OVER")</f>
        <v>UNDER</v>
      </c>
      <c r="AI103" s="15"/>
      <c r="AJ103" s="2"/>
      <c r="AK103" s="2"/>
      <c r="AL103" s="18">
        <f>Table2[[#This Row],[SRS]]-Table2[[#This Row],[Spread]]</f>
        <v>-21.388688524590165</v>
      </c>
      <c r="AM103" s="21">
        <f>Table2[[#This Row],[(A) Err]]^2</f>
        <v>457.47599680193503</v>
      </c>
      <c r="AN103" s="6">
        <f>Table2[[#This Row],[EV]]-Table2[[#This Row],[Spread]]</f>
        <v>-26.668473994113981</v>
      </c>
      <c r="AO103" s="1">
        <f>Table2[[#This Row],[EV Err]]^2</f>
        <v>711.20750517473368</v>
      </c>
      <c r="AP103" s="1"/>
    </row>
    <row r="104" spans="1:42" x14ac:dyDescent="0.25">
      <c r="A104" s="34">
        <v>42682</v>
      </c>
      <c r="B104" t="s">
        <v>123</v>
      </c>
      <c r="C104" t="s">
        <v>116</v>
      </c>
      <c r="D104">
        <f>IF((Table2[[#This Row],[Spread]]-Table2[[#This Row],[Spread/V]])=0,1,IF(Table2[[#This Row],[Spread]]&lt;Table2[[#This Row],[Spread/V]],1,0))</f>
        <v>0</v>
      </c>
      <c r="E104">
        <v>108</v>
      </c>
      <c r="F104">
        <f>IF((Table2[[#This Row],[Spread]]-Table2[[#This Row],[Spread/V]])=0,1,IF(Table2[[#This Row],[Spread]]&gt;Table2[[#This Row],[Spread/V]],1,0))</f>
        <v>1</v>
      </c>
      <c r="G104">
        <v>107</v>
      </c>
      <c r="H104" s="7">
        <f t="shared" si="2"/>
        <v>215</v>
      </c>
      <c r="I104">
        <f>IF(Table2[[#This Row],[Total/V]]&lt;=Table2[[#This Row],[Total]],1,0)</f>
        <v>1</v>
      </c>
      <c r="J104">
        <v>201.5</v>
      </c>
      <c r="K104"/>
      <c r="L104" s="21">
        <f>(Table2[[#This Row],[H/Pace]]/100)*(VLOOKUP(Table2[[#This Row],[Home/Neutral]],home_lookup,8,FALSE)+VLOOKUP(Table2[[#This Row],[Home/Neutral]],OFR_lookup,2,FALSE)+VLOOKUP(Table2[[#This Row],[Visitor/Neutral]],def_diff_lookup,6,FALSE))</f>
        <v>101.99442709563918</v>
      </c>
      <c r="M104" s="21"/>
      <c r="N104" s="21">
        <f>(Table2[[#This Row],[A/Pace]]/100)*(VLOOKUP(Table2[[#This Row],[Visitor/Neutral]],OFR_lookup,2,FALSE)+VLOOKUP(Table2[[#This Row],[Home/Neutral]],def_diff_lookup,6,FALSE))</f>
        <v>101.70203566666666</v>
      </c>
      <c r="O104" s="21"/>
      <c r="P104" s="21"/>
      <c r="Q104">
        <f>VLOOKUP(Table2[[#This Row],[Home/Neutral]],pace_lookup,7,FALSE)</f>
        <v>92.5</v>
      </c>
      <c r="R104" s="5">
        <f>VLOOKUP(Table2[[#This Row],[Visitor/Neutral]],pace_lookup,7,FALSE)</f>
        <v>99.1</v>
      </c>
      <c r="S104" s="7">
        <f t="shared" si="3"/>
        <v>-1</v>
      </c>
      <c r="T104">
        <v>-3.5</v>
      </c>
      <c r="U104" s="15"/>
      <c r="W104" s="2">
        <f>-home-VLOOKUP(Table2[[#This Row],[Home/Neutral]],rtg_vlookup,4,FALSE)+VLOOKUP(Table2[[#This Row],[Visitor/Neutral]],rtg_vlookup,4,FALSE)</f>
        <v>-4.1986885245901657</v>
      </c>
      <c r="X104" s="15"/>
      <c r="Y104" s="2"/>
      <c r="Z104" s="2">
        <f>Table2[[#This Row],[A/EV]]-Table2[[#This Row],[H/EV]]</f>
        <v>-0.29239142897252179</v>
      </c>
      <c r="AA104" s="29"/>
      <c r="AB104" s="30"/>
      <c r="AC104" s="30"/>
      <c r="AD104" s="30"/>
      <c r="AE104" s="30"/>
      <c r="AF104" s="7" t="b">
        <f>IF(VLOOKUP(Table2[[#This Row],[Home/Neutral]],division_lookup,9,FALSE)=VLOOKUP(Table2[[#This Row],[Visitor/Neutral]],division_lookup,9,FALSE),TRUE,FALSE)</f>
        <v>0</v>
      </c>
      <c r="AG104" s="15" t="str">
        <f>VLOOKUP(Table2[[#This Row],[Home/Neutral]],division_lookup,9,FALSE)</f>
        <v>SW</v>
      </c>
      <c r="AH104" s="15" t="str">
        <f>IF(Table2[[#This Row],[Total/EV]]&lt;Table2[[#This Row],[Total/V]],"UNDER","OVER")</f>
        <v>UNDER</v>
      </c>
      <c r="AI104" s="15"/>
      <c r="AJ104" s="2"/>
      <c r="AK104" s="2"/>
      <c r="AL104" s="18">
        <f>Table2[[#This Row],[SRS]]-Table2[[#This Row],[Spread]]</f>
        <v>-3.1986885245901657</v>
      </c>
      <c r="AM104" s="21">
        <f>Table2[[#This Row],[(A) Err]]^2</f>
        <v>10.231608277344812</v>
      </c>
      <c r="AN104" s="6">
        <f>Table2[[#This Row],[EV]]-Table2[[#This Row],[Spread]]</f>
        <v>0.70760857102747821</v>
      </c>
      <c r="AO104" s="1">
        <f>Table2[[#This Row],[EV Err]]^2</f>
        <v>0.50070988979154962</v>
      </c>
      <c r="AP104" s="1"/>
    </row>
    <row r="105" spans="1:42" x14ac:dyDescent="0.25">
      <c r="A105" s="34">
        <v>42682</v>
      </c>
      <c r="B105" t="s">
        <v>132</v>
      </c>
      <c r="C105" t="s">
        <v>131</v>
      </c>
      <c r="D105">
        <f>IF((Table2[[#This Row],[Spread]]-Table2[[#This Row],[Spread/V]])=0,1,IF(Table2[[#This Row],[Spread]]&lt;Table2[[#This Row],[Spread/V]],1,0))</f>
        <v>0</v>
      </c>
      <c r="E105">
        <v>124</v>
      </c>
      <c r="F105">
        <f>IF((Table2[[#This Row],[Spread]]-Table2[[#This Row],[Spread/V]])=0,1,IF(Table2[[#This Row],[Spread]]&gt;Table2[[#This Row],[Spread/V]],1,0))</f>
        <v>1</v>
      </c>
      <c r="G105">
        <v>121</v>
      </c>
      <c r="H105" s="7">
        <f t="shared" si="2"/>
        <v>245</v>
      </c>
      <c r="I105">
        <f>IF(Table2[[#This Row],[Total/V]]&lt;=Table2[[#This Row],[Total]],1,0)</f>
        <v>1</v>
      </c>
      <c r="J105">
        <v>219</v>
      </c>
      <c r="K105"/>
      <c r="L105" s="21">
        <f>(Table2[[#This Row],[H/Pace]]/100)*(VLOOKUP(Table2[[#This Row],[Home/Neutral]],home_lookup,8,FALSE)+VLOOKUP(Table2[[#This Row],[Home/Neutral]],OFR_lookup,2,FALSE)+VLOOKUP(Table2[[#This Row],[Visitor/Neutral]],def_diff_lookup,6,FALSE))</f>
        <v>110.09106144606979</v>
      </c>
      <c r="M105" s="21"/>
      <c r="N105" s="21">
        <f>(Table2[[#This Row],[A/Pace]]/100)*(VLOOKUP(Table2[[#This Row],[Visitor/Neutral]],OFR_lookup,2,FALSE)+VLOOKUP(Table2[[#This Row],[Home/Neutral]],def_diff_lookup,6,FALSE))</f>
        <v>108.743403</v>
      </c>
      <c r="O105" s="21"/>
      <c r="P105" s="21"/>
      <c r="Q105">
        <f>VLOOKUP(Table2[[#This Row],[Home/Neutral]],pace_lookup,7,FALSE)</f>
        <v>98.8</v>
      </c>
      <c r="R105" s="5">
        <f>VLOOKUP(Table2[[#This Row],[Visitor/Neutral]],pace_lookup,7,FALSE)</f>
        <v>101.7</v>
      </c>
      <c r="S105" s="7">
        <f t="shared" si="3"/>
        <v>-3</v>
      </c>
      <c r="T105">
        <v>-8.5</v>
      </c>
      <c r="U105" s="15"/>
      <c r="W105" s="2">
        <f>-home-VLOOKUP(Table2[[#This Row],[Home/Neutral]],rtg_vlookup,4,FALSE)+VLOOKUP(Table2[[#This Row],[Visitor/Neutral]],rtg_vlookup,4,FALSE)</f>
        <v>-6.7186885245901653</v>
      </c>
      <c r="X105" s="15"/>
      <c r="Y105" s="2"/>
      <c r="Z105" s="2">
        <f>Table2[[#This Row],[A/EV]]-Table2[[#This Row],[H/EV]]</f>
        <v>-1.3476584460697865</v>
      </c>
      <c r="AA105" s="29"/>
      <c r="AB105" s="30"/>
      <c r="AC105" s="30"/>
      <c r="AD105" s="30"/>
      <c r="AE105" s="30"/>
      <c r="AF105" s="7" t="b">
        <f>IF(VLOOKUP(Table2[[#This Row],[Home/Neutral]],division_lookup,9,FALSE)=VLOOKUP(Table2[[#This Row],[Visitor/Neutral]],division_lookup,9,FALSE),TRUE,FALSE)</f>
        <v>0</v>
      </c>
      <c r="AG105" s="15" t="str">
        <f>VLOOKUP(Table2[[#This Row],[Home/Neutral]],division_lookup,9,FALSE)</f>
        <v>NW</v>
      </c>
      <c r="AH105" s="15" t="str">
        <f>IF(Table2[[#This Row],[Total/EV]]&lt;Table2[[#This Row],[Total/V]],"UNDER","OVER")</f>
        <v>UNDER</v>
      </c>
      <c r="AI105" s="15"/>
      <c r="AJ105" s="2"/>
      <c r="AK105" s="2"/>
      <c r="AL105" s="18">
        <f>Table2[[#This Row],[SRS]]-Table2[[#This Row],[Spread]]</f>
        <v>-3.7186885245901653</v>
      </c>
      <c r="AM105" s="21">
        <f>Table2[[#This Row],[(A) Err]]^2</f>
        <v>13.828644342918581</v>
      </c>
      <c r="AN105" s="6">
        <f>Table2[[#This Row],[EV]]-Table2[[#This Row],[Spread]]</f>
        <v>1.6523415539302135</v>
      </c>
      <c r="AO105" s="1">
        <f>Table2[[#This Row],[EV Err]]^2</f>
        <v>2.7302326108445127</v>
      </c>
      <c r="AP105" s="1"/>
    </row>
    <row r="106" spans="1:42" ht="15.75" thickBot="1" x14ac:dyDescent="0.3">
      <c r="A106" s="100">
        <v>42682</v>
      </c>
      <c r="B106" s="3" t="s">
        <v>133</v>
      </c>
      <c r="C106" s="3" t="s">
        <v>127</v>
      </c>
      <c r="D106" s="3">
        <f>IF((Table2[[#This Row],[Spread]]-Table2[[#This Row],[Spread/V]])=0,1,IF(Table2[[#This Row],[Spread]]&lt;Table2[[#This Row],[Spread/V]],1,0))</f>
        <v>1</v>
      </c>
      <c r="E106" s="3">
        <v>102</v>
      </c>
      <c r="F106" s="3">
        <f>IF((Table2[[#This Row],[Spread]]-Table2[[#This Row],[Spread/V]])=0,1,IF(Table2[[#This Row],[Spread]]&gt;Table2[[#This Row],[Spread/V]],1,0))</f>
        <v>0</v>
      </c>
      <c r="G106" s="3">
        <v>94</v>
      </c>
      <c r="H106" s="8">
        <f t="shared" si="2"/>
        <v>196</v>
      </c>
      <c r="I106" s="3">
        <f>IF(Table2[[#This Row],[Total/V]]&lt;=Table2[[#This Row],[Total]],1,0)</f>
        <v>0</v>
      </c>
      <c r="J106" s="3">
        <v>205</v>
      </c>
      <c r="K106" s="3"/>
      <c r="L106" s="22">
        <f>(Table2[[#This Row],[H/Pace]]/100)*(VLOOKUP(Table2[[#This Row],[Home/Neutral]],home_lookup,8,FALSE)+VLOOKUP(Table2[[#This Row],[Home/Neutral]],OFR_lookup,2,FALSE)+VLOOKUP(Table2[[#This Row],[Visitor/Neutral]],def_diff_lookup,6,FALSE))</f>
        <v>106.81738748279979</v>
      </c>
      <c r="M106" s="22"/>
      <c r="N106" s="22">
        <f>(Table2[[#This Row],[A/Pace]]/100)*(VLOOKUP(Table2[[#This Row],[Visitor/Neutral]],OFR_lookup,2,FALSE)+VLOOKUP(Table2[[#This Row],[Home/Neutral]],def_diff_lookup,6,FALSE))</f>
        <v>105.19411699999999</v>
      </c>
      <c r="O106" s="22"/>
      <c r="P106" s="22"/>
      <c r="Q106" s="3">
        <f>VLOOKUP(Table2[[#This Row],[Home/Neutral]],pace_lookup,7,FALSE)</f>
        <v>94.2</v>
      </c>
      <c r="R106" s="3">
        <f>VLOOKUP(Table2[[#This Row],[Visitor/Neutral]],pace_lookup,7,FALSE)</f>
        <v>99.3</v>
      </c>
      <c r="S106" s="8">
        <f t="shared" si="3"/>
        <v>-8</v>
      </c>
      <c r="T106" s="3">
        <v>-6.5</v>
      </c>
      <c r="U106" s="16"/>
      <c r="V106" s="3"/>
      <c r="W106" s="9">
        <f>-home-VLOOKUP(Table2[[#This Row],[Home/Neutral]],rtg_vlookup,4,FALSE)+VLOOKUP(Table2[[#This Row],[Visitor/Neutral]],rtg_vlookup,4,FALSE)</f>
        <v>-3.518688524590166</v>
      </c>
      <c r="X106" s="16"/>
      <c r="Y106" s="9"/>
      <c r="Z106" s="9">
        <f>Table2[[#This Row],[A/EV]]-Table2[[#This Row],[H/EV]]</f>
        <v>-1.6232704827997964</v>
      </c>
      <c r="AA106" s="31"/>
      <c r="AB106" s="32"/>
      <c r="AC106" s="32"/>
      <c r="AD106" s="32"/>
      <c r="AE106" s="32"/>
      <c r="AF106" s="8" t="b">
        <f>IF(VLOOKUP(Table2[[#This Row],[Home/Neutral]],division_lookup,9,FALSE)=VLOOKUP(Table2[[#This Row],[Visitor/Neutral]],division_lookup,9,FALSE),TRUE,FALSE)</f>
        <v>0</v>
      </c>
      <c r="AG106" s="16" t="str">
        <f>VLOOKUP(Table2[[#This Row],[Home/Neutral]],division_lookup,9,FALSE)</f>
        <v>P</v>
      </c>
      <c r="AH106" s="16" t="str">
        <f>IF(Table2[[#This Row],[Total/EV]]&lt;Table2[[#This Row],[Total/V]],"UNDER","OVER")</f>
        <v>UNDER</v>
      </c>
      <c r="AI106" s="16"/>
      <c r="AJ106" s="9"/>
      <c r="AK106" s="9"/>
      <c r="AL106" s="19">
        <f>Table2[[#This Row],[SRS]]-Table2[[#This Row],[Spread]]</f>
        <v>4.481311475409834</v>
      </c>
      <c r="AM106" s="22">
        <f>Table2[[#This Row],[(A) Err]]^2</f>
        <v>20.082152539639864</v>
      </c>
      <c r="AN106" s="4">
        <f>Table2[[#This Row],[EV]]-Table2[[#This Row],[Spread]]</f>
        <v>6.3767295172002036</v>
      </c>
      <c r="AO106" s="4">
        <f>Table2[[#This Row],[EV Err]]^2</f>
        <v>40.662679335532346</v>
      </c>
      <c r="AP106" s="6"/>
    </row>
    <row r="107" spans="1:42" x14ac:dyDescent="0.25">
      <c r="A107" s="34">
        <v>42683</v>
      </c>
      <c r="B107" t="s">
        <v>109</v>
      </c>
      <c r="C107" t="s">
        <v>113</v>
      </c>
      <c r="D107">
        <f>IF((Table2[[#This Row],[Spread]]-Table2[[#This Row],[Spread/V]])=0,1,IF(Table2[[#This Row],[Spread]]&lt;Table2[[#This Row],[Spread/V]],1,0))</f>
        <v>1</v>
      </c>
      <c r="E107">
        <v>115</v>
      </c>
      <c r="F107">
        <f>IF((Table2[[#This Row],[Spread]]-Table2[[#This Row],[Spread/V]])=0,1,IF(Table2[[#This Row],[Spread]]&gt;Table2[[#This Row],[Spread/V]],1,0))</f>
        <v>0</v>
      </c>
      <c r="G107">
        <v>107</v>
      </c>
      <c r="H107" s="7">
        <f t="shared" si="2"/>
        <v>222</v>
      </c>
      <c r="I107">
        <f>IF(Table2[[#This Row],[Total/V]]&lt;=Table2[[#This Row],[Total]],1,0)</f>
        <v>1</v>
      </c>
      <c r="J107">
        <v>203</v>
      </c>
      <c r="K107"/>
      <c r="L107" s="21">
        <f>(Table2[[#This Row],[H/Pace]]/100)*(VLOOKUP(Table2[[#This Row],[Home/Neutral]],home_lookup,8,FALSE)+VLOOKUP(Table2[[#This Row],[Home/Neutral]],OFR_lookup,2,FALSE)+VLOOKUP(Table2[[#This Row],[Visitor/Neutral]],def_diff_lookup,6,FALSE))</f>
        <v>99.959046607286382</v>
      </c>
      <c r="M107" s="21"/>
      <c r="N107" s="21">
        <f>(Table2[[#This Row],[A/Pace]]/100)*(VLOOKUP(Table2[[#This Row],[Visitor/Neutral]],OFR_lookup,2,FALSE)+VLOOKUP(Table2[[#This Row],[Home/Neutral]],def_diff_lookup,6,FALSE))</f>
        <v>98.880859000000001</v>
      </c>
      <c r="O107" s="21"/>
      <c r="P107" s="21"/>
      <c r="Q107">
        <f>VLOOKUP(Table2[[#This Row],[Home/Neutral]],pace_lookup,7,FALSE)</f>
        <v>99.2</v>
      </c>
      <c r="R107" s="5">
        <f>VLOOKUP(Table2[[#This Row],[Visitor/Neutral]],pace_lookup,7,FALSE)</f>
        <v>95.1</v>
      </c>
      <c r="S107" s="7">
        <f t="shared" si="3"/>
        <v>-8</v>
      </c>
      <c r="T107">
        <v>-3.5</v>
      </c>
      <c r="U107" s="15"/>
      <c r="W107" s="2">
        <f>-home-VLOOKUP(Table2[[#This Row],[Home/Neutral]],rtg_vlookup,4,FALSE)+VLOOKUP(Table2[[#This Row],[Visitor/Neutral]],rtg_vlookup,4,FALSE)</f>
        <v>-0.40868852459016569</v>
      </c>
      <c r="X107" s="15"/>
      <c r="Y107" s="2"/>
      <c r="Z107" s="2">
        <f>Table2[[#This Row],[A/EV]]-Table2[[#This Row],[H/EV]]</f>
        <v>-1.078187607286381</v>
      </c>
      <c r="AA107" s="29"/>
      <c r="AB107" s="30"/>
      <c r="AC107" s="30"/>
      <c r="AD107" s="30"/>
      <c r="AE107" s="30"/>
      <c r="AF107" s="7" t="b">
        <f>IF(VLOOKUP(Table2[[#This Row],[Home/Neutral]],division_lookup,9,FALSE)=VLOOKUP(Table2[[#This Row],[Visitor/Neutral]],division_lookup,9,FALSE),TRUE,FALSE)</f>
        <v>0</v>
      </c>
      <c r="AG107" s="15" t="str">
        <f>VLOOKUP(Table2[[#This Row],[Home/Neutral]],division_lookup,9,FALSE)</f>
        <v>SE</v>
      </c>
      <c r="AH107" s="15" t="str">
        <f>IF(Table2[[#This Row],[Total/EV]]&lt;Table2[[#This Row],[Total/V]],"UNDER","OVER")</f>
        <v>UNDER</v>
      </c>
      <c r="AI107" s="15"/>
      <c r="AJ107" s="2"/>
      <c r="AK107" s="2"/>
      <c r="AL107" s="18">
        <f>Table2[[#This Row],[SRS]]-Table2[[#This Row],[Spread]]</f>
        <v>7.5913114754098343</v>
      </c>
      <c r="AM107" s="21">
        <f>Table2[[#This Row],[(A) Err]]^2</f>
        <v>57.628009916689038</v>
      </c>
      <c r="AN107" s="6">
        <f>Table2[[#This Row],[EV]]-Table2[[#This Row],[Spread]]</f>
        <v>6.921812392713619</v>
      </c>
      <c r="AO107" s="1">
        <f>Table2[[#This Row],[EV Err]]^2</f>
        <v>47.911486799923836</v>
      </c>
      <c r="AP107" s="1"/>
    </row>
    <row r="108" spans="1:42" x14ac:dyDescent="0.25">
      <c r="A108" s="34">
        <v>42683</v>
      </c>
      <c r="B108" t="s">
        <v>112</v>
      </c>
      <c r="C108" t="s">
        <v>136</v>
      </c>
      <c r="D108">
        <f>IF((Table2[[#This Row],[Spread]]-Table2[[#This Row],[Spread/V]])=0,1,IF(Table2[[#This Row],[Spread]]&lt;Table2[[#This Row],[Spread/V]],1,0))</f>
        <v>1</v>
      </c>
      <c r="E108">
        <v>104</v>
      </c>
      <c r="F108">
        <f>IF((Table2[[#This Row],[Spread]]-Table2[[#This Row],[Spread/V]])=0,1,IF(Table2[[#This Row],[Spread]]&gt;Table2[[#This Row],[Spread/V]],1,0))</f>
        <v>0</v>
      </c>
      <c r="G108">
        <v>98</v>
      </c>
      <c r="H108" s="7">
        <f t="shared" si="2"/>
        <v>202</v>
      </c>
      <c r="I108">
        <f>IF(Table2[[#This Row],[Total/V]]&lt;=Table2[[#This Row],[Total]],1,0)</f>
        <v>1</v>
      </c>
      <c r="J108">
        <v>192.5</v>
      </c>
      <c r="K108"/>
      <c r="L108" s="21">
        <f>(Table2[[#This Row],[H/Pace]]/100)*(VLOOKUP(Table2[[#This Row],[Home/Neutral]],home_lookup,8,FALSE)+VLOOKUP(Table2[[#This Row],[Home/Neutral]],OFR_lookup,2,FALSE)+VLOOKUP(Table2[[#This Row],[Visitor/Neutral]],def_diff_lookup,6,FALSE))</f>
        <v>99.806501953134841</v>
      </c>
      <c r="M108" s="21"/>
      <c r="N108" s="21">
        <f>(Table2[[#This Row],[A/Pace]]/100)*(VLOOKUP(Table2[[#This Row],[Visitor/Neutral]],OFR_lookup,2,FALSE)+VLOOKUP(Table2[[#This Row],[Home/Neutral]],def_diff_lookup,6,FALSE))</f>
        <v>96.519385</v>
      </c>
      <c r="O108" s="21"/>
      <c r="P108" s="21"/>
      <c r="Q108">
        <f>VLOOKUP(Table2[[#This Row],[Home/Neutral]],pace_lookup,7,FALSE)</f>
        <v>97.4</v>
      </c>
      <c r="R108" s="5">
        <f>VLOOKUP(Table2[[#This Row],[Visitor/Neutral]],pace_lookup,7,FALSE)</f>
        <v>91.5</v>
      </c>
      <c r="S108" s="7">
        <f t="shared" si="3"/>
        <v>-6</v>
      </c>
      <c r="T108">
        <v>-3</v>
      </c>
      <c r="U108" s="15"/>
      <c r="W108" s="2">
        <f>-home-VLOOKUP(Table2[[#This Row],[Home/Neutral]],rtg_vlookup,4,FALSE)+VLOOKUP(Table2[[#This Row],[Visitor/Neutral]],rtg_vlookup,4,FALSE)</f>
        <v>-0.56868852459016583</v>
      </c>
      <c r="X108" s="15"/>
      <c r="Y108" s="2"/>
      <c r="Z108" s="2">
        <f>Table2[[#This Row],[A/EV]]-Table2[[#This Row],[H/EV]]</f>
        <v>-3.2871169531348414</v>
      </c>
      <c r="AA108" s="29"/>
      <c r="AB108" s="30"/>
      <c r="AC108" s="30"/>
      <c r="AD108" s="30"/>
      <c r="AE108" s="30"/>
      <c r="AF108" s="7" t="b">
        <f>IF(VLOOKUP(Table2[[#This Row],[Home/Neutral]],division_lookup,9,FALSE)=VLOOKUP(Table2[[#This Row],[Visitor/Neutral]],division_lookup,9,FALSE),TRUE,FALSE)</f>
        <v>0</v>
      </c>
      <c r="AG108" s="15" t="str">
        <f>VLOOKUP(Table2[[#This Row],[Home/Neutral]],division_lookup,9,FALSE)</f>
        <v>SE</v>
      </c>
      <c r="AH108" s="15" t="str">
        <f>IF(Table2[[#This Row],[Total/EV]]&lt;Table2[[#This Row],[Total/V]],"UNDER","OVER")</f>
        <v>UNDER</v>
      </c>
      <c r="AI108" s="15"/>
      <c r="AJ108" s="2"/>
      <c r="AK108" s="2"/>
      <c r="AL108" s="18">
        <f>Table2[[#This Row],[SRS]]-Table2[[#This Row],[Spread]]</f>
        <v>5.4313114754098342</v>
      </c>
      <c r="AM108" s="21">
        <f>Table2[[#This Row],[(A) Err]]^2</f>
        <v>29.499144342918548</v>
      </c>
      <c r="AN108" s="6">
        <f>Table2[[#This Row],[EV]]-Table2[[#This Row],[Spread]]</f>
        <v>2.7128830468651586</v>
      </c>
      <c r="AO108" s="1">
        <f>Table2[[#This Row],[EV Err]]^2</f>
        <v>7.3597344259683863</v>
      </c>
      <c r="AP108" s="1"/>
    </row>
    <row r="109" spans="1:42" x14ac:dyDescent="0.25">
      <c r="A109" s="34">
        <v>42683</v>
      </c>
      <c r="B109" t="s">
        <v>118</v>
      </c>
      <c r="C109" t="s">
        <v>115</v>
      </c>
      <c r="D109">
        <f>IF((Table2[[#This Row],[Spread]]-Table2[[#This Row],[Spread/V]])=0,1,IF(Table2[[#This Row],[Spread]]&lt;Table2[[#This Row],[Spread/V]],1,0))</f>
        <v>1</v>
      </c>
      <c r="E109">
        <v>116</v>
      </c>
      <c r="F109">
        <f>IF((Table2[[#This Row],[Spread]]-Table2[[#This Row],[Spread/V]])=0,1,IF(Table2[[#This Row],[Spread]]&gt;Table2[[#This Row],[Spread/V]],1,0))</f>
        <v>0</v>
      </c>
      <c r="G109">
        <v>95</v>
      </c>
      <c r="H109" s="7">
        <f t="shared" si="2"/>
        <v>211</v>
      </c>
      <c r="I109">
        <f>IF(Table2[[#This Row],[Total/V]]&lt;=Table2[[#This Row],[Total]],1,0)</f>
        <v>1</v>
      </c>
      <c r="J109">
        <v>206.5</v>
      </c>
      <c r="K109"/>
      <c r="L109" s="21">
        <f>(Table2[[#This Row],[H/Pace]]/100)*(VLOOKUP(Table2[[#This Row],[Home/Neutral]],home_lookup,8,FALSE)+VLOOKUP(Table2[[#This Row],[Home/Neutral]],OFR_lookup,2,FALSE)+VLOOKUP(Table2[[#This Row],[Visitor/Neutral]],def_diff_lookup,6,FALSE))</f>
        <v>114.04971838078238</v>
      </c>
      <c r="M109" s="21"/>
      <c r="N109" s="21">
        <f>(Table2[[#This Row],[A/Pace]]/100)*(VLOOKUP(Table2[[#This Row],[Visitor/Neutral]],OFR_lookup,2,FALSE)+VLOOKUP(Table2[[#This Row],[Home/Neutral]],def_diff_lookup,6,FALSE))</f>
        <v>89.142814333333348</v>
      </c>
      <c r="O109" s="21"/>
      <c r="P109" s="21"/>
      <c r="Q109">
        <f>VLOOKUP(Table2[[#This Row],[Home/Neutral]],pace_lookup,7,FALSE)</f>
        <v>100.4</v>
      </c>
      <c r="R109" s="5">
        <f>VLOOKUP(Table2[[#This Row],[Visitor/Neutral]],pace_lookup,7,FALSE)</f>
        <v>92.9</v>
      </c>
      <c r="S109" s="7">
        <f t="shared" si="3"/>
        <v>-21</v>
      </c>
      <c r="T109">
        <v>-18.5</v>
      </c>
      <c r="U109" s="15"/>
      <c r="W109" s="2">
        <f>-home-VLOOKUP(Table2[[#This Row],[Home/Neutral]],rtg_vlookup,4,FALSE)+VLOOKUP(Table2[[#This Row],[Visitor/Neutral]],rtg_vlookup,4,FALSE)</f>
        <v>-23.058688524590167</v>
      </c>
      <c r="X109" s="15"/>
      <c r="Y109" s="2"/>
      <c r="Z109" s="2">
        <f>Table2[[#This Row],[A/EV]]-Table2[[#This Row],[H/EV]]</f>
        <v>-24.906904047449032</v>
      </c>
      <c r="AA109" s="29"/>
      <c r="AB109" s="30"/>
      <c r="AC109" s="30"/>
      <c r="AD109" s="30"/>
      <c r="AE109" s="30"/>
      <c r="AF109" s="7" t="b">
        <f>IF(VLOOKUP(Table2[[#This Row],[Home/Neutral]],division_lookup,9,FALSE)=VLOOKUP(Table2[[#This Row],[Visitor/Neutral]],division_lookup,9,FALSE),TRUE,FALSE)</f>
        <v>0</v>
      </c>
      <c r="AG109" s="15" t="str">
        <f>VLOOKUP(Table2[[#This Row],[Home/Neutral]],division_lookup,9,FALSE)</f>
        <v>P</v>
      </c>
      <c r="AH109" s="15" t="str">
        <f>IF(Table2[[#This Row],[Total/EV]]&lt;Table2[[#This Row],[Total/V]],"UNDER","OVER")</f>
        <v>UNDER</v>
      </c>
      <c r="AI109" s="15"/>
      <c r="AJ109" s="2"/>
      <c r="AK109" s="2"/>
      <c r="AL109" s="18">
        <f>Table2[[#This Row],[SRS]]-Table2[[#This Row],[Spread]]</f>
        <v>-2.0586885245901669</v>
      </c>
      <c r="AM109" s="21">
        <f>Table2[[#This Row],[(A) Err]]^2</f>
        <v>4.2381984412792386</v>
      </c>
      <c r="AN109" s="6">
        <f>Table2[[#This Row],[EV]]-Table2[[#This Row],[Spread]]</f>
        <v>-3.9069040474490322</v>
      </c>
      <c r="AO109" s="1">
        <f>Table2[[#This Row],[EV Err]]^2</f>
        <v>15.26389923597363</v>
      </c>
      <c r="AP109" s="1"/>
    </row>
    <row r="110" spans="1:42" x14ac:dyDescent="0.25">
      <c r="A110" s="34">
        <v>42683</v>
      </c>
      <c r="B110" t="s">
        <v>120</v>
      </c>
      <c r="C110" t="s">
        <v>138</v>
      </c>
      <c r="D110">
        <f>IF((Table2[[#This Row],[Spread]]-Table2[[#This Row],[Spread/V]])=0,1,IF(Table2[[#This Row],[Spread]]&lt;Table2[[#This Row],[Spread/V]],1,0))</f>
        <v>0</v>
      </c>
      <c r="E110">
        <v>122</v>
      </c>
      <c r="F110">
        <f>IF((Table2[[#This Row],[Spread]]-Table2[[#This Row],[Spread/V]])=0,1,IF(Table2[[#This Row],[Spread]]&gt;Table2[[#This Row],[Spread/V]],1,0))</f>
        <v>1</v>
      </c>
      <c r="G110">
        <v>115</v>
      </c>
      <c r="H110" s="7">
        <f t="shared" si="2"/>
        <v>237</v>
      </c>
      <c r="I110">
        <f>IF(Table2[[#This Row],[Total/V]]&lt;=Table2[[#This Row],[Total]],1,0)</f>
        <v>1</v>
      </c>
      <c r="J110">
        <v>212.5</v>
      </c>
      <c r="K110"/>
      <c r="L110" s="21">
        <f>(Table2[[#This Row],[H/Pace]]/100)*(VLOOKUP(Table2[[#This Row],[Home/Neutral]],home_lookup,8,FALSE)+VLOOKUP(Table2[[#This Row],[Home/Neutral]],OFR_lookup,2,FALSE)+VLOOKUP(Table2[[#This Row],[Visitor/Neutral]],def_diff_lookup,6,FALSE))</f>
        <v>107.67649542930862</v>
      </c>
      <c r="M110" s="21"/>
      <c r="N110" s="21">
        <f>(Table2[[#This Row],[A/Pace]]/100)*(VLOOKUP(Table2[[#This Row],[Visitor/Neutral]],OFR_lookup,2,FALSE)+VLOOKUP(Table2[[#This Row],[Home/Neutral]],def_diff_lookup,6,FALSE))</f>
        <v>98.002774999999986</v>
      </c>
      <c r="O110" s="21"/>
      <c r="P110" s="21"/>
      <c r="Q110">
        <f>VLOOKUP(Table2[[#This Row],[Home/Neutral]],pace_lookup,7,FALSE)</f>
        <v>98.3</v>
      </c>
      <c r="R110" s="5">
        <f>VLOOKUP(Table2[[#This Row],[Visitor/Neutral]],pace_lookup,7,FALSE)</f>
        <v>97.5</v>
      </c>
      <c r="S110" s="7">
        <f t="shared" si="3"/>
        <v>-7</v>
      </c>
      <c r="T110">
        <v>-11.5</v>
      </c>
      <c r="U110" s="15"/>
      <c r="W110" s="2">
        <f>-home-VLOOKUP(Table2[[#This Row],[Home/Neutral]],rtg_vlookup,4,FALSE)+VLOOKUP(Table2[[#This Row],[Visitor/Neutral]],rtg_vlookup,4,FALSE)</f>
        <v>-7.7086885245901664</v>
      </c>
      <c r="X110" s="15"/>
      <c r="Y110" s="2"/>
      <c r="Z110" s="2">
        <f>Table2[[#This Row],[A/EV]]-Table2[[#This Row],[H/EV]]</f>
        <v>-9.6737204293086307</v>
      </c>
      <c r="AA110" s="29"/>
      <c r="AB110" s="30"/>
      <c r="AC110" s="30"/>
      <c r="AD110" s="30"/>
      <c r="AE110" s="30"/>
      <c r="AF110" s="7" t="b">
        <f>IF(VLOOKUP(Table2[[#This Row],[Home/Neutral]],division_lookup,9,FALSE)=VLOOKUP(Table2[[#This Row],[Visitor/Neutral]],division_lookup,9,FALSE),TRUE,FALSE)</f>
        <v>0</v>
      </c>
      <c r="AG110" s="15" t="str">
        <f>VLOOKUP(Table2[[#This Row],[Home/Neutral]],division_lookup,9,FALSE)</f>
        <v>C</v>
      </c>
      <c r="AH110" s="15" t="str">
        <f>IF(Table2[[#This Row],[Total/EV]]&lt;Table2[[#This Row],[Total/V]],"UNDER","OVER")</f>
        <v>UNDER</v>
      </c>
      <c r="AI110" s="15"/>
      <c r="AJ110" s="2"/>
      <c r="AK110" s="2"/>
      <c r="AL110" s="18">
        <f>Table2[[#This Row],[SRS]]-Table2[[#This Row],[Spread]]</f>
        <v>-0.7086885245901664</v>
      </c>
      <c r="AM110" s="21">
        <f>Table2[[#This Row],[(A) Err]]^2</f>
        <v>0.50223942488578688</v>
      </c>
      <c r="AN110" s="6">
        <f>Table2[[#This Row],[EV]]-Table2[[#This Row],[Spread]]</f>
        <v>-2.6737204293086307</v>
      </c>
      <c r="AO110" s="1">
        <f>Table2[[#This Row],[EV Err]]^2</f>
        <v>7.1487809341023283</v>
      </c>
      <c r="AP110" s="1"/>
    </row>
    <row r="111" spans="1:42" x14ac:dyDescent="0.25">
      <c r="A111" s="34">
        <v>42683</v>
      </c>
      <c r="B111" t="s">
        <v>121</v>
      </c>
      <c r="C111" t="s">
        <v>132</v>
      </c>
      <c r="D111">
        <f>IF((Table2[[#This Row],[Spread]]-Table2[[#This Row],[Spread/V]])=0,1,IF(Table2[[#This Row],[Spread]]&lt;Table2[[#This Row],[Spread/V]],1,0))</f>
        <v>1</v>
      </c>
      <c r="E111">
        <v>111</v>
      </c>
      <c r="F111">
        <f>IF((Table2[[#This Row],[Spread]]-Table2[[#This Row],[Spread/V]])=0,1,IF(Table2[[#This Row],[Spread]]&gt;Table2[[#This Row],[Spread/V]],1,0))</f>
        <v>0</v>
      </c>
      <c r="G111">
        <v>80</v>
      </c>
      <c r="H111" s="7">
        <f t="shared" si="2"/>
        <v>191</v>
      </c>
      <c r="I111">
        <f>IF(Table2[[#This Row],[Total/V]]&lt;=Table2[[#This Row],[Total]],1,0)</f>
        <v>0</v>
      </c>
      <c r="J111">
        <v>211</v>
      </c>
      <c r="K111"/>
      <c r="L111" s="21">
        <f>(Table2[[#This Row],[H/Pace]]/100)*(VLOOKUP(Table2[[#This Row],[Home/Neutral]],home_lookup,8,FALSE)+VLOOKUP(Table2[[#This Row],[Home/Neutral]],OFR_lookup,2,FALSE)+VLOOKUP(Table2[[#This Row],[Visitor/Neutral]],def_diff_lookup,6,FALSE))</f>
        <v>119.20168060751253</v>
      </c>
      <c r="M111" s="21"/>
      <c r="N111" s="21">
        <f>(Table2[[#This Row],[A/Pace]]/100)*(VLOOKUP(Table2[[#This Row],[Visitor/Neutral]],OFR_lookup,2,FALSE)+VLOOKUP(Table2[[#This Row],[Home/Neutral]],def_diff_lookup,6,FALSE))</f>
        <v>104.19019866666667</v>
      </c>
      <c r="O111" s="21"/>
      <c r="P111" s="21"/>
      <c r="Q111">
        <f>VLOOKUP(Table2[[#This Row],[Home/Neutral]],pace_lookup,7,FALSE)</f>
        <v>96.4</v>
      </c>
      <c r="R111" s="5">
        <f>VLOOKUP(Table2[[#This Row],[Visitor/Neutral]],pace_lookup,7,FALSE)</f>
        <v>98.8</v>
      </c>
      <c r="S111" s="7">
        <f t="shared" si="3"/>
        <v>-31</v>
      </c>
      <c r="T111">
        <v>-11.5</v>
      </c>
      <c r="U111" s="15"/>
      <c r="W111" s="2">
        <f>-home-VLOOKUP(Table2[[#This Row],[Home/Neutral]],rtg_vlookup,4,FALSE)+VLOOKUP(Table2[[#This Row],[Visitor/Neutral]],rtg_vlookup,4,FALSE)</f>
        <v>-17.948688524590168</v>
      </c>
      <c r="X111" s="15"/>
      <c r="Y111" s="2"/>
      <c r="Z111" s="2">
        <f>Table2[[#This Row],[A/EV]]-Table2[[#This Row],[H/EV]]</f>
        <v>-15.011481940845854</v>
      </c>
      <c r="AA111" s="29"/>
      <c r="AB111" s="30"/>
      <c r="AC111" s="30"/>
      <c r="AD111" s="30"/>
      <c r="AE111" s="30"/>
      <c r="AF111" s="7" t="b">
        <f>IF(VLOOKUP(Table2[[#This Row],[Home/Neutral]],division_lookup,9,FALSE)=VLOOKUP(Table2[[#This Row],[Visitor/Neutral]],division_lookup,9,FALSE),TRUE,FALSE)</f>
        <v>0</v>
      </c>
      <c r="AG111" s="15" t="str">
        <f>VLOOKUP(Table2[[#This Row],[Home/Neutral]],division_lookup,9,FALSE)</f>
        <v>P</v>
      </c>
      <c r="AH111" s="15" t="str">
        <f>IF(Table2[[#This Row],[Total/EV]]&lt;Table2[[#This Row],[Total/V]],"UNDER","OVER")</f>
        <v>UNDER</v>
      </c>
      <c r="AI111" s="15"/>
      <c r="AJ111" s="2"/>
      <c r="AK111" s="2"/>
      <c r="AL111" s="18">
        <f>Table2[[#This Row],[SRS]]-Table2[[#This Row],[Spread]]</f>
        <v>13.051311475409832</v>
      </c>
      <c r="AM111" s="21">
        <f>Table2[[#This Row],[(A) Err]]^2</f>
        <v>170.33673122816438</v>
      </c>
      <c r="AN111" s="6">
        <f>Table2[[#This Row],[EV]]-Table2[[#This Row],[Spread]]</f>
        <v>15.988518059154146</v>
      </c>
      <c r="AO111" s="1">
        <f>Table2[[#This Row],[EV Err]]^2</f>
        <v>255.63270972789826</v>
      </c>
      <c r="AP111" s="1"/>
    </row>
    <row r="112" spans="1:42" x14ac:dyDescent="0.25">
      <c r="A112" s="34">
        <v>42683</v>
      </c>
      <c r="B112" t="s">
        <v>128</v>
      </c>
      <c r="C112" t="s">
        <v>111</v>
      </c>
      <c r="D112">
        <f>IF((Table2[[#This Row],[Spread]]-Table2[[#This Row],[Spread/V]])=0,1,IF(Table2[[#This Row],[Spread]]&lt;Table2[[#This Row],[Spread/V]],1,0))</f>
        <v>1</v>
      </c>
      <c r="E112">
        <v>110</v>
      </c>
      <c r="F112">
        <f>IF((Table2[[#This Row],[Spread]]-Table2[[#This Row],[Spread/V]])=0,1,IF(Table2[[#This Row],[Spread]]&gt;Table2[[#This Row],[Spread/V]],1,0))</f>
        <v>0</v>
      </c>
      <c r="G112">
        <v>96</v>
      </c>
      <c r="H112" s="7">
        <f t="shared" si="2"/>
        <v>206</v>
      </c>
      <c r="I112">
        <f>IF(Table2[[#This Row],[Total/V]]&lt;=Table2[[#This Row],[Total]],1,0)</f>
        <v>0</v>
      </c>
      <c r="J112">
        <v>214.5</v>
      </c>
      <c r="K112"/>
      <c r="L112" s="21">
        <f>(Table2[[#This Row],[H/Pace]]/100)*(VLOOKUP(Table2[[#This Row],[Home/Neutral]],home_lookup,8,FALSE)+VLOOKUP(Table2[[#This Row],[Home/Neutral]],OFR_lookup,2,FALSE)+VLOOKUP(Table2[[#This Row],[Visitor/Neutral]],def_diff_lookup,6,FALSE))</f>
        <v>112.5251898778302</v>
      </c>
      <c r="M112" s="21"/>
      <c r="N112" s="21">
        <f>(Table2[[#This Row],[A/Pace]]/100)*(VLOOKUP(Table2[[#This Row],[Visitor/Neutral]],OFR_lookup,2,FALSE)+VLOOKUP(Table2[[#This Row],[Home/Neutral]],def_diff_lookup,6,FALSE))</f>
        <v>107.41178000000001</v>
      </c>
      <c r="O112" s="21"/>
      <c r="P112" s="21"/>
      <c r="Q112">
        <f>VLOOKUP(Table2[[#This Row],[Home/Neutral]],pace_lookup,7,FALSE)</f>
        <v>96.3</v>
      </c>
      <c r="R112" s="5">
        <f>VLOOKUP(Table2[[#This Row],[Visitor/Neutral]],pace_lookup,7,FALSE)</f>
        <v>102</v>
      </c>
      <c r="S112" s="7">
        <f t="shared" si="3"/>
        <v>-14</v>
      </c>
      <c r="T112">
        <v>-8</v>
      </c>
      <c r="U112" s="15"/>
      <c r="W112" s="2">
        <f>-home-VLOOKUP(Table2[[#This Row],[Home/Neutral]],rtg_vlookup,4,FALSE)+VLOOKUP(Table2[[#This Row],[Visitor/Neutral]],rtg_vlookup,4,FALSE)</f>
        <v>-9.6986885245901657</v>
      </c>
      <c r="X112" s="15"/>
      <c r="Y112" s="2"/>
      <c r="Z112" s="2">
        <f>Table2[[#This Row],[A/EV]]-Table2[[#This Row],[H/EV]]</f>
        <v>-5.1134098778301933</v>
      </c>
      <c r="AA112" s="29"/>
      <c r="AB112" s="30"/>
      <c r="AC112" s="30"/>
      <c r="AD112" s="30"/>
      <c r="AE112" s="30"/>
      <c r="AF112" s="7" t="b">
        <f>IF(VLOOKUP(Table2[[#This Row],[Home/Neutral]],division_lookup,9,FALSE)=VLOOKUP(Table2[[#This Row],[Visitor/Neutral]],division_lookup,9,FALSE),TRUE,FALSE)</f>
        <v>1</v>
      </c>
      <c r="AG112" s="15" t="str">
        <f>VLOOKUP(Table2[[#This Row],[Home/Neutral]],division_lookup,9,FALSE)</f>
        <v>A</v>
      </c>
      <c r="AH112" s="15" t="str">
        <f>IF(Table2[[#This Row],[Total/EV]]&lt;Table2[[#This Row],[Total/V]],"UNDER","OVER")</f>
        <v>UNDER</v>
      </c>
      <c r="AI112" s="15"/>
      <c r="AJ112" s="2"/>
      <c r="AK112" s="2"/>
      <c r="AL112" s="18">
        <f>Table2[[#This Row],[SRS]]-Table2[[#This Row],[Spread]]</f>
        <v>4.3013114754098343</v>
      </c>
      <c r="AM112" s="21">
        <f>Table2[[#This Row],[(A) Err]]^2</f>
        <v>18.501280408492324</v>
      </c>
      <c r="AN112" s="6">
        <f>Table2[[#This Row],[EV]]-Table2[[#This Row],[Spread]]</f>
        <v>8.8865901221698067</v>
      </c>
      <c r="AO112" s="1">
        <f>Table2[[#This Row],[EV Err]]^2</f>
        <v>78.971483999445979</v>
      </c>
      <c r="AP112" s="1"/>
    </row>
    <row r="113" spans="1:42" x14ac:dyDescent="0.25">
      <c r="A113" s="34">
        <v>42683</v>
      </c>
      <c r="B113" t="s">
        <v>129</v>
      </c>
      <c r="C113" t="s">
        <v>135</v>
      </c>
      <c r="D113">
        <f>IF((Table2[[#This Row],[Spread]]-Table2[[#This Row],[Spread/V]])=0,1,IF(Table2[[#This Row],[Spread]]&lt;Table2[[#This Row],[Spread/V]],1,0))</f>
        <v>0</v>
      </c>
      <c r="E113">
        <v>102</v>
      </c>
      <c r="F113">
        <f>IF((Table2[[#This Row],[Spread]]-Table2[[#This Row],[Spread/V]])=0,1,IF(Table2[[#This Row],[Spread]]&gt;Table2[[#This Row],[Spread/V]],1,0))</f>
        <v>1</v>
      </c>
      <c r="G113">
        <v>112</v>
      </c>
      <c r="H113" s="7">
        <f t="shared" si="2"/>
        <v>214</v>
      </c>
      <c r="I113">
        <f>IF(Table2[[#This Row],[Total/V]]&lt;=Table2[[#This Row],[Total]],1,0)</f>
        <v>0</v>
      </c>
      <c r="J113">
        <v>230.5</v>
      </c>
      <c r="K113"/>
      <c r="L113" s="21">
        <f>(Table2[[#This Row],[H/Pace]]/100)*(VLOOKUP(Table2[[#This Row],[Home/Neutral]],home_lookup,8,FALSE)+VLOOKUP(Table2[[#This Row],[Home/Neutral]],OFR_lookup,2,FALSE)+VLOOKUP(Table2[[#This Row],[Visitor/Neutral]],def_diff_lookup,6,FALSE))</f>
        <v>108.30230376890107</v>
      </c>
      <c r="M113" s="21"/>
      <c r="N113" s="21">
        <f>(Table2[[#This Row],[A/Pace]]/100)*(VLOOKUP(Table2[[#This Row],[Visitor/Neutral]],OFR_lookup,2,FALSE)+VLOOKUP(Table2[[#This Row],[Home/Neutral]],def_diff_lookup,6,FALSE))</f>
        <v>106.44318600000001</v>
      </c>
      <c r="O113" s="21"/>
      <c r="P113" s="21"/>
      <c r="Q113">
        <f>VLOOKUP(Table2[[#This Row],[Home/Neutral]],pace_lookup,7,FALSE)</f>
        <v>99</v>
      </c>
      <c r="R113" s="5">
        <f>VLOOKUP(Table2[[#This Row],[Visitor/Neutral]],pace_lookup,7,FALSE)</f>
        <v>95.4</v>
      </c>
      <c r="S113" s="7">
        <f t="shared" si="3"/>
        <v>10</v>
      </c>
      <c r="T113">
        <v>-3.5</v>
      </c>
      <c r="U113" s="15"/>
      <c r="W113" s="2">
        <f>-home-VLOOKUP(Table2[[#This Row],[Home/Neutral]],rtg_vlookup,4,FALSE)+VLOOKUP(Table2[[#This Row],[Visitor/Neutral]],rtg_vlookup,4,FALSE)</f>
        <v>1.6513114754098348</v>
      </c>
      <c r="X113" s="15"/>
      <c r="Y113" s="2"/>
      <c r="Z113" s="2">
        <f>Table2[[#This Row],[A/EV]]-Table2[[#This Row],[H/EV]]</f>
        <v>-1.8591177689010578</v>
      </c>
      <c r="AA113" s="29"/>
      <c r="AB113" s="30"/>
      <c r="AC113" s="30"/>
      <c r="AD113" s="30"/>
      <c r="AE113" s="30"/>
      <c r="AF113" s="7" t="b">
        <f>IF(VLOOKUP(Table2[[#This Row],[Home/Neutral]],division_lookup,9,FALSE)=VLOOKUP(Table2[[#This Row],[Visitor/Neutral]],division_lookup,9,FALSE),TRUE,FALSE)</f>
        <v>0</v>
      </c>
      <c r="AG113" s="15" t="str">
        <f>VLOOKUP(Table2[[#This Row],[Home/Neutral]],division_lookup,9,FALSE)</f>
        <v>NW</v>
      </c>
      <c r="AH113" s="15" t="str">
        <f>IF(Table2[[#This Row],[Total/EV]]&lt;Table2[[#This Row],[Total/V]],"UNDER","OVER")</f>
        <v>UNDER</v>
      </c>
      <c r="AI113" s="15"/>
      <c r="AJ113" s="2"/>
      <c r="AK113" s="2"/>
      <c r="AL113" s="18">
        <f>Table2[[#This Row],[SRS]]-Table2[[#This Row],[Spread]]</f>
        <v>-8.3486885245901661</v>
      </c>
      <c r="AM113" s="21">
        <f>Table2[[#This Row],[(A) Err]]^2</f>
        <v>69.700600080623531</v>
      </c>
      <c r="AN113" s="6">
        <f>Table2[[#This Row],[EV]]-Table2[[#This Row],[Spread]]</f>
        <v>-11.859117768901058</v>
      </c>
      <c r="AO113" s="1">
        <f>Table2[[#This Row],[EV Err]]^2</f>
        <v>140.63867425666481</v>
      </c>
      <c r="AP113" s="1"/>
    </row>
    <row r="114" spans="1:42" x14ac:dyDescent="0.25">
      <c r="A114" s="34">
        <v>42683</v>
      </c>
      <c r="B114" t="s">
        <v>130</v>
      </c>
      <c r="C114" t="s">
        <v>126</v>
      </c>
      <c r="D114">
        <f>IF((Table2[[#This Row],[Spread]]-Table2[[#This Row],[Spread/V]])=0,1,IF(Table2[[#This Row],[Spread]]&lt;Table2[[#This Row],[Spread/V]],1,0))</f>
        <v>0</v>
      </c>
      <c r="E114">
        <v>107</v>
      </c>
      <c r="F114">
        <f>IF((Table2[[#This Row],[Spread]]-Table2[[#This Row],[Spread/V]])=0,1,IF(Table2[[#This Row],[Spread]]&gt;Table2[[#This Row],[Spread/V]],1,0))</f>
        <v>1</v>
      </c>
      <c r="G114">
        <v>123</v>
      </c>
      <c r="H114" s="7">
        <f t="shared" si="2"/>
        <v>230</v>
      </c>
      <c r="I114">
        <f>IF(Table2[[#This Row],[Total/V]]&lt;=Table2[[#This Row],[Total]],1,0)</f>
        <v>1</v>
      </c>
      <c r="J114">
        <v>201</v>
      </c>
      <c r="K114"/>
      <c r="L114" s="21">
        <f>(Table2[[#This Row],[H/Pace]]/100)*(VLOOKUP(Table2[[#This Row],[Home/Neutral]],home_lookup,8,FALSE)+VLOOKUP(Table2[[#This Row],[Home/Neutral]],OFR_lookup,2,FALSE)+VLOOKUP(Table2[[#This Row],[Visitor/Neutral]],def_diff_lookup,6,FALSE))</f>
        <v>99.511604967109406</v>
      </c>
      <c r="M114" s="21"/>
      <c r="N114" s="21">
        <f>(Table2[[#This Row],[A/Pace]]/100)*(VLOOKUP(Table2[[#This Row],[Visitor/Neutral]],OFR_lookup,2,FALSE)+VLOOKUP(Table2[[#This Row],[Home/Neutral]],def_diff_lookup,6,FALSE))</f>
        <v>103.82078300000001</v>
      </c>
      <c r="O114" s="21"/>
      <c r="P114" s="21"/>
      <c r="Q114">
        <f>VLOOKUP(Table2[[#This Row],[Home/Neutral]],pace_lookup,7,FALSE)</f>
        <v>94.2</v>
      </c>
      <c r="R114" s="5">
        <f>VLOOKUP(Table2[[#This Row],[Visitor/Neutral]],pace_lookup,7,FALSE)</f>
        <v>95.7</v>
      </c>
      <c r="S114" s="7">
        <f t="shared" si="3"/>
        <v>16</v>
      </c>
      <c r="T114">
        <v>-2.5</v>
      </c>
      <c r="U114" s="15"/>
      <c r="W114" s="2">
        <f>-home-VLOOKUP(Table2[[#This Row],[Home/Neutral]],rtg_vlookup,4,FALSE)+VLOOKUP(Table2[[#This Row],[Visitor/Neutral]],rtg_vlookup,4,FALSE)</f>
        <v>4.6713114754098353</v>
      </c>
      <c r="X114" s="15"/>
      <c r="Y114" s="2"/>
      <c r="Z114" s="2">
        <f>Table2[[#This Row],[A/EV]]-Table2[[#This Row],[H/EV]]</f>
        <v>4.3091780328905998</v>
      </c>
      <c r="AA114" s="29"/>
      <c r="AB114" s="30"/>
      <c r="AC114" s="30"/>
      <c r="AD114" s="30"/>
      <c r="AE114" s="30"/>
      <c r="AF114" s="7" t="b">
        <f>IF(VLOOKUP(Table2[[#This Row],[Home/Neutral]],division_lookup,9,FALSE)=VLOOKUP(Table2[[#This Row],[Visitor/Neutral]],division_lookup,9,FALSE),TRUE,FALSE)</f>
        <v>0</v>
      </c>
      <c r="AG114" s="15" t="str">
        <f>VLOOKUP(Table2[[#This Row],[Home/Neutral]],division_lookup,9,FALSE)</f>
        <v>SE</v>
      </c>
      <c r="AH114" s="15" t="str">
        <f>IF(Table2[[#This Row],[Total/EV]]&lt;Table2[[#This Row],[Total/V]],"UNDER","OVER")</f>
        <v>UNDER</v>
      </c>
      <c r="AI114" s="15"/>
      <c r="AJ114" s="2"/>
      <c r="AK114" s="2"/>
      <c r="AL114" s="18">
        <f>Table2[[#This Row],[SRS]]-Table2[[#This Row],[Spread]]</f>
        <v>-11.328688524590165</v>
      </c>
      <c r="AM114" s="21">
        <f>Table2[[#This Row],[(A) Err]]^2</f>
        <v>128.33918368718088</v>
      </c>
      <c r="AN114" s="6">
        <f>Table2[[#This Row],[EV]]-Table2[[#This Row],[Spread]]</f>
        <v>-11.6908219671094</v>
      </c>
      <c r="AO114" s="1">
        <f>Table2[[#This Row],[EV Err]]^2</f>
        <v>136.67531826664771</v>
      </c>
      <c r="AP114" s="1"/>
    </row>
    <row r="115" spans="1:42" x14ac:dyDescent="0.25">
      <c r="A115" s="34">
        <v>42683</v>
      </c>
      <c r="B115" t="s">
        <v>131</v>
      </c>
      <c r="C115" t="s">
        <v>117</v>
      </c>
      <c r="D115">
        <f>IF((Table2[[#This Row],[Spread]]-Table2[[#This Row],[Spread/V]])=0,1,IF(Table2[[#This Row],[Spread]]&lt;Table2[[#This Row],[Spread/V]],1,0))</f>
        <v>1</v>
      </c>
      <c r="E115">
        <v>107</v>
      </c>
      <c r="F115">
        <f>IF((Table2[[#This Row],[Spread]]-Table2[[#This Row],[Spread/V]])=0,1,IF(Table2[[#This Row],[Spread]]&gt;Table2[[#This Row],[Spread/V]],1,0))</f>
        <v>0</v>
      </c>
      <c r="G115">
        <v>100</v>
      </c>
      <c r="H115" s="7">
        <f t="shared" si="2"/>
        <v>207</v>
      </c>
      <c r="I115">
        <f>IF(Table2[[#This Row],[Total/V]]&lt;=Table2[[#This Row],[Total]],1,0)</f>
        <v>1</v>
      </c>
      <c r="J115">
        <v>206</v>
      </c>
      <c r="K115"/>
      <c r="L115" s="21">
        <f>(Table2[[#This Row],[H/Pace]]/100)*(VLOOKUP(Table2[[#This Row],[Home/Neutral]],home_lookup,8,FALSE)+VLOOKUP(Table2[[#This Row],[Home/Neutral]],OFR_lookup,2,FALSE)+VLOOKUP(Table2[[#This Row],[Visitor/Neutral]],def_diff_lookup,6,FALSE))</f>
        <v>92.997529791197664</v>
      </c>
      <c r="M115" s="21"/>
      <c r="N115" s="21">
        <f>(Table2[[#This Row],[A/Pace]]/100)*(VLOOKUP(Table2[[#This Row],[Visitor/Neutral]],OFR_lookup,2,FALSE)+VLOOKUP(Table2[[#This Row],[Home/Neutral]],def_diff_lookup,6,FALSE))</f>
        <v>99.128326666666652</v>
      </c>
      <c r="O115" s="21"/>
      <c r="P115" s="21"/>
      <c r="Q115">
        <f>VLOOKUP(Table2[[#This Row],[Home/Neutral]],pace_lookup,7,FALSE)</f>
        <v>101.7</v>
      </c>
      <c r="R115" s="5">
        <f>VLOOKUP(Table2[[#This Row],[Visitor/Neutral]],pace_lookup,7,FALSE)</f>
        <v>94</v>
      </c>
      <c r="S115" s="7">
        <f t="shared" si="3"/>
        <v>-7</v>
      </c>
      <c r="T115">
        <v>-4.5</v>
      </c>
      <c r="U115" s="15"/>
      <c r="W115" s="2">
        <f>-home-VLOOKUP(Table2[[#This Row],[Home/Neutral]],rtg_vlookup,4,FALSE)+VLOOKUP(Table2[[#This Row],[Visitor/Neutral]],rtg_vlookup,4,FALSE)</f>
        <v>5.1713114754098344</v>
      </c>
      <c r="X115" s="15"/>
      <c r="Y115" s="2"/>
      <c r="Z115" s="2">
        <f>Table2[[#This Row],[A/EV]]-Table2[[#This Row],[H/EV]]</f>
        <v>6.1307968754689881</v>
      </c>
      <c r="AA115" s="29"/>
      <c r="AB115" s="30"/>
      <c r="AC115" s="30"/>
      <c r="AD115" s="30"/>
      <c r="AE115" s="30"/>
      <c r="AF115" s="7" t="b">
        <f>IF(VLOOKUP(Table2[[#This Row],[Home/Neutral]],division_lookup,9,FALSE)=VLOOKUP(Table2[[#This Row],[Visitor/Neutral]],division_lookup,9,FALSE),TRUE,FALSE)</f>
        <v>0</v>
      </c>
      <c r="AG115" s="15" t="str">
        <f>VLOOKUP(Table2[[#This Row],[Home/Neutral]],division_lookup,9,FALSE)</f>
        <v>P</v>
      </c>
      <c r="AH115" s="15" t="str">
        <f>IF(Table2[[#This Row],[Total/EV]]&lt;Table2[[#This Row],[Total/V]],"UNDER","OVER")</f>
        <v>UNDER</v>
      </c>
      <c r="AI115" s="15"/>
      <c r="AJ115" s="2"/>
      <c r="AK115" s="2"/>
      <c r="AL115" s="18">
        <f>Table2[[#This Row],[SRS]]-Table2[[#This Row],[Spread]]</f>
        <v>12.171311475409833</v>
      </c>
      <c r="AM115" s="21">
        <f>Table2[[#This Row],[(A) Err]]^2</f>
        <v>148.14082303144309</v>
      </c>
      <c r="AN115" s="6">
        <f>Table2[[#This Row],[EV]]-Table2[[#This Row],[Spread]]</f>
        <v>13.130796875468988</v>
      </c>
      <c r="AO115" s="1">
        <f>Table2[[#This Row],[EV Err]]^2</f>
        <v>172.41782658482614</v>
      </c>
      <c r="AP115" s="1"/>
    </row>
    <row r="116" spans="1:42" x14ac:dyDescent="0.25">
      <c r="A116" s="34">
        <v>42683</v>
      </c>
      <c r="B116" t="s">
        <v>134</v>
      </c>
      <c r="C116" t="s">
        <v>119</v>
      </c>
      <c r="D116">
        <f>IF((Table2[[#This Row],[Spread]]-Table2[[#This Row],[Spread/V]])=0,1,IF(Table2[[#This Row],[Spread]]&lt;Table2[[#This Row],[Spread/V]],1,0))</f>
        <v>0</v>
      </c>
      <c r="E116">
        <v>99</v>
      </c>
      <c r="F116">
        <f>IF((Table2[[#This Row],[Spread]]-Table2[[#This Row],[Spread/V]])=0,1,IF(Table2[[#This Row],[Spread]]&gt;Table2[[#This Row],[Spread/V]],1,0))</f>
        <v>1</v>
      </c>
      <c r="G116">
        <v>101</v>
      </c>
      <c r="H116" s="7">
        <f t="shared" si="2"/>
        <v>200</v>
      </c>
      <c r="I116">
        <f>IF(Table2[[#This Row],[Total/V]]&lt;=Table2[[#This Row],[Total]],1,0)</f>
        <v>0</v>
      </c>
      <c r="J116">
        <v>211.5</v>
      </c>
      <c r="K116"/>
      <c r="L116" s="21">
        <f>(Table2[[#This Row],[H/Pace]]/100)*(VLOOKUP(Table2[[#This Row],[Home/Neutral]],home_lookup,8,FALSE)+VLOOKUP(Table2[[#This Row],[Home/Neutral]],OFR_lookup,2,FALSE)+VLOOKUP(Table2[[#This Row],[Visitor/Neutral]],def_diff_lookup,6,FALSE))</f>
        <v>103.21395343638194</v>
      </c>
      <c r="M116" s="21"/>
      <c r="N116" s="21">
        <f>(Table2[[#This Row],[A/Pace]]/100)*(VLOOKUP(Table2[[#This Row],[Visitor/Neutral]],OFR_lookup,2,FALSE)+VLOOKUP(Table2[[#This Row],[Home/Neutral]],def_diff_lookup,6,FALSE))</f>
        <v>108.233101</v>
      </c>
      <c r="O116" s="21"/>
      <c r="P116" s="21"/>
      <c r="Q116">
        <f>VLOOKUP(Table2[[#This Row],[Home/Neutral]],pace_lookup,7,FALSE)</f>
        <v>93.4</v>
      </c>
      <c r="R116" s="5">
        <f>VLOOKUP(Table2[[#This Row],[Visitor/Neutral]],pace_lookup,7,FALSE)</f>
        <v>96.9</v>
      </c>
      <c r="S116" s="7">
        <f t="shared" si="3"/>
        <v>2</v>
      </c>
      <c r="T116">
        <v>-8.5</v>
      </c>
      <c r="U116" s="15"/>
      <c r="W116" s="2">
        <f>-home-VLOOKUP(Table2[[#This Row],[Home/Neutral]],rtg_vlookup,4,FALSE)+VLOOKUP(Table2[[#This Row],[Visitor/Neutral]],rtg_vlookup,4,FALSE)</f>
        <v>-6.4886885245901649</v>
      </c>
      <c r="X116" s="15"/>
      <c r="Y116" s="2"/>
      <c r="Z116" s="2">
        <f>Table2[[#This Row],[A/EV]]-Table2[[#This Row],[H/EV]]</f>
        <v>5.0191475636180627</v>
      </c>
      <c r="AA116" s="29"/>
      <c r="AB116" s="30"/>
      <c r="AC116" s="30"/>
      <c r="AD116" s="30"/>
      <c r="AE116" s="30"/>
      <c r="AF116" s="7" t="b">
        <f>IF(VLOOKUP(Table2[[#This Row],[Home/Neutral]],division_lookup,9,FALSE)=VLOOKUP(Table2[[#This Row],[Visitor/Neutral]],division_lookup,9,FALSE),TRUE,FALSE)</f>
        <v>1</v>
      </c>
      <c r="AG116" s="15" t="str">
        <f>VLOOKUP(Table2[[#This Row],[Home/Neutral]],division_lookup,9,FALSE)</f>
        <v>SW</v>
      </c>
      <c r="AH116" s="15" t="str">
        <f>IF(Table2[[#This Row],[Total/EV]]&lt;Table2[[#This Row],[Total/V]],"UNDER","OVER")</f>
        <v>UNDER</v>
      </c>
      <c r="AI116" s="15"/>
      <c r="AJ116" s="2"/>
      <c r="AK116" s="2"/>
      <c r="AL116" s="18">
        <f>Table2[[#This Row],[SRS]]-Table2[[#This Row],[Spread]]</f>
        <v>-8.4886885245901649</v>
      </c>
      <c r="AM116" s="21">
        <f>Table2[[#This Row],[(A) Err]]^2</f>
        <v>72.05783286750875</v>
      </c>
      <c r="AN116" s="6">
        <f>Table2[[#This Row],[EV]]-Table2[[#This Row],[Spread]]</f>
        <v>3.0191475636180627</v>
      </c>
      <c r="AO116" s="1">
        <f>Table2[[#This Row],[EV Err]]^2</f>
        <v>9.1152520109008837</v>
      </c>
      <c r="AP116" s="1"/>
    </row>
    <row r="117" spans="1:42" ht="15.75" thickBot="1" x14ac:dyDescent="0.3">
      <c r="A117" s="100">
        <v>42683</v>
      </c>
      <c r="B117" s="3" t="s">
        <v>137</v>
      </c>
      <c r="C117" s="3" t="s">
        <v>110</v>
      </c>
      <c r="D117" s="3">
        <f>IF((Table2[[#This Row],[Spread]]-Table2[[#This Row],[Spread/V]])=0,1,IF(Table2[[#This Row],[Spread]]&lt;Table2[[#This Row],[Spread/V]],1,0))</f>
        <v>1</v>
      </c>
      <c r="E117" s="3">
        <v>118</v>
      </c>
      <c r="F117" s="3">
        <f>IF((Table2[[#This Row],[Spread]]-Table2[[#This Row],[Spread/V]])=0,1,IF(Table2[[#This Row],[Spread]]&gt;Table2[[#This Row],[Spread/V]],1,0))</f>
        <v>0</v>
      </c>
      <c r="G117" s="3">
        <v>93</v>
      </c>
      <c r="H117" s="8">
        <f t="shared" si="2"/>
        <v>211</v>
      </c>
      <c r="I117" s="3">
        <f>IF(Table2[[#This Row],[Total/V]]&lt;=Table2[[#This Row],[Total]],1,0)</f>
        <v>0</v>
      </c>
      <c r="J117" s="3">
        <v>212</v>
      </c>
      <c r="K117" s="3"/>
      <c r="L117" s="22">
        <f>(Table2[[#This Row],[H/Pace]]/100)*(VLOOKUP(Table2[[#This Row],[Home/Neutral]],home_lookup,8,FALSE)+VLOOKUP(Table2[[#This Row],[Home/Neutral]],OFR_lookup,2,FALSE)+VLOOKUP(Table2[[#This Row],[Visitor/Neutral]],def_diff_lookup,6,FALSE))</f>
        <v>108.58813255421872</v>
      </c>
      <c r="M117" s="22"/>
      <c r="N117" s="22">
        <f>(Table2[[#This Row],[A/Pace]]/100)*(VLOOKUP(Table2[[#This Row],[Visitor/Neutral]],OFR_lookup,2,FALSE)+VLOOKUP(Table2[[#This Row],[Home/Neutral]],def_diff_lookup,6,FALSE))</f>
        <v>107.12415133333334</v>
      </c>
      <c r="O117" s="22"/>
      <c r="P117" s="22"/>
      <c r="Q117" s="3">
        <f>VLOOKUP(Table2[[#This Row],[Home/Neutral]],pace_lookup,7,FALSE)</f>
        <v>96</v>
      </c>
      <c r="R117" s="3">
        <f>VLOOKUP(Table2[[#This Row],[Visitor/Neutral]],pace_lookup,7,FALSE)</f>
        <v>96.2</v>
      </c>
      <c r="S117" s="8">
        <f t="shared" si="3"/>
        <v>-25</v>
      </c>
      <c r="T117" s="3">
        <v>-1.5</v>
      </c>
      <c r="U117" s="16"/>
      <c r="V117" s="3"/>
      <c r="W117" s="9">
        <f>-home-VLOOKUP(Table2[[#This Row],[Home/Neutral]],rtg_vlookup,4,FALSE)+VLOOKUP(Table2[[#This Row],[Visitor/Neutral]],rtg_vlookup,4,FALSE)</f>
        <v>0.69131147540983406</v>
      </c>
      <c r="X117" s="16"/>
      <c r="Y117" s="9"/>
      <c r="Z117" s="9">
        <f>Table2[[#This Row],[A/EV]]-Table2[[#This Row],[H/EV]]</f>
        <v>-1.4639812208853726</v>
      </c>
      <c r="AA117" s="31"/>
      <c r="AB117" s="32"/>
      <c r="AC117" s="32"/>
      <c r="AD117" s="32"/>
      <c r="AE117" s="32"/>
      <c r="AF117" s="8" t="b">
        <f>IF(VLOOKUP(Table2[[#This Row],[Home/Neutral]],division_lookup,9,FALSE)=VLOOKUP(Table2[[#This Row],[Visitor/Neutral]],division_lookup,9,FALSE),TRUE,FALSE)</f>
        <v>0</v>
      </c>
      <c r="AG117" s="16" t="str">
        <f>VLOOKUP(Table2[[#This Row],[Home/Neutral]],division_lookup,9,FALSE)</f>
        <v>SE</v>
      </c>
      <c r="AH117" s="16" t="str">
        <f>IF(Table2[[#This Row],[Total/EV]]&lt;Table2[[#This Row],[Total/V]],"UNDER","OVER")</f>
        <v>UNDER</v>
      </c>
      <c r="AI117" s="16"/>
      <c r="AJ117" s="9"/>
      <c r="AK117" s="9"/>
      <c r="AL117" s="19">
        <f>Table2[[#This Row],[SRS]]-Table2[[#This Row],[Spread]]</f>
        <v>25.691311475409833</v>
      </c>
      <c r="AM117" s="22">
        <f>Table2[[#This Row],[(A) Err]]^2</f>
        <v>660.043485326525</v>
      </c>
      <c r="AN117" s="4">
        <f>Table2[[#This Row],[EV]]-Table2[[#This Row],[Spread]]</f>
        <v>23.536018779114627</v>
      </c>
      <c r="AO117" s="4">
        <f>Table2[[#This Row],[EV Err]]^2</f>
        <v>553.94417997083644</v>
      </c>
      <c r="AP117" s="6"/>
    </row>
    <row r="118" spans="1:42" x14ac:dyDescent="0.25">
      <c r="A118" s="34">
        <v>42684</v>
      </c>
      <c r="B118" t="s">
        <v>116</v>
      </c>
      <c r="C118" t="s">
        <v>118</v>
      </c>
      <c r="D118">
        <f>IF((Table2[[#This Row],[Spread]]-Table2[[#This Row],[Spread/V]])=0,1,IF(Table2[[#This Row],[Spread]]&lt;Table2[[#This Row],[Spread/V]],1,0))</f>
        <v>0</v>
      </c>
      <c r="E118">
        <v>101</v>
      </c>
      <c r="F118">
        <f>IF((Table2[[#This Row],[Spread]]-Table2[[#This Row],[Spread/V]])=0,1,IF(Table2[[#This Row],[Spread]]&gt;Table2[[#This Row],[Spread/V]],1,0))</f>
        <v>1</v>
      </c>
      <c r="G118">
        <v>125</v>
      </c>
      <c r="H118" s="7">
        <f t="shared" si="2"/>
        <v>226</v>
      </c>
      <c r="I118">
        <f>IF(Table2[[#This Row],[Total/V]]&lt;=Table2[[#This Row],[Total]],1,0)</f>
        <v>1</v>
      </c>
      <c r="J118">
        <v>223</v>
      </c>
      <c r="K118"/>
      <c r="L118" s="21">
        <f>(Table2[[#This Row],[H/Pace]]/100)*(VLOOKUP(Table2[[#This Row],[Home/Neutral]],home_lookup,8,FALSE)+VLOOKUP(Table2[[#This Row],[Home/Neutral]],OFR_lookup,2,FALSE)+VLOOKUP(Table2[[#This Row],[Visitor/Neutral]],def_diff_lookup,6,FALSE))</f>
        <v>103.78595470161864</v>
      </c>
      <c r="M118" s="21"/>
      <c r="N118" s="21">
        <f>(Table2[[#This Row],[A/Pace]]/100)*(VLOOKUP(Table2[[#This Row],[Visitor/Neutral]],OFR_lookup,2,FALSE)+VLOOKUP(Table2[[#This Row],[Home/Neutral]],def_diff_lookup,6,FALSE))</f>
        <v>117.66444933333332</v>
      </c>
      <c r="O118" s="21"/>
      <c r="P118" s="21"/>
      <c r="Q118">
        <f>VLOOKUP(Table2[[#This Row],[Home/Neutral]],pace_lookup,7,FALSE)</f>
        <v>99.1</v>
      </c>
      <c r="R118" s="5">
        <f>VLOOKUP(Table2[[#This Row],[Visitor/Neutral]],pace_lookup,7,FALSE)</f>
        <v>100.4</v>
      </c>
      <c r="S118" s="7">
        <f t="shared" si="3"/>
        <v>24</v>
      </c>
      <c r="T118">
        <v>-6.5</v>
      </c>
      <c r="U118" s="15"/>
      <c r="W118" s="2">
        <f>-home-VLOOKUP(Table2[[#This Row],[Home/Neutral]],rtg_vlookup,4,FALSE)+VLOOKUP(Table2[[#This Row],[Visitor/Neutral]],rtg_vlookup,4,FALSE)</f>
        <v>9.3813114754098343</v>
      </c>
      <c r="X118" s="15"/>
      <c r="Y118" s="2"/>
      <c r="Z118" s="2">
        <f>Table2[[#This Row],[A/EV]]-Table2[[#This Row],[H/EV]]</f>
        <v>13.878494631714688</v>
      </c>
      <c r="AA118" s="29"/>
      <c r="AB118" s="30"/>
      <c r="AC118" s="30"/>
      <c r="AD118" s="30"/>
      <c r="AE118" s="30"/>
      <c r="AF118" s="7" t="b">
        <f>IF(VLOOKUP(Table2[[#This Row],[Home/Neutral]],division_lookup,9,FALSE)=VLOOKUP(Table2[[#This Row],[Visitor/Neutral]],division_lookup,9,FALSE),TRUE,FALSE)</f>
        <v>0</v>
      </c>
      <c r="AG118" s="15" t="str">
        <f>VLOOKUP(Table2[[#This Row],[Home/Neutral]],division_lookup,9,FALSE)</f>
        <v>NW</v>
      </c>
      <c r="AH118" s="15" t="str">
        <f>IF(Table2[[#This Row],[Total/EV]]&lt;Table2[[#This Row],[Total/V]],"UNDER","OVER")</f>
        <v>UNDER</v>
      </c>
      <c r="AI118" s="15"/>
      <c r="AJ118" s="2"/>
      <c r="AK118" s="2"/>
      <c r="AL118" s="18">
        <f>Table2[[#This Row],[SRS]]-Table2[[#This Row],[Spread]]</f>
        <v>-14.618688524590166</v>
      </c>
      <c r="AM118" s="21">
        <f>Table2[[#This Row],[(A) Err]]^2</f>
        <v>213.7060541789842</v>
      </c>
      <c r="AN118" s="6">
        <f>Table2[[#This Row],[EV]]-Table2[[#This Row],[Spread]]</f>
        <v>-10.121505368285312</v>
      </c>
      <c r="AO118" s="1">
        <f>Table2[[#This Row],[EV Err]]^2</f>
        <v>102.4448709202284</v>
      </c>
      <c r="AP118" s="1"/>
    </row>
    <row r="119" spans="1:42" x14ac:dyDescent="0.25">
      <c r="A119" s="34">
        <v>42684</v>
      </c>
      <c r="B119" t="s">
        <v>124</v>
      </c>
      <c r="C119" t="s">
        <v>113</v>
      </c>
      <c r="D119">
        <f>IF((Table2[[#This Row],[Spread]]-Table2[[#This Row],[Spread/V]])=0,1,IF(Table2[[#This Row],[Spread]]&lt;Table2[[#This Row],[Spread/V]],1,0))</f>
        <v>0</v>
      </c>
      <c r="E119">
        <v>95</v>
      </c>
      <c r="F119">
        <f>IF((Table2[[#This Row],[Spread]]-Table2[[#This Row],[Spread/V]])=0,1,IF(Table2[[#This Row],[Spread]]&gt;Table2[[#This Row],[Spread/V]],1,0))</f>
        <v>1</v>
      </c>
      <c r="G119">
        <v>98</v>
      </c>
      <c r="H119" s="7">
        <f t="shared" si="2"/>
        <v>193</v>
      </c>
      <c r="I119">
        <f>IF(Table2[[#This Row],[Total/V]]&lt;=Table2[[#This Row],[Total]],1,0)</f>
        <v>0</v>
      </c>
      <c r="J119">
        <v>201</v>
      </c>
      <c r="K119"/>
      <c r="L119" s="21">
        <f>(Table2[[#This Row],[H/Pace]]/100)*(VLOOKUP(Table2[[#This Row],[Home/Neutral]],home_lookup,8,FALSE)+VLOOKUP(Table2[[#This Row],[Home/Neutral]],OFR_lookup,2,FALSE)+VLOOKUP(Table2[[#This Row],[Visitor/Neutral]],def_diff_lookup,6,FALSE))</f>
        <v>100.77028517723558</v>
      </c>
      <c r="M119" s="21"/>
      <c r="N119" s="21">
        <f>(Table2[[#This Row],[A/Pace]]/100)*(VLOOKUP(Table2[[#This Row],[Visitor/Neutral]],OFR_lookup,2,FALSE)+VLOOKUP(Table2[[#This Row],[Home/Neutral]],def_diff_lookup,6,FALSE))</f>
        <v>103.31251899999999</v>
      </c>
      <c r="O119" s="21"/>
      <c r="P119" s="21"/>
      <c r="Q119">
        <f>VLOOKUP(Table2[[#This Row],[Home/Neutral]],pace_lookup,7,FALSE)</f>
        <v>93.7</v>
      </c>
      <c r="R119" s="5">
        <f>VLOOKUP(Table2[[#This Row],[Visitor/Neutral]],pace_lookup,7,FALSE)</f>
        <v>95.1</v>
      </c>
      <c r="S119" s="7">
        <f t="shared" si="3"/>
        <v>3</v>
      </c>
      <c r="T119">
        <v>-1</v>
      </c>
      <c r="U119" s="15"/>
      <c r="W119" s="2">
        <f>-home-VLOOKUP(Table2[[#This Row],[Home/Neutral]],rtg_vlookup,4,FALSE)+VLOOKUP(Table2[[#This Row],[Visitor/Neutral]],rtg_vlookup,4,FALSE)</f>
        <v>3.0713114754098347</v>
      </c>
      <c r="X119" s="15"/>
      <c r="Y119" s="2"/>
      <c r="Z119" s="2">
        <f>Table2[[#This Row],[A/EV]]-Table2[[#This Row],[H/EV]]</f>
        <v>2.5422338227644161</v>
      </c>
      <c r="AA119" s="29"/>
      <c r="AB119" s="30"/>
      <c r="AC119" s="30"/>
      <c r="AD119" s="30"/>
      <c r="AE119" s="30"/>
      <c r="AF119" s="7" t="b">
        <f>IF(VLOOKUP(Table2[[#This Row],[Home/Neutral]],division_lookup,9,FALSE)=VLOOKUP(Table2[[#This Row],[Visitor/Neutral]],division_lookup,9,FALSE),TRUE,FALSE)</f>
        <v>0</v>
      </c>
      <c r="AG119" s="15" t="str">
        <f>VLOOKUP(Table2[[#This Row],[Home/Neutral]],division_lookup,9,FALSE)</f>
        <v>SE</v>
      </c>
      <c r="AH119" s="15" t="str">
        <f>IF(Table2[[#This Row],[Total/EV]]&lt;Table2[[#This Row],[Total/V]],"UNDER","OVER")</f>
        <v>UNDER</v>
      </c>
      <c r="AI119" s="15"/>
      <c r="AJ119" s="2"/>
      <c r="AK119" s="2"/>
      <c r="AL119" s="18">
        <f>Table2[[#This Row],[SRS]]-Table2[[#This Row],[Spread]]</f>
        <v>7.1311475409834735E-2</v>
      </c>
      <c r="AM119" s="21">
        <f>Table2[[#This Row],[(A) Err]]^2</f>
        <v>5.0853265251274643E-3</v>
      </c>
      <c r="AN119" s="6">
        <f>Table2[[#This Row],[EV]]-Table2[[#This Row],[Spread]]</f>
        <v>-0.45776617723558388</v>
      </c>
      <c r="AO119" s="1">
        <f>Table2[[#This Row],[EV Err]]^2</f>
        <v>0.20954987302087999</v>
      </c>
      <c r="AP119" s="1"/>
    </row>
    <row r="120" spans="1:42" x14ac:dyDescent="0.25">
      <c r="A120" s="34">
        <v>42684</v>
      </c>
      <c r="B120" t="s">
        <v>125</v>
      </c>
      <c r="C120" t="s">
        <v>127</v>
      </c>
      <c r="D120">
        <f>IF((Table2[[#This Row],[Spread]]-Table2[[#This Row],[Spread/V]])=0,1,IF(Table2[[#This Row],[Spread]]&lt;Table2[[#This Row],[Spread/V]],1,0))</f>
        <v>0</v>
      </c>
      <c r="E120">
        <v>106</v>
      </c>
      <c r="F120">
        <f>IF((Table2[[#This Row],[Spread]]-Table2[[#This Row],[Spread/V]])=0,1,IF(Table2[[#This Row],[Spread]]&gt;Table2[[#This Row],[Spread/V]],1,0))</f>
        <v>1</v>
      </c>
      <c r="G120">
        <v>112</v>
      </c>
      <c r="H120" s="7">
        <f t="shared" si="2"/>
        <v>218</v>
      </c>
      <c r="I120">
        <f>IF(Table2[[#This Row],[Total/V]]&lt;=Table2[[#This Row],[Total]],1,0)</f>
        <v>1</v>
      </c>
      <c r="J120">
        <v>206.5</v>
      </c>
      <c r="K120"/>
      <c r="L120" s="21">
        <f>(Table2[[#This Row],[H/Pace]]/100)*(VLOOKUP(Table2[[#This Row],[Home/Neutral]],home_lookup,8,FALSE)+VLOOKUP(Table2[[#This Row],[Home/Neutral]],OFR_lookup,2,FALSE)+VLOOKUP(Table2[[#This Row],[Visitor/Neutral]],def_diff_lookup,6,FALSE))</f>
        <v>107.24837550061908</v>
      </c>
      <c r="M120" s="21"/>
      <c r="N120" s="21">
        <f>(Table2[[#This Row],[A/Pace]]/100)*(VLOOKUP(Table2[[#This Row],[Visitor/Neutral]],OFR_lookup,2,FALSE)+VLOOKUP(Table2[[#This Row],[Home/Neutral]],def_diff_lookup,6,FALSE))</f>
        <v>104.03230699999999</v>
      </c>
      <c r="O120" s="21"/>
      <c r="P120" s="21"/>
      <c r="Q120">
        <f>VLOOKUP(Table2[[#This Row],[Home/Neutral]],pace_lookup,7,FALSE)</f>
        <v>96.1</v>
      </c>
      <c r="R120" s="5">
        <f>VLOOKUP(Table2[[#This Row],[Visitor/Neutral]],pace_lookup,7,FALSE)</f>
        <v>99.3</v>
      </c>
      <c r="S120" s="7">
        <f t="shared" si="3"/>
        <v>6</v>
      </c>
      <c r="T120">
        <v>-5</v>
      </c>
      <c r="U120" s="15"/>
      <c r="W120" s="2">
        <f>-home-VLOOKUP(Table2[[#This Row],[Home/Neutral]],rtg_vlookup,4,FALSE)+VLOOKUP(Table2[[#This Row],[Visitor/Neutral]],rtg_vlookup,4,FALSE)</f>
        <v>-2.958688524590166</v>
      </c>
      <c r="X120" s="15"/>
      <c r="Y120" s="2"/>
      <c r="Z120" s="2">
        <f>Table2[[#This Row],[A/EV]]-Table2[[#This Row],[H/EV]]</f>
        <v>-3.2160685006190874</v>
      </c>
      <c r="AA120" s="29"/>
      <c r="AB120" s="30"/>
      <c r="AC120" s="30"/>
      <c r="AD120" s="30"/>
      <c r="AE120" s="30"/>
      <c r="AF120" s="7" t="b">
        <f>IF(VLOOKUP(Table2[[#This Row],[Home/Neutral]],division_lookup,9,FALSE)=VLOOKUP(Table2[[#This Row],[Visitor/Neutral]],division_lookup,9,FALSE),TRUE,FALSE)</f>
        <v>0</v>
      </c>
      <c r="AG120" s="15" t="str">
        <f>VLOOKUP(Table2[[#This Row],[Home/Neutral]],division_lookup,9,FALSE)</f>
        <v>C</v>
      </c>
      <c r="AH120" s="15" t="str">
        <f>IF(Table2[[#This Row],[Total/EV]]&lt;Table2[[#This Row],[Total/V]],"UNDER","OVER")</f>
        <v>UNDER</v>
      </c>
      <c r="AI120" s="15"/>
      <c r="AJ120" s="2"/>
      <c r="AK120" s="2"/>
      <c r="AL120" s="18">
        <f>Table2[[#This Row],[SRS]]-Table2[[#This Row],[Spread]]</f>
        <v>-8.9586885245901655</v>
      </c>
      <c r="AM120" s="21">
        <f>Table2[[#This Row],[(A) Err]]^2</f>
        <v>80.258100080623521</v>
      </c>
      <c r="AN120" s="6">
        <f>Table2[[#This Row],[EV]]-Table2[[#This Row],[Spread]]</f>
        <v>-9.2160685006190874</v>
      </c>
      <c r="AO120" s="1">
        <f>Table2[[#This Row],[EV Err]]^2</f>
        <v>84.93591860810335</v>
      </c>
      <c r="AP120" s="1"/>
    </row>
    <row r="121" spans="1:42" ht="15.75" thickBot="1" x14ac:dyDescent="0.3">
      <c r="A121" s="100">
        <v>42684</v>
      </c>
      <c r="B121" s="3" t="s">
        <v>133</v>
      </c>
      <c r="C121" s="3" t="s">
        <v>122</v>
      </c>
      <c r="D121" s="3">
        <f>IF((Table2[[#This Row],[Spread]]-Table2[[#This Row],[Spread/V]])=0,1,IF(Table2[[#This Row],[Spread]]&lt;Table2[[#This Row],[Spread/V]],1,0))</f>
        <v>0</v>
      </c>
      <c r="E121" s="3">
        <v>91</v>
      </c>
      <c r="F121" s="3">
        <f>IF((Table2[[#This Row],[Spread]]-Table2[[#This Row],[Spread/V]])=0,1,IF(Table2[[#This Row],[Spread]]&gt;Table2[[#This Row],[Spread/V]],1,0))</f>
        <v>1</v>
      </c>
      <c r="G121" s="3">
        <v>101</v>
      </c>
      <c r="H121" s="8">
        <f t="shared" si="2"/>
        <v>192</v>
      </c>
      <c r="I121" s="3">
        <f>IF(Table2[[#This Row],[Total/V]]&lt;=Table2[[#This Row],[Total]],1,0)</f>
        <v>0</v>
      </c>
      <c r="J121" s="3">
        <v>211</v>
      </c>
      <c r="K121" s="3"/>
      <c r="L121" s="22">
        <f>(Table2[[#This Row],[H/Pace]]/100)*(VLOOKUP(Table2[[#This Row],[Home/Neutral]],home_lookup,8,FALSE)+VLOOKUP(Table2[[#This Row],[Home/Neutral]],OFR_lookup,2,FALSE)+VLOOKUP(Table2[[#This Row],[Visitor/Neutral]],def_diff_lookup,6,FALSE))</f>
        <v>112.33750748279979</v>
      </c>
      <c r="M121" s="22"/>
      <c r="N121" s="22">
        <f>(Table2[[#This Row],[A/Pace]]/100)*(VLOOKUP(Table2[[#This Row],[Visitor/Neutral]],OFR_lookup,2,FALSE)+VLOOKUP(Table2[[#This Row],[Home/Neutral]],def_diff_lookup,6,FALSE))</f>
        <v>112.43007799999999</v>
      </c>
      <c r="O121" s="22"/>
      <c r="P121" s="22"/>
      <c r="Q121" s="3">
        <f>VLOOKUP(Table2[[#This Row],[Home/Neutral]],pace_lookup,7,FALSE)</f>
        <v>94.2</v>
      </c>
      <c r="R121" s="3">
        <f>VLOOKUP(Table2[[#This Row],[Visitor/Neutral]],pace_lookup,7,FALSE)</f>
        <v>100.2</v>
      </c>
      <c r="S121" s="8">
        <f t="shared" si="3"/>
        <v>10</v>
      </c>
      <c r="T121" s="3">
        <v>-5.5</v>
      </c>
      <c r="U121" s="16"/>
      <c r="V121" s="3"/>
      <c r="W121" s="9">
        <f>-home-VLOOKUP(Table2[[#This Row],[Home/Neutral]],rtg_vlookup,4,FALSE)+VLOOKUP(Table2[[#This Row],[Visitor/Neutral]],rtg_vlookup,4,FALSE)</f>
        <v>-3.1086885245901659</v>
      </c>
      <c r="X121" s="16"/>
      <c r="Y121" s="9"/>
      <c r="Z121" s="9">
        <f>Table2[[#This Row],[A/EV]]-Table2[[#This Row],[H/EV]]</f>
        <v>9.2570517200201152E-2</v>
      </c>
      <c r="AA121" s="31"/>
      <c r="AB121" s="32"/>
      <c r="AC121" s="32"/>
      <c r="AD121" s="32"/>
      <c r="AE121" s="32"/>
      <c r="AF121" s="8" t="b">
        <f>IF(VLOOKUP(Table2[[#This Row],[Home/Neutral]],division_lookup,9,FALSE)=VLOOKUP(Table2[[#This Row],[Visitor/Neutral]],division_lookup,9,FALSE),TRUE,FALSE)</f>
        <v>1</v>
      </c>
      <c r="AG121" s="16" t="str">
        <f>VLOOKUP(Table2[[#This Row],[Home/Neutral]],division_lookup,9,FALSE)</f>
        <v>P</v>
      </c>
      <c r="AH121" s="16" t="str">
        <f>IF(Table2[[#This Row],[Total/EV]]&lt;Table2[[#This Row],[Total/V]],"UNDER","OVER")</f>
        <v>UNDER</v>
      </c>
      <c r="AI121" s="16"/>
      <c r="AJ121" s="9"/>
      <c r="AK121" s="9"/>
      <c r="AL121" s="19">
        <f>Table2[[#This Row],[SRS]]-Table2[[#This Row],[Spread]]</f>
        <v>-13.108688524590166</v>
      </c>
      <c r="AM121" s="22">
        <f>Table2[[#This Row],[(A) Err]]^2</f>
        <v>171.83771483472191</v>
      </c>
      <c r="AN121" s="4">
        <f>Table2[[#This Row],[EV]]-Table2[[#This Row],[Spread]]</f>
        <v>-9.9074294827997988</v>
      </c>
      <c r="AO121" s="4">
        <f>Table2[[#This Row],[EV Err]]^2</f>
        <v>98.15715895665069</v>
      </c>
      <c r="AP121" s="6"/>
    </row>
    <row r="122" spans="1:42" x14ac:dyDescent="0.25">
      <c r="A122" s="34">
        <v>42685</v>
      </c>
      <c r="B122" t="s">
        <v>110</v>
      </c>
      <c r="C122" t="s">
        <v>128</v>
      </c>
      <c r="D122">
        <f>IF((Table2[[#This Row],[Spread]]-Table2[[#This Row],[Spread/V]])=0,1,IF(Table2[[#This Row],[Spread]]&lt;Table2[[#This Row],[Spread/V]],1,0))</f>
        <v>1</v>
      </c>
      <c r="E122">
        <v>115</v>
      </c>
      <c r="F122">
        <f>IF((Table2[[#This Row],[Spread]]-Table2[[#This Row],[Spread/V]])=0,1,IF(Table2[[#This Row],[Spread]]&gt;Table2[[#This Row],[Spread/V]],1,0))</f>
        <v>0</v>
      </c>
      <c r="G122">
        <v>87</v>
      </c>
      <c r="H122" s="7">
        <f t="shared" si="2"/>
        <v>202</v>
      </c>
      <c r="I122">
        <f>IF(Table2[[#This Row],[Total/V]]&lt;=Table2[[#This Row],[Total]],1,0)</f>
        <v>0</v>
      </c>
      <c r="J122">
        <v>215</v>
      </c>
      <c r="K122"/>
      <c r="L122" s="21">
        <f>(Table2[[#This Row],[H/Pace]]/100)*(VLOOKUP(Table2[[#This Row],[Home/Neutral]],home_lookup,8,FALSE)+VLOOKUP(Table2[[#This Row],[Home/Neutral]],OFR_lookup,2,FALSE)+VLOOKUP(Table2[[#This Row],[Visitor/Neutral]],def_diff_lookup,6,FALSE))</f>
        <v>108.78375118900941</v>
      </c>
      <c r="M122" s="21"/>
      <c r="N122" s="21">
        <f>(Table2[[#This Row],[A/Pace]]/100)*(VLOOKUP(Table2[[#This Row],[Visitor/Neutral]],OFR_lookup,2,FALSE)+VLOOKUP(Table2[[#This Row],[Home/Neutral]],def_diff_lookup,6,FALSE))</f>
        <v>104.63540699999999</v>
      </c>
      <c r="O122" s="21"/>
      <c r="P122" s="21"/>
      <c r="Q122">
        <f>VLOOKUP(Table2[[#This Row],[Home/Neutral]],pace_lookup,7,FALSE)</f>
        <v>96.2</v>
      </c>
      <c r="R122" s="5">
        <f>VLOOKUP(Table2[[#This Row],[Visitor/Neutral]],pace_lookup,7,FALSE)</f>
        <v>96.3</v>
      </c>
      <c r="S122" s="7">
        <f t="shared" si="3"/>
        <v>-28</v>
      </c>
      <c r="T122">
        <v>-4.5</v>
      </c>
      <c r="U122" s="15"/>
      <c r="W122" s="2">
        <f>-home-VLOOKUP(Table2[[#This Row],[Home/Neutral]],rtg_vlookup,4,FALSE)+VLOOKUP(Table2[[#This Row],[Visitor/Neutral]],rtg_vlookup,4,FALSE)</f>
        <v>-5.1186885245901657</v>
      </c>
      <c r="X122" s="15"/>
      <c r="Y122" s="2"/>
      <c r="Z122" s="2">
        <f>Table2[[#This Row],[A/EV]]-Table2[[#This Row],[H/EV]]</f>
        <v>-4.1483441890094213</v>
      </c>
      <c r="AA122" s="29"/>
      <c r="AB122" s="30"/>
      <c r="AC122" s="30"/>
      <c r="AD122" s="30"/>
      <c r="AE122" s="30"/>
      <c r="AF122" s="7" t="b">
        <f>IF(VLOOKUP(Table2[[#This Row],[Home/Neutral]],division_lookup,9,FALSE)=VLOOKUP(Table2[[#This Row],[Visitor/Neutral]],division_lookup,9,FALSE),TRUE,FALSE)</f>
        <v>1</v>
      </c>
      <c r="AG122" s="15" t="str">
        <f>VLOOKUP(Table2[[#This Row],[Home/Neutral]],division_lookup,9,FALSE)</f>
        <v>A</v>
      </c>
      <c r="AH122" s="15" t="str">
        <f>IF(Table2[[#This Row],[Total/EV]]&lt;Table2[[#This Row],[Total/V]],"UNDER","OVER")</f>
        <v>UNDER</v>
      </c>
      <c r="AI122" s="15"/>
      <c r="AJ122" s="2"/>
      <c r="AK122" s="2"/>
      <c r="AL122" s="18">
        <f>Table2[[#This Row],[SRS]]-Table2[[#This Row],[Spread]]</f>
        <v>22.881311475409834</v>
      </c>
      <c r="AM122" s="21">
        <f>Table2[[#This Row],[(A) Err]]^2</f>
        <v>523.5544148347218</v>
      </c>
      <c r="AN122" s="6">
        <f>Table2[[#This Row],[EV]]-Table2[[#This Row],[Spread]]</f>
        <v>23.851655810990579</v>
      </c>
      <c r="AO122" s="1">
        <f>Table2[[#This Row],[EV Err]]^2</f>
        <v>568.90148492596063</v>
      </c>
      <c r="AP122" s="1"/>
    </row>
    <row r="123" spans="1:42" x14ac:dyDescent="0.25">
      <c r="A123" s="34">
        <v>42685</v>
      </c>
      <c r="B123" t="s">
        <v>112</v>
      </c>
      <c r="C123" t="s">
        <v>135</v>
      </c>
      <c r="D123">
        <f>IF((Table2[[#This Row],[Spread]]-Table2[[#This Row],[Spread/V]])=0,1,IF(Table2[[#This Row],[Spread]]&lt;Table2[[#This Row],[Spread/V]],1,0))</f>
        <v>0</v>
      </c>
      <c r="E123">
        <v>111</v>
      </c>
      <c r="F123">
        <f>IF((Table2[[#This Row],[Spread]]-Table2[[#This Row],[Spread/V]])=0,1,IF(Table2[[#This Row],[Spread]]&gt;Table2[[#This Row],[Spread/V]],1,0))</f>
        <v>1</v>
      </c>
      <c r="G123">
        <v>113</v>
      </c>
      <c r="H123" s="7">
        <f t="shared" si="2"/>
        <v>224</v>
      </c>
      <c r="I123">
        <f>IF(Table2[[#This Row],[Total/V]]&lt;=Table2[[#This Row],[Total]],1,0)</f>
        <v>1</v>
      </c>
      <c r="J123">
        <v>203</v>
      </c>
      <c r="K123"/>
      <c r="L123" s="21">
        <f>(Table2[[#This Row],[H/Pace]]/100)*(VLOOKUP(Table2[[#This Row],[Home/Neutral]],home_lookup,8,FALSE)+VLOOKUP(Table2[[#This Row],[Home/Neutral]],OFR_lookup,2,FALSE)+VLOOKUP(Table2[[#This Row],[Visitor/Neutral]],def_diff_lookup,6,FALSE))</f>
        <v>105.05636195313484</v>
      </c>
      <c r="M123" s="21"/>
      <c r="N123" s="21">
        <f>(Table2[[#This Row],[A/Pace]]/100)*(VLOOKUP(Table2[[#This Row],[Visitor/Neutral]],OFR_lookup,2,FALSE)+VLOOKUP(Table2[[#This Row],[Home/Neutral]],def_diff_lookup,6,FALSE))</f>
        <v>107.387646</v>
      </c>
      <c r="O123" s="21"/>
      <c r="P123" s="21"/>
      <c r="Q123">
        <f>VLOOKUP(Table2[[#This Row],[Home/Neutral]],pace_lookup,7,FALSE)</f>
        <v>97.4</v>
      </c>
      <c r="R123" s="5">
        <f>VLOOKUP(Table2[[#This Row],[Visitor/Neutral]],pace_lookup,7,FALSE)</f>
        <v>95.4</v>
      </c>
      <c r="S123" s="7">
        <f t="shared" si="3"/>
        <v>2</v>
      </c>
      <c r="T123">
        <v>0</v>
      </c>
      <c r="U123" s="15"/>
      <c r="W123" s="2">
        <f>-home-VLOOKUP(Table2[[#This Row],[Home/Neutral]],rtg_vlookup,4,FALSE)+VLOOKUP(Table2[[#This Row],[Visitor/Neutral]],rtg_vlookup,4,FALSE)</f>
        <v>1.1213114754098346</v>
      </c>
      <c r="X123" s="15"/>
      <c r="Y123" s="2"/>
      <c r="Z123" s="2">
        <f>Table2[[#This Row],[A/EV]]-Table2[[#This Row],[H/EV]]</f>
        <v>2.3312840468651643</v>
      </c>
      <c r="AA123" s="29"/>
      <c r="AB123" s="30"/>
      <c r="AC123" s="30"/>
      <c r="AD123" s="30"/>
      <c r="AE123" s="30"/>
      <c r="AF123" s="7" t="b">
        <f>IF(VLOOKUP(Table2[[#This Row],[Home/Neutral]],division_lookup,9,FALSE)=VLOOKUP(Table2[[#This Row],[Visitor/Neutral]],division_lookup,9,FALSE),TRUE,FALSE)</f>
        <v>0</v>
      </c>
      <c r="AG123" s="15" t="str">
        <f>VLOOKUP(Table2[[#This Row],[Home/Neutral]],division_lookup,9,FALSE)</f>
        <v>SE</v>
      </c>
      <c r="AH123" s="15" t="str">
        <f>IF(Table2[[#This Row],[Total/EV]]&lt;Table2[[#This Row],[Total/V]],"UNDER","OVER")</f>
        <v>UNDER</v>
      </c>
      <c r="AI123" s="15"/>
      <c r="AJ123" s="2"/>
      <c r="AK123" s="2"/>
      <c r="AL123" s="18">
        <f>Table2[[#This Row],[SRS]]-Table2[[#This Row],[Spread]]</f>
        <v>-0.87868852459016544</v>
      </c>
      <c r="AM123" s="21">
        <f>Table2[[#This Row],[(A) Err]]^2</f>
        <v>0.77209352324644176</v>
      </c>
      <c r="AN123" s="6">
        <f>Table2[[#This Row],[EV]]-Table2[[#This Row],[Spread]]</f>
        <v>0.33128404686516433</v>
      </c>
      <c r="AO123" s="1">
        <f>Table2[[#This Row],[EV Err]]^2</f>
        <v>0.1097491197073604</v>
      </c>
      <c r="AP123" s="1"/>
    </row>
    <row r="124" spans="1:42" x14ac:dyDescent="0.25">
      <c r="A124" s="34">
        <v>42685</v>
      </c>
      <c r="B124" t="s">
        <v>129</v>
      </c>
      <c r="C124" t="s">
        <v>121</v>
      </c>
      <c r="D124">
        <f>IF((Table2[[#This Row],[Spread]]-Table2[[#This Row],[Spread/V]])=0,1,IF(Table2[[#This Row],[Spread]]&lt;Table2[[#This Row],[Spread/V]],1,0))</f>
        <v>0</v>
      </c>
      <c r="E124">
        <v>108</v>
      </c>
      <c r="F124">
        <f>IF((Table2[[#This Row],[Spread]]-Table2[[#This Row],[Spread/V]])=0,1,IF(Table2[[#This Row],[Spread]]&gt;Table2[[#This Row],[Spread/V]],1,0))</f>
        <v>1</v>
      </c>
      <c r="G124">
        <v>110</v>
      </c>
      <c r="H124" s="7">
        <f t="shared" si="2"/>
        <v>218</v>
      </c>
      <c r="I124">
        <f>IF(Table2[[#This Row],[Total/V]]&lt;=Table2[[#This Row],[Total]],1,0)</f>
        <v>1</v>
      </c>
      <c r="J124">
        <v>206</v>
      </c>
      <c r="K124"/>
      <c r="L124" s="21">
        <f>(Table2[[#This Row],[H/Pace]]/100)*(VLOOKUP(Table2[[#This Row],[Home/Neutral]],home_lookup,8,FALSE)+VLOOKUP(Table2[[#This Row],[Home/Neutral]],OFR_lookup,2,FALSE)+VLOOKUP(Table2[[#This Row],[Visitor/Neutral]],def_diff_lookup,6,FALSE))</f>
        <v>103.17410376890108</v>
      </c>
      <c r="M124" s="21"/>
      <c r="N124" s="21">
        <f>(Table2[[#This Row],[A/Pace]]/100)*(VLOOKUP(Table2[[#This Row],[Visitor/Neutral]],OFR_lookup,2,FALSE)+VLOOKUP(Table2[[#This Row],[Home/Neutral]],def_diff_lookup,6,FALSE))</f>
        <v>109.11098266666667</v>
      </c>
      <c r="O124" s="21"/>
      <c r="P124" s="21"/>
      <c r="Q124">
        <f>VLOOKUP(Table2[[#This Row],[Home/Neutral]],pace_lookup,7,FALSE)</f>
        <v>99</v>
      </c>
      <c r="R124" s="5">
        <f>VLOOKUP(Table2[[#This Row],[Visitor/Neutral]],pace_lookup,7,FALSE)</f>
        <v>96.4</v>
      </c>
      <c r="S124" s="7">
        <f t="shared" si="3"/>
        <v>2</v>
      </c>
      <c r="T124">
        <v>-5</v>
      </c>
      <c r="U124" s="15"/>
      <c r="W124" s="2">
        <f>-home-VLOOKUP(Table2[[#This Row],[Home/Neutral]],rtg_vlookup,4,FALSE)+VLOOKUP(Table2[[#This Row],[Visitor/Neutral]],rtg_vlookup,4,FALSE)</f>
        <v>8.4413114754098348</v>
      </c>
      <c r="X124" s="15"/>
      <c r="Y124" s="2"/>
      <c r="Z124" s="2">
        <f>Table2[[#This Row],[A/EV]]-Table2[[#This Row],[H/EV]]</f>
        <v>5.9368788977655953</v>
      </c>
      <c r="AA124" s="29"/>
      <c r="AB124" s="30"/>
      <c r="AC124" s="30"/>
      <c r="AD124" s="30"/>
      <c r="AE124" s="30"/>
      <c r="AF124" s="7" t="b">
        <f>IF(VLOOKUP(Table2[[#This Row],[Home/Neutral]],division_lookup,9,FALSE)=VLOOKUP(Table2[[#This Row],[Visitor/Neutral]],division_lookup,9,FALSE),TRUE,FALSE)</f>
        <v>0</v>
      </c>
      <c r="AG124" s="15" t="str">
        <f>VLOOKUP(Table2[[#This Row],[Home/Neutral]],division_lookup,9,FALSE)</f>
        <v>NW</v>
      </c>
      <c r="AH124" s="15" t="str">
        <f>IF(Table2[[#This Row],[Total/EV]]&lt;Table2[[#This Row],[Total/V]],"UNDER","OVER")</f>
        <v>UNDER</v>
      </c>
      <c r="AI124" s="15"/>
      <c r="AJ124" s="2"/>
      <c r="AK124" s="2"/>
      <c r="AL124" s="18">
        <f>Table2[[#This Row],[SRS]]-Table2[[#This Row],[Spread]]</f>
        <v>6.4413114754098348</v>
      </c>
      <c r="AM124" s="21">
        <f>Table2[[#This Row],[(A) Err]]^2</f>
        <v>41.490493523246421</v>
      </c>
      <c r="AN124" s="6">
        <f>Table2[[#This Row],[EV]]-Table2[[#This Row],[Spread]]</f>
        <v>3.9368788977655953</v>
      </c>
      <c r="AO124" s="1">
        <f>Table2[[#This Row],[EV Err]]^2</f>
        <v>15.499015455672049</v>
      </c>
      <c r="AP124" s="1"/>
    </row>
    <row r="125" spans="1:42" x14ac:dyDescent="0.25">
      <c r="A125" s="34">
        <v>42685</v>
      </c>
      <c r="B125" t="s">
        <v>130</v>
      </c>
      <c r="C125" t="s">
        <v>136</v>
      </c>
      <c r="D125">
        <f>IF((Table2[[#This Row],[Spread]]-Table2[[#This Row],[Spread/V]])=0,1,IF(Table2[[#This Row],[Spread]]&lt;Table2[[#This Row],[Spread/V]],1,0))</f>
        <v>0</v>
      </c>
      <c r="E125">
        <v>74</v>
      </c>
      <c r="F125">
        <f>IF((Table2[[#This Row],[Spread]]-Table2[[#This Row],[Spread/V]])=0,1,IF(Table2[[#This Row],[Spread]]&gt;Table2[[#This Row],[Spread/V]],1,0))</f>
        <v>1</v>
      </c>
      <c r="G125">
        <v>87</v>
      </c>
      <c r="H125" s="7">
        <f t="shared" si="2"/>
        <v>161</v>
      </c>
      <c r="I125">
        <f>IF(Table2[[#This Row],[Total/V]]&lt;=Table2[[#This Row],[Total]],1,0)</f>
        <v>0</v>
      </c>
      <c r="J125">
        <v>190.5</v>
      </c>
      <c r="K125"/>
      <c r="L125" s="21">
        <f>(Table2[[#This Row],[H/Pace]]/100)*(VLOOKUP(Table2[[#This Row],[Home/Neutral]],home_lookup,8,FALSE)+VLOOKUP(Table2[[#This Row],[Home/Neutral]],OFR_lookup,2,FALSE)+VLOOKUP(Table2[[#This Row],[Visitor/Neutral]],def_diff_lookup,6,FALSE))</f>
        <v>92.258204967109393</v>
      </c>
      <c r="M125" s="21"/>
      <c r="N125" s="21">
        <f>(Table2[[#This Row],[A/Pace]]/100)*(VLOOKUP(Table2[[#This Row],[Visitor/Neutral]],OFR_lookup,2,FALSE)+VLOOKUP(Table2[[#This Row],[Home/Neutral]],def_diff_lookup,6,FALSE))</f>
        <v>97.196484999999996</v>
      </c>
      <c r="O125" s="21"/>
      <c r="P125" s="21"/>
      <c r="Q125">
        <f>VLOOKUP(Table2[[#This Row],[Home/Neutral]],pace_lookup,7,FALSE)</f>
        <v>94.2</v>
      </c>
      <c r="R125" s="5">
        <f>VLOOKUP(Table2[[#This Row],[Visitor/Neutral]],pace_lookup,7,FALSE)</f>
        <v>91.5</v>
      </c>
      <c r="S125" s="7">
        <f t="shared" si="3"/>
        <v>13</v>
      </c>
      <c r="T125">
        <v>-4.5</v>
      </c>
      <c r="U125" s="15"/>
      <c r="W125" s="2">
        <f>-home-VLOOKUP(Table2[[#This Row],[Home/Neutral]],rtg_vlookup,4,FALSE)+VLOOKUP(Table2[[#This Row],[Visitor/Neutral]],rtg_vlookup,4,FALSE)</f>
        <v>10.101311475409835</v>
      </c>
      <c r="X125" s="15"/>
      <c r="Y125" s="2"/>
      <c r="Z125" s="2">
        <f>Table2[[#This Row],[A/EV]]-Table2[[#This Row],[H/EV]]</f>
        <v>4.9382800328906029</v>
      </c>
      <c r="AA125" s="29"/>
      <c r="AB125" s="30"/>
      <c r="AC125" s="30"/>
      <c r="AD125" s="30"/>
      <c r="AE125" s="30"/>
      <c r="AF125" s="7" t="b">
        <f>IF(VLOOKUP(Table2[[#This Row],[Home/Neutral]],division_lookup,9,FALSE)=VLOOKUP(Table2[[#This Row],[Visitor/Neutral]],division_lookup,9,FALSE),TRUE,FALSE)</f>
        <v>0</v>
      </c>
      <c r="AG125" s="15" t="str">
        <f>VLOOKUP(Table2[[#This Row],[Home/Neutral]],division_lookup,9,FALSE)</f>
        <v>SE</v>
      </c>
      <c r="AH125" s="15" t="str">
        <f>IF(Table2[[#This Row],[Total/EV]]&lt;Table2[[#This Row],[Total/V]],"UNDER","OVER")</f>
        <v>UNDER</v>
      </c>
      <c r="AI125" s="15"/>
      <c r="AJ125" s="2"/>
      <c r="AK125" s="2"/>
      <c r="AL125" s="18">
        <f>Table2[[#This Row],[SRS]]-Table2[[#This Row],[Spread]]</f>
        <v>-2.898688524590165</v>
      </c>
      <c r="AM125" s="21">
        <f>Table2[[#This Row],[(A) Err]]^2</f>
        <v>8.4023951625907074</v>
      </c>
      <c r="AN125" s="6">
        <f>Table2[[#This Row],[EV]]-Table2[[#This Row],[Spread]]</f>
        <v>-8.0617199671093971</v>
      </c>
      <c r="AO125" s="1">
        <f>Table2[[#This Row],[EV Err]]^2</f>
        <v>64.991328828090332</v>
      </c>
      <c r="AP125" s="1"/>
    </row>
    <row r="126" spans="1:42" x14ac:dyDescent="0.25">
      <c r="A126" s="34">
        <v>42685</v>
      </c>
      <c r="B126" t="s">
        <v>138</v>
      </c>
      <c r="C126" t="s">
        <v>120</v>
      </c>
      <c r="D126">
        <f>IF((Table2[[#This Row],[Spread]]-Table2[[#This Row],[Spread/V]])=0,1,IF(Table2[[#This Row],[Spread]]&lt;Table2[[#This Row],[Spread/V]],1,0))</f>
        <v>0</v>
      </c>
      <c r="E126">
        <v>109</v>
      </c>
      <c r="F126">
        <f>IF((Table2[[#This Row],[Spread]]-Table2[[#This Row],[Spread/V]])=0,1,IF(Table2[[#This Row],[Spread]]&gt;Table2[[#This Row],[Spread/V]],1,0))</f>
        <v>1</v>
      </c>
      <c r="G126">
        <v>105</v>
      </c>
      <c r="H126" s="7">
        <f t="shared" si="2"/>
        <v>214</v>
      </c>
      <c r="I126">
        <f>IF(Table2[[#This Row],[Total/V]]&lt;=Table2[[#This Row],[Total]],1,0)</f>
        <v>1</v>
      </c>
      <c r="J126">
        <v>213</v>
      </c>
      <c r="K126"/>
      <c r="L126" s="21">
        <f>(Table2[[#This Row],[H/Pace]]/100)*(VLOOKUP(Table2[[#This Row],[Home/Neutral]],home_lookup,8,FALSE)+VLOOKUP(Table2[[#This Row],[Home/Neutral]],OFR_lookup,2,FALSE)+VLOOKUP(Table2[[#This Row],[Visitor/Neutral]],def_diff_lookup,6,FALSE))</f>
        <v>100.82103353124009</v>
      </c>
      <c r="M126" s="21"/>
      <c r="N126" s="21">
        <f>(Table2[[#This Row],[A/Pace]]/100)*(VLOOKUP(Table2[[#This Row],[Visitor/Neutral]],OFR_lookup,2,FALSE)+VLOOKUP(Table2[[#This Row],[Home/Neutral]],def_diff_lookup,6,FALSE))</f>
        <v>103.63343033333334</v>
      </c>
      <c r="O126" s="21"/>
      <c r="P126" s="21"/>
      <c r="Q126">
        <f>VLOOKUP(Table2[[#This Row],[Home/Neutral]],pace_lookup,7,FALSE)</f>
        <v>97.5</v>
      </c>
      <c r="R126" s="5">
        <f>VLOOKUP(Table2[[#This Row],[Visitor/Neutral]],pace_lookup,7,FALSE)</f>
        <v>98.3</v>
      </c>
      <c r="S126" s="7">
        <f t="shared" si="3"/>
        <v>-4</v>
      </c>
      <c r="T126">
        <v>-5.5</v>
      </c>
      <c r="U126" s="15"/>
      <c r="W126" s="2">
        <f>-home-VLOOKUP(Table2[[#This Row],[Home/Neutral]],rtg_vlookup,4,FALSE)+VLOOKUP(Table2[[#This Row],[Visitor/Neutral]],rtg_vlookup,4,FALSE)</f>
        <v>2.1513114754098348</v>
      </c>
      <c r="X126" s="15"/>
      <c r="Y126" s="2"/>
      <c r="Z126" s="2">
        <f>Table2[[#This Row],[A/EV]]-Table2[[#This Row],[H/EV]]</f>
        <v>2.8123968020932466</v>
      </c>
      <c r="AA126" s="29"/>
      <c r="AB126" s="30"/>
      <c r="AC126" s="30"/>
      <c r="AD126" s="30"/>
      <c r="AE126" s="30"/>
      <c r="AF126" s="7" t="b">
        <f>IF(VLOOKUP(Table2[[#This Row],[Home/Neutral]],division_lookup,9,FALSE)=VLOOKUP(Table2[[#This Row],[Visitor/Neutral]],division_lookup,9,FALSE),TRUE,FALSE)</f>
        <v>0</v>
      </c>
      <c r="AG126" s="15" t="str">
        <f>VLOOKUP(Table2[[#This Row],[Home/Neutral]],division_lookup,9,FALSE)</f>
        <v>A</v>
      </c>
      <c r="AH126" s="15" t="str">
        <f>IF(Table2[[#This Row],[Total/EV]]&lt;Table2[[#This Row],[Total/V]],"UNDER","OVER")</f>
        <v>UNDER</v>
      </c>
      <c r="AI126" s="15"/>
      <c r="AJ126" s="2"/>
      <c r="AK126" s="2"/>
      <c r="AL126" s="18">
        <f>Table2[[#This Row],[SRS]]-Table2[[#This Row],[Spread]]</f>
        <v>6.1513114754098348</v>
      </c>
      <c r="AM126" s="21">
        <f>Table2[[#This Row],[(A) Err]]^2</f>
        <v>37.838632867508721</v>
      </c>
      <c r="AN126" s="6">
        <f>Table2[[#This Row],[EV]]-Table2[[#This Row],[Spread]]</f>
        <v>6.8123968020932466</v>
      </c>
      <c r="AO126" s="1">
        <f>Table2[[#This Row],[EV Err]]^2</f>
        <v>46.408750189170291</v>
      </c>
      <c r="AP126" s="1"/>
    </row>
    <row r="127" spans="1:42" x14ac:dyDescent="0.25">
      <c r="A127" s="34">
        <v>42685</v>
      </c>
      <c r="B127" t="s">
        <v>132</v>
      </c>
      <c r="C127" t="s">
        <v>133</v>
      </c>
      <c r="D127">
        <f>IF((Table2[[#This Row],[Spread]]-Table2[[#This Row],[Spread/V]])=0,1,IF(Table2[[#This Row],[Spread]]&lt;Table2[[#This Row],[Spread/V]],1,0))</f>
        <v>0</v>
      </c>
      <c r="E127">
        <v>122</v>
      </c>
      <c r="F127">
        <f>IF((Table2[[#This Row],[Spread]]-Table2[[#This Row],[Spread/V]])=0,1,IF(Table2[[#This Row],[Spread]]&gt;Table2[[#This Row],[Spread/V]],1,0))</f>
        <v>1</v>
      </c>
      <c r="G127">
        <v>120</v>
      </c>
      <c r="H127" s="7">
        <f t="shared" si="2"/>
        <v>242</v>
      </c>
      <c r="I127">
        <f>IF(Table2[[#This Row],[Total/V]]&lt;=Table2[[#This Row],[Total]],1,0)</f>
        <v>1</v>
      </c>
      <c r="J127">
        <v>208</v>
      </c>
      <c r="K127"/>
      <c r="L127" s="21">
        <f>(Table2[[#This Row],[H/Pace]]/100)*(VLOOKUP(Table2[[#This Row],[Home/Neutral]],home_lookup,8,FALSE)+VLOOKUP(Table2[[#This Row],[Home/Neutral]],OFR_lookup,2,FALSE)+VLOOKUP(Table2[[#This Row],[Visitor/Neutral]],def_diff_lookup,6,FALSE))</f>
        <v>112.17574144606979</v>
      </c>
      <c r="M127" s="21"/>
      <c r="N127" s="21">
        <f>(Table2[[#This Row],[A/Pace]]/100)*(VLOOKUP(Table2[[#This Row],[Visitor/Neutral]],OFR_lookup,2,FALSE)+VLOOKUP(Table2[[#This Row],[Home/Neutral]],def_diff_lookup,6,FALSE))</f>
        <v>106.912918</v>
      </c>
      <c r="O127" s="21"/>
      <c r="P127" s="21"/>
      <c r="Q127">
        <f>VLOOKUP(Table2[[#This Row],[Home/Neutral]],pace_lookup,7,FALSE)</f>
        <v>98.8</v>
      </c>
      <c r="R127" s="5">
        <f>VLOOKUP(Table2[[#This Row],[Visitor/Neutral]],pace_lookup,7,FALSE)</f>
        <v>94.2</v>
      </c>
      <c r="S127" s="7">
        <f t="shared" si="3"/>
        <v>-2</v>
      </c>
      <c r="T127">
        <v>-7</v>
      </c>
      <c r="U127" s="15"/>
      <c r="W127" s="2">
        <f>-home-VLOOKUP(Table2[[#This Row],[Home/Neutral]],rtg_vlookup,4,FALSE)+VLOOKUP(Table2[[#This Row],[Visitor/Neutral]],rtg_vlookup,4,FALSE)</f>
        <v>-2.2586885245901658</v>
      </c>
      <c r="X127" s="15"/>
      <c r="Y127" s="2"/>
      <c r="Z127" s="2">
        <f>Table2[[#This Row],[A/EV]]-Table2[[#This Row],[H/EV]]</f>
        <v>-5.2628234460697882</v>
      </c>
      <c r="AA127" s="29"/>
      <c r="AB127" s="30"/>
      <c r="AC127" s="30"/>
      <c r="AD127" s="30"/>
      <c r="AE127" s="30"/>
      <c r="AF127" s="7" t="b">
        <f>IF(VLOOKUP(Table2[[#This Row],[Home/Neutral]],division_lookup,9,FALSE)=VLOOKUP(Table2[[#This Row],[Visitor/Neutral]],division_lookup,9,FALSE),TRUE,FALSE)</f>
        <v>0</v>
      </c>
      <c r="AG127" s="15" t="str">
        <f>VLOOKUP(Table2[[#This Row],[Home/Neutral]],division_lookup,9,FALSE)</f>
        <v>NW</v>
      </c>
      <c r="AH127" s="15" t="str">
        <f>IF(Table2[[#This Row],[Total/EV]]&lt;Table2[[#This Row],[Total/V]],"UNDER","OVER")</f>
        <v>UNDER</v>
      </c>
      <c r="AI127" s="15"/>
      <c r="AJ127" s="2"/>
      <c r="AK127" s="2"/>
      <c r="AL127" s="18">
        <f>Table2[[#This Row],[SRS]]-Table2[[#This Row],[Spread]]</f>
        <v>-0.25868852459016578</v>
      </c>
      <c r="AM127" s="21">
        <f>Table2[[#This Row],[(A) Err]]^2</f>
        <v>6.691975275463681E-2</v>
      </c>
      <c r="AN127" s="6">
        <f>Table2[[#This Row],[EV]]-Table2[[#This Row],[Spread]]</f>
        <v>-3.2628234460697882</v>
      </c>
      <c r="AO127" s="1">
        <f>Table2[[#This Row],[EV Err]]^2</f>
        <v>10.646016840222728</v>
      </c>
      <c r="AP127" s="1"/>
    </row>
    <row r="128" spans="1:42" x14ac:dyDescent="0.25">
      <c r="A128" s="34">
        <v>42685</v>
      </c>
      <c r="B128" t="s">
        <v>134</v>
      </c>
      <c r="C128" t="s">
        <v>117</v>
      </c>
      <c r="D128">
        <f>IF((Table2[[#This Row],[Spread]]-Table2[[#This Row],[Spread/V]])=0,1,IF(Table2[[#This Row],[Spread]]&lt;Table2[[#This Row],[Spread/V]],1,0))</f>
        <v>1</v>
      </c>
      <c r="E128">
        <v>96</v>
      </c>
      <c r="F128">
        <f>IF((Table2[[#This Row],[Spread]]-Table2[[#This Row],[Spread/V]])=0,1,IF(Table2[[#This Row],[Spread]]&gt;Table2[[#This Row],[Spread/V]],1,0))</f>
        <v>0</v>
      </c>
      <c r="G128">
        <v>86</v>
      </c>
      <c r="H128" s="7">
        <f t="shared" si="2"/>
        <v>182</v>
      </c>
      <c r="I128">
        <f>IF(Table2[[#This Row],[Total/V]]&lt;=Table2[[#This Row],[Total]],1,0)</f>
        <v>0</v>
      </c>
      <c r="J128">
        <v>194.5</v>
      </c>
      <c r="K128"/>
      <c r="L128" s="21">
        <f>(Table2[[#This Row],[H/Pace]]/100)*(VLOOKUP(Table2[[#This Row],[Home/Neutral]],home_lookup,8,FALSE)+VLOOKUP(Table2[[#This Row],[Home/Neutral]],OFR_lookup,2,FALSE)+VLOOKUP(Table2[[#This Row],[Visitor/Neutral]],def_diff_lookup,6,FALSE))</f>
        <v>97.030873436381938</v>
      </c>
      <c r="M128" s="21"/>
      <c r="N128" s="21">
        <f>(Table2[[#This Row],[A/Pace]]/100)*(VLOOKUP(Table2[[#This Row],[Visitor/Neutral]],OFR_lookup,2,FALSE)+VLOOKUP(Table2[[#This Row],[Home/Neutral]],def_diff_lookup,6,FALSE))</f>
        <v>96.787726666666657</v>
      </c>
      <c r="O128" s="21"/>
      <c r="P128" s="21"/>
      <c r="Q128">
        <f>VLOOKUP(Table2[[#This Row],[Home/Neutral]],pace_lookup,7,FALSE)</f>
        <v>93.4</v>
      </c>
      <c r="R128" s="5">
        <f>VLOOKUP(Table2[[#This Row],[Visitor/Neutral]],pace_lookup,7,FALSE)</f>
        <v>94</v>
      </c>
      <c r="S128" s="7">
        <f t="shared" si="3"/>
        <v>-10</v>
      </c>
      <c r="T128">
        <v>-8.5</v>
      </c>
      <c r="U128" s="15"/>
      <c r="W128" s="2">
        <f>-home-VLOOKUP(Table2[[#This Row],[Home/Neutral]],rtg_vlookup,4,FALSE)+VLOOKUP(Table2[[#This Row],[Visitor/Neutral]],rtg_vlookup,4,FALSE)</f>
        <v>-8.5986885245901643</v>
      </c>
      <c r="X128" s="15"/>
      <c r="Y128" s="2"/>
      <c r="Z128" s="2">
        <f>Table2[[#This Row],[A/EV]]-Table2[[#This Row],[H/EV]]</f>
        <v>-0.24314676971528115</v>
      </c>
      <c r="AA128" s="29"/>
      <c r="AB128" s="30"/>
      <c r="AC128" s="30"/>
      <c r="AD128" s="30"/>
      <c r="AE128" s="30"/>
      <c r="AF128" s="7" t="b">
        <f>IF(VLOOKUP(Table2[[#This Row],[Home/Neutral]],division_lookup,9,FALSE)=VLOOKUP(Table2[[#This Row],[Visitor/Neutral]],division_lookup,9,FALSE),TRUE,FALSE)</f>
        <v>0</v>
      </c>
      <c r="AG128" s="15" t="str">
        <f>VLOOKUP(Table2[[#This Row],[Home/Neutral]],division_lookup,9,FALSE)</f>
        <v>SW</v>
      </c>
      <c r="AH128" s="15" t="str">
        <f>IF(Table2[[#This Row],[Total/EV]]&lt;Table2[[#This Row],[Total/V]],"UNDER","OVER")</f>
        <v>UNDER</v>
      </c>
      <c r="AI128" s="15"/>
      <c r="AJ128" s="2"/>
      <c r="AK128" s="2"/>
      <c r="AL128" s="18">
        <f>Table2[[#This Row],[SRS]]-Table2[[#This Row],[Spread]]</f>
        <v>1.4013114754098357</v>
      </c>
      <c r="AM128" s="21">
        <f>Table2[[#This Row],[(A) Err]]^2</f>
        <v>1.9636738511152905</v>
      </c>
      <c r="AN128" s="6">
        <f>Table2[[#This Row],[EV]]-Table2[[#This Row],[Spread]]</f>
        <v>9.7568532302847188</v>
      </c>
      <c r="AO128" s="1">
        <f>Table2[[#This Row],[EV Err]]^2</f>
        <v>95.196184957317357</v>
      </c>
      <c r="AP128" s="1"/>
    </row>
    <row r="129" spans="1:42" ht="15.75" thickBot="1" x14ac:dyDescent="0.3">
      <c r="A129" s="100">
        <v>42685</v>
      </c>
      <c r="B129" s="3" t="s">
        <v>137</v>
      </c>
      <c r="C129" s="3" t="s">
        <v>114</v>
      </c>
      <c r="D129" s="3">
        <f>IF((Table2[[#This Row],[Spread]]-Table2[[#This Row],[Spread/V]])=0,1,IF(Table2[[#This Row],[Spread]]&lt;Table2[[#This Row],[Spread/V]],1,0))</f>
        <v>0</v>
      </c>
      <c r="E129" s="3">
        <v>94</v>
      </c>
      <c r="F129" s="3">
        <f>IF((Table2[[#This Row],[Spread]]-Table2[[#This Row],[Spread/V]])=0,1,IF(Table2[[#This Row],[Spread]]&gt;Table2[[#This Row],[Spread/V]],1,0))</f>
        <v>1</v>
      </c>
      <c r="G129" s="3">
        <v>105</v>
      </c>
      <c r="H129" s="8">
        <f t="shared" si="2"/>
        <v>199</v>
      </c>
      <c r="I129" s="3">
        <f>IF(Table2[[#This Row],[Total/V]]&lt;=Table2[[#This Row],[Total]],1,0)</f>
        <v>0</v>
      </c>
      <c r="J129" s="3">
        <v>211.5</v>
      </c>
      <c r="K129" s="3"/>
      <c r="L129" s="22">
        <f>(Table2[[#This Row],[H/Pace]]/100)*(VLOOKUP(Table2[[#This Row],[Home/Neutral]],home_lookup,8,FALSE)+VLOOKUP(Table2[[#This Row],[Home/Neutral]],OFR_lookup,2,FALSE)+VLOOKUP(Table2[[#This Row],[Visitor/Neutral]],def_diff_lookup,6,FALSE))</f>
        <v>107.38813255421871</v>
      </c>
      <c r="M129" s="22"/>
      <c r="N129" s="22">
        <f>(Table2[[#This Row],[A/Pace]]/100)*(VLOOKUP(Table2[[#This Row],[Visitor/Neutral]],OFR_lookup,2,FALSE)+VLOOKUP(Table2[[#This Row],[Home/Neutral]],def_diff_lookup,6,FALSE))</f>
        <v>115.09195366666665</v>
      </c>
      <c r="O129" s="22"/>
      <c r="P129" s="22"/>
      <c r="Q129" s="3">
        <f>VLOOKUP(Table2[[#This Row],[Home/Neutral]],pace_lookup,7,FALSE)</f>
        <v>96</v>
      </c>
      <c r="R129" s="3">
        <f>VLOOKUP(Table2[[#This Row],[Visitor/Neutral]],pace_lookup,7,FALSE)</f>
        <v>97.3</v>
      </c>
      <c r="S129" s="8">
        <f t="shared" si="3"/>
        <v>11</v>
      </c>
      <c r="T129" s="3">
        <v>-7.5</v>
      </c>
      <c r="U129" s="16"/>
      <c r="V129" s="3"/>
      <c r="W129" s="9">
        <f>-home-VLOOKUP(Table2[[#This Row],[Home/Neutral]],rtg_vlookup,4,FALSE)+VLOOKUP(Table2[[#This Row],[Visitor/Neutral]],rtg_vlookup,4,FALSE)</f>
        <v>8.8613114754098348</v>
      </c>
      <c r="X129" s="16"/>
      <c r="Y129" s="9"/>
      <c r="Z129" s="9">
        <f>Table2[[#This Row],[A/EV]]-Table2[[#This Row],[H/EV]]</f>
        <v>7.7038211124479403</v>
      </c>
      <c r="AA129" s="31"/>
      <c r="AB129" s="32"/>
      <c r="AC129" s="32"/>
      <c r="AD129" s="32"/>
      <c r="AE129" s="32"/>
      <c r="AF129" s="8" t="b">
        <f>IF(VLOOKUP(Table2[[#This Row],[Home/Neutral]],division_lookup,9,FALSE)=VLOOKUP(Table2[[#This Row],[Visitor/Neutral]],division_lookup,9,FALSE),TRUE,FALSE)</f>
        <v>0</v>
      </c>
      <c r="AG129" s="16" t="str">
        <f>VLOOKUP(Table2[[#This Row],[Home/Neutral]],division_lookup,9,FALSE)</f>
        <v>SE</v>
      </c>
      <c r="AH129" s="16" t="str">
        <f>IF(Table2[[#This Row],[Total/EV]]&lt;Table2[[#This Row],[Total/V]],"UNDER","OVER")</f>
        <v>UNDER</v>
      </c>
      <c r="AI129" s="16"/>
      <c r="AJ129" s="9"/>
      <c r="AK129" s="9"/>
      <c r="AL129" s="19">
        <f>Table2[[#This Row],[SRS]]-Table2[[#This Row],[Spread]]</f>
        <v>-2.1386885245901652</v>
      </c>
      <c r="AM129" s="22">
        <f>Table2[[#This Row],[(A) Err]]^2</f>
        <v>4.5739886052136578</v>
      </c>
      <c r="AN129" s="4">
        <f>Table2[[#This Row],[EV]]-Table2[[#This Row],[Spread]]</f>
        <v>-3.2961788875520597</v>
      </c>
      <c r="AO129" s="4">
        <f>Table2[[#This Row],[EV Err]]^2</f>
        <v>10.864795258743934</v>
      </c>
      <c r="AP129" s="6"/>
    </row>
    <row r="130" spans="1:42" x14ac:dyDescent="0.25">
      <c r="A130" s="34">
        <v>42686</v>
      </c>
      <c r="B130" t="s">
        <v>109</v>
      </c>
      <c r="C130" t="s">
        <v>138</v>
      </c>
      <c r="D130">
        <f>IF((Table2[[#This Row],[Spread]]-Table2[[#This Row],[Spread/V]])=0,1,IF(Table2[[#This Row],[Spread]]&lt;Table2[[#This Row],[Spread/V]],1,0))</f>
        <v>1</v>
      </c>
      <c r="E130">
        <v>117</v>
      </c>
      <c r="F130">
        <f>IF((Table2[[#This Row],[Spread]]-Table2[[#This Row],[Spread/V]])=0,1,IF(Table2[[#This Row],[Spread]]&gt;Table2[[#This Row],[Spread/V]],1,0))</f>
        <v>0</v>
      </c>
      <c r="G130">
        <v>96</v>
      </c>
      <c r="H130" s="7">
        <f t="shared" si="2"/>
        <v>213</v>
      </c>
      <c r="I130">
        <f>IF(Table2[[#This Row],[Total/V]]&lt;=Table2[[#This Row],[Total]],1,0)</f>
        <v>1</v>
      </c>
      <c r="J130">
        <v>207</v>
      </c>
      <c r="K130"/>
      <c r="L130" s="21">
        <f>(Table2[[#This Row],[H/Pace]]/100)*(VLOOKUP(Table2[[#This Row],[Home/Neutral]],home_lookup,8,FALSE)+VLOOKUP(Table2[[#This Row],[Home/Neutral]],OFR_lookup,2,FALSE)+VLOOKUP(Table2[[#This Row],[Visitor/Neutral]],def_diff_lookup,6,FALSE))</f>
        <v>102.11168660728639</v>
      </c>
      <c r="M130" s="21"/>
      <c r="N130" s="21">
        <f>(Table2[[#This Row],[A/Pace]]/100)*(VLOOKUP(Table2[[#This Row],[Visitor/Neutral]],OFR_lookup,2,FALSE)+VLOOKUP(Table2[[#This Row],[Home/Neutral]],def_diff_lookup,6,FALSE))</f>
        <v>89.58852499999999</v>
      </c>
      <c r="O130" s="21"/>
      <c r="P130" s="21"/>
      <c r="Q130">
        <f>VLOOKUP(Table2[[#This Row],[Home/Neutral]],pace_lookup,7,FALSE)</f>
        <v>99.2</v>
      </c>
      <c r="R130" s="5">
        <f>VLOOKUP(Table2[[#This Row],[Visitor/Neutral]],pace_lookup,7,FALSE)</f>
        <v>97.5</v>
      </c>
      <c r="S130" s="7">
        <f t="shared" si="3"/>
        <v>-21</v>
      </c>
      <c r="T130">
        <v>-15</v>
      </c>
      <c r="U130" s="15"/>
      <c r="W130" s="2">
        <f>-home-VLOOKUP(Table2[[#This Row],[Home/Neutral]],rtg_vlookup,4,FALSE)+VLOOKUP(Table2[[#This Row],[Visitor/Neutral]],rtg_vlookup,4,FALSE)</f>
        <v>-14.688688524590166</v>
      </c>
      <c r="X130" s="15"/>
      <c r="Y130" s="2"/>
      <c r="Z130" s="2">
        <f>Table2[[#This Row],[A/EV]]-Table2[[#This Row],[H/EV]]</f>
        <v>-12.523161607286397</v>
      </c>
      <c r="AA130" s="29"/>
      <c r="AB130" s="30"/>
      <c r="AC130" s="30"/>
      <c r="AD130" s="30"/>
      <c r="AE130" s="30"/>
      <c r="AF130" s="7" t="b">
        <f>IF(VLOOKUP(Table2[[#This Row],[Home/Neutral]],division_lookup,9,FALSE)=VLOOKUP(Table2[[#This Row],[Visitor/Neutral]],division_lookup,9,FALSE),TRUE,FALSE)</f>
        <v>0</v>
      </c>
      <c r="AG130" s="15" t="str">
        <f>VLOOKUP(Table2[[#This Row],[Home/Neutral]],division_lookup,9,FALSE)</f>
        <v>SE</v>
      </c>
      <c r="AH130" s="15" t="str">
        <f>IF(Table2[[#This Row],[Total/EV]]&lt;Table2[[#This Row],[Total/V]],"UNDER","OVER")</f>
        <v>UNDER</v>
      </c>
      <c r="AI130" s="15"/>
      <c r="AJ130" s="2"/>
      <c r="AK130" s="2"/>
      <c r="AL130" s="18">
        <f>Table2[[#This Row],[SRS]]-Table2[[#This Row],[Spread]]</f>
        <v>6.3113114754098341</v>
      </c>
      <c r="AM130" s="21">
        <f>Table2[[#This Row],[(A) Err]]^2</f>
        <v>39.832652539639859</v>
      </c>
      <c r="AN130" s="6">
        <f>Table2[[#This Row],[EV]]-Table2[[#This Row],[Spread]]</f>
        <v>8.4768383927136028</v>
      </c>
      <c r="AO130" s="1">
        <f>Table2[[#This Row],[EV Err]]^2</f>
        <v>71.856789136183338</v>
      </c>
      <c r="AP130" s="1"/>
    </row>
    <row r="131" spans="1:42" x14ac:dyDescent="0.25">
      <c r="A131" s="34">
        <v>42686</v>
      </c>
      <c r="B131" t="s">
        <v>113</v>
      </c>
      <c r="C131" t="s">
        <v>137</v>
      </c>
      <c r="D131">
        <f>IF((Table2[[#This Row],[Spread]]-Table2[[#This Row],[Spread/V]])=0,1,IF(Table2[[#This Row],[Spread]]&lt;Table2[[#This Row],[Spread/V]],1,0))</f>
        <v>1</v>
      </c>
      <c r="E131">
        <v>106</v>
      </c>
      <c r="F131">
        <f>IF((Table2[[#This Row],[Spread]]-Table2[[#This Row],[Spread/V]])=0,1,IF(Table2[[#This Row],[Spread]]&gt;Table2[[#This Row],[Spread/V]],1,0))</f>
        <v>0</v>
      </c>
      <c r="G131">
        <v>95</v>
      </c>
      <c r="H131" s="7">
        <f t="shared" ref="H131:H194" si="4">E131+G131</f>
        <v>201</v>
      </c>
      <c r="I131">
        <f>IF(Table2[[#This Row],[Total/V]]&lt;=Table2[[#This Row],[Total]],1,0)</f>
        <v>1</v>
      </c>
      <c r="J131">
        <v>199.5</v>
      </c>
      <c r="K131"/>
      <c r="L131" s="21">
        <f>(Table2[[#This Row],[H/Pace]]/100)*(VLOOKUP(Table2[[#This Row],[Home/Neutral]],home_lookup,8,FALSE)+VLOOKUP(Table2[[#This Row],[Home/Neutral]],OFR_lookup,2,FALSE)+VLOOKUP(Table2[[#This Row],[Visitor/Neutral]],def_diff_lookup,6,FALSE))</f>
        <v>112.47598388016279</v>
      </c>
      <c r="M131" s="21"/>
      <c r="N131" s="21">
        <f>(Table2[[#This Row],[A/Pace]]/100)*(VLOOKUP(Table2[[#This Row],[Visitor/Neutral]],OFR_lookup,2,FALSE)+VLOOKUP(Table2[[#This Row],[Home/Neutral]],def_diff_lookup,6,FALSE))</f>
        <v>102.45663999999999</v>
      </c>
      <c r="O131" s="21"/>
      <c r="P131" s="21"/>
      <c r="Q131">
        <f>VLOOKUP(Table2[[#This Row],[Home/Neutral]],pace_lookup,7,FALSE)</f>
        <v>95.1</v>
      </c>
      <c r="R131" s="5">
        <f>VLOOKUP(Table2[[#This Row],[Visitor/Neutral]],pace_lookup,7,FALSE)</f>
        <v>96</v>
      </c>
      <c r="S131" s="7">
        <f t="shared" ref="S131:S194" si="5">G131-E131</f>
        <v>-11</v>
      </c>
      <c r="T131">
        <v>-10</v>
      </c>
      <c r="U131" s="15"/>
      <c r="W131" s="2">
        <f>-home-VLOOKUP(Table2[[#This Row],[Home/Neutral]],rtg_vlookup,4,FALSE)+VLOOKUP(Table2[[#This Row],[Visitor/Neutral]],rtg_vlookup,4,FALSE)</f>
        <v>-10.418688524590166</v>
      </c>
      <c r="X131" s="15"/>
      <c r="Y131" s="2"/>
      <c r="Z131" s="2">
        <f>Table2[[#This Row],[A/EV]]-Table2[[#This Row],[H/EV]]</f>
        <v>-10.019343880162793</v>
      </c>
      <c r="AA131" s="29"/>
      <c r="AB131" s="30"/>
      <c r="AC131" s="30"/>
      <c r="AD131" s="30"/>
      <c r="AE131" s="30"/>
      <c r="AF131" s="7" t="b">
        <f>IF(VLOOKUP(Table2[[#This Row],[Home/Neutral]],division_lookup,9,FALSE)=VLOOKUP(Table2[[#This Row],[Visitor/Neutral]],division_lookup,9,FALSE),TRUE,FALSE)</f>
        <v>0</v>
      </c>
      <c r="AG131" s="15" t="str">
        <f>VLOOKUP(Table2[[#This Row],[Home/Neutral]],division_lookup,9,FALSE)</f>
        <v>C</v>
      </c>
      <c r="AH131" s="15" t="str">
        <f>IF(Table2[[#This Row],[Total/EV]]&lt;Table2[[#This Row],[Total/V]],"UNDER","OVER")</f>
        <v>UNDER</v>
      </c>
      <c r="AI131" s="15"/>
      <c r="AJ131" s="2"/>
      <c r="AK131" s="2"/>
      <c r="AL131" s="18">
        <f>Table2[[#This Row],[SRS]]-Table2[[#This Row],[Spread]]</f>
        <v>0.58131147540983363</v>
      </c>
      <c r="AM131" s="21">
        <f>Table2[[#This Row],[(A) Err]]^2</f>
        <v>0.33792303144315761</v>
      </c>
      <c r="AN131" s="6">
        <f>Table2[[#This Row],[EV]]-Table2[[#This Row],[Spread]]</f>
        <v>0.98065611983720657</v>
      </c>
      <c r="AO131" s="1">
        <f>Table2[[#This Row],[EV Err]]^2</f>
        <v>0.96168642537416571</v>
      </c>
      <c r="AP131" s="1"/>
    </row>
    <row r="132" spans="1:42" x14ac:dyDescent="0.25">
      <c r="A132" s="34">
        <v>42686</v>
      </c>
      <c r="B132" t="s">
        <v>116</v>
      </c>
      <c r="C132" t="s">
        <v>117</v>
      </c>
      <c r="D132">
        <f>IF((Table2[[#This Row],[Spread]]-Table2[[#This Row],[Spread/V]])=0,1,IF(Table2[[#This Row],[Spread]]&lt;Table2[[#This Row],[Spread/V]],1,0))</f>
        <v>0</v>
      </c>
      <c r="E132">
        <v>95</v>
      </c>
      <c r="F132">
        <f>IF((Table2[[#This Row],[Spread]]-Table2[[#This Row],[Spread/V]])=0,1,IF(Table2[[#This Row],[Spread]]&gt;Table2[[#This Row],[Spread/V]],1,0))</f>
        <v>1</v>
      </c>
      <c r="G132">
        <v>106</v>
      </c>
      <c r="H132" s="7">
        <f t="shared" si="4"/>
        <v>201</v>
      </c>
      <c r="I132">
        <f>IF(Table2[[#This Row],[Total/V]]&lt;=Table2[[#This Row],[Total]],1,0)</f>
        <v>0</v>
      </c>
      <c r="J132">
        <v>203</v>
      </c>
      <c r="K132"/>
      <c r="L132" s="21">
        <f>(Table2[[#This Row],[H/Pace]]/100)*(VLOOKUP(Table2[[#This Row],[Home/Neutral]],home_lookup,8,FALSE)+VLOOKUP(Table2[[#This Row],[Home/Neutral]],OFR_lookup,2,FALSE)+VLOOKUP(Table2[[#This Row],[Visitor/Neutral]],def_diff_lookup,6,FALSE))</f>
        <v>101.05079470161864</v>
      </c>
      <c r="M132" s="21"/>
      <c r="N132" s="21">
        <f>(Table2[[#This Row],[A/Pace]]/100)*(VLOOKUP(Table2[[#This Row],[Visitor/Neutral]],OFR_lookup,2,FALSE)+VLOOKUP(Table2[[#This Row],[Home/Neutral]],def_diff_lookup,6,FALSE))</f>
        <v>98.310526666666647</v>
      </c>
      <c r="O132" s="21"/>
      <c r="P132" s="21"/>
      <c r="Q132">
        <f>VLOOKUP(Table2[[#This Row],[Home/Neutral]],pace_lookup,7,FALSE)</f>
        <v>99.1</v>
      </c>
      <c r="R132" s="5">
        <f>VLOOKUP(Table2[[#This Row],[Visitor/Neutral]],pace_lookup,7,FALSE)</f>
        <v>94</v>
      </c>
      <c r="S132" s="7">
        <f t="shared" si="5"/>
        <v>11</v>
      </c>
      <c r="T132">
        <v>-5.5</v>
      </c>
      <c r="U132" s="15"/>
      <c r="W132" s="2">
        <f>-home-VLOOKUP(Table2[[#This Row],[Home/Neutral]],rtg_vlookup,4,FALSE)+VLOOKUP(Table2[[#This Row],[Visitor/Neutral]],rtg_vlookup,4,FALSE)</f>
        <v>-0.46868852459016597</v>
      </c>
      <c r="X132" s="15"/>
      <c r="Y132" s="2"/>
      <c r="Z132" s="2">
        <f>Table2[[#This Row],[A/EV]]-Table2[[#This Row],[H/EV]]</f>
        <v>-2.7402680349519954</v>
      </c>
      <c r="AA132" s="29"/>
      <c r="AB132" s="30"/>
      <c r="AC132" s="30"/>
      <c r="AD132" s="30"/>
      <c r="AE132" s="30"/>
      <c r="AF132" s="7" t="b">
        <f>IF(VLOOKUP(Table2[[#This Row],[Home/Neutral]],division_lookup,9,FALSE)=VLOOKUP(Table2[[#This Row],[Visitor/Neutral]],division_lookup,9,FALSE),TRUE,FALSE)</f>
        <v>0</v>
      </c>
      <c r="AG132" s="15" t="str">
        <f>VLOOKUP(Table2[[#This Row],[Home/Neutral]],division_lookup,9,FALSE)</f>
        <v>NW</v>
      </c>
      <c r="AH132" s="15" t="str">
        <f>IF(Table2[[#This Row],[Total/EV]]&lt;Table2[[#This Row],[Total/V]],"UNDER","OVER")</f>
        <v>UNDER</v>
      </c>
      <c r="AI132" s="15"/>
      <c r="AJ132" s="2"/>
      <c r="AK132" s="2"/>
      <c r="AL132" s="18">
        <f>Table2[[#This Row],[SRS]]-Table2[[#This Row],[Spread]]</f>
        <v>-11.468688524590165</v>
      </c>
      <c r="AM132" s="21">
        <f>Table2[[#This Row],[(A) Err]]^2</f>
        <v>131.53081647406614</v>
      </c>
      <c r="AN132" s="6">
        <f>Table2[[#This Row],[EV]]-Table2[[#This Row],[Spread]]</f>
        <v>-13.740268034951995</v>
      </c>
      <c r="AO132" s="1">
        <f>Table2[[#This Row],[EV Err]]^2</f>
        <v>188.79496567232357</v>
      </c>
      <c r="AP132" s="1"/>
    </row>
    <row r="133" spans="1:42" x14ac:dyDescent="0.25">
      <c r="A133" s="34">
        <v>42686</v>
      </c>
      <c r="B133" t="s">
        <v>119</v>
      </c>
      <c r="C133" t="s">
        <v>134</v>
      </c>
      <c r="D133">
        <f>IF((Table2[[#This Row],[Spread]]-Table2[[#This Row],[Spread/V]])=0,1,IF(Table2[[#This Row],[Spread]]&lt;Table2[[#This Row],[Spread/V]],1,0))</f>
        <v>0</v>
      </c>
      <c r="E133">
        <v>100</v>
      </c>
      <c r="F133">
        <f>IF((Table2[[#This Row],[Spread]]-Table2[[#This Row],[Spread/V]])=0,1,IF(Table2[[#This Row],[Spread]]&gt;Table2[[#This Row],[Spread/V]],1,0))</f>
        <v>1</v>
      </c>
      <c r="G133">
        <v>106</v>
      </c>
      <c r="H133" s="7">
        <f t="shared" si="4"/>
        <v>206</v>
      </c>
      <c r="I133">
        <f>IF(Table2[[#This Row],[Total/V]]&lt;=Table2[[#This Row],[Total]],1,0)</f>
        <v>0</v>
      </c>
      <c r="J133">
        <v>208.5</v>
      </c>
      <c r="K133"/>
      <c r="L133" s="21">
        <f>(Table2[[#This Row],[H/Pace]]/100)*(VLOOKUP(Table2[[#This Row],[Home/Neutral]],home_lookup,8,FALSE)+VLOOKUP(Table2[[#This Row],[Home/Neutral]],OFR_lookup,2,FALSE)+VLOOKUP(Table2[[#This Row],[Visitor/Neutral]],def_diff_lookup,6,FALSE))</f>
        <v>107.59197376977629</v>
      </c>
      <c r="M133" s="21"/>
      <c r="N133" s="21">
        <f>(Table2[[#This Row],[A/Pace]]/100)*(VLOOKUP(Table2[[#This Row],[Visitor/Neutral]],OFR_lookup,2,FALSE)+VLOOKUP(Table2[[#This Row],[Home/Neutral]],def_diff_lookup,6,FALSE))</f>
        <v>107.78889266666667</v>
      </c>
      <c r="O133" s="21"/>
      <c r="P133" s="21"/>
      <c r="Q133">
        <f>VLOOKUP(Table2[[#This Row],[Home/Neutral]],pace_lookup,7,FALSE)</f>
        <v>96.9</v>
      </c>
      <c r="R133" s="5">
        <f>VLOOKUP(Table2[[#This Row],[Visitor/Neutral]],pace_lookup,7,FALSE)</f>
        <v>93.4</v>
      </c>
      <c r="S133" s="7">
        <f t="shared" si="5"/>
        <v>6</v>
      </c>
      <c r="T133">
        <v>-1.5</v>
      </c>
      <c r="U133" s="15"/>
      <c r="W133" s="2">
        <f>-home-VLOOKUP(Table2[[#This Row],[Home/Neutral]],rtg_vlookup,4,FALSE)+VLOOKUP(Table2[[#This Row],[Visitor/Neutral]],rtg_vlookup,4,FALSE)</f>
        <v>0.93131147540983417</v>
      </c>
      <c r="X133" s="15"/>
      <c r="Y133" s="2"/>
      <c r="Z133" s="2">
        <f>Table2[[#This Row],[A/EV]]-Table2[[#This Row],[H/EV]]</f>
        <v>0.19691889689038078</v>
      </c>
      <c r="AA133" s="29"/>
      <c r="AB133" s="30"/>
      <c r="AC133" s="30"/>
      <c r="AD133" s="30"/>
      <c r="AE133" s="30"/>
      <c r="AF133" s="7" t="b">
        <f>IF(VLOOKUP(Table2[[#This Row],[Home/Neutral]],division_lookup,9,FALSE)=VLOOKUP(Table2[[#This Row],[Visitor/Neutral]],division_lookup,9,FALSE),TRUE,FALSE)</f>
        <v>1</v>
      </c>
      <c r="AG133" s="15" t="str">
        <f>VLOOKUP(Table2[[#This Row],[Home/Neutral]],division_lookup,9,FALSE)</f>
        <v>SW</v>
      </c>
      <c r="AH133" s="15" t="str">
        <f>IF(Table2[[#This Row],[Total/EV]]&lt;Table2[[#This Row],[Total/V]],"UNDER","OVER")</f>
        <v>UNDER</v>
      </c>
      <c r="AI133" s="15"/>
      <c r="AJ133" s="2"/>
      <c r="AK133" s="2"/>
      <c r="AL133" s="18">
        <f>Table2[[#This Row],[SRS]]-Table2[[#This Row],[Spread]]</f>
        <v>-5.0686885245901658</v>
      </c>
      <c r="AM133" s="21">
        <f>Table2[[#This Row],[(A) Err]]^2</f>
        <v>25.691603359312033</v>
      </c>
      <c r="AN133" s="6">
        <f>Table2[[#This Row],[EV]]-Table2[[#This Row],[Spread]]</f>
        <v>-5.8030811031096192</v>
      </c>
      <c r="AO133" s="1">
        <f>Table2[[#This Row],[EV Err]]^2</f>
        <v>33.675750289267953</v>
      </c>
      <c r="AP133" s="1"/>
    </row>
    <row r="134" spans="1:42" x14ac:dyDescent="0.25">
      <c r="A134" s="34">
        <v>42686</v>
      </c>
      <c r="B134" t="s">
        <v>120</v>
      </c>
      <c r="C134" t="s">
        <v>110</v>
      </c>
      <c r="D134">
        <f>IF((Table2[[#This Row],[Spread]]-Table2[[#This Row],[Spread/V]])=0,1,IF(Table2[[#This Row],[Spread]]&lt;Table2[[#This Row],[Spread/V]],1,0))</f>
        <v>0</v>
      </c>
      <c r="E134">
        <v>99</v>
      </c>
      <c r="F134">
        <f>IF((Table2[[#This Row],[Spread]]-Table2[[#This Row],[Spread/V]])=0,1,IF(Table2[[#This Row],[Spread]]&gt;Table2[[#This Row],[Spread/V]],1,0))</f>
        <v>1</v>
      </c>
      <c r="G134">
        <v>105</v>
      </c>
      <c r="H134" s="7">
        <f t="shared" si="4"/>
        <v>204</v>
      </c>
      <c r="I134">
        <f>IF(Table2[[#This Row],[Total/V]]&lt;=Table2[[#This Row],[Total]],1,0)</f>
        <v>0</v>
      </c>
      <c r="J134">
        <v>212</v>
      </c>
      <c r="K134"/>
      <c r="L134" s="21">
        <f>(Table2[[#This Row],[H/Pace]]/100)*(VLOOKUP(Table2[[#This Row],[Home/Neutral]],home_lookup,8,FALSE)+VLOOKUP(Table2[[#This Row],[Home/Neutral]],OFR_lookup,2,FALSE)+VLOOKUP(Table2[[#This Row],[Visitor/Neutral]],def_diff_lookup,6,FALSE))</f>
        <v>106.69349542930861</v>
      </c>
      <c r="M134" s="21"/>
      <c r="N134" s="21">
        <f>(Table2[[#This Row],[A/Pace]]/100)*(VLOOKUP(Table2[[#This Row],[Visitor/Neutral]],OFR_lookup,2,FALSE)+VLOOKUP(Table2[[#This Row],[Home/Neutral]],def_diff_lookup,6,FALSE))</f>
        <v>105.44065133333334</v>
      </c>
      <c r="O134" s="21"/>
      <c r="P134" s="21"/>
      <c r="Q134">
        <f>VLOOKUP(Table2[[#This Row],[Home/Neutral]],pace_lookup,7,FALSE)</f>
        <v>98.3</v>
      </c>
      <c r="R134" s="5">
        <f>VLOOKUP(Table2[[#This Row],[Visitor/Neutral]],pace_lookup,7,FALSE)</f>
        <v>96.2</v>
      </c>
      <c r="S134" s="7">
        <f t="shared" si="5"/>
        <v>6</v>
      </c>
      <c r="T134">
        <v>-1.5</v>
      </c>
      <c r="U134" s="15"/>
      <c r="W134" s="2">
        <f>-home-VLOOKUP(Table2[[#This Row],[Home/Neutral]],rtg_vlookup,4,FALSE)+VLOOKUP(Table2[[#This Row],[Visitor/Neutral]],rtg_vlookup,4,FALSE)</f>
        <v>2.4013114754098344</v>
      </c>
      <c r="X134" s="15"/>
      <c r="Y134" s="2"/>
      <c r="Z134" s="2">
        <f>Table2[[#This Row],[A/EV]]-Table2[[#This Row],[H/EV]]</f>
        <v>-1.2528440959752771</v>
      </c>
      <c r="AA134" s="29"/>
      <c r="AB134" s="30"/>
      <c r="AC134" s="30"/>
      <c r="AD134" s="30"/>
      <c r="AE134" s="30"/>
      <c r="AF134" s="7" t="b">
        <f>IF(VLOOKUP(Table2[[#This Row],[Home/Neutral]],division_lookup,9,FALSE)=VLOOKUP(Table2[[#This Row],[Visitor/Neutral]],division_lookup,9,FALSE),TRUE,FALSE)</f>
        <v>0</v>
      </c>
      <c r="AG134" s="15" t="str">
        <f>VLOOKUP(Table2[[#This Row],[Home/Neutral]],division_lookup,9,FALSE)</f>
        <v>C</v>
      </c>
      <c r="AH134" s="15" t="str">
        <f>IF(Table2[[#This Row],[Total/EV]]&lt;Table2[[#This Row],[Total/V]],"UNDER","OVER")</f>
        <v>UNDER</v>
      </c>
      <c r="AI134" s="15"/>
      <c r="AJ134" s="2"/>
      <c r="AK134" s="2"/>
      <c r="AL134" s="18">
        <f>Table2[[#This Row],[SRS]]-Table2[[#This Row],[Spread]]</f>
        <v>-3.5986885245901656</v>
      </c>
      <c r="AM134" s="21">
        <f>Table2[[#This Row],[(A) Err]]^2</f>
        <v>12.950559097016944</v>
      </c>
      <c r="AN134" s="6">
        <f>Table2[[#This Row],[EV]]-Table2[[#This Row],[Spread]]</f>
        <v>-7.2528440959752771</v>
      </c>
      <c r="AO134" s="1">
        <f>Table2[[#This Row],[EV Err]]^2</f>
        <v>52.603747480523438</v>
      </c>
      <c r="AP134" s="1"/>
    </row>
    <row r="135" spans="1:42" x14ac:dyDescent="0.25">
      <c r="A135" s="34">
        <v>42686</v>
      </c>
      <c r="B135" t="s">
        <v>124</v>
      </c>
      <c r="C135" t="s">
        <v>136</v>
      </c>
      <c r="D135">
        <f>IF((Table2[[#This Row],[Spread]]-Table2[[#This Row],[Spread/V]])=0,1,IF(Table2[[#This Row],[Spread]]&lt;Table2[[#This Row],[Spread/V]],1,0))</f>
        <v>0</v>
      </c>
      <c r="E135">
        <v>91</v>
      </c>
      <c r="F135">
        <f>IF((Table2[[#This Row],[Spread]]-Table2[[#This Row],[Spread/V]])=0,1,IF(Table2[[#This Row],[Spread]]&gt;Table2[[#This Row],[Spread/V]],1,0))</f>
        <v>1</v>
      </c>
      <c r="G135">
        <v>102</v>
      </c>
      <c r="H135" s="7">
        <f t="shared" si="4"/>
        <v>193</v>
      </c>
      <c r="I135">
        <f>IF(Table2[[#This Row],[Total/V]]&lt;=Table2[[#This Row],[Total]],1,0)</f>
        <v>1</v>
      </c>
      <c r="J135">
        <v>186.5</v>
      </c>
      <c r="K135"/>
      <c r="L135" s="21">
        <f>(Table2[[#This Row],[H/Pace]]/100)*(VLOOKUP(Table2[[#This Row],[Home/Neutral]],home_lookup,8,FALSE)+VLOOKUP(Table2[[#This Row],[Home/Neutral]],OFR_lookup,2,FALSE)+VLOOKUP(Table2[[#This Row],[Visitor/Neutral]],def_diff_lookup,6,FALSE))</f>
        <v>96.984805177235572</v>
      </c>
      <c r="M135" s="21"/>
      <c r="N135" s="21">
        <f>(Table2[[#This Row],[A/Pace]]/100)*(VLOOKUP(Table2[[#This Row],[Visitor/Neutral]],OFR_lookup,2,FALSE)+VLOOKUP(Table2[[#This Row],[Home/Neutral]],def_diff_lookup,6,FALSE))</f>
        <v>95.348185000000001</v>
      </c>
      <c r="O135" s="21"/>
      <c r="P135" s="21"/>
      <c r="Q135">
        <f>VLOOKUP(Table2[[#This Row],[Home/Neutral]],pace_lookup,7,FALSE)</f>
        <v>93.7</v>
      </c>
      <c r="R135" s="5">
        <f>VLOOKUP(Table2[[#This Row],[Visitor/Neutral]],pace_lookup,7,FALSE)</f>
        <v>91.5</v>
      </c>
      <c r="S135" s="7">
        <f t="shared" si="5"/>
        <v>11</v>
      </c>
      <c r="T135">
        <v>-1</v>
      </c>
      <c r="U135" s="15"/>
      <c r="W135" s="2">
        <f>-home-VLOOKUP(Table2[[#This Row],[Home/Neutral]],rtg_vlookup,4,FALSE)+VLOOKUP(Table2[[#This Row],[Visitor/Neutral]],rtg_vlookup,4,FALSE)</f>
        <v>2.6713114754098344</v>
      </c>
      <c r="X135" s="15"/>
      <c r="Y135" s="2"/>
      <c r="Z135" s="2">
        <f>Table2[[#This Row],[A/EV]]-Table2[[#This Row],[H/EV]]</f>
        <v>-1.6366201772355708</v>
      </c>
      <c r="AA135" s="29"/>
      <c r="AB135" s="30"/>
      <c r="AC135" s="30"/>
      <c r="AD135" s="30"/>
      <c r="AE135" s="30"/>
      <c r="AF135" s="7" t="b">
        <f>IF(VLOOKUP(Table2[[#This Row],[Home/Neutral]],division_lookup,9,FALSE)=VLOOKUP(Table2[[#This Row],[Visitor/Neutral]],division_lookup,9,FALSE),TRUE,FALSE)</f>
        <v>0</v>
      </c>
      <c r="AG135" s="15" t="str">
        <f>VLOOKUP(Table2[[#This Row],[Home/Neutral]],division_lookup,9,FALSE)</f>
        <v>SE</v>
      </c>
      <c r="AH135" s="15" t="str">
        <f>IF(Table2[[#This Row],[Total/EV]]&lt;Table2[[#This Row],[Total/V]],"UNDER","OVER")</f>
        <v>UNDER</v>
      </c>
      <c r="AI135" s="15"/>
      <c r="AJ135" s="2"/>
      <c r="AK135" s="2"/>
      <c r="AL135" s="18">
        <f>Table2[[#This Row],[SRS]]-Table2[[#This Row],[Spread]]</f>
        <v>-8.3286885245901665</v>
      </c>
      <c r="AM135" s="21">
        <f>Table2[[#This Row],[(A) Err]]^2</f>
        <v>69.367052539639928</v>
      </c>
      <c r="AN135" s="6">
        <f>Table2[[#This Row],[EV]]-Table2[[#This Row],[Spread]]</f>
        <v>-12.636620177235571</v>
      </c>
      <c r="AO135" s="1">
        <f>Table2[[#This Row],[EV Err]]^2</f>
        <v>159.68416950371716</v>
      </c>
      <c r="AP135" s="1"/>
    </row>
    <row r="136" spans="1:42" x14ac:dyDescent="0.25">
      <c r="A136" s="34">
        <v>42686</v>
      </c>
      <c r="B136" t="s">
        <v>125</v>
      </c>
      <c r="C136" t="s">
        <v>123</v>
      </c>
      <c r="D136">
        <f>IF((Table2[[#This Row],[Spread]]-Table2[[#This Row],[Spread/V]])=0,1,IF(Table2[[#This Row],[Spread]]&lt;Table2[[#This Row],[Spread/V]],1,0))</f>
        <v>1</v>
      </c>
      <c r="E136">
        <v>106</v>
      </c>
      <c r="F136">
        <f>IF((Table2[[#This Row],[Spread]]-Table2[[#This Row],[Spread/V]])=0,1,IF(Table2[[#This Row],[Spread]]&gt;Table2[[#This Row],[Spread/V]],1,0))</f>
        <v>0</v>
      </c>
      <c r="G136">
        <v>96</v>
      </c>
      <c r="H136" s="7">
        <f t="shared" si="4"/>
        <v>202</v>
      </c>
      <c r="I136">
        <f>IF(Table2[[#This Row],[Total/V]]&lt;=Table2[[#This Row],[Total]],1,0)</f>
        <v>1</v>
      </c>
      <c r="J136">
        <v>201.5</v>
      </c>
      <c r="K136"/>
      <c r="L136" s="21">
        <f>(Table2[[#This Row],[H/Pace]]/100)*(VLOOKUP(Table2[[#This Row],[Home/Neutral]],home_lookup,8,FALSE)+VLOOKUP(Table2[[#This Row],[Home/Neutral]],OFR_lookup,2,FALSE)+VLOOKUP(Table2[[#This Row],[Visitor/Neutral]],def_diff_lookup,6,FALSE))</f>
        <v>105.08612550061908</v>
      </c>
      <c r="M136" s="21"/>
      <c r="N136" s="21">
        <f>(Table2[[#This Row],[A/Pace]]/100)*(VLOOKUP(Table2[[#This Row],[Visitor/Neutral]],OFR_lookup,2,FALSE)+VLOOKUP(Table2[[#This Row],[Home/Neutral]],def_diff_lookup,6,FALSE))</f>
        <v>97.925741666666667</v>
      </c>
      <c r="O136" s="21"/>
      <c r="P136" s="21"/>
      <c r="Q136">
        <f>VLOOKUP(Table2[[#This Row],[Home/Neutral]],pace_lookup,7,FALSE)</f>
        <v>96.1</v>
      </c>
      <c r="R136" s="5">
        <f>VLOOKUP(Table2[[#This Row],[Visitor/Neutral]],pace_lookup,7,FALSE)</f>
        <v>92.5</v>
      </c>
      <c r="S136" s="7">
        <f t="shared" si="5"/>
        <v>-10</v>
      </c>
      <c r="T136">
        <v>-2.5</v>
      </c>
      <c r="U136" s="15"/>
      <c r="W136" s="2">
        <f>-home-VLOOKUP(Table2[[#This Row],[Home/Neutral]],rtg_vlookup,4,FALSE)+VLOOKUP(Table2[[#This Row],[Visitor/Neutral]],rtg_vlookup,4,FALSE)</f>
        <v>0.38131147540983423</v>
      </c>
      <c r="X136" s="15"/>
      <c r="Y136" s="2"/>
      <c r="Z136" s="2">
        <f>Table2[[#This Row],[A/EV]]-Table2[[#This Row],[H/EV]]</f>
        <v>-7.1603838339524088</v>
      </c>
      <c r="AA136" s="29"/>
      <c r="AB136" s="30"/>
      <c r="AC136" s="30"/>
      <c r="AD136" s="30"/>
      <c r="AE136" s="30"/>
      <c r="AF136" s="7" t="b">
        <f>IF(VLOOKUP(Table2[[#This Row],[Home/Neutral]],division_lookup,9,FALSE)=VLOOKUP(Table2[[#This Row],[Visitor/Neutral]],division_lookup,9,FALSE),TRUE,FALSE)</f>
        <v>0</v>
      </c>
      <c r="AG136" s="15" t="str">
        <f>VLOOKUP(Table2[[#This Row],[Home/Neutral]],division_lookup,9,FALSE)</f>
        <v>C</v>
      </c>
      <c r="AH136" s="15" t="str">
        <f>IF(Table2[[#This Row],[Total/EV]]&lt;Table2[[#This Row],[Total/V]],"UNDER","OVER")</f>
        <v>UNDER</v>
      </c>
      <c r="AI136" s="15"/>
      <c r="AJ136" s="2"/>
      <c r="AK136" s="2"/>
      <c r="AL136" s="18">
        <f>Table2[[#This Row],[SRS]]-Table2[[#This Row],[Spread]]</f>
        <v>10.381311475409834</v>
      </c>
      <c r="AM136" s="21">
        <f>Table2[[#This Row],[(A) Err]]^2</f>
        <v>107.77162794947591</v>
      </c>
      <c r="AN136" s="6">
        <f>Table2[[#This Row],[EV]]-Table2[[#This Row],[Spread]]</f>
        <v>2.8396161660475912</v>
      </c>
      <c r="AO136" s="1">
        <f>Table2[[#This Row],[EV Err]]^2</f>
        <v>8.0634199704788205</v>
      </c>
      <c r="AP136" s="1"/>
    </row>
    <row r="137" spans="1:42" x14ac:dyDescent="0.25">
      <c r="A137" s="34">
        <v>42686</v>
      </c>
      <c r="B137" t="s">
        <v>126</v>
      </c>
      <c r="C137" t="s">
        <v>121</v>
      </c>
      <c r="D137">
        <f>IF((Table2[[#This Row],[Spread]]-Table2[[#This Row],[Spread/V]])=0,1,IF(Table2[[#This Row],[Spread]]&lt;Table2[[#This Row],[Spread/V]],1,0))</f>
        <v>0</v>
      </c>
      <c r="E137">
        <v>105</v>
      </c>
      <c r="F137">
        <f>IF((Table2[[#This Row],[Spread]]-Table2[[#This Row],[Spread/V]])=0,1,IF(Table2[[#This Row],[Spread]]&gt;Table2[[#This Row],[Spread/V]],1,0))</f>
        <v>1</v>
      </c>
      <c r="G137">
        <v>119</v>
      </c>
      <c r="H137" s="7">
        <f t="shared" si="4"/>
        <v>224</v>
      </c>
      <c r="I137">
        <f>IF(Table2[[#This Row],[Total/V]]&lt;=Table2[[#This Row],[Total]],1,0)</f>
        <v>1</v>
      </c>
      <c r="J137">
        <v>209</v>
      </c>
      <c r="K137"/>
      <c r="L137" s="21">
        <f>(Table2[[#This Row],[H/Pace]]/100)*(VLOOKUP(Table2[[#This Row],[Home/Neutral]],home_lookup,8,FALSE)+VLOOKUP(Table2[[#This Row],[Home/Neutral]],OFR_lookup,2,FALSE)+VLOOKUP(Table2[[#This Row],[Visitor/Neutral]],def_diff_lookup,6,FALSE))</f>
        <v>110.80649777050786</v>
      </c>
      <c r="M137" s="21"/>
      <c r="N137" s="21">
        <f>(Table2[[#This Row],[A/Pace]]/100)*(VLOOKUP(Table2[[#This Row],[Visitor/Neutral]],OFR_lookup,2,FALSE)+VLOOKUP(Table2[[#This Row],[Home/Neutral]],def_diff_lookup,6,FALSE))</f>
        <v>114.05630266666667</v>
      </c>
      <c r="O137" s="21"/>
      <c r="P137" s="21"/>
      <c r="Q137">
        <f>VLOOKUP(Table2[[#This Row],[Home/Neutral]],pace_lookup,7,FALSE)</f>
        <v>95.7</v>
      </c>
      <c r="R137" s="5">
        <f>VLOOKUP(Table2[[#This Row],[Visitor/Neutral]],pace_lookup,7,FALSE)</f>
        <v>96.4</v>
      </c>
      <c r="S137" s="7">
        <f t="shared" si="5"/>
        <v>14</v>
      </c>
      <c r="T137">
        <v>-5.5</v>
      </c>
      <c r="U137" s="15"/>
      <c r="W137" s="2">
        <f>-home-VLOOKUP(Table2[[#This Row],[Home/Neutral]],rtg_vlookup,4,FALSE)+VLOOKUP(Table2[[#This Row],[Visitor/Neutral]],rtg_vlookup,4,FALSE)</f>
        <v>11.131311475409834</v>
      </c>
      <c r="X137" s="15"/>
      <c r="Y137" s="2"/>
      <c r="Z137" s="2">
        <f>Table2[[#This Row],[A/EV]]-Table2[[#This Row],[H/EV]]</f>
        <v>3.2498048961588069</v>
      </c>
      <c r="AA137" s="29"/>
      <c r="AB137" s="30"/>
      <c r="AC137" s="30"/>
      <c r="AD137" s="30"/>
      <c r="AE137" s="30"/>
      <c r="AF137" s="7" t="b">
        <f>IF(VLOOKUP(Table2[[#This Row],[Home/Neutral]],division_lookup,9,FALSE)=VLOOKUP(Table2[[#This Row],[Visitor/Neutral]],division_lookup,9,FALSE),TRUE,FALSE)</f>
        <v>0</v>
      </c>
      <c r="AG137" s="15" t="str">
        <f>VLOOKUP(Table2[[#This Row],[Home/Neutral]],division_lookup,9,FALSE)</f>
        <v>NW</v>
      </c>
      <c r="AH137" s="15" t="str">
        <f>IF(Table2[[#This Row],[Total/EV]]&lt;Table2[[#This Row],[Total/V]],"UNDER","OVER")</f>
        <v>UNDER</v>
      </c>
      <c r="AI137" s="15"/>
      <c r="AJ137" s="2"/>
      <c r="AK137" s="2"/>
      <c r="AL137" s="18">
        <f>Table2[[#This Row],[SRS]]-Table2[[#This Row],[Spread]]</f>
        <v>-2.8686885245901657</v>
      </c>
      <c r="AM137" s="21">
        <f>Table2[[#This Row],[(A) Err]]^2</f>
        <v>8.2293738511153016</v>
      </c>
      <c r="AN137" s="6">
        <f>Table2[[#This Row],[EV]]-Table2[[#This Row],[Spread]]</f>
        <v>-10.750195103841193</v>
      </c>
      <c r="AO137" s="1">
        <f>Table2[[#This Row],[EV Err]]^2</f>
        <v>115.56669477065117</v>
      </c>
      <c r="AP137" s="1"/>
    </row>
    <row r="138" spans="1:42" x14ac:dyDescent="0.25">
      <c r="A138" s="34">
        <v>42686</v>
      </c>
      <c r="B138" t="s">
        <v>127</v>
      </c>
      <c r="C138" t="s">
        <v>122</v>
      </c>
      <c r="D138">
        <f>IF((Table2[[#This Row],[Spread]]-Table2[[#This Row],[Spread/V]])=0,1,IF(Table2[[#This Row],[Spread]]&lt;Table2[[#This Row],[Spread/V]],1,0))</f>
        <v>0</v>
      </c>
      <c r="E138">
        <v>99</v>
      </c>
      <c r="F138">
        <f>IF((Table2[[#This Row],[Spread]]-Table2[[#This Row],[Spread/V]])=0,1,IF(Table2[[#This Row],[Spread]]&gt;Table2[[#This Row],[Spread/V]],1,0))</f>
        <v>1</v>
      </c>
      <c r="G138">
        <v>126</v>
      </c>
      <c r="H138" s="7">
        <f t="shared" si="4"/>
        <v>225</v>
      </c>
      <c r="I138">
        <f>IF(Table2[[#This Row],[Total/V]]&lt;=Table2[[#This Row],[Total]],1,0)</f>
        <v>1</v>
      </c>
      <c r="J138">
        <v>217</v>
      </c>
      <c r="K138"/>
      <c r="L138" s="21">
        <f>(Table2[[#This Row],[H/Pace]]/100)*(VLOOKUP(Table2[[#This Row],[Home/Neutral]],home_lookup,8,FALSE)+VLOOKUP(Table2[[#This Row],[Home/Neutral]],OFR_lookup,2,FALSE)+VLOOKUP(Table2[[#This Row],[Visitor/Neutral]],def_diff_lookup,6,FALSE))</f>
        <v>107.20758493743047</v>
      </c>
      <c r="M138" s="21"/>
      <c r="N138" s="21">
        <f>(Table2[[#This Row],[A/Pace]]/100)*(VLOOKUP(Table2[[#This Row],[Visitor/Neutral]],OFR_lookup,2,FALSE)+VLOOKUP(Table2[[#This Row],[Home/Neutral]],def_diff_lookup,6,FALSE))</f>
        <v>107.88099799999999</v>
      </c>
      <c r="O138" s="21"/>
      <c r="P138" s="21"/>
      <c r="Q138">
        <f>VLOOKUP(Table2[[#This Row],[Home/Neutral]],pace_lookup,7,FALSE)</f>
        <v>99.3</v>
      </c>
      <c r="R138" s="5">
        <f>VLOOKUP(Table2[[#This Row],[Visitor/Neutral]],pace_lookup,7,FALSE)</f>
        <v>100.2</v>
      </c>
      <c r="S138" s="7">
        <f t="shared" si="5"/>
        <v>27</v>
      </c>
      <c r="T138">
        <v>-1</v>
      </c>
      <c r="U138" s="15"/>
      <c r="W138" s="2">
        <f>-home-VLOOKUP(Table2[[#This Row],[Home/Neutral]],rtg_vlookup,4,FALSE)+VLOOKUP(Table2[[#This Row],[Visitor/Neutral]],rtg_vlookup,4,FALSE)</f>
        <v>-2.3686885245901657</v>
      </c>
      <c r="X138" s="15"/>
      <c r="Y138" s="2"/>
      <c r="Z138" s="2">
        <f>Table2[[#This Row],[A/EV]]-Table2[[#This Row],[H/EV]]</f>
        <v>0.67341306256952294</v>
      </c>
      <c r="AA138" s="29"/>
      <c r="AB138" s="30"/>
      <c r="AC138" s="30"/>
      <c r="AD138" s="30"/>
      <c r="AE138" s="30"/>
      <c r="AF138" s="7" t="b">
        <f>IF(VLOOKUP(Table2[[#This Row],[Home/Neutral]],division_lookup,9,FALSE)=VLOOKUP(Table2[[#This Row],[Visitor/Neutral]],division_lookup,9,FALSE),TRUE,FALSE)</f>
        <v>0</v>
      </c>
      <c r="AG138" s="15" t="str">
        <f>VLOOKUP(Table2[[#This Row],[Home/Neutral]],division_lookup,9,FALSE)</f>
        <v>SW</v>
      </c>
      <c r="AH138" s="15" t="str">
        <f>IF(Table2[[#This Row],[Total/EV]]&lt;Table2[[#This Row],[Total/V]],"UNDER","OVER")</f>
        <v>UNDER</v>
      </c>
      <c r="AI138" s="15"/>
      <c r="AJ138" s="2"/>
      <c r="AK138" s="2"/>
      <c r="AL138" s="18">
        <f>Table2[[#This Row],[SRS]]-Table2[[#This Row],[Spread]]</f>
        <v>-29.368688524590166</v>
      </c>
      <c r="AM138" s="21">
        <f>Table2[[#This Row],[(A) Err]]^2</f>
        <v>862.51986565439404</v>
      </c>
      <c r="AN138" s="6">
        <f>Table2[[#This Row],[EV]]-Table2[[#This Row],[Spread]]</f>
        <v>-26.326586937430477</v>
      </c>
      <c r="AO138" s="1">
        <f>Table2[[#This Row],[EV Err]]^2</f>
        <v>693.08917977408498</v>
      </c>
      <c r="AP138" s="1"/>
    </row>
    <row r="139" spans="1:42" x14ac:dyDescent="0.25">
      <c r="A139" s="34">
        <v>42686</v>
      </c>
      <c r="B139" t="s">
        <v>131</v>
      </c>
      <c r="C139" t="s">
        <v>111</v>
      </c>
      <c r="D139">
        <f>IF((Table2[[#This Row],[Spread]]-Table2[[#This Row],[Spread/V]])=0,1,IF(Table2[[#This Row],[Spread]]&lt;Table2[[#This Row],[Spread/V]],1,0))</f>
        <v>0</v>
      </c>
      <c r="E139">
        <v>104</v>
      </c>
      <c r="F139">
        <f>IF((Table2[[#This Row],[Spread]]-Table2[[#This Row],[Spread/V]])=0,1,IF(Table2[[#This Row],[Spread]]&gt;Table2[[#This Row],[Spread/V]],1,0))</f>
        <v>1</v>
      </c>
      <c r="G139">
        <v>122</v>
      </c>
      <c r="H139" s="7">
        <f t="shared" si="4"/>
        <v>226</v>
      </c>
      <c r="I139">
        <f>IF(Table2[[#This Row],[Total/V]]&lt;=Table2[[#This Row],[Total]],1,0)</f>
        <v>1</v>
      </c>
      <c r="J139">
        <v>218.5</v>
      </c>
      <c r="K139"/>
      <c r="L139" s="21">
        <f>(Table2[[#This Row],[H/Pace]]/100)*(VLOOKUP(Table2[[#This Row],[Home/Neutral]],home_lookup,8,FALSE)+VLOOKUP(Table2[[#This Row],[Home/Neutral]],OFR_lookup,2,FALSE)+VLOOKUP(Table2[[#This Row],[Visitor/Neutral]],def_diff_lookup,6,FALSE))</f>
        <v>101.32675979119766</v>
      </c>
      <c r="M139" s="21"/>
      <c r="N139" s="21">
        <f>(Table2[[#This Row],[A/Pace]]/100)*(VLOOKUP(Table2[[#This Row],[Visitor/Neutral]],OFR_lookup,2,FALSE)+VLOOKUP(Table2[[#This Row],[Home/Neutral]],def_diff_lookup,6,FALSE))</f>
        <v>105.36158</v>
      </c>
      <c r="O139" s="21"/>
      <c r="P139" s="21"/>
      <c r="Q139">
        <f>VLOOKUP(Table2[[#This Row],[Home/Neutral]],pace_lookup,7,FALSE)</f>
        <v>101.7</v>
      </c>
      <c r="R139" s="5">
        <f>VLOOKUP(Table2[[#This Row],[Visitor/Neutral]],pace_lookup,7,FALSE)</f>
        <v>102</v>
      </c>
      <c r="S139" s="7">
        <f t="shared" si="5"/>
        <v>18</v>
      </c>
      <c r="T139">
        <v>-5</v>
      </c>
      <c r="U139" s="15"/>
      <c r="W139" s="2">
        <f>-home-VLOOKUP(Table2[[#This Row],[Home/Neutral]],rtg_vlookup,4,FALSE)+VLOOKUP(Table2[[#This Row],[Visitor/Neutral]],rtg_vlookup,4,FALSE)</f>
        <v>-5.1786885245901653</v>
      </c>
      <c r="X139" s="15"/>
      <c r="Y139" s="2"/>
      <c r="Z139" s="2">
        <f>Table2[[#This Row],[A/EV]]-Table2[[#This Row],[H/EV]]</f>
        <v>4.0348202088023442</v>
      </c>
      <c r="AA139" s="29"/>
      <c r="AB139" s="30"/>
      <c r="AC139" s="30"/>
      <c r="AD139" s="30"/>
      <c r="AE139" s="30"/>
      <c r="AF139" s="7" t="b">
        <f>IF(VLOOKUP(Table2[[#This Row],[Home/Neutral]],division_lookup,9,FALSE)=VLOOKUP(Table2[[#This Row],[Visitor/Neutral]],division_lookup,9,FALSE),TRUE,FALSE)</f>
        <v>0</v>
      </c>
      <c r="AG139" s="15" t="str">
        <f>VLOOKUP(Table2[[#This Row],[Home/Neutral]],division_lookup,9,FALSE)</f>
        <v>P</v>
      </c>
      <c r="AH139" s="15" t="str">
        <f>IF(Table2[[#This Row],[Total/EV]]&lt;Table2[[#This Row],[Total/V]],"UNDER","OVER")</f>
        <v>UNDER</v>
      </c>
      <c r="AI139" s="15"/>
      <c r="AJ139" s="2"/>
      <c r="AK139" s="2"/>
      <c r="AL139" s="18">
        <f>Table2[[#This Row],[SRS]]-Table2[[#This Row],[Spread]]</f>
        <v>-23.178688524590164</v>
      </c>
      <c r="AM139" s="21">
        <f>Table2[[#This Row],[(A) Err]]^2</f>
        <v>537.25160171996777</v>
      </c>
      <c r="AN139" s="6">
        <f>Table2[[#This Row],[EV]]-Table2[[#This Row],[Spread]]</f>
        <v>-13.965179791197656</v>
      </c>
      <c r="AO139" s="1">
        <f>Table2[[#This Row],[EV Err]]^2</f>
        <v>195.02624660047539</v>
      </c>
      <c r="AP139" s="1"/>
    </row>
    <row r="140" spans="1:42" ht="15.75" thickBot="1" x14ac:dyDescent="0.3">
      <c r="A140" s="100">
        <v>42686</v>
      </c>
      <c r="B140" s="3" t="s">
        <v>135</v>
      </c>
      <c r="C140" s="3" t="s">
        <v>128</v>
      </c>
      <c r="D140" s="3">
        <f>IF((Table2[[#This Row],[Spread]]-Table2[[#This Row],[Spread/V]])=0,1,IF(Table2[[#This Row],[Spread]]&lt;Table2[[#This Row],[Spread/V]],1,0))</f>
        <v>1</v>
      </c>
      <c r="E140" s="3">
        <v>118</v>
      </c>
      <c r="F140" s="3">
        <f>IF((Table2[[#This Row],[Spread]]-Table2[[#This Row],[Spread/V]])=0,1,IF(Table2[[#This Row],[Spread]]&gt;Table2[[#This Row],[Spread/V]],1,0))</f>
        <v>0</v>
      </c>
      <c r="G140" s="3">
        <v>107</v>
      </c>
      <c r="H140" s="8">
        <f t="shared" si="4"/>
        <v>225</v>
      </c>
      <c r="I140" s="3">
        <f>IF(Table2[[#This Row],[Total/V]]&lt;=Table2[[#This Row],[Total]],1,0)</f>
        <v>1</v>
      </c>
      <c r="J140" s="3">
        <v>208.5</v>
      </c>
      <c r="K140" s="3"/>
      <c r="L140" s="22">
        <f>(Table2[[#This Row],[H/Pace]]/100)*(VLOOKUP(Table2[[#This Row],[Home/Neutral]],home_lookup,8,FALSE)+VLOOKUP(Table2[[#This Row],[Home/Neutral]],OFR_lookup,2,FALSE)+VLOOKUP(Table2[[#This Row],[Visitor/Neutral]],def_diff_lookup,6,FALSE))</f>
        <v>112.65456035324615</v>
      </c>
      <c r="M140" s="22"/>
      <c r="N140" s="22">
        <f>(Table2[[#This Row],[A/Pace]]/100)*(VLOOKUP(Table2[[#This Row],[Visitor/Neutral]],OFR_lookup,2,FALSE)+VLOOKUP(Table2[[#This Row],[Home/Neutral]],def_diff_lookup,6,FALSE))</f>
        <v>104.80874699999998</v>
      </c>
      <c r="O140" s="22"/>
      <c r="P140" s="22"/>
      <c r="Q140" s="3">
        <f>VLOOKUP(Table2[[#This Row],[Home/Neutral]],pace_lookup,7,FALSE)</f>
        <v>95.4</v>
      </c>
      <c r="R140" s="3">
        <f>VLOOKUP(Table2[[#This Row],[Visitor/Neutral]],pace_lookup,7,FALSE)</f>
        <v>96.3</v>
      </c>
      <c r="S140" s="8">
        <f t="shared" si="5"/>
        <v>-11</v>
      </c>
      <c r="T140" s="3">
        <v>-7.5</v>
      </c>
      <c r="U140" s="16"/>
      <c r="V140" s="3"/>
      <c r="W140" s="9">
        <f>-home-VLOOKUP(Table2[[#This Row],[Home/Neutral]],rtg_vlookup,4,FALSE)+VLOOKUP(Table2[[#This Row],[Visitor/Neutral]],rtg_vlookup,4,FALSE)</f>
        <v>-10.578688524590165</v>
      </c>
      <c r="X140" s="16"/>
      <c r="Y140" s="9"/>
      <c r="Z140" s="9">
        <f>Table2[[#This Row],[A/EV]]-Table2[[#This Row],[H/EV]]</f>
        <v>-7.8458133532461716</v>
      </c>
      <c r="AA140" s="31"/>
      <c r="AB140" s="32"/>
      <c r="AC140" s="32"/>
      <c r="AD140" s="32"/>
      <c r="AE140" s="32"/>
      <c r="AF140" s="8" t="b">
        <f>IF(VLOOKUP(Table2[[#This Row],[Home/Neutral]],division_lookup,9,FALSE)=VLOOKUP(Table2[[#This Row],[Visitor/Neutral]],division_lookup,9,FALSE),TRUE,FALSE)</f>
        <v>1</v>
      </c>
      <c r="AG140" s="16" t="str">
        <f>VLOOKUP(Table2[[#This Row],[Home/Neutral]],division_lookup,9,FALSE)</f>
        <v>A</v>
      </c>
      <c r="AH140" s="16" t="str">
        <f>IF(Table2[[#This Row],[Total/EV]]&lt;Table2[[#This Row],[Total/V]],"UNDER","OVER")</f>
        <v>UNDER</v>
      </c>
      <c r="AI140" s="17"/>
      <c r="AJ140" s="9"/>
      <c r="AK140" s="9"/>
      <c r="AL140" s="19">
        <f>Table2[[#This Row],[SRS]]-Table2[[#This Row],[Spread]]</f>
        <v>0.42131147540983527</v>
      </c>
      <c r="AM140" s="22">
        <f>Table2[[#This Row],[(A) Err]]^2</f>
        <v>0.17750335931201222</v>
      </c>
      <c r="AN140" s="4">
        <f>Table2[[#This Row],[EV]]-Table2[[#This Row],[Spread]]</f>
        <v>3.1541866467538284</v>
      </c>
      <c r="AO140" s="4">
        <f>Table2[[#This Row],[EV Err]]^2</f>
        <v>9.9488934025601612</v>
      </c>
      <c r="AP140" s="6"/>
    </row>
    <row r="141" spans="1:42" x14ac:dyDescent="0.25">
      <c r="A141" s="34">
        <v>42687</v>
      </c>
      <c r="B141" t="s">
        <v>114</v>
      </c>
      <c r="C141" t="s">
        <v>112</v>
      </c>
      <c r="D141">
        <f>IF((Table2[[#This Row],[Spread]]-Table2[[#This Row],[Spread/V]])=0,1,IF(Table2[[#This Row],[Spread]]&lt;Table2[[#This Row],[Spread/V]],1,0))</f>
        <v>1</v>
      </c>
      <c r="E141">
        <v>100</v>
      </c>
      <c r="F141">
        <f>IF((Table2[[#This Row],[Spread]]-Table2[[#This Row],[Spread/V]])=0,1,IF(Table2[[#This Row],[Spread]]&gt;Table2[[#This Row],[Spread/V]],1,0))</f>
        <v>1</v>
      </c>
      <c r="G141">
        <v>93</v>
      </c>
      <c r="H141" s="7">
        <f t="shared" si="4"/>
        <v>193</v>
      </c>
      <c r="I141">
        <f>IF(Table2[[#This Row],[Total/V]]&lt;=Table2[[#This Row],[Total]],1,0)</f>
        <v>0</v>
      </c>
      <c r="J141">
        <v>208</v>
      </c>
      <c r="K141"/>
      <c r="L141" s="21">
        <f>(Table2[[#This Row],[H/Pace]]/100)*(VLOOKUP(Table2[[#This Row],[Home/Neutral]],home_lookup,8,FALSE)+VLOOKUP(Table2[[#This Row],[Home/Neutral]],OFR_lookup,2,FALSE)+VLOOKUP(Table2[[#This Row],[Visitor/Neutral]],def_diff_lookup,6,FALSE))</f>
        <v>113.37572276756467</v>
      </c>
      <c r="M141" s="21"/>
      <c r="N141" s="21">
        <f>(Table2[[#This Row],[A/Pace]]/100)*(VLOOKUP(Table2[[#This Row],[Visitor/Neutral]],OFR_lookup,2,FALSE)+VLOOKUP(Table2[[#This Row],[Home/Neutral]],def_diff_lookup,6,FALSE))</f>
        <v>104.45727933333335</v>
      </c>
      <c r="O141" s="21"/>
      <c r="P141" s="21"/>
      <c r="Q141">
        <f>VLOOKUP(Table2[[#This Row],[Home/Neutral]],pace_lookup,7,FALSE)</f>
        <v>97.3</v>
      </c>
      <c r="R141" s="5">
        <f>VLOOKUP(Table2[[#This Row],[Visitor/Neutral]],pace_lookup,7,FALSE)</f>
        <v>97.4</v>
      </c>
      <c r="S141" s="7">
        <f t="shared" si="5"/>
        <v>-7</v>
      </c>
      <c r="T141">
        <v>-7</v>
      </c>
      <c r="U141" s="15"/>
      <c r="W141" s="2">
        <f>-home-VLOOKUP(Table2[[#This Row],[Home/Neutral]],rtg_vlookup,4,FALSE)+VLOOKUP(Table2[[#This Row],[Visitor/Neutral]],rtg_vlookup,4,FALSE)</f>
        <v>-9.3886885245901652</v>
      </c>
      <c r="X141" s="15"/>
      <c r="Y141" s="2"/>
      <c r="Z141" s="2">
        <f>Table2[[#This Row],[A/EV]]-Table2[[#This Row],[H/EV]]</f>
        <v>-8.918443434231321</v>
      </c>
      <c r="AA141" s="29"/>
      <c r="AB141" s="30"/>
      <c r="AC141" s="30"/>
      <c r="AD141" s="30"/>
      <c r="AE141" s="30"/>
      <c r="AF141" s="7" t="b">
        <f>IF(VLOOKUP(Table2[[#This Row],[Home/Neutral]],division_lookup,9,FALSE)=VLOOKUP(Table2[[#This Row],[Visitor/Neutral]],division_lookup,9,FALSE),TRUE,FALSE)</f>
        <v>0</v>
      </c>
      <c r="AG141" s="15" t="str">
        <f>VLOOKUP(Table2[[#This Row],[Home/Neutral]],division_lookup,9,FALSE)</f>
        <v>C</v>
      </c>
      <c r="AH141" s="15" t="str">
        <f>IF(Table2[[#This Row],[Total/EV]]&lt;Table2[[#This Row],[Total/V]],"UNDER","OVER")</f>
        <v>UNDER</v>
      </c>
      <c r="AI141" s="15"/>
      <c r="AJ141" s="2"/>
      <c r="AK141" s="2"/>
      <c r="AL141" s="18">
        <f>Table2[[#This Row],[SRS]]-Table2[[#This Row],[Spread]]</f>
        <v>-2.3886885245901652</v>
      </c>
      <c r="AM141" s="21">
        <f>Table2[[#This Row],[(A) Err]]^2</f>
        <v>5.7058328675087404</v>
      </c>
      <c r="AN141" s="6">
        <f>Table2[[#This Row],[EV]]-Table2[[#This Row],[Spread]]</f>
        <v>-1.918443434231321</v>
      </c>
      <c r="AO141" s="1">
        <f>Table2[[#This Row],[EV Err]]^2</f>
        <v>3.6804252103452648</v>
      </c>
      <c r="AP141" s="1"/>
    </row>
    <row r="142" spans="1:42" x14ac:dyDescent="0.25">
      <c r="A142" s="34">
        <v>42687</v>
      </c>
      <c r="B142" t="s">
        <v>118</v>
      </c>
      <c r="C142" t="s">
        <v>131</v>
      </c>
      <c r="D142">
        <f>IF((Table2[[#This Row],[Spread]]-Table2[[#This Row],[Spread/V]])=0,1,IF(Table2[[#This Row],[Spread]]&lt;Table2[[#This Row],[Spread/V]],1,0))</f>
        <v>0</v>
      </c>
      <c r="E142">
        <v>133</v>
      </c>
      <c r="F142">
        <f>IF((Table2[[#This Row],[Spread]]-Table2[[#This Row],[Spread/V]])=0,1,IF(Table2[[#This Row],[Spread]]&gt;Table2[[#This Row],[Spread/V]],1,0))</f>
        <v>1</v>
      </c>
      <c r="G142">
        <v>120</v>
      </c>
      <c r="H142" s="7">
        <f t="shared" si="4"/>
        <v>253</v>
      </c>
      <c r="I142">
        <f>IF(Table2[[#This Row],[Total/V]]&lt;=Table2[[#This Row],[Total]],1,0)</f>
        <v>1</v>
      </c>
      <c r="J142">
        <v>226</v>
      </c>
      <c r="K142"/>
      <c r="L142" s="21">
        <f>(Table2[[#This Row],[H/Pace]]/100)*(VLOOKUP(Table2[[#This Row],[Home/Neutral]],home_lookup,8,FALSE)+VLOOKUP(Table2[[#This Row],[Home/Neutral]],OFR_lookup,2,FALSE)+VLOOKUP(Table2[[#This Row],[Visitor/Neutral]],def_diff_lookup,6,FALSE))</f>
        <v>115.88703838078237</v>
      </c>
      <c r="M142" s="21"/>
      <c r="N142" s="21">
        <f>(Table2[[#This Row],[A/Pace]]/100)*(VLOOKUP(Table2[[#This Row],[Visitor/Neutral]],OFR_lookup,2,FALSE)+VLOOKUP(Table2[[#This Row],[Home/Neutral]],def_diff_lookup,6,FALSE))</f>
        <v>101.97018300000001</v>
      </c>
      <c r="O142" s="21"/>
      <c r="P142" s="21"/>
      <c r="Q142">
        <f>VLOOKUP(Table2[[#This Row],[Home/Neutral]],pace_lookup,7,FALSE)</f>
        <v>100.4</v>
      </c>
      <c r="R142" s="5">
        <f>VLOOKUP(Table2[[#This Row],[Visitor/Neutral]],pace_lookup,7,FALSE)</f>
        <v>101.7</v>
      </c>
      <c r="S142" s="7">
        <f t="shared" si="5"/>
        <v>-13</v>
      </c>
      <c r="T142">
        <v>-16.5</v>
      </c>
      <c r="U142" s="15"/>
      <c r="W142" s="2">
        <f>-home-VLOOKUP(Table2[[#This Row],[Home/Neutral]],rtg_vlookup,4,FALSE)+VLOOKUP(Table2[[#This Row],[Visitor/Neutral]],rtg_vlookup,4,FALSE)</f>
        <v>-20.578688524590167</v>
      </c>
      <c r="X142" s="15"/>
      <c r="Y142" s="2"/>
      <c r="Z142" s="2">
        <f>Table2[[#This Row],[A/EV]]-Table2[[#This Row],[H/EV]]</f>
        <v>-13.916855380782366</v>
      </c>
      <c r="AA142" s="29"/>
      <c r="AB142" s="30"/>
      <c r="AC142" s="30"/>
      <c r="AD142" s="30"/>
      <c r="AE142" s="30"/>
      <c r="AF142" s="7" t="b">
        <f>IF(VLOOKUP(Table2[[#This Row],[Home/Neutral]],division_lookup,9,FALSE)=VLOOKUP(Table2[[#This Row],[Visitor/Neutral]],division_lookup,9,FALSE),TRUE,FALSE)</f>
        <v>1</v>
      </c>
      <c r="AG142" s="15" t="str">
        <f>VLOOKUP(Table2[[#This Row],[Home/Neutral]],division_lookup,9,FALSE)</f>
        <v>P</v>
      </c>
      <c r="AH142" s="15" t="str">
        <f>IF(Table2[[#This Row],[Total/EV]]&lt;Table2[[#This Row],[Total/V]],"UNDER","OVER")</f>
        <v>UNDER</v>
      </c>
      <c r="AI142" s="15"/>
      <c r="AJ142" s="2"/>
      <c r="AK142" s="2"/>
      <c r="AL142" s="18">
        <f>Table2[[#This Row],[SRS]]-Table2[[#This Row],[Spread]]</f>
        <v>-7.5786885245901665</v>
      </c>
      <c r="AM142" s="21">
        <f>Table2[[#This Row],[(A) Err]]^2</f>
        <v>57.436519752754677</v>
      </c>
      <c r="AN142" s="6">
        <f>Table2[[#This Row],[EV]]-Table2[[#This Row],[Spread]]</f>
        <v>-0.91685538078236561</v>
      </c>
      <c r="AO142" s="1">
        <f>Table2[[#This Row],[EV Err]]^2</f>
        <v>0.84062378926957659</v>
      </c>
      <c r="AP142" s="1"/>
    </row>
    <row r="143" spans="1:42" x14ac:dyDescent="0.25">
      <c r="A143" s="34">
        <v>42687</v>
      </c>
      <c r="B143" t="s">
        <v>126</v>
      </c>
      <c r="C143" t="s">
        <v>122</v>
      </c>
      <c r="D143">
        <f>IF((Table2[[#This Row],[Spread]]-Table2[[#This Row],[Spread/V]])=0,1,IF(Table2[[#This Row],[Spread]]&lt;Table2[[#This Row],[Spread/V]],1,0))</f>
        <v>1</v>
      </c>
      <c r="E143">
        <v>125</v>
      </c>
      <c r="F143">
        <f>IF((Table2[[#This Row],[Spread]]-Table2[[#This Row],[Spread/V]])=0,1,IF(Table2[[#This Row],[Spread]]&gt;Table2[[#This Row],[Spread/V]],1,0))</f>
        <v>0</v>
      </c>
      <c r="G143">
        <v>99</v>
      </c>
      <c r="H143" s="7">
        <f t="shared" si="4"/>
        <v>224</v>
      </c>
      <c r="I143">
        <f>IF(Table2[[#This Row],[Total/V]]&lt;=Table2[[#This Row],[Total]],1,0)</f>
        <v>1</v>
      </c>
      <c r="J143">
        <v>213.5</v>
      </c>
      <c r="K143"/>
      <c r="L143" s="21">
        <f>(Table2[[#This Row],[H/Pace]]/100)*(VLOOKUP(Table2[[#This Row],[Home/Neutral]],home_lookup,8,FALSE)+VLOOKUP(Table2[[#This Row],[Home/Neutral]],OFR_lookup,2,FALSE)+VLOOKUP(Table2[[#This Row],[Visitor/Neutral]],def_diff_lookup,6,FALSE))</f>
        <v>119.26637777050786</v>
      </c>
      <c r="M143" s="21"/>
      <c r="N143" s="21">
        <f>(Table2[[#This Row],[A/Pace]]/100)*(VLOOKUP(Table2[[#This Row],[Visitor/Neutral]],OFR_lookup,2,FALSE)+VLOOKUP(Table2[[#This Row],[Home/Neutral]],def_diff_lookup,6,FALSE))</f>
        <v>112.40001799999999</v>
      </c>
      <c r="O143" s="21"/>
      <c r="P143" s="21"/>
      <c r="Q143">
        <f>VLOOKUP(Table2[[#This Row],[Home/Neutral]],pace_lookup,7,FALSE)</f>
        <v>95.7</v>
      </c>
      <c r="R143" s="5">
        <f>VLOOKUP(Table2[[#This Row],[Visitor/Neutral]],pace_lookup,7,FALSE)</f>
        <v>100.2</v>
      </c>
      <c r="S143" s="7">
        <f t="shared" si="5"/>
        <v>-26</v>
      </c>
      <c r="T143">
        <v>0</v>
      </c>
      <c r="U143" s="15"/>
      <c r="W143" s="2">
        <f>-home-VLOOKUP(Table2[[#This Row],[Home/Neutral]],rtg_vlookup,4,FALSE)+VLOOKUP(Table2[[#This Row],[Visitor/Neutral]],rtg_vlookup,4,FALSE)</f>
        <v>-3.8486885245901661</v>
      </c>
      <c r="X143" s="15"/>
      <c r="Y143" s="2"/>
      <c r="Z143" s="2">
        <f>Table2[[#This Row],[A/EV]]-Table2[[#This Row],[H/EV]]</f>
        <v>-6.8663597705078701</v>
      </c>
      <c r="AA143" s="29"/>
      <c r="AB143" s="30"/>
      <c r="AC143" s="30"/>
      <c r="AD143" s="30"/>
      <c r="AE143" s="30"/>
      <c r="AF143" s="7" t="b">
        <f>IF(VLOOKUP(Table2[[#This Row],[Home/Neutral]],division_lookup,9,FALSE)=VLOOKUP(Table2[[#This Row],[Visitor/Neutral]],division_lookup,9,FALSE),TRUE,FALSE)</f>
        <v>0</v>
      </c>
      <c r="AG143" s="15" t="str">
        <f>VLOOKUP(Table2[[#This Row],[Home/Neutral]],division_lookup,9,FALSE)</f>
        <v>NW</v>
      </c>
      <c r="AH143" s="15" t="str">
        <f>IF(Table2[[#This Row],[Total/EV]]&lt;Table2[[#This Row],[Total/V]],"UNDER","OVER")</f>
        <v>UNDER</v>
      </c>
      <c r="AI143" s="15"/>
      <c r="AJ143" s="2"/>
      <c r="AK143" s="2"/>
      <c r="AL143" s="18">
        <f>Table2[[#This Row],[SRS]]-Table2[[#This Row],[Spread]]</f>
        <v>22.151311475409834</v>
      </c>
      <c r="AM143" s="21">
        <f>Table2[[#This Row],[(A) Err]]^2</f>
        <v>490.68060008062338</v>
      </c>
      <c r="AN143" s="6">
        <f>Table2[[#This Row],[EV]]-Table2[[#This Row],[Spread]]</f>
        <v>19.13364022949213</v>
      </c>
      <c r="AO143" s="1">
        <f>Table2[[#This Row],[EV Err]]^2</f>
        <v>366.09618843163963</v>
      </c>
      <c r="AP143" s="1"/>
    </row>
    <row r="144" spans="1:42" x14ac:dyDescent="0.25">
      <c r="A144" s="34">
        <v>42687</v>
      </c>
      <c r="B144" t="s">
        <v>129</v>
      </c>
      <c r="C144" t="s">
        <v>130</v>
      </c>
      <c r="D144">
        <f>IF((Table2[[#This Row],[Spread]]-Table2[[#This Row],[Spread/V]])=0,1,IF(Table2[[#This Row],[Spread]]&lt;Table2[[#This Row],[Spread/V]],1,0))</f>
        <v>0</v>
      </c>
      <c r="E144">
        <v>117</v>
      </c>
      <c r="F144">
        <f>IF((Table2[[#This Row],[Spread]]-Table2[[#This Row],[Spread/V]])=0,1,IF(Table2[[#This Row],[Spread]]&gt;Table2[[#This Row],[Spread/V]],1,0))</f>
        <v>1</v>
      </c>
      <c r="G144">
        <v>119</v>
      </c>
      <c r="H144" s="7">
        <f t="shared" si="4"/>
        <v>236</v>
      </c>
      <c r="I144">
        <f>IF(Table2[[#This Row],[Total/V]]&lt;=Table2[[#This Row],[Total]],1,0)</f>
        <v>1</v>
      </c>
      <c r="J144">
        <v>204</v>
      </c>
      <c r="K144"/>
      <c r="L144" s="21">
        <f>(Table2[[#This Row],[H/Pace]]/100)*(VLOOKUP(Table2[[#This Row],[Home/Neutral]],home_lookup,8,FALSE)+VLOOKUP(Table2[[#This Row],[Home/Neutral]],OFR_lookup,2,FALSE)+VLOOKUP(Table2[[#This Row],[Visitor/Neutral]],def_diff_lookup,6,FALSE))</f>
        <v>107.22320376890107</v>
      </c>
      <c r="M144" s="21"/>
      <c r="N144" s="21">
        <f>(Table2[[#This Row],[A/Pace]]/100)*(VLOOKUP(Table2[[#This Row],[Visitor/Neutral]],OFR_lookup,2,FALSE)+VLOOKUP(Table2[[#This Row],[Home/Neutral]],def_diff_lookup,6,FALSE))</f>
        <v>90.343137999999996</v>
      </c>
      <c r="O144" s="21"/>
      <c r="P144" s="21"/>
      <c r="Q144">
        <f>VLOOKUP(Table2[[#This Row],[Home/Neutral]],pace_lookup,7,FALSE)</f>
        <v>99</v>
      </c>
      <c r="R144" s="5">
        <f>VLOOKUP(Table2[[#This Row],[Visitor/Neutral]],pace_lookup,7,FALSE)</f>
        <v>94.2</v>
      </c>
      <c r="S144" s="7">
        <f t="shared" si="5"/>
        <v>2</v>
      </c>
      <c r="T144">
        <v>-9.5</v>
      </c>
      <c r="U144" s="15"/>
      <c r="W144" s="2">
        <f>-home-VLOOKUP(Table2[[#This Row],[Home/Neutral]],rtg_vlookup,4,FALSE)+VLOOKUP(Table2[[#This Row],[Visitor/Neutral]],rtg_vlookup,4,FALSE)</f>
        <v>-12.918688524590166</v>
      </c>
      <c r="X144" s="15"/>
      <c r="Y144" s="2"/>
      <c r="Z144" s="2">
        <f>Table2[[#This Row],[A/EV]]-Table2[[#This Row],[H/EV]]</f>
        <v>-16.880065768901076</v>
      </c>
      <c r="AA144" s="29"/>
      <c r="AB144" s="30"/>
      <c r="AC144" s="30"/>
      <c r="AD144" s="30"/>
      <c r="AE144" s="30"/>
      <c r="AF144" s="7" t="b">
        <f>IF(VLOOKUP(Table2[[#This Row],[Home/Neutral]],division_lookup,9,FALSE)=VLOOKUP(Table2[[#This Row],[Visitor/Neutral]],division_lookup,9,FALSE),TRUE,FALSE)</f>
        <v>0</v>
      </c>
      <c r="AG144" s="15" t="str">
        <f>VLOOKUP(Table2[[#This Row],[Home/Neutral]],division_lookup,9,FALSE)</f>
        <v>NW</v>
      </c>
      <c r="AH144" s="15" t="str">
        <f>IF(Table2[[#This Row],[Total/EV]]&lt;Table2[[#This Row],[Total/V]],"UNDER","OVER")</f>
        <v>UNDER</v>
      </c>
      <c r="AI144" s="15"/>
      <c r="AJ144" s="2"/>
      <c r="AK144" s="2"/>
      <c r="AL144" s="18">
        <f>Table2[[#This Row],[SRS]]-Table2[[#This Row],[Spread]]</f>
        <v>-14.918688524590166</v>
      </c>
      <c r="AM144" s="21">
        <f>Table2[[#This Row],[(A) Err]]^2</f>
        <v>222.56726729373833</v>
      </c>
      <c r="AN144" s="6">
        <f>Table2[[#This Row],[EV]]-Table2[[#This Row],[Spread]]</f>
        <v>-18.880065768901076</v>
      </c>
      <c r="AO144" s="1">
        <f>Table2[[#This Row],[EV Err]]^2</f>
        <v>356.45688343803016</v>
      </c>
      <c r="AP144" s="1"/>
    </row>
    <row r="145" spans="1:42" ht="15.75" thickBot="1" x14ac:dyDescent="0.3">
      <c r="A145" s="100">
        <v>42687</v>
      </c>
      <c r="B145" s="3" t="s">
        <v>132</v>
      </c>
      <c r="C145" s="3" t="s">
        <v>116</v>
      </c>
      <c r="D145" s="3">
        <f>IF((Table2[[#This Row],[Spread]]-Table2[[#This Row],[Spread/V]])=0,1,IF(Table2[[#This Row],[Spread]]&lt;Table2[[#This Row],[Spread/V]],1,0))</f>
        <v>0</v>
      </c>
      <c r="E145" s="3">
        <v>112</v>
      </c>
      <c r="F145" s="3">
        <f>IF((Table2[[#This Row],[Spread]]-Table2[[#This Row],[Spread/V]])=0,1,IF(Table2[[#This Row],[Spread]]&gt;Table2[[#This Row],[Spread/V]],1,0))</f>
        <v>1</v>
      </c>
      <c r="G145" s="3">
        <v>105</v>
      </c>
      <c r="H145" s="8">
        <f t="shared" si="4"/>
        <v>217</v>
      </c>
      <c r="I145" s="3">
        <f>IF(Table2[[#This Row],[Total/V]]&lt;=Table2[[#This Row],[Total]],1,0)</f>
        <v>1</v>
      </c>
      <c r="J145" s="3">
        <v>216.5</v>
      </c>
      <c r="K145" s="3"/>
      <c r="L145" s="22">
        <f>(Table2[[#This Row],[H/Pace]]/100)*(VLOOKUP(Table2[[#This Row],[Home/Neutral]],home_lookup,8,FALSE)+VLOOKUP(Table2[[#This Row],[Home/Neutral]],OFR_lookup,2,FALSE)+VLOOKUP(Table2[[#This Row],[Visitor/Neutral]],def_diff_lookup,6,FALSE))</f>
        <v>109.23150144606979</v>
      </c>
      <c r="M145" s="22"/>
      <c r="N145" s="22">
        <f>(Table2[[#This Row],[A/Pace]]/100)*(VLOOKUP(Table2[[#This Row],[Visitor/Neutral]],OFR_lookup,2,FALSE)+VLOOKUP(Table2[[#This Row],[Home/Neutral]],def_diff_lookup,6,FALSE))</f>
        <v>110.69040566666666</v>
      </c>
      <c r="O145" s="22"/>
      <c r="P145" s="22"/>
      <c r="Q145" s="3">
        <f>VLOOKUP(Table2[[#This Row],[Home/Neutral]],pace_lookup,7,FALSE)</f>
        <v>98.8</v>
      </c>
      <c r="R145" s="3">
        <f>VLOOKUP(Table2[[#This Row],[Visitor/Neutral]],pace_lookup,7,FALSE)</f>
        <v>99.1</v>
      </c>
      <c r="S145" s="8">
        <f t="shared" si="5"/>
        <v>-7</v>
      </c>
      <c r="T145" s="3">
        <v>-7.5</v>
      </c>
      <c r="U145" s="16"/>
      <c r="V145" s="3"/>
      <c r="W145" s="9">
        <f>-home-VLOOKUP(Table2[[#This Row],[Home/Neutral]],rtg_vlookup,4,FALSE)+VLOOKUP(Table2[[#This Row],[Visitor/Neutral]],rtg_vlookup,4,FALSE)</f>
        <v>-1.0786885245901656</v>
      </c>
      <c r="X145" s="16"/>
      <c r="Y145" s="9"/>
      <c r="Z145" s="9">
        <f>Table2[[#This Row],[A/EV]]-Table2[[#This Row],[H/EV]]</f>
        <v>1.4589042205968781</v>
      </c>
      <c r="AA145" s="31"/>
      <c r="AB145" s="32"/>
      <c r="AC145" s="32"/>
      <c r="AD145" s="32"/>
      <c r="AE145" s="32"/>
      <c r="AF145" s="8" t="b">
        <f>IF(VLOOKUP(Table2[[#This Row],[Home/Neutral]],division_lookup,9,FALSE)=VLOOKUP(Table2[[#This Row],[Visitor/Neutral]],division_lookup,9,FALSE),TRUE,FALSE)</f>
        <v>1</v>
      </c>
      <c r="AG145" s="16" t="str">
        <f>VLOOKUP(Table2[[#This Row],[Home/Neutral]],division_lookup,9,FALSE)</f>
        <v>NW</v>
      </c>
      <c r="AH145" s="16" t="str">
        <f>IF(Table2[[#This Row],[Total/EV]]&lt;Table2[[#This Row],[Total/V]],"UNDER","OVER")</f>
        <v>UNDER</v>
      </c>
      <c r="AI145" s="17"/>
      <c r="AJ145" s="9"/>
      <c r="AK145" s="9"/>
      <c r="AL145" s="19">
        <f>Table2[[#This Row],[SRS]]-Table2[[#This Row],[Spread]]</f>
        <v>5.9213114754098344</v>
      </c>
      <c r="AM145" s="22">
        <f>Table2[[#This Row],[(A) Err]]^2</f>
        <v>35.061929588820192</v>
      </c>
      <c r="AN145" s="4">
        <f>Table2[[#This Row],[EV]]-Table2[[#This Row],[Spread]]</f>
        <v>8.4589042205968781</v>
      </c>
      <c r="AO145" s="4">
        <f>Table2[[#This Row],[EV Err]]^2</f>
        <v>71.553060613231679</v>
      </c>
      <c r="AP145" s="6"/>
    </row>
    <row r="146" spans="1:42" x14ac:dyDescent="0.25">
      <c r="A146" s="34">
        <v>42688</v>
      </c>
      <c r="B146" t="s">
        <v>117</v>
      </c>
      <c r="C146" t="s">
        <v>129</v>
      </c>
      <c r="D146">
        <f>IF((Table2[[#This Row],[Spread]]-Table2[[#This Row],[Spread/V]])=0,1,IF(Table2[[#This Row],[Spread]]&lt;Table2[[#This Row],[Spread/V]],1,0))</f>
        <v>1</v>
      </c>
      <c r="E146">
        <v>104</v>
      </c>
      <c r="F146">
        <f>IF((Table2[[#This Row],[Spread]]-Table2[[#This Row],[Spread/V]])=0,1,IF(Table2[[#This Row],[Spread]]&gt;Table2[[#This Row],[Spread/V]],1,0))</f>
        <v>0</v>
      </c>
      <c r="G146">
        <v>88</v>
      </c>
      <c r="H146" s="7">
        <f t="shared" si="4"/>
        <v>192</v>
      </c>
      <c r="I146">
        <f>IF(Table2[[#This Row],[Total/V]]&lt;=Table2[[#This Row],[Total]],1,0)</f>
        <v>0</v>
      </c>
      <c r="J146">
        <v>203.5</v>
      </c>
      <c r="K146"/>
      <c r="L146" s="21">
        <f>(Table2[[#This Row],[H/Pace]]/100)*(VLOOKUP(Table2[[#This Row],[Home/Neutral]],home_lookup,8,FALSE)+VLOOKUP(Table2[[#This Row],[Home/Neutral]],OFR_lookup,2,FALSE)+VLOOKUP(Table2[[#This Row],[Visitor/Neutral]],def_diff_lookup,6,FALSE))</f>
        <v>110.43179591446429</v>
      </c>
      <c r="M146" s="21"/>
      <c r="N146" s="21">
        <f>(Table2[[#This Row],[A/Pace]]/100)*(VLOOKUP(Table2[[#This Row],[Visitor/Neutral]],OFR_lookup,2,FALSE)+VLOOKUP(Table2[[#This Row],[Home/Neutral]],def_diff_lookup,6,FALSE))</f>
        <v>101.32221</v>
      </c>
      <c r="O146" s="21"/>
      <c r="P146" s="21"/>
      <c r="Q146">
        <f>VLOOKUP(Table2[[#This Row],[Home/Neutral]],pace_lookup,7,FALSE)</f>
        <v>94</v>
      </c>
      <c r="R146" s="5">
        <f>VLOOKUP(Table2[[#This Row],[Visitor/Neutral]],pace_lookup,7,FALSE)</f>
        <v>99</v>
      </c>
      <c r="S146" s="7">
        <f t="shared" si="5"/>
        <v>-16</v>
      </c>
      <c r="T146">
        <v>-1</v>
      </c>
      <c r="U146" s="15"/>
      <c r="W146" s="2">
        <f>-home-VLOOKUP(Table2[[#This Row],[Home/Neutral]],rtg_vlookup,4,FALSE)+VLOOKUP(Table2[[#This Row],[Visitor/Neutral]],rtg_vlookup,4,FALSE)</f>
        <v>-2.8386885245901663</v>
      </c>
      <c r="X146" s="15"/>
      <c r="Y146" s="2"/>
      <c r="Z146" s="2">
        <f>Table2[[#This Row],[A/EV]]-Table2[[#This Row],[H/EV]]</f>
        <v>-9.1095859144642901</v>
      </c>
      <c r="AA146" s="29"/>
      <c r="AB146" s="30"/>
      <c r="AC146" s="30"/>
      <c r="AD146" s="30"/>
      <c r="AE146" s="30"/>
      <c r="AF146" s="7" t="b">
        <f>IF(VLOOKUP(Table2[[#This Row],[Home/Neutral]],division_lookup,9,FALSE)=VLOOKUP(Table2[[#This Row],[Visitor/Neutral]],division_lookup,9,FALSE),TRUE,FALSE)</f>
        <v>0</v>
      </c>
      <c r="AG146" s="15" t="str">
        <f>VLOOKUP(Table2[[#This Row],[Home/Neutral]],division_lookup,9,FALSE)</f>
        <v>C</v>
      </c>
      <c r="AH146" s="15" t="str">
        <f>IF(Table2[[#This Row],[Total/EV]]&lt;Table2[[#This Row],[Total/V]],"UNDER","OVER")</f>
        <v>UNDER</v>
      </c>
      <c r="AI146" s="15"/>
      <c r="AJ146" s="2"/>
      <c r="AK146" s="2"/>
      <c r="AL146" s="18">
        <f>Table2[[#This Row],[SRS]]-Table2[[#This Row],[Spread]]</f>
        <v>13.161311475409834</v>
      </c>
      <c r="AM146" s="21">
        <f>Table2[[#This Row],[(A) Err]]^2</f>
        <v>173.22011975275458</v>
      </c>
      <c r="AN146" s="6">
        <f>Table2[[#This Row],[EV]]-Table2[[#This Row],[Spread]]</f>
        <v>6.8904140855357099</v>
      </c>
      <c r="AO146" s="1">
        <f>Table2[[#This Row],[EV Err]]^2</f>
        <v>47.477806270148911</v>
      </c>
      <c r="AP146" s="1"/>
    </row>
    <row r="147" spans="1:42" x14ac:dyDescent="0.25">
      <c r="A147" s="34">
        <v>42688</v>
      </c>
      <c r="B147" t="s">
        <v>119</v>
      </c>
      <c r="C147" t="s">
        <v>138</v>
      </c>
      <c r="D147">
        <f>IF((Table2[[#This Row],[Spread]]-Table2[[#This Row],[Spread/V]])=0,1,IF(Table2[[#This Row],[Spread]]&lt;Table2[[#This Row],[Spread/V]],1,0))</f>
        <v>1</v>
      </c>
      <c r="E147">
        <v>115</v>
      </c>
      <c r="F147">
        <f>IF((Table2[[#This Row],[Spread]]-Table2[[#This Row],[Spread/V]])=0,1,IF(Table2[[#This Row],[Spread]]&gt;Table2[[#This Row],[Spread/V]],1,0))</f>
        <v>0</v>
      </c>
      <c r="G147">
        <v>88</v>
      </c>
      <c r="H147" s="7">
        <f t="shared" si="4"/>
        <v>203</v>
      </c>
      <c r="I147">
        <f>IF(Table2[[#This Row],[Total/V]]&lt;=Table2[[#This Row],[Total]],1,0)</f>
        <v>0</v>
      </c>
      <c r="J147">
        <v>216</v>
      </c>
      <c r="K147"/>
      <c r="L147" s="21">
        <f>(Table2[[#This Row],[H/Pace]]/100)*(VLOOKUP(Table2[[#This Row],[Home/Neutral]],home_lookup,8,FALSE)+VLOOKUP(Table2[[#This Row],[Home/Neutral]],OFR_lookup,2,FALSE)+VLOOKUP(Table2[[#This Row],[Visitor/Neutral]],def_diff_lookup,6,FALSE))</f>
        <v>110.57649376977628</v>
      </c>
      <c r="M147" s="21"/>
      <c r="N147" s="21">
        <f>(Table2[[#This Row],[A/Pace]]/100)*(VLOOKUP(Table2[[#This Row],[Visitor/Neutral]],OFR_lookup,2,FALSE)+VLOOKUP(Table2[[#This Row],[Home/Neutral]],def_diff_lookup,6,FALSE))</f>
        <v>98.938775000000007</v>
      </c>
      <c r="O147" s="21"/>
      <c r="P147" s="21"/>
      <c r="Q147">
        <f>VLOOKUP(Table2[[#This Row],[Home/Neutral]],pace_lookup,7,FALSE)</f>
        <v>96.9</v>
      </c>
      <c r="R147" s="5">
        <f>VLOOKUP(Table2[[#This Row],[Visitor/Neutral]],pace_lookup,7,FALSE)</f>
        <v>97.5</v>
      </c>
      <c r="S147" s="7">
        <f t="shared" si="5"/>
        <v>-27</v>
      </c>
      <c r="T147">
        <v>-11</v>
      </c>
      <c r="U147" s="15"/>
      <c r="W147" s="2">
        <f>-home-VLOOKUP(Table2[[#This Row],[Home/Neutral]],rtg_vlookup,4,FALSE)+VLOOKUP(Table2[[#This Row],[Visitor/Neutral]],rtg_vlookup,4,FALSE)</f>
        <v>-16.088688524590168</v>
      </c>
      <c r="X147" s="15"/>
      <c r="Y147" s="2"/>
      <c r="Z147" s="2">
        <f>Table2[[#This Row],[A/EV]]-Table2[[#This Row],[H/EV]]</f>
        <v>-11.637718769776271</v>
      </c>
      <c r="AA147" s="29"/>
      <c r="AB147" s="30"/>
      <c r="AC147" s="30"/>
      <c r="AD147" s="30"/>
      <c r="AE147" s="30"/>
      <c r="AF147" s="7" t="b">
        <f>IF(VLOOKUP(Table2[[#This Row],[Home/Neutral]],division_lookup,9,FALSE)=VLOOKUP(Table2[[#This Row],[Visitor/Neutral]],division_lookup,9,FALSE),TRUE,FALSE)</f>
        <v>0</v>
      </c>
      <c r="AG147" s="15" t="str">
        <f>VLOOKUP(Table2[[#This Row],[Home/Neutral]],division_lookup,9,FALSE)</f>
        <v>SW</v>
      </c>
      <c r="AH147" s="15" t="str">
        <f>IF(Table2[[#This Row],[Total/EV]]&lt;Table2[[#This Row],[Total/V]],"UNDER","OVER")</f>
        <v>UNDER</v>
      </c>
      <c r="AI147" s="15"/>
      <c r="AJ147" s="2"/>
      <c r="AK147" s="2"/>
      <c r="AL147" s="18">
        <f>Table2[[#This Row],[SRS]]-Table2[[#This Row],[Spread]]</f>
        <v>10.911311475409832</v>
      </c>
      <c r="AM147" s="21">
        <f>Table2[[#This Row],[(A) Err]]^2</f>
        <v>119.05671811341028</v>
      </c>
      <c r="AN147" s="6">
        <f>Table2[[#This Row],[EV]]-Table2[[#This Row],[Spread]]</f>
        <v>15.362281230223729</v>
      </c>
      <c r="AO147" s="1">
        <f>Table2[[#This Row],[EV Err]]^2</f>
        <v>235.99968459648429</v>
      </c>
      <c r="AP147" s="1"/>
    </row>
    <row r="148" spans="1:42" x14ac:dyDescent="0.25">
      <c r="A148" s="34">
        <v>42688</v>
      </c>
      <c r="B148" t="s">
        <v>120</v>
      </c>
      <c r="C148" t="s">
        <v>130</v>
      </c>
      <c r="D148">
        <f>IF((Table2[[#This Row],[Spread]]-Table2[[#This Row],[Spread/V]])=0,1,IF(Table2[[#This Row],[Spread]]&lt;Table2[[#This Row],[Spread/V]],1,0))</f>
        <v>1</v>
      </c>
      <c r="E148">
        <v>88</v>
      </c>
      <c r="F148">
        <f>IF((Table2[[#This Row],[Spread]]-Table2[[#This Row],[Spread/V]])=0,1,IF(Table2[[#This Row],[Spread]]&gt;Table2[[#This Row],[Spread/V]],1,0))</f>
        <v>0</v>
      </c>
      <c r="G148">
        <v>69</v>
      </c>
      <c r="H148" s="7">
        <f t="shared" si="4"/>
        <v>157</v>
      </c>
      <c r="I148">
        <f>IF(Table2[[#This Row],[Total/V]]&lt;=Table2[[#This Row],[Total]],1,0)</f>
        <v>0</v>
      </c>
      <c r="J148">
        <v>206.5</v>
      </c>
      <c r="K148"/>
      <c r="L148" s="21">
        <f>(Table2[[#This Row],[H/Pace]]/100)*(VLOOKUP(Table2[[#This Row],[Home/Neutral]],home_lookup,8,FALSE)+VLOOKUP(Table2[[#This Row],[Home/Neutral]],OFR_lookup,2,FALSE)+VLOOKUP(Table2[[#This Row],[Visitor/Neutral]],def_diff_lookup,6,FALSE))</f>
        <v>105.79896542930859</v>
      </c>
      <c r="M148" s="21"/>
      <c r="N148" s="21">
        <f>(Table2[[#This Row],[A/Pace]]/100)*(VLOOKUP(Table2[[#This Row],[Visitor/Neutral]],OFR_lookup,2,FALSE)+VLOOKUP(Table2[[#This Row],[Home/Neutral]],def_diff_lookup,6,FALSE))</f>
        <v>93.809697999999997</v>
      </c>
      <c r="O148" s="21"/>
      <c r="P148" s="21"/>
      <c r="Q148">
        <f>VLOOKUP(Table2[[#This Row],[Home/Neutral]],pace_lookup,7,FALSE)</f>
        <v>98.3</v>
      </c>
      <c r="R148" s="5">
        <f>VLOOKUP(Table2[[#This Row],[Visitor/Neutral]],pace_lookup,7,FALSE)</f>
        <v>94.2</v>
      </c>
      <c r="S148" s="7">
        <f t="shared" si="5"/>
        <v>-19</v>
      </c>
      <c r="T148">
        <v>-8</v>
      </c>
      <c r="U148" s="15"/>
      <c r="W148" s="2">
        <f>-home-VLOOKUP(Table2[[#This Row],[Home/Neutral]],rtg_vlookup,4,FALSE)+VLOOKUP(Table2[[#This Row],[Visitor/Neutral]],rtg_vlookup,4,FALSE)</f>
        <v>-6.7086885245901664</v>
      </c>
      <c r="X148" s="15"/>
      <c r="Y148" s="2"/>
      <c r="Z148" s="2">
        <f>Table2[[#This Row],[A/EV]]-Table2[[#This Row],[H/EV]]</f>
        <v>-11.989267429308597</v>
      </c>
      <c r="AA148" s="29"/>
      <c r="AB148" s="30"/>
      <c r="AC148" s="30"/>
      <c r="AD148" s="30"/>
      <c r="AE148" s="30"/>
      <c r="AF148" s="7" t="b">
        <f>IF(VLOOKUP(Table2[[#This Row],[Home/Neutral]],division_lookup,9,FALSE)=VLOOKUP(Table2[[#This Row],[Visitor/Neutral]],division_lookup,9,FALSE),TRUE,FALSE)</f>
        <v>0</v>
      </c>
      <c r="AG148" s="15" t="str">
        <f>VLOOKUP(Table2[[#This Row],[Home/Neutral]],division_lookup,9,FALSE)</f>
        <v>C</v>
      </c>
      <c r="AH148" s="15" t="str">
        <f>IF(Table2[[#This Row],[Total/EV]]&lt;Table2[[#This Row],[Total/V]],"UNDER","OVER")</f>
        <v>UNDER</v>
      </c>
      <c r="AI148" s="15"/>
      <c r="AJ148" s="2"/>
      <c r="AK148" s="2"/>
      <c r="AL148" s="18">
        <f>Table2[[#This Row],[SRS]]-Table2[[#This Row],[Spread]]</f>
        <v>12.291311475409834</v>
      </c>
      <c r="AM148" s="21">
        <f>Table2[[#This Row],[(A) Err]]^2</f>
        <v>151.07633778554148</v>
      </c>
      <c r="AN148" s="6">
        <f>Table2[[#This Row],[EV]]-Table2[[#This Row],[Spread]]</f>
        <v>7.0107325706914025</v>
      </c>
      <c r="AO148" s="1">
        <f>Table2[[#This Row],[EV Err]]^2</f>
        <v>49.150371177753279</v>
      </c>
      <c r="AP148" s="1"/>
    </row>
    <row r="149" spans="1:42" x14ac:dyDescent="0.25">
      <c r="A149" s="34">
        <v>42688</v>
      </c>
      <c r="B149" t="s">
        <v>121</v>
      </c>
      <c r="C149" t="s">
        <v>111</v>
      </c>
      <c r="D149">
        <f>IF((Table2[[#This Row],[Spread]]-Table2[[#This Row],[Spread/V]])=0,1,IF(Table2[[#This Row],[Spread]]&lt;Table2[[#This Row],[Spread/V]],1,0))</f>
        <v>1</v>
      </c>
      <c r="E149">
        <v>127</v>
      </c>
      <c r="F149">
        <f>IF((Table2[[#This Row],[Spread]]-Table2[[#This Row],[Spread/V]])=0,1,IF(Table2[[#This Row],[Spread]]&gt;Table2[[#This Row],[Spread/V]],1,0))</f>
        <v>0</v>
      </c>
      <c r="G149">
        <v>95</v>
      </c>
      <c r="H149" s="7">
        <f t="shared" si="4"/>
        <v>222</v>
      </c>
      <c r="I149">
        <f>IF(Table2[[#This Row],[Total/V]]&lt;=Table2[[#This Row],[Total]],1,0)</f>
        <v>1</v>
      </c>
      <c r="J149">
        <v>212</v>
      </c>
      <c r="K149"/>
      <c r="L149" s="21">
        <f>(Table2[[#This Row],[H/Pace]]/100)*(VLOOKUP(Table2[[#This Row],[Home/Neutral]],home_lookup,8,FALSE)+VLOOKUP(Table2[[#This Row],[Home/Neutral]],OFR_lookup,2,FALSE)+VLOOKUP(Table2[[#This Row],[Visitor/Neutral]],def_diff_lookup,6,FALSE))</f>
        <v>118.01596060751253</v>
      </c>
      <c r="M149" s="21"/>
      <c r="N149" s="21">
        <f>(Table2[[#This Row],[A/Pace]]/100)*(VLOOKUP(Table2[[#This Row],[Visitor/Neutral]],OFR_lookup,2,FALSE)+VLOOKUP(Table2[[#This Row],[Home/Neutral]],def_diff_lookup,6,FALSE))</f>
        <v>99.843379999999996</v>
      </c>
      <c r="O149" s="21"/>
      <c r="P149" s="21"/>
      <c r="Q149">
        <f>VLOOKUP(Table2[[#This Row],[Home/Neutral]],pace_lookup,7,FALSE)</f>
        <v>96.4</v>
      </c>
      <c r="R149" s="5">
        <f>VLOOKUP(Table2[[#This Row],[Visitor/Neutral]],pace_lookup,7,FALSE)</f>
        <v>102</v>
      </c>
      <c r="S149" s="7">
        <f t="shared" si="5"/>
        <v>-32</v>
      </c>
      <c r="T149">
        <v>-16.5</v>
      </c>
      <c r="U149" s="15"/>
      <c r="W149" s="2">
        <f>-home-VLOOKUP(Table2[[#This Row],[Home/Neutral]],rtg_vlookup,4,FALSE)+VLOOKUP(Table2[[#This Row],[Visitor/Neutral]],rtg_vlookup,4,FALSE)</f>
        <v>-24.288688524590164</v>
      </c>
      <c r="X149" s="15"/>
      <c r="Y149" s="2"/>
      <c r="Z149" s="2">
        <f>Table2[[#This Row],[A/EV]]-Table2[[#This Row],[H/EV]]</f>
        <v>-18.172580607512529</v>
      </c>
      <c r="AA149" s="29"/>
      <c r="AB149" s="30"/>
      <c r="AC149" s="30"/>
      <c r="AD149" s="30"/>
      <c r="AE149" s="30"/>
      <c r="AF149" s="7" t="b">
        <f>IF(VLOOKUP(Table2[[#This Row],[Home/Neutral]],division_lookup,9,FALSE)=VLOOKUP(Table2[[#This Row],[Visitor/Neutral]],division_lookup,9,FALSE),TRUE,FALSE)</f>
        <v>0</v>
      </c>
      <c r="AG149" s="15" t="str">
        <f>VLOOKUP(Table2[[#This Row],[Home/Neutral]],division_lookup,9,FALSE)</f>
        <v>P</v>
      </c>
      <c r="AH149" s="15" t="str">
        <f>IF(Table2[[#This Row],[Total/EV]]&lt;Table2[[#This Row],[Total/V]],"UNDER","OVER")</f>
        <v>UNDER</v>
      </c>
      <c r="AI149" s="15"/>
      <c r="AJ149" s="2"/>
      <c r="AK149" s="2"/>
      <c r="AL149" s="18">
        <f>Table2[[#This Row],[SRS]]-Table2[[#This Row],[Spread]]</f>
        <v>7.7113114754098362</v>
      </c>
      <c r="AM149" s="21">
        <f>Table2[[#This Row],[(A) Err]]^2</f>
        <v>59.464324670787427</v>
      </c>
      <c r="AN149" s="6">
        <f>Table2[[#This Row],[EV]]-Table2[[#This Row],[Spread]]</f>
        <v>13.827419392487471</v>
      </c>
      <c r="AO149" s="1">
        <f>Table2[[#This Row],[EV Err]]^2</f>
        <v>191.19752705573859</v>
      </c>
      <c r="AP149" s="1"/>
    </row>
    <row r="150" spans="1:42" x14ac:dyDescent="0.25">
      <c r="A150" s="34">
        <v>42688</v>
      </c>
      <c r="B150" t="s">
        <v>127</v>
      </c>
      <c r="C150" t="s">
        <v>110</v>
      </c>
      <c r="D150">
        <f>IF((Table2[[#This Row],[Spread]]-Table2[[#This Row],[Spread/V]])=0,1,IF(Table2[[#This Row],[Spread]]&lt;Table2[[#This Row],[Spread/V]],1,0))</f>
        <v>0</v>
      </c>
      <c r="E150">
        <v>106</v>
      </c>
      <c r="F150">
        <f>IF((Table2[[#This Row],[Spread]]-Table2[[#This Row],[Spread/V]])=0,1,IF(Table2[[#This Row],[Spread]]&gt;Table2[[#This Row],[Spread/V]],1,0))</f>
        <v>1</v>
      </c>
      <c r="G150">
        <v>105</v>
      </c>
      <c r="H150" s="7">
        <f t="shared" si="4"/>
        <v>211</v>
      </c>
      <c r="I150">
        <f>IF(Table2[[#This Row],[Total/V]]&lt;=Table2[[#This Row],[Total]],1,0)</f>
        <v>0</v>
      </c>
      <c r="J150">
        <v>212</v>
      </c>
      <c r="K150"/>
      <c r="L150" s="21">
        <f>(Table2[[#This Row],[H/Pace]]/100)*(VLOOKUP(Table2[[#This Row],[Home/Neutral]],home_lookup,8,FALSE)+VLOOKUP(Table2[[#This Row],[Home/Neutral]],OFR_lookup,2,FALSE)+VLOOKUP(Table2[[#This Row],[Visitor/Neutral]],def_diff_lookup,6,FALSE))</f>
        <v>103.39446493743048</v>
      </c>
      <c r="M150" s="21"/>
      <c r="N150" s="21">
        <f>(Table2[[#This Row],[A/Pace]]/100)*(VLOOKUP(Table2[[#This Row],[Visitor/Neutral]],OFR_lookup,2,FALSE)+VLOOKUP(Table2[[#This Row],[Home/Neutral]],def_diff_lookup,6,FALSE))</f>
        <v>102.49693133333334</v>
      </c>
      <c r="O150" s="21"/>
      <c r="P150" s="21"/>
      <c r="Q150">
        <f>VLOOKUP(Table2[[#This Row],[Home/Neutral]],pace_lookup,7,FALSE)</f>
        <v>99.3</v>
      </c>
      <c r="R150" s="5">
        <f>VLOOKUP(Table2[[#This Row],[Visitor/Neutral]],pace_lookup,7,FALSE)</f>
        <v>96.2</v>
      </c>
      <c r="S150" s="7">
        <f t="shared" si="5"/>
        <v>-1</v>
      </c>
      <c r="T150">
        <v>-3.5</v>
      </c>
      <c r="U150" s="15"/>
      <c r="W150" s="2">
        <f>-home-VLOOKUP(Table2[[#This Row],[Home/Neutral]],rtg_vlookup,4,FALSE)+VLOOKUP(Table2[[#This Row],[Visitor/Neutral]],rtg_vlookup,4,FALSE)</f>
        <v>0.36131147540983444</v>
      </c>
      <c r="X150" s="15"/>
      <c r="Y150" s="2"/>
      <c r="Z150" s="2">
        <f>Table2[[#This Row],[A/EV]]-Table2[[#This Row],[H/EV]]</f>
        <v>-0.89753360409714844</v>
      </c>
      <c r="AA150" s="29"/>
      <c r="AB150" s="30"/>
      <c r="AC150" s="30"/>
      <c r="AD150" s="30"/>
      <c r="AE150" s="30"/>
      <c r="AF150" s="7" t="b">
        <f>IF(VLOOKUP(Table2[[#This Row],[Home/Neutral]],division_lookup,9,FALSE)=VLOOKUP(Table2[[#This Row],[Visitor/Neutral]],division_lookup,9,FALSE),TRUE,FALSE)</f>
        <v>0</v>
      </c>
      <c r="AG150" s="15" t="str">
        <f>VLOOKUP(Table2[[#This Row],[Home/Neutral]],division_lookup,9,FALSE)</f>
        <v>SW</v>
      </c>
      <c r="AH150" s="15" t="str">
        <f>IF(Table2[[#This Row],[Total/EV]]&lt;Table2[[#This Row],[Total/V]],"UNDER","OVER")</f>
        <v>UNDER</v>
      </c>
      <c r="AI150" s="15"/>
      <c r="AJ150" s="2"/>
      <c r="AK150" s="2"/>
      <c r="AL150" s="18">
        <f>Table2[[#This Row],[SRS]]-Table2[[#This Row],[Spread]]</f>
        <v>1.3613114754098343</v>
      </c>
      <c r="AM150" s="21">
        <f>Table2[[#This Row],[(A) Err]]^2</f>
        <v>1.8531689330824999</v>
      </c>
      <c r="AN150" s="6">
        <f>Table2[[#This Row],[EV]]-Table2[[#This Row],[Spread]]</f>
        <v>0.10246639590285156</v>
      </c>
      <c r="AO150" s="1">
        <f>Table2[[#This Row],[EV Err]]^2</f>
        <v>1.0499362289319915E-2</v>
      </c>
      <c r="AP150" s="1"/>
    </row>
    <row r="151" spans="1:42" x14ac:dyDescent="0.25">
      <c r="A151" s="34">
        <v>42688</v>
      </c>
      <c r="B151" t="s">
        <v>128</v>
      </c>
      <c r="C151" t="s">
        <v>115</v>
      </c>
      <c r="D151">
        <f>IF((Table2[[#This Row],[Spread]]-Table2[[#This Row],[Spread/V]])=0,1,IF(Table2[[#This Row],[Spread]]&lt;Table2[[#This Row],[Spread/V]],1,0))</f>
        <v>1</v>
      </c>
      <c r="E151">
        <v>93</v>
      </c>
      <c r="F151">
        <f>IF((Table2[[#This Row],[Spread]]-Table2[[#This Row],[Spread/V]])=0,1,IF(Table2[[#This Row],[Spread]]&gt;Table2[[#This Row],[Spread/V]],1,0))</f>
        <v>0</v>
      </c>
      <c r="G151">
        <v>77</v>
      </c>
      <c r="H151" s="7">
        <f t="shared" si="4"/>
        <v>170</v>
      </c>
      <c r="I151">
        <f>IF(Table2[[#This Row],[Total/V]]&lt;=Table2[[#This Row],[Total]],1,0)</f>
        <v>0</v>
      </c>
      <c r="J151">
        <v>202</v>
      </c>
      <c r="K151"/>
      <c r="L151" s="21">
        <f>(Table2[[#This Row],[H/Pace]]/100)*(VLOOKUP(Table2[[#This Row],[Home/Neutral]],home_lookup,8,FALSE)+VLOOKUP(Table2[[#This Row],[Home/Neutral]],OFR_lookup,2,FALSE)+VLOOKUP(Table2[[#This Row],[Visitor/Neutral]],def_diff_lookup,6,FALSE))</f>
        <v>107.7198198778302</v>
      </c>
      <c r="M151" s="21"/>
      <c r="N151" s="21">
        <f>(Table2[[#This Row],[A/Pace]]/100)*(VLOOKUP(Table2[[#This Row],[Visitor/Neutral]],OFR_lookup,2,FALSE)+VLOOKUP(Table2[[#This Row],[Home/Neutral]],def_diff_lookup,6,FALSE))</f>
        <v>93.118934333333343</v>
      </c>
      <c r="O151" s="21"/>
      <c r="P151" s="21"/>
      <c r="Q151">
        <f>VLOOKUP(Table2[[#This Row],[Home/Neutral]],pace_lookup,7,FALSE)</f>
        <v>96.3</v>
      </c>
      <c r="R151" s="5">
        <f>VLOOKUP(Table2[[#This Row],[Visitor/Neutral]],pace_lookup,7,FALSE)</f>
        <v>92.9</v>
      </c>
      <c r="S151" s="7">
        <f t="shared" si="5"/>
        <v>-16</v>
      </c>
      <c r="T151">
        <v>-4.5</v>
      </c>
      <c r="U151" s="15"/>
      <c r="W151" s="2">
        <f>-home-VLOOKUP(Table2[[#This Row],[Home/Neutral]],rtg_vlookup,4,FALSE)+VLOOKUP(Table2[[#This Row],[Visitor/Neutral]],rtg_vlookup,4,FALSE)</f>
        <v>-9.7786885245901658</v>
      </c>
      <c r="X151" s="15"/>
      <c r="Y151" s="2"/>
      <c r="Z151" s="2">
        <f>Table2[[#This Row],[A/EV]]-Table2[[#This Row],[H/EV]]</f>
        <v>-14.600885544496862</v>
      </c>
      <c r="AA151" s="29"/>
      <c r="AB151" s="30"/>
      <c r="AC151" s="30"/>
      <c r="AD151" s="30"/>
      <c r="AE151" s="30"/>
      <c r="AF151" s="7" t="b">
        <f>IF(VLOOKUP(Table2[[#This Row],[Home/Neutral]],division_lookup,9,FALSE)=VLOOKUP(Table2[[#This Row],[Visitor/Neutral]],division_lookup,9,FALSE),TRUE,FALSE)</f>
        <v>0</v>
      </c>
      <c r="AG151" s="15" t="str">
        <f>VLOOKUP(Table2[[#This Row],[Home/Neutral]],division_lookup,9,FALSE)</f>
        <v>A</v>
      </c>
      <c r="AH151" s="15" t="str">
        <f>IF(Table2[[#This Row],[Total/EV]]&lt;Table2[[#This Row],[Total/V]],"UNDER","OVER")</f>
        <v>UNDER</v>
      </c>
      <c r="AI151" s="15"/>
      <c r="AJ151" s="10"/>
      <c r="AK151" s="10"/>
      <c r="AL151" s="18">
        <f>Table2[[#This Row],[SRS]]-Table2[[#This Row],[Spread]]</f>
        <v>6.2213114754098342</v>
      </c>
      <c r="AM151" s="21">
        <f>Table2[[#This Row],[(A) Err]]^2</f>
        <v>38.704716474066089</v>
      </c>
      <c r="AN151" s="6">
        <f>Table2[[#This Row],[EV]]-Table2[[#This Row],[Spread]]</f>
        <v>1.3991144555031383</v>
      </c>
      <c r="AO151" s="1">
        <f>Table2[[#This Row],[EV Err]]^2</f>
        <v>1.9575212595978431</v>
      </c>
      <c r="AP151" s="1"/>
    </row>
    <row r="152" spans="1:42" x14ac:dyDescent="0.25">
      <c r="A152" s="34">
        <v>42688</v>
      </c>
      <c r="B152" t="s">
        <v>134</v>
      </c>
      <c r="C152" t="s">
        <v>124</v>
      </c>
      <c r="D152">
        <f>IF((Table2[[#This Row],[Spread]]-Table2[[#This Row],[Spread/V]])=0,1,IF(Table2[[#This Row],[Spread]]&lt;Table2[[#This Row],[Spread/V]],1,0))</f>
        <v>0</v>
      </c>
      <c r="E152">
        <v>94</v>
      </c>
      <c r="F152">
        <f>IF((Table2[[#This Row],[Spread]]-Table2[[#This Row],[Spread/V]])=0,1,IF(Table2[[#This Row],[Spread]]&gt;Table2[[#This Row],[Spread/V]],1,0))</f>
        <v>1</v>
      </c>
      <c r="G152">
        <v>90</v>
      </c>
      <c r="H152" s="7">
        <f t="shared" si="4"/>
        <v>184</v>
      </c>
      <c r="I152">
        <f>IF(Table2[[#This Row],[Total/V]]&lt;=Table2[[#This Row],[Total]],1,0)</f>
        <v>0</v>
      </c>
      <c r="J152">
        <v>193.5</v>
      </c>
      <c r="K152"/>
      <c r="L152" s="21">
        <f>(Table2[[#This Row],[H/Pace]]/100)*(VLOOKUP(Table2[[#This Row],[Home/Neutral]],home_lookup,8,FALSE)+VLOOKUP(Table2[[#This Row],[Home/Neutral]],OFR_lookup,2,FALSE)+VLOOKUP(Table2[[#This Row],[Visitor/Neutral]],def_diff_lookup,6,FALSE))</f>
        <v>98.609333436381931</v>
      </c>
      <c r="M152" s="21"/>
      <c r="N152" s="21">
        <f>(Table2[[#This Row],[A/Pace]]/100)*(VLOOKUP(Table2[[#This Row],[Visitor/Neutral]],OFR_lookup,2,FALSE)+VLOOKUP(Table2[[#This Row],[Home/Neutral]],def_diff_lookup,6,FALSE))</f>
        <v>95.466869666666668</v>
      </c>
      <c r="O152" s="21"/>
      <c r="P152" s="21"/>
      <c r="Q152">
        <f>VLOOKUP(Table2[[#This Row],[Home/Neutral]],pace_lookup,7,FALSE)</f>
        <v>93.4</v>
      </c>
      <c r="R152" s="5">
        <f>VLOOKUP(Table2[[#This Row],[Visitor/Neutral]],pace_lookup,7,FALSE)</f>
        <v>93.7</v>
      </c>
      <c r="S152" s="7">
        <f t="shared" si="5"/>
        <v>-4</v>
      </c>
      <c r="T152">
        <v>-11</v>
      </c>
      <c r="U152" s="15"/>
      <c r="W152" s="2">
        <f>-home-VLOOKUP(Table2[[#This Row],[Home/Neutral]],rtg_vlookup,4,FALSE)+VLOOKUP(Table2[[#This Row],[Visitor/Neutral]],rtg_vlookup,4,FALSE)</f>
        <v>-11.368688524590164</v>
      </c>
      <c r="X152" s="15"/>
      <c r="Y152" s="2"/>
      <c r="Z152" s="2">
        <f>Table2[[#This Row],[A/EV]]-Table2[[#This Row],[H/EV]]</f>
        <v>-3.1424637697152633</v>
      </c>
      <c r="AA152" s="29"/>
      <c r="AB152" s="30"/>
      <c r="AC152" s="30"/>
      <c r="AD152" s="30"/>
      <c r="AE152" s="30"/>
      <c r="AF152" s="7" t="b">
        <f>IF(VLOOKUP(Table2[[#This Row],[Home/Neutral]],division_lookup,9,FALSE)=VLOOKUP(Table2[[#This Row],[Visitor/Neutral]],division_lookup,9,FALSE),TRUE,FALSE)</f>
        <v>0</v>
      </c>
      <c r="AG152" s="15" t="str">
        <f>VLOOKUP(Table2[[#This Row],[Home/Neutral]],division_lookup,9,FALSE)</f>
        <v>SW</v>
      </c>
      <c r="AH152" s="15" t="str">
        <f>IF(Table2[[#This Row],[Total/EV]]&lt;Table2[[#This Row],[Total/V]],"UNDER","OVER")</f>
        <v>UNDER</v>
      </c>
      <c r="AI152" s="15"/>
      <c r="AJ152" s="10"/>
      <c r="AK152" s="10"/>
      <c r="AL152" s="18">
        <f>Table2[[#This Row],[SRS]]-Table2[[#This Row],[Spread]]</f>
        <v>-7.3686885245901639</v>
      </c>
      <c r="AM152" s="21">
        <f>Table2[[#This Row],[(A) Err]]^2</f>
        <v>54.297570572426764</v>
      </c>
      <c r="AN152" s="6">
        <f>Table2[[#This Row],[EV]]-Table2[[#This Row],[Spread]]</f>
        <v>0.85753623028473669</v>
      </c>
      <c r="AO152" s="1">
        <f>Table2[[#This Row],[EV Err]]^2</f>
        <v>0.73536838625095691</v>
      </c>
      <c r="AP152" s="1"/>
    </row>
    <row r="153" spans="1:42" ht="15.75" thickBot="1" x14ac:dyDescent="0.3">
      <c r="A153" s="100">
        <v>42688</v>
      </c>
      <c r="B153" s="3" t="s">
        <v>136</v>
      </c>
      <c r="C153" s="3" t="s">
        <v>123</v>
      </c>
      <c r="D153" s="3">
        <f>IF((Table2[[#This Row],[Spread]]-Table2[[#This Row],[Spread/V]])=0,1,IF(Table2[[#This Row],[Spread]]&lt;Table2[[#This Row],[Spread/V]],1,0))</f>
        <v>0</v>
      </c>
      <c r="E153" s="3">
        <v>96</v>
      </c>
      <c r="F153" s="3">
        <f>IF((Table2[[#This Row],[Spread]]-Table2[[#This Row],[Spread/V]])=0,1,IF(Table2[[#This Row],[Spread]]&gt;Table2[[#This Row],[Spread/V]],1,0))</f>
        <v>1</v>
      </c>
      <c r="G153" s="3">
        <v>102</v>
      </c>
      <c r="H153" s="8">
        <f t="shared" si="4"/>
        <v>198</v>
      </c>
      <c r="I153" s="3">
        <f>IF(Table2[[#This Row],[Total/V]]&lt;=Table2[[#This Row],[Total]],1,0)</f>
        <v>1</v>
      </c>
      <c r="J153" s="3">
        <v>189.5</v>
      </c>
      <c r="K153" s="3"/>
      <c r="L153" s="22">
        <f>(Table2[[#This Row],[H/Pace]]/100)*(VLOOKUP(Table2[[#This Row],[Home/Neutral]],home_lookup,8,FALSE)+VLOOKUP(Table2[[#This Row],[Home/Neutral]],OFR_lookup,2,FALSE)+VLOOKUP(Table2[[#This Row],[Visitor/Neutral]],def_diff_lookup,6,FALSE))</f>
        <v>101.80888534991898</v>
      </c>
      <c r="M153" s="22"/>
      <c r="N153" s="22">
        <f>(Table2[[#This Row],[A/Pace]]/100)*(VLOOKUP(Table2[[#This Row],[Visitor/Neutral]],OFR_lookup,2,FALSE)+VLOOKUP(Table2[[#This Row],[Home/Neutral]],def_diff_lookup,6,FALSE))</f>
        <v>91.857741666666655</v>
      </c>
      <c r="O153" s="22"/>
      <c r="P153" s="22"/>
      <c r="Q153" s="3">
        <f>VLOOKUP(Table2[[#This Row],[Home/Neutral]],pace_lookup,7,FALSE)</f>
        <v>91.5</v>
      </c>
      <c r="R153" s="3">
        <f>VLOOKUP(Table2[[#This Row],[Visitor/Neutral]],pace_lookup,7,FALSE)</f>
        <v>92.5</v>
      </c>
      <c r="S153" s="8">
        <f t="shared" si="5"/>
        <v>6</v>
      </c>
      <c r="T153" s="3">
        <v>-6</v>
      </c>
      <c r="U153" s="16"/>
      <c r="V153" s="3"/>
      <c r="W153" s="9">
        <f>-home-VLOOKUP(Table2[[#This Row],[Home/Neutral]],rtg_vlookup,4,FALSE)+VLOOKUP(Table2[[#This Row],[Visitor/Neutral]],rtg_vlookup,4,FALSE)</f>
        <v>-6.3486885245901661</v>
      </c>
      <c r="X153" s="16"/>
      <c r="Y153" s="9"/>
      <c r="Z153" s="9">
        <f>Table2[[#This Row],[A/EV]]-Table2[[#This Row],[H/EV]]</f>
        <v>-9.9511436832523259</v>
      </c>
      <c r="AA153" s="31"/>
      <c r="AB153" s="32"/>
      <c r="AC153" s="32"/>
      <c r="AD153" s="32"/>
      <c r="AE153" s="32"/>
      <c r="AF153" s="8" t="b">
        <f>IF(VLOOKUP(Table2[[#This Row],[Home/Neutral]],division_lookup,9,FALSE)=VLOOKUP(Table2[[#This Row],[Visitor/Neutral]],division_lookup,9,FALSE),TRUE,FALSE)</f>
        <v>0</v>
      </c>
      <c r="AG153" s="16" t="str">
        <f>VLOOKUP(Table2[[#This Row],[Home/Neutral]],division_lookup,9,FALSE)</f>
        <v>NW</v>
      </c>
      <c r="AH153" s="16" t="str">
        <f>IF(Table2[[#This Row],[Total/EV]]&lt;Table2[[#This Row],[Total/V]],"UNDER","OVER")</f>
        <v>UNDER</v>
      </c>
      <c r="AI153" s="16"/>
      <c r="AJ153" s="9"/>
      <c r="AK153" s="9"/>
      <c r="AL153" s="19">
        <f>Table2[[#This Row],[SRS]]-Table2[[#This Row],[Spread]]</f>
        <v>-12.348688524590166</v>
      </c>
      <c r="AM153" s="22">
        <f>Table2[[#This Row],[(A) Err]]^2</f>
        <v>152.49010827734486</v>
      </c>
      <c r="AN153" s="4">
        <f>Table2[[#This Row],[EV]]-Table2[[#This Row],[Spread]]</f>
        <v>-15.951143683252326</v>
      </c>
      <c r="AO153" s="4">
        <f>Table2[[#This Row],[EV Err]]^2</f>
        <v>254.43898480376058</v>
      </c>
      <c r="AP153" s="6"/>
    </row>
    <row r="154" spans="1:42" x14ac:dyDescent="0.25">
      <c r="A154" s="34">
        <v>42689</v>
      </c>
      <c r="B154" t="s">
        <v>114</v>
      </c>
      <c r="C154" t="s">
        <v>135</v>
      </c>
      <c r="D154">
        <f>IF((Table2[[#This Row],[Spread]]-Table2[[#This Row],[Spread/V]])=0,1,IF(Table2[[#This Row],[Spread]]&lt;Table2[[#This Row],[Spread/V]],1,0))</f>
        <v>0</v>
      </c>
      <c r="E154">
        <v>121</v>
      </c>
      <c r="F154">
        <f>IF((Table2[[#This Row],[Spread]]-Table2[[#This Row],[Spread/V]])=0,1,IF(Table2[[#This Row],[Spread]]&gt;Table2[[#This Row],[Spread/V]],1,0))</f>
        <v>1</v>
      </c>
      <c r="G154">
        <v>117</v>
      </c>
      <c r="H154" s="7">
        <f t="shared" si="4"/>
        <v>238</v>
      </c>
      <c r="I154">
        <f>IF(Table2[[#This Row],[Total/V]]&lt;=Table2[[#This Row],[Total]],1,0)</f>
        <v>1</v>
      </c>
      <c r="J154">
        <v>210.5</v>
      </c>
      <c r="K154"/>
      <c r="L154" s="21">
        <f>(Table2[[#This Row],[H/Pace]]/100)*(VLOOKUP(Table2[[#This Row],[Home/Neutral]],home_lookup,8,FALSE)+VLOOKUP(Table2[[#This Row],[Home/Neutral]],OFR_lookup,2,FALSE)+VLOOKUP(Table2[[#This Row],[Visitor/Neutral]],def_diff_lookup,6,FALSE))</f>
        <v>115.15631276756466</v>
      </c>
      <c r="M154" s="21"/>
      <c r="N154" s="21">
        <f>(Table2[[#This Row],[A/Pace]]/100)*(VLOOKUP(Table2[[#This Row],[Visitor/Neutral]],OFR_lookup,2,FALSE)+VLOOKUP(Table2[[#This Row],[Home/Neutral]],def_diff_lookup,6,FALSE))</f>
        <v>107.76924600000001</v>
      </c>
      <c r="O154" s="21"/>
      <c r="P154" s="21"/>
      <c r="Q154">
        <f>VLOOKUP(Table2[[#This Row],[Home/Neutral]],pace_lookup,7,FALSE)</f>
        <v>97.3</v>
      </c>
      <c r="R154" s="5">
        <f>VLOOKUP(Table2[[#This Row],[Visitor/Neutral]],pace_lookup,7,FALSE)</f>
        <v>95.4</v>
      </c>
      <c r="S154" s="7">
        <f t="shared" si="5"/>
        <v>-4</v>
      </c>
      <c r="T154">
        <v>-6</v>
      </c>
      <c r="U154" s="15"/>
      <c r="W154" s="2">
        <f>-home-VLOOKUP(Table2[[#This Row],[Home/Neutral]],rtg_vlookup,4,FALSE)+VLOOKUP(Table2[[#This Row],[Visitor/Neutral]],rtg_vlookup,4,FALSE)</f>
        <v>-5.4886885245901658</v>
      </c>
      <c r="X154" s="15"/>
      <c r="Y154" s="2"/>
      <c r="Z154" s="2">
        <f>Table2[[#This Row],[A/EV]]-Table2[[#This Row],[H/EV]]</f>
        <v>-7.3870667675646473</v>
      </c>
      <c r="AA154" s="29"/>
      <c r="AB154" s="30"/>
      <c r="AC154" s="30"/>
      <c r="AD154" s="30"/>
      <c r="AE154" s="30"/>
      <c r="AF154" s="7" t="b">
        <f>IF(VLOOKUP(Table2[[#This Row],[Home/Neutral]],division_lookup,9,FALSE)=VLOOKUP(Table2[[#This Row],[Visitor/Neutral]],division_lookup,9,FALSE),TRUE,FALSE)</f>
        <v>0</v>
      </c>
      <c r="AG154" s="15" t="str">
        <f>VLOOKUP(Table2[[#This Row],[Home/Neutral]],division_lookup,9,FALSE)</f>
        <v>C</v>
      </c>
      <c r="AH154" s="15" t="str">
        <f>IF(Table2[[#This Row],[Total/EV]]&lt;Table2[[#This Row],[Total/V]],"UNDER","OVER")</f>
        <v>UNDER</v>
      </c>
      <c r="AI154" s="15"/>
      <c r="AJ154" s="10"/>
      <c r="AK154" s="10"/>
      <c r="AL154" s="18">
        <f>Table2[[#This Row],[SRS]]-Table2[[#This Row],[Spread]]</f>
        <v>-1.4886885245901658</v>
      </c>
      <c r="AM154" s="21">
        <f>Table2[[#This Row],[(A) Err]]^2</f>
        <v>2.2161935232464445</v>
      </c>
      <c r="AN154" s="6">
        <f>Table2[[#This Row],[EV]]-Table2[[#This Row],[Spread]]</f>
        <v>-3.3870667675646473</v>
      </c>
      <c r="AO154" s="1">
        <f>Table2[[#This Row],[EV Err]]^2</f>
        <v>11.472221287940828</v>
      </c>
      <c r="AP154" s="1"/>
    </row>
    <row r="155" spans="1:42" x14ac:dyDescent="0.25">
      <c r="A155" s="34">
        <v>42689</v>
      </c>
      <c r="B155" t="s">
        <v>122</v>
      </c>
      <c r="C155" t="s">
        <v>111</v>
      </c>
      <c r="D155">
        <f>IF((Table2[[#This Row],[Spread]]-Table2[[#This Row],[Spread/V]])=0,1,IF(Table2[[#This Row],[Spread]]&lt;Table2[[#This Row],[Spread/V]],1,0))</f>
        <v>1</v>
      </c>
      <c r="E155">
        <v>125</v>
      </c>
      <c r="F155">
        <f>IF((Table2[[#This Row],[Spread]]-Table2[[#This Row],[Spread/V]])=0,1,IF(Table2[[#This Row],[Spread]]&gt;Table2[[#This Row],[Spread/V]],1,0))</f>
        <v>1</v>
      </c>
      <c r="G155">
        <v>118</v>
      </c>
      <c r="H155" s="7">
        <f t="shared" si="4"/>
        <v>243</v>
      </c>
      <c r="I155">
        <f>IF(Table2[[#This Row],[Total/V]]&lt;=Table2[[#This Row],[Total]],1,0)</f>
        <v>1</v>
      </c>
      <c r="J155">
        <v>219</v>
      </c>
      <c r="K155"/>
      <c r="L155" s="21">
        <f>(Table2[[#This Row],[H/Pace]]/100)*(VLOOKUP(Table2[[#This Row],[Home/Neutral]],home_lookup,8,FALSE)+VLOOKUP(Table2[[#This Row],[Home/Neutral]],OFR_lookup,2,FALSE)+VLOOKUP(Table2[[#This Row],[Visitor/Neutral]],def_diff_lookup,6,FALSE))</f>
        <v>114.10656832744731</v>
      </c>
      <c r="M155" s="21"/>
      <c r="N155" s="21">
        <f>(Table2[[#This Row],[A/Pace]]/100)*(VLOOKUP(Table2[[#This Row],[Visitor/Neutral]],OFR_lookup,2,FALSE)+VLOOKUP(Table2[[#This Row],[Home/Neutral]],def_diff_lookup,6,FALSE))</f>
        <v>108.86017999999999</v>
      </c>
      <c r="O155" s="21"/>
      <c r="P155" s="21"/>
      <c r="Q155">
        <f>VLOOKUP(Table2[[#This Row],[Home/Neutral]],pace_lookup,7,FALSE)</f>
        <v>100.2</v>
      </c>
      <c r="R155" s="5">
        <f>VLOOKUP(Table2[[#This Row],[Visitor/Neutral]],pace_lookup,7,FALSE)</f>
        <v>102</v>
      </c>
      <c r="S155" s="7">
        <f t="shared" si="5"/>
        <v>-7</v>
      </c>
      <c r="T155">
        <v>-7</v>
      </c>
      <c r="U155" s="15"/>
      <c r="W155" s="2">
        <f>-home-VLOOKUP(Table2[[#This Row],[Home/Neutral]],rtg_vlookup,4,FALSE)+VLOOKUP(Table2[[#This Row],[Visitor/Neutral]],rtg_vlookup,4,FALSE)</f>
        <v>-9.3086885245901652</v>
      </c>
      <c r="X155" s="15"/>
      <c r="Y155" s="2"/>
      <c r="Z155" s="2">
        <f>Table2[[#This Row],[A/EV]]-Table2[[#This Row],[H/EV]]</f>
        <v>-5.2463883274473204</v>
      </c>
      <c r="AA155" s="29"/>
      <c r="AB155" s="30"/>
      <c r="AC155" s="30"/>
      <c r="AD155" s="30"/>
      <c r="AE155" s="30"/>
      <c r="AF155" s="7" t="b">
        <f>IF(VLOOKUP(Table2[[#This Row],[Home/Neutral]],division_lookup,9,FALSE)=VLOOKUP(Table2[[#This Row],[Visitor/Neutral]],division_lookup,9,FALSE),TRUE,FALSE)</f>
        <v>0</v>
      </c>
      <c r="AG155" s="15" t="str">
        <f>VLOOKUP(Table2[[#This Row],[Home/Neutral]],division_lookup,9,FALSE)</f>
        <v>P</v>
      </c>
      <c r="AH155" s="15" t="str">
        <f>IF(Table2[[#This Row],[Total/EV]]&lt;Table2[[#This Row],[Total/V]],"UNDER","OVER")</f>
        <v>UNDER</v>
      </c>
      <c r="AI155" s="15"/>
      <c r="AJ155" s="10"/>
      <c r="AK155" s="10"/>
      <c r="AL155" s="18">
        <f>Table2[[#This Row],[SRS]]-Table2[[#This Row],[Spread]]</f>
        <v>-2.3086885245901652</v>
      </c>
      <c r="AM155" s="21">
        <f>Table2[[#This Row],[(A) Err]]^2</f>
        <v>5.3300427035743132</v>
      </c>
      <c r="AN155" s="6">
        <f>Table2[[#This Row],[EV]]-Table2[[#This Row],[Spread]]</f>
        <v>1.7536116725526796</v>
      </c>
      <c r="AO155" s="1">
        <f>Table2[[#This Row],[EV Err]]^2</f>
        <v>3.0751538981130064</v>
      </c>
      <c r="AP155" s="1"/>
    </row>
    <row r="156" spans="1:42" x14ac:dyDescent="0.25">
      <c r="A156" s="34">
        <v>42689</v>
      </c>
      <c r="B156" t="s">
        <v>124</v>
      </c>
      <c r="C156" t="s">
        <v>109</v>
      </c>
      <c r="D156">
        <f>IF((Table2[[#This Row],[Spread]]-Table2[[#This Row],[Spread/V]])=0,1,IF(Table2[[#This Row],[Spread]]&lt;Table2[[#This Row],[Spread/V]],1,0))</f>
        <v>0</v>
      </c>
      <c r="E156">
        <v>90</v>
      </c>
      <c r="F156">
        <f>IF((Table2[[#This Row],[Spread]]-Table2[[#This Row],[Spread/V]])=0,1,IF(Table2[[#This Row],[Spread]]&gt;Table2[[#This Row],[Spread/V]],1,0))</f>
        <v>1</v>
      </c>
      <c r="G156">
        <v>93</v>
      </c>
      <c r="H156" s="7">
        <f t="shared" si="4"/>
        <v>183</v>
      </c>
      <c r="I156">
        <f>IF(Table2[[#This Row],[Total/V]]&lt;=Table2[[#This Row],[Total]],1,0)</f>
        <v>0</v>
      </c>
      <c r="J156">
        <v>199</v>
      </c>
      <c r="K156"/>
      <c r="L156" s="21">
        <f>(Table2[[#This Row],[H/Pace]]/100)*(VLOOKUP(Table2[[#This Row],[Home/Neutral]],home_lookup,8,FALSE)+VLOOKUP(Table2[[#This Row],[Home/Neutral]],OFR_lookup,2,FALSE)+VLOOKUP(Table2[[#This Row],[Visitor/Neutral]],def_diff_lookup,6,FALSE))</f>
        <v>94.754745177235577</v>
      </c>
      <c r="M156" s="21"/>
      <c r="N156" s="21">
        <f>(Table2[[#This Row],[A/Pace]]/100)*(VLOOKUP(Table2[[#This Row],[Visitor/Neutral]],OFR_lookup,2,FALSE)+VLOOKUP(Table2[[#This Row],[Home/Neutral]],def_diff_lookup,6,FALSE))</f>
        <v>99.066741333333326</v>
      </c>
      <c r="O156" s="21"/>
      <c r="P156" s="21"/>
      <c r="Q156">
        <f>VLOOKUP(Table2[[#This Row],[Home/Neutral]],pace_lookup,7,FALSE)</f>
        <v>93.7</v>
      </c>
      <c r="R156" s="5">
        <f>VLOOKUP(Table2[[#This Row],[Visitor/Neutral]],pace_lookup,7,FALSE)</f>
        <v>99.2</v>
      </c>
      <c r="S156" s="7">
        <f t="shared" si="5"/>
        <v>3</v>
      </c>
      <c r="T156">
        <v>-6.5</v>
      </c>
      <c r="U156" s="15"/>
      <c r="W156" s="2">
        <f>-home-VLOOKUP(Table2[[#This Row],[Home/Neutral]],rtg_vlookup,4,FALSE)+VLOOKUP(Table2[[#This Row],[Visitor/Neutral]],rtg_vlookup,4,FALSE)</f>
        <v>0.70131147540983441</v>
      </c>
      <c r="X156" s="15"/>
      <c r="Y156" s="2"/>
      <c r="Z156" s="2">
        <f>Table2[[#This Row],[A/EV]]-Table2[[#This Row],[H/EV]]</f>
        <v>4.3119961560977487</v>
      </c>
      <c r="AA156" s="29"/>
      <c r="AB156" s="30"/>
      <c r="AC156" s="30"/>
      <c r="AD156" s="30"/>
      <c r="AE156" s="30"/>
      <c r="AF156" s="7" t="b">
        <f>IF(VLOOKUP(Table2[[#This Row],[Home/Neutral]],division_lookup,9,FALSE)=VLOOKUP(Table2[[#This Row],[Visitor/Neutral]],division_lookup,9,FALSE),TRUE,FALSE)</f>
        <v>1</v>
      </c>
      <c r="AG156" s="15" t="str">
        <f>VLOOKUP(Table2[[#This Row],[Home/Neutral]],division_lookup,9,FALSE)</f>
        <v>SE</v>
      </c>
      <c r="AH156" s="15" t="str">
        <f>IF(Table2[[#This Row],[Total/EV]]&lt;Table2[[#This Row],[Total/V]],"UNDER","OVER")</f>
        <v>UNDER</v>
      </c>
      <c r="AI156" s="15"/>
      <c r="AJ156" s="10"/>
      <c r="AK156" s="10"/>
      <c r="AL156" s="18">
        <f>Table2[[#This Row],[SRS]]-Table2[[#This Row],[Spread]]</f>
        <v>-2.2986885245901654</v>
      </c>
      <c r="AM156" s="21">
        <f>Table2[[#This Row],[(A) Err]]^2</f>
        <v>5.2839689330825115</v>
      </c>
      <c r="AN156" s="6">
        <f>Table2[[#This Row],[EV]]-Table2[[#This Row],[Spread]]</f>
        <v>1.3119961560977487</v>
      </c>
      <c r="AO156" s="1">
        <f>Table2[[#This Row],[EV Err]]^2</f>
        <v>1.7213339136152681</v>
      </c>
      <c r="AP156" s="1"/>
    </row>
    <row r="157" spans="1:42" x14ac:dyDescent="0.25">
      <c r="A157" s="34">
        <v>42689</v>
      </c>
      <c r="B157" t="s">
        <v>126</v>
      </c>
      <c r="C157" t="s">
        <v>112</v>
      </c>
      <c r="D157">
        <f>IF((Table2[[#This Row],[Spread]]-Table2[[#This Row],[Spread/V]])=0,1,IF(Table2[[#This Row],[Spread]]&lt;Table2[[#This Row],[Spread/V]],1,0))</f>
        <v>0</v>
      </c>
      <c r="E157">
        <v>108</v>
      </c>
      <c r="F157">
        <f>IF((Table2[[#This Row],[Spread]]-Table2[[#This Row],[Spread/V]])=0,1,IF(Table2[[#This Row],[Spread]]&gt;Table2[[#This Row],[Spread/V]],1,0))</f>
        <v>1</v>
      </c>
      <c r="G157">
        <v>115</v>
      </c>
      <c r="H157" s="7">
        <f t="shared" si="4"/>
        <v>223</v>
      </c>
      <c r="I157">
        <f>IF(Table2[[#This Row],[Total/V]]&lt;=Table2[[#This Row],[Total]],1,0)</f>
        <v>1</v>
      </c>
      <c r="J157">
        <v>205.5</v>
      </c>
      <c r="K157"/>
      <c r="L157" s="21">
        <f>(Table2[[#This Row],[H/Pace]]/100)*(VLOOKUP(Table2[[#This Row],[Home/Neutral]],home_lookup,8,FALSE)+VLOOKUP(Table2[[#This Row],[Home/Neutral]],OFR_lookup,2,FALSE)+VLOOKUP(Table2[[#This Row],[Visitor/Neutral]],def_diff_lookup,6,FALSE))</f>
        <v>114.01244777050786</v>
      </c>
      <c r="M157" s="21"/>
      <c r="N157" s="21">
        <f>(Table2[[#This Row],[A/Pace]]/100)*(VLOOKUP(Table2[[#This Row],[Visitor/Neutral]],OFR_lookup,2,FALSE)+VLOOKUP(Table2[[#This Row],[Home/Neutral]],def_diff_lookup,6,FALSE))</f>
        <v>108.10003933333334</v>
      </c>
      <c r="O157" s="21"/>
      <c r="P157" s="21"/>
      <c r="Q157">
        <f>VLOOKUP(Table2[[#This Row],[Home/Neutral]],pace_lookup,7,FALSE)</f>
        <v>95.7</v>
      </c>
      <c r="R157" s="5">
        <f>VLOOKUP(Table2[[#This Row],[Visitor/Neutral]],pace_lookup,7,FALSE)</f>
        <v>97.4</v>
      </c>
      <c r="S157" s="7">
        <f t="shared" si="5"/>
        <v>7</v>
      </c>
      <c r="T157">
        <v>-1</v>
      </c>
      <c r="U157" s="15"/>
      <c r="W157" s="2">
        <f>-home-VLOOKUP(Table2[[#This Row],[Home/Neutral]],rtg_vlookup,4,FALSE)+VLOOKUP(Table2[[#This Row],[Visitor/Neutral]],rtg_vlookup,4,FALSE)</f>
        <v>0.44131147540983418</v>
      </c>
      <c r="X157" s="15"/>
      <c r="Y157" s="2"/>
      <c r="Z157" s="2">
        <f>Table2[[#This Row],[A/EV]]-Table2[[#This Row],[H/EV]]</f>
        <v>-5.9124084371745198</v>
      </c>
      <c r="AA157" s="29"/>
      <c r="AB157" s="30"/>
      <c r="AC157" s="30"/>
      <c r="AD157" s="30"/>
      <c r="AE157" s="30"/>
      <c r="AF157" s="7" t="b">
        <f>IF(VLOOKUP(Table2[[#This Row],[Home/Neutral]],division_lookup,9,FALSE)=VLOOKUP(Table2[[#This Row],[Visitor/Neutral]],division_lookup,9,FALSE),TRUE,FALSE)</f>
        <v>0</v>
      </c>
      <c r="AG157" s="15" t="str">
        <f>VLOOKUP(Table2[[#This Row],[Home/Neutral]],division_lookup,9,FALSE)</f>
        <v>NW</v>
      </c>
      <c r="AH157" s="15" t="str">
        <f>IF(Table2[[#This Row],[Total/EV]]&lt;Table2[[#This Row],[Total/V]],"UNDER","OVER")</f>
        <v>UNDER</v>
      </c>
      <c r="AI157" s="15"/>
      <c r="AJ157" s="10"/>
      <c r="AK157" s="10"/>
      <c r="AL157" s="18">
        <f>Table2[[#This Row],[SRS]]-Table2[[#This Row],[Spread]]</f>
        <v>-6.558688524590166</v>
      </c>
      <c r="AM157" s="21">
        <f>Table2[[#This Row],[(A) Err]]^2</f>
        <v>43.016395162590726</v>
      </c>
      <c r="AN157" s="6">
        <f>Table2[[#This Row],[EV]]-Table2[[#This Row],[Spread]]</f>
        <v>-12.91240843717452</v>
      </c>
      <c r="AO157" s="1">
        <f>Table2[[#This Row],[EV Err]]^2</f>
        <v>166.73029164841572</v>
      </c>
      <c r="AP157" s="1"/>
    </row>
    <row r="158" spans="1:42" ht="15.75" thickBot="1" x14ac:dyDescent="0.3">
      <c r="A158" s="100">
        <v>42689</v>
      </c>
      <c r="B158" s="3" t="s">
        <v>132</v>
      </c>
      <c r="C158" s="3" t="s">
        <v>113</v>
      </c>
      <c r="D158" s="3">
        <f>IF((Table2[[#This Row],[Spread]]-Table2[[#This Row],[Spread/V]])=0,1,IF(Table2[[#This Row],[Spread]]&lt;Table2[[#This Row],[Spread/V]],1,0))</f>
        <v>0</v>
      </c>
      <c r="E158" s="3">
        <v>88</v>
      </c>
      <c r="F158" s="3">
        <f>IF((Table2[[#This Row],[Spread]]-Table2[[#This Row],[Spread/V]])=0,1,IF(Table2[[#This Row],[Spread]]&gt;Table2[[#This Row],[Spread/V]],1,0))</f>
        <v>1</v>
      </c>
      <c r="G158" s="3">
        <v>113</v>
      </c>
      <c r="H158" s="8">
        <f t="shared" si="4"/>
        <v>201</v>
      </c>
      <c r="I158" s="3">
        <f>IF(Table2[[#This Row],[Total/V]]&lt;=Table2[[#This Row],[Total]],1,0)</f>
        <v>0</v>
      </c>
      <c r="J158" s="3">
        <v>210.5</v>
      </c>
      <c r="K158" s="3"/>
      <c r="L158" s="22">
        <f>(Table2[[#This Row],[H/Pace]]/100)*(VLOOKUP(Table2[[#This Row],[Home/Neutral]],home_lookup,8,FALSE)+VLOOKUP(Table2[[#This Row],[Home/Neutral]],OFR_lookup,2,FALSE)+VLOOKUP(Table2[[#This Row],[Visitor/Neutral]],def_diff_lookup,6,FALSE))</f>
        <v>108.5300214460698</v>
      </c>
      <c r="M158" s="22"/>
      <c r="N158" s="22">
        <f>(Table2[[#This Row],[A/Pace]]/100)*(VLOOKUP(Table2[[#This Row],[Visitor/Neutral]],OFR_lookup,2,FALSE)+VLOOKUP(Table2[[#This Row],[Home/Neutral]],def_diff_lookup,6,FALSE))</f>
        <v>110.663749</v>
      </c>
      <c r="O158" s="22"/>
      <c r="P158" s="22"/>
      <c r="Q158" s="3">
        <f>VLOOKUP(Table2[[#This Row],[Home/Neutral]],pace_lookup,7,FALSE)</f>
        <v>98.8</v>
      </c>
      <c r="R158" s="3">
        <f>VLOOKUP(Table2[[#This Row],[Visitor/Neutral]],pace_lookup,7,FALSE)</f>
        <v>95.1</v>
      </c>
      <c r="S158" s="8">
        <f t="shared" si="5"/>
        <v>25</v>
      </c>
      <c r="T158" s="3">
        <v>-4</v>
      </c>
      <c r="U158" s="16"/>
      <c r="V158" s="3"/>
      <c r="W158" s="9">
        <f>-home-VLOOKUP(Table2[[#This Row],[Home/Neutral]],rtg_vlookup,4,FALSE)+VLOOKUP(Table2[[#This Row],[Visitor/Neutral]],rtg_vlookup,4,FALSE)</f>
        <v>4.3113114754098341</v>
      </c>
      <c r="X158" s="16"/>
      <c r="Y158" s="9"/>
      <c r="Z158" s="9">
        <f>Table2[[#This Row],[A/EV]]-Table2[[#This Row],[H/EV]]</f>
        <v>2.1337275539301999</v>
      </c>
      <c r="AA158" s="31"/>
      <c r="AB158" s="32"/>
      <c r="AC158" s="32"/>
      <c r="AD158" s="32"/>
      <c r="AE158" s="32"/>
      <c r="AF158" s="8" t="b">
        <f>IF(VLOOKUP(Table2[[#This Row],[Home/Neutral]],division_lookup,9,FALSE)=VLOOKUP(Table2[[#This Row],[Visitor/Neutral]],division_lookup,9,FALSE),TRUE,FALSE)</f>
        <v>0</v>
      </c>
      <c r="AG158" s="16" t="str">
        <f>VLOOKUP(Table2[[#This Row],[Home/Neutral]],division_lookup,9,FALSE)</f>
        <v>NW</v>
      </c>
      <c r="AH158" s="16" t="str">
        <f>IF(Table2[[#This Row],[Total/EV]]&lt;Table2[[#This Row],[Total/V]],"UNDER","OVER")</f>
        <v>UNDER</v>
      </c>
      <c r="AI158" s="16"/>
      <c r="AJ158" s="9"/>
      <c r="AK158" s="9"/>
      <c r="AL158" s="19">
        <f>Table2[[#This Row],[SRS]]-Table2[[#This Row],[Spread]]</f>
        <v>-20.688688524590166</v>
      </c>
      <c r="AM158" s="22">
        <f>Table2[[#This Row],[(A) Err]]^2</f>
        <v>428.02183286750881</v>
      </c>
      <c r="AN158" s="4">
        <f>Table2[[#This Row],[EV]]-Table2[[#This Row],[Spread]]</f>
        <v>-22.8662724460698</v>
      </c>
      <c r="AO158" s="4">
        <f>Table2[[#This Row],[EV Err]]^2</f>
        <v>522.86641557789096</v>
      </c>
      <c r="AP158" s="6"/>
    </row>
    <row r="159" spans="1:42" x14ac:dyDescent="0.25">
      <c r="A159" s="34">
        <v>42690</v>
      </c>
      <c r="B159" t="s">
        <v>109</v>
      </c>
      <c r="C159" t="s">
        <v>125</v>
      </c>
      <c r="D159">
        <f>IF((Table2[[#This Row],[Spread]]-Table2[[#This Row],[Spread/V]])=0,1,IF(Table2[[#This Row],[Spread]]&lt;Table2[[#This Row],[Spread/V]],1,0))</f>
        <v>1</v>
      </c>
      <c r="E159">
        <v>107</v>
      </c>
      <c r="F159">
        <f>IF((Table2[[#This Row],[Spread]]-Table2[[#This Row],[Spread/V]])=0,1,IF(Table2[[#This Row],[Spread]]&gt;Table2[[#This Row],[Spread/V]],1,0))</f>
        <v>0</v>
      </c>
      <c r="G159">
        <v>100</v>
      </c>
      <c r="H159" s="7">
        <f t="shared" si="4"/>
        <v>207</v>
      </c>
      <c r="I159">
        <f>IF(Table2[[#This Row],[Total/V]]&lt;=Table2[[#This Row],[Total]],1,0)</f>
        <v>0</v>
      </c>
      <c r="J159">
        <v>210.5</v>
      </c>
      <c r="K159"/>
      <c r="L159" s="21">
        <f>(Table2[[#This Row],[H/Pace]]/100)*(VLOOKUP(Table2[[#This Row],[Home/Neutral]],home_lookup,8,FALSE)+VLOOKUP(Table2[[#This Row],[Home/Neutral]],OFR_lookup,2,FALSE)+VLOOKUP(Table2[[#This Row],[Visitor/Neutral]],def_diff_lookup,6,FALSE))</f>
        <v>102.45888660728637</v>
      </c>
      <c r="M159" s="21"/>
      <c r="N159" s="21">
        <f>(Table2[[#This Row],[A/Pace]]/100)*(VLOOKUP(Table2[[#This Row],[Visitor/Neutral]],OFR_lookup,2,FALSE)+VLOOKUP(Table2[[#This Row],[Home/Neutral]],def_diff_lookup,6,FALSE))</f>
        <v>95.500015666666656</v>
      </c>
      <c r="O159" s="21"/>
      <c r="P159" s="21"/>
      <c r="Q159">
        <f>VLOOKUP(Table2[[#This Row],[Home/Neutral]],pace_lookup,7,FALSE)</f>
        <v>99.2</v>
      </c>
      <c r="R159" s="5">
        <f>VLOOKUP(Table2[[#This Row],[Visitor/Neutral]],pace_lookup,7,FALSE)</f>
        <v>96.1</v>
      </c>
      <c r="S159" s="7">
        <f t="shared" si="5"/>
        <v>-7</v>
      </c>
      <c r="T159">
        <v>-5.5</v>
      </c>
      <c r="U159" s="15"/>
      <c r="W159" s="2">
        <f>-home-VLOOKUP(Table2[[#This Row],[Home/Neutral]],rtg_vlookup,4,FALSE)+VLOOKUP(Table2[[#This Row],[Visitor/Neutral]],rtg_vlookup,4,FALSE)</f>
        <v>-7.5386885245901656</v>
      </c>
      <c r="X159" s="15"/>
      <c r="Y159" s="2"/>
      <c r="Z159" s="2">
        <f>Table2[[#This Row],[A/EV]]-Table2[[#This Row],[H/EV]]</f>
        <v>-6.9588709406197182</v>
      </c>
      <c r="AA159" s="29"/>
      <c r="AB159" s="30"/>
      <c r="AC159" s="30"/>
      <c r="AD159" s="30"/>
      <c r="AE159" s="30"/>
      <c r="AF159" s="7" t="b">
        <f>IF(VLOOKUP(Table2[[#This Row],[Home/Neutral]],division_lookup,9,FALSE)=VLOOKUP(Table2[[#This Row],[Visitor/Neutral]],division_lookup,9,FALSE),TRUE,FALSE)</f>
        <v>0</v>
      </c>
      <c r="AG159" s="15" t="str">
        <f>VLOOKUP(Table2[[#This Row],[Home/Neutral]],division_lookup,9,FALSE)</f>
        <v>SE</v>
      </c>
      <c r="AH159" s="15" t="str">
        <f>IF(Table2[[#This Row],[Total/EV]]&lt;Table2[[#This Row],[Total/V]],"UNDER","OVER")</f>
        <v>UNDER</v>
      </c>
      <c r="AI159" s="15"/>
      <c r="AJ159" s="2"/>
      <c r="AK159" s="2"/>
      <c r="AL159" s="18">
        <f>Table2[[#This Row],[SRS]]-Table2[[#This Row],[Spread]]</f>
        <v>-0.53868852459016558</v>
      </c>
      <c r="AM159" s="21">
        <f>Table2[[#This Row],[(A) Err]]^2</f>
        <v>0.29018532652512941</v>
      </c>
      <c r="AN159" s="6">
        <f>Table2[[#This Row],[EV]]-Table2[[#This Row],[Spread]]</f>
        <v>4.1129059380281774E-2</v>
      </c>
      <c r="AO159" s="1">
        <f>Table2[[#This Row],[EV Err]]^2</f>
        <v>1.6915995255067443E-3</v>
      </c>
      <c r="AP159" s="1"/>
    </row>
    <row r="160" spans="1:42" x14ac:dyDescent="0.25">
      <c r="A160" s="34">
        <v>42690</v>
      </c>
      <c r="B160" t="s">
        <v>110</v>
      </c>
      <c r="C160" t="s">
        <v>115</v>
      </c>
      <c r="D160">
        <f>IF((Table2[[#This Row],[Spread]]-Table2[[#This Row],[Spread/V]])=0,1,IF(Table2[[#This Row],[Spread]]&lt;Table2[[#This Row],[Spread/V]],1,0))</f>
        <v>1</v>
      </c>
      <c r="E160">
        <v>90</v>
      </c>
      <c r="F160">
        <f>IF((Table2[[#This Row],[Spread]]-Table2[[#This Row],[Spread/V]])=0,1,IF(Table2[[#This Row],[Spread]]&gt;Table2[[#This Row],[Spread/V]],1,0))</f>
        <v>0</v>
      </c>
      <c r="G160">
        <v>83</v>
      </c>
      <c r="H160" s="7">
        <f t="shared" si="4"/>
        <v>173</v>
      </c>
      <c r="I160">
        <f>IF(Table2[[#This Row],[Total/V]]&lt;=Table2[[#This Row],[Total]],1,0)</f>
        <v>0</v>
      </c>
      <c r="J160">
        <v>199</v>
      </c>
      <c r="K160"/>
      <c r="L160" s="21">
        <f>(Table2[[#This Row],[H/Pace]]/100)*(VLOOKUP(Table2[[#This Row],[Home/Neutral]],home_lookup,8,FALSE)+VLOOKUP(Table2[[#This Row],[Home/Neutral]],OFR_lookup,2,FALSE)+VLOOKUP(Table2[[#This Row],[Visitor/Neutral]],def_diff_lookup,6,FALSE))</f>
        <v>105.08967118900939</v>
      </c>
      <c r="M160" s="21"/>
      <c r="N160" s="21">
        <f>(Table2[[#This Row],[A/Pace]]/100)*(VLOOKUP(Table2[[#This Row],[Visitor/Neutral]],OFR_lookup,2,FALSE)+VLOOKUP(Table2[[#This Row],[Home/Neutral]],def_diff_lookup,6,FALSE))</f>
        <v>90.870754333333338</v>
      </c>
      <c r="O160" s="21"/>
      <c r="P160" s="21"/>
      <c r="Q160">
        <f>VLOOKUP(Table2[[#This Row],[Home/Neutral]],pace_lookup,7,FALSE)</f>
        <v>96.2</v>
      </c>
      <c r="R160" s="5">
        <f>VLOOKUP(Table2[[#This Row],[Visitor/Neutral]],pace_lookup,7,FALSE)</f>
        <v>92.9</v>
      </c>
      <c r="S160" s="7">
        <f t="shared" si="5"/>
        <v>-7</v>
      </c>
      <c r="T160">
        <v>-6.5</v>
      </c>
      <c r="U160" s="15"/>
      <c r="W160" s="2">
        <f>-home-VLOOKUP(Table2[[#This Row],[Home/Neutral]],rtg_vlookup,4,FALSE)+VLOOKUP(Table2[[#This Row],[Visitor/Neutral]],rtg_vlookup,4,FALSE)</f>
        <v>-12.118688524590166</v>
      </c>
      <c r="X160" s="15"/>
      <c r="Y160" s="2"/>
      <c r="Z160" s="2">
        <f>Table2[[#This Row],[A/EV]]-Table2[[#This Row],[H/EV]]</f>
        <v>-14.218916855676056</v>
      </c>
      <c r="AA160" s="29"/>
      <c r="AB160" s="30"/>
      <c r="AC160" s="30"/>
      <c r="AD160" s="30"/>
      <c r="AE160" s="30"/>
      <c r="AF160" s="7" t="b">
        <f>IF(VLOOKUP(Table2[[#This Row],[Home/Neutral]],division_lookup,9,FALSE)=VLOOKUP(Table2[[#This Row],[Visitor/Neutral]],division_lookup,9,FALSE),TRUE,FALSE)</f>
        <v>0</v>
      </c>
      <c r="AG160" s="15" t="str">
        <f>VLOOKUP(Table2[[#This Row],[Home/Neutral]],division_lookup,9,FALSE)</f>
        <v>A</v>
      </c>
      <c r="AH160" s="15" t="str">
        <f>IF(Table2[[#This Row],[Total/EV]]&lt;Table2[[#This Row],[Total/V]],"UNDER","OVER")</f>
        <v>UNDER</v>
      </c>
      <c r="AI160" s="15"/>
      <c r="AJ160" s="2"/>
      <c r="AK160" s="2"/>
      <c r="AL160" s="18">
        <f>Table2[[#This Row],[SRS]]-Table2[[#This Row],[Spread]]</f>
        <v>-5.1186885245901657</v>
      </c>
      <c r="AM160" s="21">
        <f>Table2[[#This Row],[(A) Err]]^2</f>
        <v>26.200972211771045</v>
      </c>
      <c r="AN160" s="6">
        <f>Table2[[#This Row],[EV]]-Table2[[#This Row],[Spread]]</f>
        <v>-7.2189168556760563</v>
      </c>
      <c r="AO160" s="1">
        <f>Table2[[#This Row],[EV Err]]^2</f>
        <v>52.112760569163882</v>
      </c>
      <c r="AP160" s="1"/>
    </row>
    <row r="161" spans="1:42" x14ac:dyDescent="0.25">
      <c r="A161" s="34">
        <v>42690</v>
      </c>
      <c r="B161" t="s">
        <v>116</v>
      </c>
      <c r="C161" t="s">
        <v>131</v>
      </c>
      <c r="D161">
        <f>IF((Table2[[#This Row],[Spread]]-Table2[[#This Row],[Spread/V]])=0,1,IF(Table2[[#This Row],[Spread]]&lt;Table2[[#This Row],[Spread/V]],1,0))</f>
        <v>1</v>
      </c>
      <c r="E161">
        <v>120</v>
      </c>
      <c r="F161">
        <f>IF((Table2[[#This Row],[Spread]]-Table2[[#This Row],[Spread/V]])=0,1,IF(Table2[[#This Row],[Spread]]&gt;Table2[[#This Row],[Spread/V]],1,0))</f>
        <v>0</v>
      </c>
      <c r="G161">
        <v>104</v>
      </c>
      <c r="H161" s="7">
        <f t="shared" si="4"/>
        <v>224</v>
      </c>
      <c r="I161">
        <f>IF(Table2[[#This Row],[Total/V]]&lt;=Table2[[#This Row],[Total]],1,0)</f>
        <v>1</v>
      </c>
      <c r="J161">
        <v>219.5</v>
      </c>
      <c r="K161"/>
      <c r="L161" s="21">
        <f>(Table2[[#This Row],[H/Pace]]/100)*(VLOOKUP(Table2[[#This Row],[Home/Neutral]],home_lookup,8,FALSE)+VLOOKUP(Table2[[#This Row],[Home/Neutral]],OFR_lookup,2,FALSE)+VLOOKUP(Table2[[#This Row],[Visitor/Neutral]],def_diff_lookup,6,FALSE))</f>
        <v>106.03552470161864</v>
      </c>
      <c r="M161" s="21"/>
      <c r="N161" s="21">
        <f>(Table2[[#This Row],[A/Pace]]/100)*(VLOOKUP(Table2[[#This Row],[Visitor/Neutral]],OFR_lookup,2,FALSE)+VLOOKUP(Table2[[#This Row],[Home/Neutral]],def_diff_lookup,6,FALSE))</f>
        <v>103.39398299999999</v>
      </c>
      <c r="O161" s="21"/>
      <c r="P161" s="21"/>
      <c r="Q161">
        <f>VLOOKUP(Table2[[#This Row],[Home/Neutral]],pace_lookup,7,FALSE)</f>
        <v>99.1</v>
      </c>
      <c r="R161" s="5">
        <f>VLOOKUP(Table2[[#This Row],[Visitor/Neutral]],pace_lookup,7,FALSE)</f>
        <v>101.7</v>
      </c>
      <c r="S161" s="7">
        <f t="shared" si="5"/>
        <v>-16</v>
      </c>
      <c r="T161">
        <v>-4.5</v>
      </c>
      <c r="U161" s="15"/>
      <c r="W161" s="2">
        <f>-home-VLOOKUP(Table2[[#This Row],[Home/Neutral]],rtg_vlookup,4,FALSE)+VLOOKUP(Table2[[#This Row],[Visitor/Neutral]],rtg_vlookup,4,FALSE)</f>
        <v>-8.4186885245901664</v>
      </c>
      <c r="X161" s="15"/>
      <c r="Y161" s="2"/>
      <c r="Z161" s="2">
        <f>Table2[[#This Row],[A/EV]]-Table2[[#This Row],[H/EV]]</f>
        <v>-2.6415417016186495</v>
      </c>
      <c r="AA161" s="29"/>
      <c r="AB161" s="30"/>
      <c r="AC161" s="30"/>
      <c r="AD161" s="30"/>
      <c r="AE161" s="30"/>
      <c r="AF161" s="7" t="b">
        <f>IF(VLOOKUP(Table2[[#This Row],[Home/Neutral]],division_lookup,9,FALSE)=VLOOKUP(Table2[[#This Row],[Visitor/Neutral]],division_lookup,9,FALSE),TRUE,FALSE)</f>
        <v>0</v>
      </c>
      <c r="AG161" s="15" t="str">
        <f>VLOOKUP(Table2[[#This Row],[Home/Neutral]],division_lookup,9,FALSE)</f>
        <v>NW</v>
      </c>
      <c r="AH161" s="15" t="str">
        <f>IF(Table2[[#This Row],[Total/EV]]&lt;Table2[[#This Row],[Total/V]],"UNDER","OVER")</f>
        <v>UNDER</v>
      </c>
      <c r="AI161" s="15"/>
      <c r="AJ161" s="2"/>
      <c r="AK161" s="2"/>
      <c r="AL161" s="18">
        <f>Table2[[#This Row],[SRS]]-Table2[[#This Row],[Spread]]</f>
        <v>7.5813114754098336</v>
      </c>
      <c r="AM161" s="21">
        <f>Table2[[#This Row],[(A) Err]]^2</f>
        <v>57.476283687180832</v>
      </c>
      <c r="AN161" s="6">
        <f>Table2[[#This Row],[EV]]-Table2[[#This Row],[Spread]]</f>
        <v>13.35845829838135</v>
      </c>
      <c r="AO161" s="1">
        <f>Table2[[#This Row],[EV Err]]^2</f>
        <v>178.44840810959357</v>
      </c>
      <c r="AP161" s="1"/>
    </row>
    <row r="162" spans="1:42" x14ac:dyDescent="0.25">
      <c r="A162" s="34">
        <v>42690</v>
      </c>
      <c r="B162" t="s">
        <v>120</v>
      </c>
      <c r="C162" t="s">
        <v>114</v>
      </c>
      <c r="D162">
        <f>IF((Table2[[#This Row],[Spread]]-Table2[[#This Row],[Spread/V]])=0,1,IF(Table2[[#This Row],[Spread]]&lt;Table2[[#This Row],[Spread/V]],1,0))</f>
        <v>1</v>
      </c>
      <c r="E162">
        <v>103</v>
      </c>
      <c r="F162">
        <f>IF((Table2[[#This Row],[Spread]]-Table2[[#This Row],[Spread/V]])=0,1,IF(Table2[[#This Row],[Spread]]&gt;Table2[[#This Row],[Spread/V]],1,0))</f>
        <v>0</v>
      </c>
      <c r="G162">
        <v>93</v>
      </c>
      <c r="H162" s="7">
        <f t="shared" si="4"/>
        <v>196</v>
      </c>
      <c r="I162">
        <f>IF(Table2[[#This Row],[Total/V]]&lt;=Table2[[#This Row],[Total]],1,0)</f>
        <v>0</v>
      </c>
      <c r="J162">
        <v>208.5</v>
      </c>
      <c r="K162"/>
      <c r="L162" s="21">
        <f>(Table2[[#This Row],[H/Pace]]/100)*(VLOOKUP(Table2[[#This Row],[Home/Neutral]],home_lookup,8,FALSE)+VLOOKUP(Table2[[#This Row],[Home/Neutral]],OFR_lookup,2,FALSE)+VLOOKUP(Table2[[#This Row],[Visitor/Neutral]],def_diff_lookup,6,FALSE))</f>
        <v>105.46474542930861</v>
      </c>
      <c r="M162" s="21"/>
      <c r="N162" s="21">
        <f>(Table2[[#This Row],[A/Pace]]/100)*(VLOOKUP(Table2[[#This Row],[Visitor/Neutral]],OFR_lookup,2,FALSE)+VLOOKUP(Table2[[#This Row],[Home/Neutral]],def_diff_lookup,6,FALSE))</f>
        <v>113.38920366666666</v>
      </c>
      <c r="O162" s="21"/>
      <c r="P162" s="21"/>
      <c r="Q162">
        <f>VLOOKUP(Table2[[#This Row],[Home/Neutral]],pace_lookup,7,FALSE)</f>
        <v>98.3</v>
      </c>
      <c r="R162" s="5">
        <f>VLOOKUP(Table2[[#This Row],[Visitor/Neutral]],pace_lookup,7,FALSE)</f>
        <v>97.3</v>
      </c>
      <c r="S162" s="7">
        <f t="shared" si="5"/>
        <v>-10</v>
      </c>
      <c r="T162">
        <v>-3</v>
      </c>
      <c r="U162" s="15"/>
      <c r="W162" s="2">
        <f>-home-VLOOKUP(Table2[[#This Row],[Home/Neutral]],rtg_vlookup,4,FALSE)+VLOOKUP(Table2[[#This Row],[Visitor/Neutral]],rtg_vlookup,4,FALSE)</f>
        <v>10.571311475409836</v>
      </c>
      <c r="X162" s="15"/>
      <c r="Y162" s="2"/>
      <c r="Z162" s="2">
        <f>Table2[[#This Row],[A/EV]]-Table2[[#This Row],[H/EV]]</f>
        <v>7.9244582373580528</v>
      </c>
      <c r="AA162" s="29"/>
      <c r="AB162" s="30"/>
      <c r="AC162" s="30"/>
      <c r="AD162" s="30"/>
      <c r="AE162" s="30"/>
      <c r="AF162" s="7" t="b">
        <f>IF(VLOOKUP(Table2[[#This Row],[Home/Neutral]],division_lookup,9,FALSE)=VLOOKUP(Table2[[#This Row],[Visitor/Neutral]],division_lookup,9,FALSE),TRUE,FALSE)</f>
        <v>1</v>
      </c>
      <c r="AG162" s="15" t="str">
        <f>VLOOKUP(Table2[[#This Row],[Home/Neutral]],division_lookup,9,FALSE)</f>
        <v>C</v>
      </c>
      <c r="AH162" s="15" t="str">
        <f>IF(Table2[[#This Row],[Total/EV]]&lt;Table2[[#This Row],[Total/V]],"UNDER","OVER")</f>
        <v>UNDER</v>
      </c>
      <c r="AI162" s="15"/>
      <c r="AJ162" s="2"/>
      <c r="AK162" s="2"/>
      <c r="AL162" s="18">
        <f>Table2[[#This Row],[SRS]]-Table2[[#This Row],[Spread]]</f>
        <v>20.571311475409836</v>
      </c>
      <c r="AM162" s="21">
        <f>Table2[[#This Row],[(A) Err]]^2</f>
        <v>423.17885581832837</v>
      </c>
      <c r="AN162" s="6">
        <f>Table2[[#This Row],[EV]]-Table2[[#This Row],[Spread]]</f>
        <v>17.924458237358053</v>
      </c>
      <c r="AO162" s="1">
        <f>Table2[[#This Row],[EV Err]]^2</f>
        <v>321.28620310279297</v>
      </c>
      <c r="AP162" s="1"/>
    </row>
    <row r="163" spans="1:42" x14ac:dyDescent="0.25">
      <c r="A163" s="34">
        <v>42690</v>
      </c>
      <c r="B163" t="s">
        <v>121</v>
      </c>
      <c r="C163" t="s">
        <v>123</v>
      </c>
      <c r="D163">
        <f>IF((Table2[[#This Row],[Spread]]-Table2[[#This Row],[Spread/V]])=0,1,IF(Table2[[#This Row],[Spread]]&lt;Table2[[#This Row],[Spread/V]],1,0))</f>
        <v>0</v>
      </c>
      <c r="E163">
        <v>107</v>
      </c>
      <c r="F163">
        <f>IF((Table2[[#This Row],[Spread]]-Table2[[#This Row],[Spread/V]])=0,1,IF(Table2[[#This Row],[Spread]]&gt;Table2[[#This Row],[Spread/V]],1,0))</f>
        <v>1</v>
      </c>
      <c r="G163">
        <v>111</v>
      </c>
      <c r="H163" s="7">
        <f t="shared" si="4"/>
        <v>218</v>
      </c>
      <c r="I163">
        <f>IF(Table2[[#This Row],[Total/V]]&lt;=Table2[[#This Row],[Total]],1,0)</f>
        <v>1</v>
      </c>
      <c r="J163">
        <v>201</v>
      </c>
      <c r="K163"/>
      <c r="L163" s="21">
        <f>(Table2[[#This Row],[H/Pace]]/100)*(VLOOKUP(Table2[[#This Row],[Home/Neutral]],home_lookup,8,FALSE)+VLOOKUP(Table2[[#This Row],[Home/Neutral]],OFR_lookup,2,FALSE)+VLOOKUP(Table2[[#This Row],[Visitor/Neutral]],def_diff_lookup,6,FALSE))</f>
        <v>110.45820060751252</v>
      </c>
      <c r="M163" s="21"/>
      <c r="N163" s="21">
        <f>(Table2[[#This Row],[A/Pace]]/100)*(VLOOKUP(Table2[[#This Row],[Visitor/Neutral]],OFR_lookup,2,FALSE)+VLOOKUP(Table2[[#This Row],[Home/Neutral]],def_diff_lookup,6,FALSE))</f>
        <v>92.051991666666666</v>
      </c>
      <c r="O163" s="21"/>
      <c r="P163" s="21"/>
      <c r="Q163">
        <f>VLOOKUP(Table2[[#This Row],[Home/Neutral]],pace_lookup,7,FALSE)</f>
        <v>96.4</v>
      </c>
      <c r="R163" s="5">
        <f>VLOOKUP(Table2[[#This Row],[Visitor/Neutral]],pace_lookup,7,FALSE)</f>
        <v>92.5</v>
      </c>
      <c r="S163" s="7">
        <f t="shared" si="5"/>
        <v>4</v>
      </c>
      <c r="T163">
        <v>-12.5</v>
      </c>
      <c r="U163" s="15"/>
      <c r="W163" s="2">
        <f>-home-VLOOKUP(Table2[[#This Row],[Home/Neutral]],rtg_vlookup,4,FALSE)+VLOOKUP(Table2[[#This Row],[Visitor/Neutral]],rtg_vlookup,4,FALSE)</f>
        <v>-14.828688524590167</v>
      </c>
      <c r="X163" s="15"/>
      <c r="Y163" s="2"/>
      <c r="Z163" s="2">
        <f>Table2[[#This Row],[A/EV]]-Table2[[#This Row],[H/EV]]</f>
        <v>-18.406208940845858</v>
      </c>
      <c r="AA163" s="29"/>
      <c r="AB163" s="30"/>
      <c r="AC163" s="30"/>
      <c r="AD163" s="30"/>
      <c r="AE163" s="30"/>
      <c r="AF163" s="7" t="b">
        <f>IF(VLOOKUP(Table2[[#This Row],[Home/Neutral]],division_lookup,9,FALSE)=VLOOKUP(Table2[[#This Row],[Visitor/Neutral]],division_lookup,9,FALSE),TRUE,FALSE)</f>
        <v>0</v>
      </c>
      <c r="AG163" s="15" t="str">
        <f>VLOOKUP(Table2[[#This Row],[Home/Neutral]],division_lookup,9,FALSE)</f>
        <v>P</v>
      </c>
      <c r="AH163" s="15" t="str">
        <f>IF(Table2[[#This Row],[Total/EV]]&lt;Table2[[#This Row],[Total/V]],"UNDER","OVER")</f>
        <v>UNDER</v>
      </c>
      <c r="AI163" s="15"/>
      <c r="AJ163" s="2"/>
      <c r="AK163" s="2"/>
      <c r="AL163" s="18">
        <f>Table2[[#This Row],[SRS]]-Table2[[#This Row],[Spread]]</f>
        <v>-18.828688524590167</v>
      </c>
      <c r="AM163" s="21">
        <f>Table2[[#This Row],[(A) Err]]^2</f>
        <v>354.51951155603342</v>
      </c>
      <c r="AN163" s="6">
        <f>Table2[[#This Row],[EV]]-Table2[[#This Row],[Spread]]</f>
        <v>-22.406208940845858</v>
      </c>
      <c r="AO163" s="1">
        <f>Table2[[#This Row],[EV Err]]^2</f>
        <v>502.03819910084087</v>
      </c>
      <c r="AP163" s="1"/>
    </row>
    <row r="164" spans="1:42" x14ac:dyDescent="0.25">
      <c r="A164" s="34">
        <v>42690</v>
      </c>
      <c r="B164" t="s">
        <v>128</v>
      </c>
      <c r="C164" t="s">
        <v>117</v>
      </c>
      <c r="D164">
        <f>IF((Table2[[#This Row],[Spread]]-Table2[[#This Row],[Spread/V]])=0,1,IF(Table2[[#This Row],[Spread]]&lt;Table2[[#This Row],[Spread/V]],1,0))</f>
        <v>1</v>
      </c>
      <c r="E164">
        <v>105</v>
      </c>
      <c r="F164">
        <f>IF((Table2[[#This Row],[Spread]]-Table2[[#This Row],[Spread/V]])=0,1,IF(Table2[[#This Row],[Spread]]&gt;Table2[[#This Row],[Spread/V]],1,0))</f>
        <v>0</v>
      </c>
      <c r="G164">
        <v>102</v>
      </c>
      <c r="H164" s="7">
        <f t="shared" si="4"/>
        <v>207</v>
      </c>
      <c r="I164">
        <f>IF(Table2[[#This Row],[Total/V]]&lt;=Table2[[#This Row],[Total]],1,0)</f>
        <v>1</v>
      </c>
      <c r="J164">
        <v>200.5</v>
      </c>
      <c r="K164"/>
      <c r="L164" s="21">
        <f>(Table2[[#This Row],[H/Pace]]/100)*(VLOOKUP(Table2[[#This Row],[Home/Neutral]],home_lookup,8,FALSE)+VLOOKUP(Table2[[#This Row],[Home/Neutral]],OFR_lookup,2,FALSE)+VLOOKUP(Table2[[#This Row],[Visitor/Neutral]],def_diff_lookup,6,FALSE))</f>
        <v>104.6382198778302</v>
      </c>
      <c r="M164" s="21"/>
      <c r="N164" s="21">
        <f>(Table2[[#This Row],[A/Pace]]/100)*(VLOOKUP(Table2[[#This Row],[Visitor/Neutral]],OFR_lookup,2,FALSE)+VLOOKUP(Table2[[#This Row],[Home/Neutral]],def_diff_lookup,6,FALSE))</f>
        <v>101.01772666666666</v>
      </c>
      <c r="O164" s="21"/>
      <c r="P164" s="21"/>
      <c r="Q164">
        <f>VLOOKUP(Table2[[#This Row],[Home/Neutral]],pace_lookup,7,FALSE)</f>
        <v>96.3</v>
      </c>
      <c r="R164" s="5">
        <f>VLOOKUP(Table2[[#This Row],[Visitor/Neutral]],pace_lookup,7,FALSE)</f>
        <v>94</v>
      </c>
      <c r="S164" s="7">
        <f t="shared" si="5"/>
        <v>-3</v>
      </c>
      <c r="T164">
        <v>-1.5</v>
      </c>
      <c r="U164" s="15"/>
      <c r="W164" s="2">
        <f>-home-VLOOKUP(Table2[[#This Row],[Home/Neutral]],rtg_vlookup,4,FALSE)+VLOOKUP(Table2[[#This Row],[Visitor/Neutral]],rtg_vlookup,4,FALSE)</f>
        <v>0.65131147540983414</v>
      </c>
      <c r="X164" s="15"/>
      <c r="Y164" s="2"/>
      <c r="Z164" s="2">
        <f>Table2[[#This Row],[A/EV]]-Table2[[#This Row],[H/EV]]</f>
        <v>-3.6204932111635344</v>
      </c>
      <c r="AA164" s="29"/>
      <c r="AB164" s="30"/>
      <c r="AC164" s="30"/>
      <c r="AD164" s="30"/>
      <c r="AE164" s="30"/>
      <c r="AF164" s="7" t="b">
        <f>IF(VLOOKUP(Table2[[#This Row],[Home/Neutral]],division_lookup,9,FALSE)=VLOOKUP(Table2[[#This Row],[Visitor/Neutral]],division_lookup,9,FALSE),TRUE,FALSE)</f>
        <v>0</v>
      </c>
      <c r="AG164" s="15" t="str">
        <f>VLOOKUP(Table2[[#This Row],[Home/Neutral]],division_lookup,9,FALSE)</f>
        <v>A</v>
      </c>
      <c r="AH164" s="15" t="str">
        <f>IF(Table2[[#This Row],[Total/EV]]&lt;Table2[[#This Row],[Total/V]],"UNDER","OVER")</f>
        <v>UNDER</v>
      </c>
      <c r="AI164" s="15"/>
      <c r="AJ164" s="2"/>
      <c r="AK164" s="2"/>
      <c r="AL164" s="18">
        <f>Table2[[#This Row],[SRS]]-Table2[[#This Row],[Spread]]</f>
        <v>3.6513114754098339</v>
      </c>
      <c r="AM164" s="21">
        <f>Table2[[#This Row],[(A) Err]]^2</f>
        <v>13.332075490459538</v>
      </c>
      <c r="AN164" s="6">
        <f>Table2[[#This Row],[EV]]-Table2[[#This Row],[Spread]]</f>
        <v>-0.6204932111635344</v>
      </c>
      <c r="AO164" s="1">
        <f>Table2[[#This Row],[EV Err]]^2</f>
        <v>0.38501182510003451</v>
      </c>
      <c r="AP164" s="1"/>
    </row>
    <row r="165" spans="1:42" x14ac:dyDescent="0.25">
      <c r="A165" s="34">
        <v>42690</v>
      </c>
      <c r="B165" t="s">
        <v>129</v>
      </c>
      <c r="C165" t="s">
        <v>119</v>
      </c>
      <c r="D165">
        <f>IF((Table2[[#This Row],[Spread]]-Table2[[#This Row],[Spread/V]])=0,1,IF(Table2[[#This Row],[Spread]]&lt;Table2[[#This Row],[Spread/V]],1,0))</f>
        <v>0</v>
      </c>
      <c r="E165">
        <v>105</v>
      </c>
      <c r="F165">
        <f>IF((Table2[[#This Row],[Spread]]-Table2[[#This Row],[Spread/V]])=0,1,IF(Table2[[#This Row],[Spread]]&gt;Table2[[#This Row],[Spread/V]],1,0))</f>
        <v>1</v>
      </c>
      <c r="G165">
        <v>103</v>
      </c>
      <c r="H165" s="7">
        <f t="shared" si="4"/>
        <v>208</v>
      </c>
      <c r="I165">
        <f>IF(Table2[[#This Row],[Total/V]]&lt;=Table2[[#This Row],[Total]],1,0)</f>
        <v>0</v>
      </c>
      <c r="J165">
        <v>219.5</v>
      </c>
      <c r="K165"/>
      <c r="L165" s="21">
        <f>(Table2[[#This Row],[H/Pace]]/100)*(VLOOKUP(Table2[[#This Row],[Home/Neutral]],home_lookup,8,FALSE)+VLOOKUP(Table2[[#This Row],[Home/Neutral]],OFR_lookup,2,FALSE)+VLOOKUP(Table2[[#This Row],[Visitor/Neutral]],def_diff_lookup,6,FALSE))</f>
        <v>110.10410376890108</v>
      </c>
      <c r="M165" s="21"/>
      <c r="N165" s="21">
        <f>(Table2[[#This Row],[A/Pace]]/100)*(VLOOKUP(Table2[[#This Row],[Visitor/Neutral]],OFR_lookup,2,FALSE)+VLOOKUP(Table2[[#This Row],[Home/Neutral]],def_diff_lookup,6,FALSE))</f>
        <v>107.69046100000001</v>
      </c>
      <c r="O165" s="21"/>
      <c r="P165" s="21"/>
      <c r="Q165">
        <f>VLOOKUP(Table2[[#This Row],[Home/Neutral]],pace_lookup,7,FALSE)</f>
        <v>99</v>
      </c>
      <c r="R165" s="5">
        <f>VLOOKUP(Table2[[#This Row],[Visitor/Neutral]],pace_lookup,7,FALSE)</f>
        <v>96.9</v>
      </c>
      <c r="S165" s="7">
        <f t="shared" si="5"/>
        <v>-2</v>
      </c>
      <c r="T165">
        <v>-2.5</v>
      </c>
      <c r="U165" s="15"/>
      <c r="W165" s="2">
        <f>-home-VLOOKUP(Table2[[#This Row],[Home/Neutral]],rtg_vlookup,4,FALSE)+VLOOKUP(Table2[[#This Row],[Visitor/Neutral]],rtg_vlookup,4,FALSE)</f>
        <v>-0.60868852459016543</v>
      </c>
      <c r="X165" s="15"/>
      <c r="Y165" s="2"/>
      <c r="Z165" s="2">
        <f>Table2[[#This Row],[A/EV]]-Table2[[#This Row],[H/EV]]</f>
        <v>-2.4136427689010702</v>
      </c>
      <c r="AA165" s="29"/>
      <c r="AB165" s="30"/>
      <c r="AC165" s="30"/>
      <c r="AD165" s="30"/>
      <c r="AE165" s="30"/>
      <c r="AF165" s="7" t="b">
        <f>IF(VLOOKUP(Table2[[#This Row],[Home/Neutral]],division_lookup,9,FALSE)=VLOOKUP(Table2[[#This Row],[Visitor/Neutral]],division_lookup,9,FALSE),TRUE,FALSE)</f>
        <v>0</v>
      </c>
      <c r="AG165" s="15" t="str">
        <f>VLOOKUP(Table2[[#This Row],[Home/Neutral]],division_lookup,9,FALSE)</f>
        <v>NW</v>
      </c>
      <c r="AH165" s="15" t="str">
        <f>IF(Table2[[#This Row],[Total/EV]]&lt;Table2[[#This Row],[Total/V]],"UNDER","OVER")</f>
        <v>UNDER</v>
      </c>
      <c r="AI165" s="15"/>
      <c r="AJ165" s="2"/>
      <c r="AK165" s="2"/>
      <c r="AL165" s="18">
        <f>Table2[[#This Row],[SRS]]-Table2[[#This Row],[Spread]]</f>
        <v>1.3913114754098346</v>
      </c>
      <c r="AM165" s="21">
        <f>Table2[[#This Row],[(A) Err]]^2</f>
        <v>1.9357476216070908</v>
      </c>
      <c r="AN165" s="6">
        <f>Table2[[#This Row],[EV]]-Table2[[#This Row],[Spread]]</f>
        <v>-0.41364276890107021</v>
      </c>
      <c r="AO165" s="1">
        <f>Table2[[#This Row],[EV Err]]^2</f>
        <v>0.17110034026414417</v>
      </c>
      <c r="AP165" s="1"/>
    </row>
    <row r="166" spans="1:42" x14ac:dyDescent="0.25">
      <c r="A166" s="34">
        <v>42690</v>
      </c>
      <c r="B166" t="s">
        <v>130</v>
      </c>
      <c r="C166" t="s">
        <v>127</v>
      </c>
      <c r="D166">
        <f>IF((Table2[[#This Row],[Spread]]-Table2[[#This Row],[Spread/V]])=0,1,IF(Table2[[#This Row],[Spread]]&lt;Table2[[#This Row],[Spread/V]],1,0))</f>
        <v>1</v>
      </c>
      <c r="E166">
        <v>89</v>
      </c>
      <c r="F166">
        <f>IF((Table2[[#This Row],[Spread]]-Table2[[#This Row],[Spread/V]])=0,1,IF(Table2[[#This Row],[Spread]]&gt;Table2[[#This Row],[Spread/V]],1,0))</f>
        <v>1</v>
      </c>
      <c r="G166">
        <v>82</v>
      </c>
      <c r="H166" s="7">
        <f t="shared" si="4"/>
        <v>171</v>
      </c>
      <c r="I166">
        <f>IF(Table2[[#This Row],[Total/V]]&lt;=Table2[[#This Row],[Total]],1,0)</f>
        <v>0</v>
      </c>
      <c r="J166">
        <v>199</v>
      </c>
      <c r="K166"/>
      <c r="L166" s="21">
        <f>(Table2[[#This Row],[H/Pace]]/100)*(VLOOKUP(Table2[[#This Row],[Home/Neutral]],home_lookup,8,FALSE)+VLOOKUP(Table2[[#This Row],[Home/Neutral]],OFR_lookup,2,FALSE)+VLOOKUP(Table2[[#This Row],[Visitor/Neutral]],def_diff_lookup,6,FALSE))</f>
        <v>95.263184967109396</v>
      </c>
      <c r="M166" s="21"/>
      <c r="N166" s="21">
        <f>(Table2[[#This Row],[A/Pace]]/100)*(VLOOKUP(Table2[[#This Row],[Visitor/Neutral]],OFR_lookup,2,FALSE)+VLOOKUP(Table2[[#This Row],[Home/Neutral]],def_diff_lookup,6,FALSE))</f>
        <v>101.78812699999999</v>
      </c>
      <c r="O166" s="21"/>
      <c r="P166" s="21"/>
      <c r="Q166">
        <f>VLOOKUP(Table2[[#This Row],[Home/Neutral]],pace_lookup,7,FALSE)</f>
        <v>94.2</v>
      </c>
      <c r="R166" s="5">
        <f>VLOOKUP(Table2[[#This Row],[Visitor/Neutral]],pace_lookup,7,FALSE)</f>
        <v>99.3</v>
      </c>
      <c r="S166" s="7">
        <f t="shared" si="5"/>
        <v>-7</v>
      </c>
      <c r="T166">
        <v>-7</v>
      </c>
      <c r="U166" s="15"/>
      <c r="W166" s="2">
        <f>-home-VLOOKUP(Table2[[#This Row],[Home/Neutral]],rtg_vlookup,4,FALSE)+VLOOKUP(Table2[[#This Row],[Visitor/Neutral]],rtg_vlookup,4,FALSE)</f>
        <v>3.1913114754098348</v>
      </c>
      <c r="X166" s="15"/>
      <c r="Y166" s="2"/>
      <c r="Z166" s="2">
        <f>Table2[[#This Row],[A/EV]]-Table2[[#This Row],[H/EV]]</f>
        <v>6.5249420328905927</v>
      </c>
      <c r="AA166" s="29"/>
      <c r="AB166" s="30"/>
      <c r="AC166" s="30"/>
      <c r="AD166" s="30"/>
      <c r="AE166" s="30"/>
      <c r="AF166" s="7" t="b">
        <f>IF(VLOOKUP(Table2[[#This Row],[Home/Neutral]],division_lookup,9,FALSE)=VLOOKUP(Table2[[#This Row],[Visitor/Neutral]],division_lookup,9,FALSE),TRUE,FALSE)</f>
        <v>0</v>
      </c>
      <c r="AG166" s="15" t="str">
        <f>VLOOKUP(Table2[[#This Row],[Home/Neutral]],division_lookup,9,FALSE)</f>
        <v>SE</v>
      </c>
      <c r="AH166" s="15" t="str">
        <f>IF(Table2[[#This Row],[Total/EV]]&lt;Table2[[#This Row],[Total/V]],"UNDER","OVER")</f>
        <v>UNDER</v>
      </c>
      <c r="AI166" s="15"/>
      <c r="AJ166" s="2"/>
      <c r="AK166" s="2"/>
      <c r="AL166" s="18">
        <f>Table2[[#This Row],[SRS]]-Table2[[#This Row],[Spread]]</f>
        <v>10.191311475409835</v>
      </c>
      <c r="AM166" s="21">
        <f>Table2[[#This Row],[(A) Err]]^2</f>
        <v>103.86282958882019</v>
      </c>
      <c r="AN166" s="6">
        <f>Table2[[#This Row],[EV]]-Table2[[#This Row],[Spread]]</f>
        <v>13.524942032890593</v>
      </c>
      <c r="AO166" s="1">
        <f>Table2[[#This Row],[EV Err]]^2</f>
        <v>182.92405699305073</v>
      </c>
      <c r="AP166" s="1"/>
    </row>
    <row r="167" spans="1:42" x14ac:dyDescent="0.25">
      <c r="A167" s="34">
        <v>42690</v>
      </c>
      <c r="B167" t="s">
        <v>138</v>
      </c>
      <c r="C167" t="s">
        <v>137</v>
      </c>
      <c r="D167">
        <f>IF((Table2[[#This Row],[Spread]]-Table2[[#This Row],[Spread/V]])=0,1,IF(Table2[[#This Row],[Spread]]&lt;Table2[[#This Row],[Spread/V]],1,0))</f>
        <v>1</v>
      </c>
      <c r="E167">
        <v>109</v>
      </c>
      <c r="F167">
        <f>IF((Table2[[#This Row],[Spread]]-Table2[[#This Row],[Spread/V]])=0,1,IF(Table2[[#This Row],[Spread]]&gt;Table2[[#This Row],[Spread/V]],1,0))</f>
        <v>1</v>
      </c>
      <c r="G167">
        <v>102</v>
      </c>
      <c r="H167" s="7">
        <f t="shared" si="4"/>
        <v>211</v>
      </c>
      <c r="I167">
        <f>IF(Table2[[#This Row],[Total/V]]&lt;=Table2[[#This Row],[Total]],1,0)</f>
        <v>1</v>
      </c>
      <c r="J167">
        <v>204</v>
      </c>
      <c r="K167"/>
      <c r="L167" s="21">
        <f>(Table2[[#This Row],[H/Pace]]/100)*(VLOOKUP(Table2[[#This Row],[Home/Neutral]],home_lookup,8,FALSE)+VLOOKUP(Table2[[#This Row],[Home/Neutral]],OFR_lookup,2,FALSE)+VLOOKUP(Table2[[#This Row],[Visitor/Neutral]],def_diff_lookup,6,FALSE))</f>
        <v>102.5272835312401</v>
      </c>
      <c r="M167" s="21"/>
      <c r="N167" s="21">
        <f>(Table2[[#This Row],[A/Pace]]/100)*(VLOOKUP(Table2[[#This Row],[Visitor/Neutral]],OFR_lookup,2,FALSE)+VLOOKUP(Table2[[#This Row],[Home/Neutral]],def_diff_lookup,6,FALSE))</f>
        <v>104.53984</v>
      </c>
      <c r="O167" s="21"/>
      <c r="P167" s="21"/>
      <c r="Q167">
        <f>VLOOKUP(Table2[[#This Row],[Home/Neutral]],pace_lookup,7,FALSE)</f>
        <v>97.5</v>
      </c>
      <c r="R167" s="5">
        <f>VLOOKUP(Table2[[#This Row],[Visitor/Neutral]],pace_lookup,7,FALSE)</f>
        <v>96</v>
      </c>
      <c r="S167" s="7">
        <f t="shared" si="5"/>
        <v>-7</v>
      </c>
      <c r="T167">
        <v>-7</v>
      </c>
      <c r="U167" s="15"/>
      <c r="W167" s="2">
        <f>-home-VLOOKUP(Table2[[#This Row],[Home/Neutral]],rtg_vlookup,4,FALSE)+VLOOKUP(Table2[[#This Row],[Visitor/Neutral]],rtg_vlookup,4,FALSE)</f>
        <v>3.8613114754098352</v>
      </c>
      <c r="X167" s="15"/>
      <c r="Y167" s="2"/>
      <c r="Z167" s="2">
        <f>Table2[[#This Row],[A/EV]]-Table2[[#This Row],[H/EV]]</f>
        <v>2.0125564687598967</v>
      </c>
      <c r="AA167" s="29"/>
      <c r="AB167" s="30"/>
      <c r="AC167" s="30"/>
      <c r="AD167" s="30"/>
      <c r="AE167" s="30"/>
      <c r="AF167" s="7" t="b">
        <f>IF(VLOOKUP(Table2[[#This Row],[Home/Neutral]],division_lookup,9,FALSE)=VLOOKUP(Table2[[#This Row],[Visitor/Neutral]],division_lookup,9,FALSE),TRUE,FALSE)</f>
        <v>0</v>
      </c>
      <c r="AG167" s="15" t="str">
        <f>VLOOKUP(Table2[[#This Row],[Home/Neutral]],division_lookup,9,FALSE)</f>
        <v>A</v>
      </c>
      <c r="AH167" s="15" t="str">
        <f>IF(Table2[[#This Row],[Total/EV]]&lt;Table2[[#This Row],[Total/V]],"UNDER","OVER")</f>
        <v>UNDER</v>
      </c>
      <c r="AI167" s="15"/>
      <c r="AJ167" s="2"/>
      <c r="AK167" s="2"/>
      <c r="AL167" s="18">
        <f>Table2[[#This Row],[SRS]]-Table2[[#This Row],[Spread]]</f>
        <v>10.861311475409835</v>
      </c>
      <c r="AM167" s="21">
        <f>Table2[[#This Row],[(A) Err]]^2</f>
        <v>117.96808696586936</v>
      </c>
      <c r="AN167" s="6">
        <f>Table2[[#This Row],[EV]]-Table2[[#This Row],[Spread]]</f>
        <v>9.0125564687598967</v>
      </c>
      <c r="AO167" s="1">
        <f>Table2[[#This Row],[EV Err]]^2</f>
        <v>81.226174102585858</v>
      </c>
      <c r="AP167" s="1"/>
    </row>
    <row r="168" spans="1:42" x14ac:dyDescent="0.25">
      <c r="A168" s="34">
        <v>42690</v>
      </c>
      <c r="B168" t="s">
        <v>133</v>
      </c>
      <c r="C168" t="s">
        <v>134</v>
      </c>
      <c r="D168">
        <f>IF((Table2[[#This Row],[Spread]]-Table2[[#This Row],[Spread/V]])=0,1,IF(Table2[[#This Row],[Spread]]&lt;Table2[[#This Row],[Spread/V]],1,0))</f>
        <v>0</v>
      </c>
      <c r="E168">
        <v>105</v>
      </c>
      <c r="F168">
        <f>IF((Table2[[#This Row],[Spread]]-Table2[[#This Row],[Spread/V]])=0,1,IF(Table2[[#This Row],[Spread]]&gt;Table2[[#This Row],[Spread/V]],1,0))</f>
        <v>1</v>
      </c>
      <c r="G168">
        <v>110</v>
      </c>
      <c r="H168" s="7">
        <f t="shared" si="4"/>
        <v>215</v>
      </c>
      <c r="I168">
        <f>IF(Table2[[#This Row],[Total/V]]&lt;=Table2[[#This Row],[Total]],1,0)</f>
        <v>1</v>
      </c>
      <c r="J168">
        <v>197.5</v>
      </c>
      <c r="K168"/>
      <c r="L168" s="21">
        <f>(Table2[[#This Row],[H/Pace]]/100)*(VLOOKUP(Table2[[#This Row],[Home/Neutral]],home_lookup,8,FALSE)+VLOOKUP(Table2[[#This Row],[Home/Neutral]],OFR_lookup,2,FALSE)+VLOOKUP(Table2[[#This Row],[Visitor/Neutral]],def_diff_lookup,6,FALSE))</f>
        <v>106.7608674827998</v>
      </c>
      <c r="M168" s="21"/>
      <c r="N168" s="21">
        <f>(Table2[[#This Row],[A/Pace]]/100)*(VLOOKUP(Table2[[#This Row],[Visitor/Neutral]],OFR_lookup,2,FALSE)+VLOOKUP(Table2[[#This Row],[Home/Neutral]],def_diff_lookup,6,FALSE))</f>
        <v>108.27457266666667</v>
      </c>
      <c r="O168" s="21"/>
      <c r="P168" s="21"/>
      <c r="Q168">
        <f>VLOOKUP(Table2[[#This Row],[Home/Neutral]],pace_lookup,7,FALSE)</f>
        <v>94.2</v>
      </c>
      <c r="R168" s="5">
        <f>VLOOKUP(Table2[[#This Row],[Visitor/Neutral]],pace_lookup,7,FALSE)</f>
        <v>93.4</v>
      </c>
      <c r="S168" s="7">
        <f t="shared" si="5"/>
        <v>5</v>
      </c>
      <c r="T168">
        <v>-5.5</v>
      </c>
      <c r="U168" s="15"/>
      <c r="W168" s="2">
        <f>-home-VLOOKUP(Table2[[#This Row],[Home/Neutral]],rtg_vlookup,4,FALSE)+VLOOKUP(Table2[[#This Row],[Visitor/Neutral]],rtg_vlookup,4,FALSE)</f>
        <v>6.5313114754098338</v>
      </c>
      <c r="X168" s="15"/>
      <c r="Y168" s="2"/>
      <c r="Z168" s="2">
        <f>Table2[[#This Row],[A/EV]]-Table2[[#This Row],[H/EV]]</f>
        <v>1.5137051838668754</v>
      </c>
      <c r="AA168" s="29"/>
      <c r="AB168" s="30"/>
      <c r="AC168" s="30"/>
      <c r="AD168" s="30"/>
      <c r="AE168" s="30"/>
      <c r="AF168" s="7" t="b">
        <f>IF(VLOOKUP(Table2[[#This Row],[Home/Neutral]],division_lookup,9,FALSE)=VLOOKUP(Table2[[#This Row],[Visitor/Neutral]],division_lookup,9,FALSE),TRUE,FALSE)</f>
        <v>0</v>
      </c>
      <c r="AG168" s="15" t="str">
        <f>VLOOKUP(Table2[[#This Row],[Home/Neutral]],division_lookup,9,FALSE)</f>
        <v>P</v>
      </c>
      <c r="AH168" s="15" t="str">
        <f>IF(Table2[[#This Row],[Total/EV]]&lt;Table2[[#This Row],[Total/V]],"UNDER","OVER")</f>
        <v>UNDER</v>
      </c>
      <c r="AI168" s="15"/>
      <c r="AJ168" s="2"/>
      <c r="AK168" s="2"/>
      <c r="AL168" s="18">
        <f>Table2[[#This Row],[SRS]]-Table2[[#This Row],[Spread]]</f>
        <v>1.5313114754098338</v>
      </c>
      <c r="AM168" s="21">
        <f>Table2[[#This Row],[(A) Err]]^2</f>
        <v>2.344914834721842</v>
      </c>
      <c r="AN168" s="6">
        <f>Table2[[#This Row],[EV]]-Table2[[#This Row],[Spread]]</f>
        <v>-3.4862948161331246</v>
      </c>
      <c r="AO168" s="1">
        <f>Table2[[#This Row],[EV Err]]^2</f>
        <v>12.154251544996697</v>
      </c>
      <c r="AP168" s="1"/>
    </row>
    <row r="169" spans="1:42" ht="15.75" thickBot="1" x14ac:dyDescent="0.3">
      <c r="A169" s="100">
        <v>42690</v>
      </c>
      <c r="B169" s="3" t="s">
        <v>135</v>
      </c>
      <c r="C169" s="3" t="s">
        <v>118</v>
      </c>
      <c r="D169" s="3">
        <f>IF((Table2[[#This Row],[Spread]]-Table2[[#This Row],[Spread/V]])=0,1,IF(Table2[[#This Row],[Spread]]&lt;Table2[[#This Row],[Spread/V]],1,0))</f>
        <v>0</v>
      </c>
      <c r="E169" s="3">
        <v>121</v>
      </c>
      <c r="F169" s="3">
        <f>IF((Table2[[#This Row],[Spread]]-Table2[[#This Row],[Spread/V]])=0,1,IF(Table2[[#This Row],[Spread]]&gt;Table2[[#This Row],[Spread/V]],1,0))</f>
        <v>1</v>
      </c>
      <c r="G169" s="3">
        <v>127</v>
      </c>
      <c r="H169" s="8">
        <f t="shared" si="4"/>
        <v>248</v>
      </c>
      <c r="I169" s="3">
        <f>IF(Table2[[#This Row],[Total/V]]&lt;=Table2[[#This Row],[Total]],1,0)</f>
        <v>1</v>
      </c>
      <c r="J169" s="3">
        <v>223</v>
      </c>
      <c r="K169" s="3"/>
      <c r="L169" s="22">
        <f>(Table2[[#This Row],[H/Pace]]/100)*(VLOOKUP(Table2[[#This Row],[Home/Neutral]],home_lookup,8,FALSE)+VLOOKUP(Table2[[#This Row],[Home/Neutral]],OFR_lookup,2,FALSE)+VLOOKUP(Table2[[#This Row],[Visitor/Neutral]],def_diff_lookup,6,FALSE))</f>
        <v>108.57144035324615</v>
      </c>
      <c r="M169" s="22"/>
      <c r="N169" s="22">
        <f>(Table2[[#This Row],[A/Pace]]/100)*(VLOOKUP(Table2[[#This Row],[Visitor/Neutral]],OFR_lookup,2,FALSE)+VLOOKUP(Table2[[#This Row],[Home/Neutral]],def_diff_lookup,6,FALSE))</f>
        <v>118.30700933333333</v>
      </c>
      <c r="O169" s="22"/>
      <c r="P169" s="22"/>
      <c r="Q169" s="3">
        <f>VLOOKUP(Table2[[#This Row],[Home/Neutral]],pace_lookup,7,FALSE)</f>
        <v>95.4</v>
      </c>
      <c r="R169" s="3">
        <f>VLOOKUP(Table2[[#This Row],[Visitor/Neutral]],pace_lookup,7,FALSE)</f>
        <v>100.4</v>
      </c>
      <c r="S169" s="8">
        <f t="shared" si="5"/>
        <v>6</v>
      </c>
      <c r="T169" s="3">
        <v>-6</v>
      </c>
      <c r="U169" s="16"/>
      <c r="V169" s="3"/>
      <c r="W169" s="9">
        <f>-home-VLOOKUP(Table2[[#This Row],[Home/Neutral]],rtg_vlookup,4,FALSE)+VLOOKUP(Table2[[#This Row],[Visitor/Neutral]],rtg_vlookup,4,FALSE)</f>
        <v>2.7013114754098346</v>
      </c>
      <c r="X169" s="16"/>
      <c r="Y169" s="9"/>
      <c r="Z169" s="9">
        <f>Table2[[#This Row],[A/EV]]-Table2[[#This Row],[H/EV]]</f>
        <v>9.7355689800871801</v>
      </c>
      <c r="AA169" s="31"/>
      <c r="AB169" s="32"/>
      <c r="AC169" s="32"/>
      <c r="AD169" s="32"/>
      <c r="AE169" s="32"/>
      <c r="AF169" s="8" t="b">
        <f>IF(VLOOKUP(Table2[[#This Row],[Home/Neutral]],division_lookup,9,FALSE)=VLOOKUP(Table2[[#This Row],[Visitor/Neutral]],division_lookup,9,FALSE),TRUE,FALSE)</f>
        <v>0</v>
      </c>
      <c r="AG169" s="16" t="str">
        <f>VLOOKUP(Table2[[#This Row],[Home/Neutral]],division_lookup,9,FALSE)</f>
        <v>A</v>
      </c>
      <c r="AH169" s="16" t="str">
        <f>IF(Table2[[#This Row],[Total/EV]]&lt;Table2[[#This Row],[Total/V]],"UNDER","OVER")</f>
        <v>UNDER</v>
      </c>
      <c r="AI169" s="16"/>
      <c r="AJ169" s="25"/>
      <c r="AK169" s="9"/>
      <c r="AL169" s="19">
        <f>Table2[[#This Row],[SRS]]-Table2[[#This Row],[Spread]]</f>
        <v>-3.2986885245901654</v>
      </c>
      <c r="AM169" s="22">
        <f>Table2[[#This Row],[(A) Err]]^2</f>
        <v>10.881345982262841</v>
      </c>
      <c r="AN169" s="4">
        <f>Table2[[#This Row],[EV]]-Table2[[#This Row],[Spread]]</f>
        <v>3.7355689800871801</v>
      </c>
      <c r="AO169" s="4">
        <f>Table2[[#This Row],[EV Err]]^2</f>
        <v>13.954475604989575</v>
      </c>
      <c r="AP169" s="6"/>
    </row>
    <row r="170" spans="1:42" x14ac:dyDescent="0.25">
      <c r="A170" s="34">
        <v>42691</v>
      </c>
      <c r="B170" t="s">
        <v>119</v>
      </c>
      <c r="C170" t="s">
        <v>132</v>
      </c>
      <c r="D170">
        <f>IF((Table2[[#This Row],[Spread]]-Table2[[#This Row],[Spread/V]])=0,1,IF(Table2[[#This Row],[Spread]]&lt;Table2[[#This Row],[Spread/V]],1,0))</f>
        <v>1</v>
      </c>
      <c r="E170">
        <v>126</v>
      </c>
      <c r="F170">
        <f>IF((Table2[[#This Row],[Spread]]-Table2[[#This Row],[Spread/V]])=0,1,IF(Table2[[#This Row],[Spread]]&gt;Table2[[#This Row],[Spread/V]],1,0))</f>
        <v>0</v>
      </c>
      <c r="G170">
        <v>109</v>
      </c>
      <c r="H170" s="7">
        <f t="shared" si="4"/>
        <v>235</v>
      </c>
      <c r="I170">
        <f>IF(Table2[[#This Row],[Total/V]]&lt;=Table2[[#This Row],[Total]],1,0)</f>
        <v>1</v>
      </c>
      <c r="J170">
        <v>220.5</v>
      </c>
      <c r="K170"/>
      <c r="L170" s="21">
        <f>(Table2[[#This Row],[H/Pace]]/100)*(VLOOKUP(Table2[[#This Row],[Home/Neutral]],home_lookup,8,FALSE)+VLOOKUP(Table2[[#This Row],[Home/Neutral]],OFR_lookup,2,FALSE)+VLOOKUP(Table2[[#This Row],[Visitor/Neutral]],def_diff_lookup,6,FALSE))</f>
        <v>114.25869376977629</v>
      </c>
      <c r="M170" s="21"/>
      <c r="N170" s="21">
        <f>(Table2[[#This Row],[A/Pace]]/100)*(VLOOKUP(Table2[[#This Row],[Visitor/Neutral]],OFR_lookup,2,FALSE)+VLOOKUP(Table2[[#This Row],[Home/Neutral]],def_diff_lookup,6,FALSE))</f>
        <v>111.10619866666667</v>
      </c>
      <c r="O170" s="21"/>
      <c r="P170" s="21"/>
      <c r="Q170">
        <f>VLOOKUP(Table2[[#This Row],[Home/Neutral]],pace_lookup,7,FALSE)</f>
        <v>96.9</v>
      </c>
      <c r="R170" s="5">
        <f>VLOOKUP(Table2[[#This Row],[Visitor/Neutral]],pace_lookup,7,FALSE)</f>
        <v>98.8</v>
      </c>
      <c r="S170" s="7">
        <f t="shared" si="5"/>
        <v>-17</v>
      </c>
      <c r="T170">
        <v>-5</v>
      </c>
      <c r="U170" s="15"/>
      <c r="W170" s="2">
        <f>-home-VLOOKUP(Table2[[#This Row],[Home/Neutral]],rtg_vlookup,4,FALSE)+VLOOKUP(Table2[[#This Row],[Visitor/Neutral]],rtg_vlookup,4,FALSE)</f>
        <v>-8.898688524590165</v>
      </c>
      <c r="X170" s="15"/>
      <c r="Y170" s="2"/>
      <c r="Z170" s="2">
        <f>Table2[[#This Row],[A/EV]]-Table2[[#This Row],[H/EV]]</f>
        <v>-3.1524951031096151</v>
      </c>
      <c r="AA170" s="29"/>
      <c r="AB170" s="30"/>
      <c r="AC170" s="30"/>
      <c r="AD170" s="30"/>
      <c r="AE170" s="30"/>
      <c r="AF170" s="7" t="b">
        <f>IF(VLOOKUP(Table2[[#This Row],[Home/Neutral]],division_lookup,9,FALSE)=VLOOKUP(Table2[[#This Row],[Visitor/Neutral]],division_lookup,9,FALSE),TRUE,FALSE)</f>
        <v>0</v>
      </c>
      <c r="AG170" s="15" t="str">
        <f>VLOOKUP(Table2[[#This Row],[Home/Neutral]],division_lookup,9,FALSE)</f>
        <v>SW</v>
      </c>
      <c r="AH170" s="15" t="str">
        <f>IF(Table2[[#This Row],[Total/EV]]&lt;Table2[[#This Row],[Total/V]],"UNDER","OVER")</f>
        <v>UNDER</v>
      </c>
      <c r="AI170" s="15"/>
      <c r="AJ170" s="2"/>
      <c r="AK170" s="2"/>
      <c r="AL170" s="18">
        <f>Table2[[#This Row],[SRS]]-Table2[[#This Row],[Spread]]</f>
        <v>8.101311475409835</v>
      </c>
      <c r="AM170" s="21">
        <f>Table2[[#This Row],[(A) Err]]^2</f>
        <v>65.631247621607073</v>
      </c>
      <c r="AN170" s="6">
        <f>Table2[[#This Row],[EV]]-Table2[[#This Row],[Spread]]</f>
        <v>13.847504896890385</v>
      </c>
      <c r="AO170" s="1">
        <f>Table2[[#This Row],[EV Err]]^2</f>
        <v>191.7533918694032</v>
      </c>
      <c r="AP170" s="1"/>
    </row>
    <row r="171" spans="1:42" x14ac:dyDescent="0.25">
      <c r="A171" s="34">
        <v>42691</v>
      </c>
      <c r="B171" t="s">
        <v>124</v>
      </c>
      <c r="C171" t="s">
        <v>125</v>
      </c>
      <c r="D171">
        <f>IF((Table2[[#This Row],[Spread]]-Table2[[#This Row],[Spread/V]])=0,1,IF(Table2[[#This Row],[Spread]]&lt;Table2[[#This Row],[Spread/V]],1,0))</f>
        <v>1</v>
      </c>
      <c r="E171">
        <v>96</v>
      </c>
      <c r="F171">
        <f>IF((Table2[[#This Row],[Spread]]-Table2[[#This Row],[Spread/V]])=0,1,IF(Table2[[#This Row],[Spread]]&gt;Table2[[#This Row],[Spread/V]],1,0))</f>
        <v>0</v>
      </c>
      <c r="G171">
        <v>73</v>
      </c>
      <c r="H171" s="7">
        <f t="shared" si="4"/>
        <v>169</v>
      </c>
      <c r="I171">
        <f>IF(Table2[[#This Row],[Total/V]]&lt;=Table2[[#This Row],[Total]],1,0)</f>
        <v>0</v>
      </c>
      <c r="J171">
        <v>202.5</v>
      </c>
      <c r="K171"/>
      <c r="L171" s="21">
        <f>(Table2[[#This Row],[H/Pace]]/100)*(VLOOKUP(Table2[[#This Row],[Home/Neutral]],home_lookup,8,FALSE)+VLOOKUP(Table2[[#This Row],[Home/Neutral]],OFR_lookup,2,FALSE)+VLOOKUP(Table2[[#This Row],[Visitor/Neutral]],def_diff_lookup,6,FALSE))</f>
        <v>103.13152517723557</v>
      </c>
      <c r="M171" s="21"/>
      <c r="N171" s="21">
        <f>(Table2[[#This Row],[A/Pace]]/100)*(VLOOKUP(Table2[[#This Row],[Visitor/Neutral]],OFR_lookup,2,FALSE)+VLOOKUP(Table2[[#This Row],[Home/Neutral]],def_diff_lookup,6,FALSE))</f>
        <v>99.978275666666647</v>
      </c>
      <c r="O171" s="21"/>
      <c r="P171" s="21"/>
      <c r="Q171">
        <f>VLOOKUP(Table2[[#This Row],[Home/Neutral]],pace_lookup,7,FALSE)</f>
        <v>93.7</v>
      </c>
      <c r="R171" s="5">
        <f>VLOOKUP(Table2[[#This Row],[Visitor/Neutral]],pace_lookup,7,FALSE)</f>
        <v>96.1</v>
      </c>
      <c r="S171" s="7">
        <f t="shared" si="5"/>
        <v>-23</v>
      </c>
      <c r="T171">
        <v>-4</v>
      </c>
      <c r="U171" s="15"/>
      <c r="W171" s="2">
        <f>-home-VLOOKUP(Table2[[#This Row],[Home/Neutral]],rtg_vlookup,4,FALSE)+VLOOKUP(Table2[[#This Row],[Visitor/Neutral]],rtg_vlookup,4,FALSE)</f>
        <v>-4.058688524590166</v>
      </c>
      <c r="X171" s="15"/>
      <c r="Y171" s="2"/>
      <c r="Z171" s="2">
        <f>Table2[[#This Row],[A/EV]]-Table2[[#This Row],[H/EV]]</f>
        <v>-3.1532495105689264</v>
      </c>
      <c r="AA171" s="29"/>
      <c r="AB171" s="30"/>
      <c r="AC171" s="30"/>
      <c r="AD171" s="30"/>
      <c r="AE171" s="30"/>
      <c r="AF171" s="7" t="b">
        <f>IF(VLOOKUP(Table2[[#This Row],[Home/Neutral]],division_lookup,9,FALSE)=VLOOKUP(Table2[[#This Row],[Visitor/Neutral]],division_lookup,9,FALSE),TRUE,FALSE)</f>
        <v>0</v>
      </c>
      <c r="AG171" s="15" t="str">
        <f>VLOOKUP(Table2[[#This Row],[Home/Neutral]],division_lookup,9,FALSE)</f>
        <v>SE</v>
      </c>
      <c r="AH171" s="15" t="str">
        <f>IF(Table2[[#This Row],[Total/EV]]&lt;Table2[[#This Row],[Total/V]],"UNDER","OVER")</f>
        <v>UNDER</v>
      </c>
      <c r="AI171" s="15"/>
      <c r="AJ171" s="2"/>
      <c r="AK171" s="2"/>
      <c r="AL171" s="18">
        <f>Table2[[#This Row],[SRS]]-Table2[[#This Row],[Spread]]</f>
        <v>18.941311475409833</v>
      </c>
      <c r="AM171" s="21">
        <f>Table2[[#This Row],[(A) Err]]^2</f>
        <v>358.77328040849221</v>
      </c>
      <c r="AN171" s="6">
        <f>Table2[[#This Row],[EV]]-Table2[[#This Row],[Spread]]</f>
        <v>19.846750489431074</v>
      </c>
      <c r="AO171" s="1">
        <f>Table2[[#This Row],[EV Err]]^2</f>
        <v>393.89350498973255</v>
      </c>
      <c r="AP171" s="1"/>
    </row>
    <row r="172" spans="1:42" x14ac:dyDescent="0.25">
      <c r="A172" s="34">
        <v>42691</v>
      </c>
      <c r="B172" t="s">
        <v>126</v>
      </c>
      <c r="C172" t="s">
        <v>138</v>
      </c>
      <c r="D172">
        <f>IF((Table2[[#This Row],[Spread]]-Table2[[#This Row],[Spread/V]])=0,1,IF(Table2[[#This Row],[Spread]]&lt;Table2[[#This Row],[Spread/V]],1,0))</f>
        <v>1</v>
      </c>
      <c r="E172">
        <v>110</v>
      </c>
      <c r="F172">
        <f>IF((Table2[[#This Row],[Spread]]-Table2[[#This Row],[Spread/V]])=0,1,IF(Table2[[#This Row],[Spread]]&gt;Table2[[#This Row],[Spread/V]],1,0))</f>
        <v>0</v>
      </c>
      <c r="G172">
        <v>86</v>
      </c>
      <c r="H172" s="7">
        <f t="shared" si="4"/>
        <v>196</v>
      </c>
      <c r="I172">
        <f>IF(Table2[[#This Row],[Total/V]]&lt;=Table2[[#This Row],[Total]],1,0)</f>
        <v>0</v>
      </c>
      <c r="J172">
        <v>212</v>
      </c>
      <c r="K172"/>
      <c r="L172" s="21">
        <f>(Table2[[#This Row],[H/Pace]]/100)*(VLOOKUP(Table2[[#This Row],[Home/Neutral]],home_lookup,8,FALSE)+VLOOKUP(Table2[[#This Row],[Home/Neutral]],OFR_lookup,2,FALSE)+VLOOKUP(Table2[[#This Row],[Visitor/Neutral]],def_diff_lookup,6,FALSE))</f>
        <v>116.54849777050786</v>
      </c>
      <c r="M172" s="21"/>
      <c r="N172" s="21">
        <f>(Table2[[#This Row],[A/Pace]]/100)*(VLOOKUP(Table2[[#This Row],[Visitor/Neutral]],OFR_lookup,2,FALSE)+VLOOKUP(Table2[[#This Row],[Home/Neutral]],def_diff_lookup,6,FALSE))</f>
        <v>99.416524999999993</v>
      </c>
      <c r="O172" s="21"/>
      <c r="P172" s="21"/>
      <c r="Q172">
        <f>VLOOKUP(Table2[[#This Row],[Home/Neutral]],pace_lookup,7,FALSE)</f>
        <v>95.7</v>
      </c>
      <c r="R172" s="5">
        <f>VLOOKUP(Table2[[#This Row],[Visitor/Neutral]],pace_lookup,7,FALSE)</f>
        <v>97.5</v>
      </c>
      <c r="S172" s="7">
        <f t="shared" si="5"/>
        <v>-24</v>
      </c>
      <c r="T172">
        <v>-11.5</v>
      </c>
      <c r="U172" s="15"/>
      <c r="W172" s="2">
        <f>-home-VLOOKUP(Table2[[#This Row],[Home/Neutral]],rtg_vlookup,4,FALSE)+VLOOKUP(Table2[[#This Row],[Visitor/Neutral]],rtg_vlookup,4,FALSE)</f>
        <v>-11.228688524590167</v>
      </c>
      <c r="X172" s="15"/>
      <c r="Y172" s="2"/>
      <c r="Z172" s="2">
        <f>Table2[[#This Row],[A/EV]]-Table2[[#This Row],[H/EV]]</f>
        <v>-17.131972770507872</v>
      </c>
      <c r="AA172" s="29"/>
      <c r="AB172" s="30"/>
      <c r="AC172" s="30"/>
      <c r="AD172" s="30"/>
      <c r="AE172" s="30"/>
      <c r="AF172" s="7" t="b">
        <f>IF(VLOOKUP(Table2[[#This Row],[Home/Neutral]],division_lookup,9,FALSE)=VLOOKUP(Table2[[#This Row],[Visitor/Neutral]],division_lookup,9,FALSE),TRUE,FALSE)</f>
        <v>0</v>
      </c>
      <c r="AG172" s="15" t="str">
        <f>VLOOKUP(Table2[[#This Row],[Home/Neutral]],division_lookup,9,FALSE)</f>
        <v>NW</v>
      </c>
      <c r="AH172" s="15" t="str">
        <f>IF(Table2[[#This Row],[Total/EV]]&lt;Table2[[#This Row],[Total/V]],"UNDER","OVER")</f>
        <v>UNDER</v>
      </c>
      <c r="AI172" s="15"/>
      <c r="AJ172" s="2"/>
      <c r="AK172" s="2"/>
      <c r="AL172" s="18">
        <f>Table2[[#This Row],[SRS]]-Table2[[#This Row],[Spread]]</f>
        <v>12.771311475409833</v>
      </c>
      <c r="AM172" s="21">
        <f>Table2[[#This Row],[(A) Err]]^2</f>
        <v>163.10639680193489</v>
      </c>
      <c r="AN172" s="6">
        <f>Table2[[#This Row],[EV]]-Table2[[#This Row],[Spread]]</f>
        <v>6.8680272294921281</v>
      </c>
      <c r="AO172" s="1">
        <f>Table2[[#This Row],[EV Err]]^2</f>
        <v>47.169798025045317</v>
      </c>
      <c r="AP172" s="1"/>
    </row>
    <row r="173" spans="1:42" x14ac:dyDescent="0.25">
      <c r="A173" s="34">
        <v>42691</v>
      </c>
      <c r="B173" t="s">
        <v>136</v>
      </c>
      <c r="C173" t="s">
        <v>113</v>
      </c>
      <c r="D173">
        <f>IF((Table2[[#This Row],[Spread]]-Table2[[#This Row],[Spread/V]])=0,1,IF(Table2[[#This Row],[Spread]]&lt;Table2[[#This Row],[Spread/V]],1,0))</f>
        <v>0</v>
      </c>
      <c r="E173">
        <v>77</v>
      </c>
      <c r="F173">
        <f>IF((Table2[[#This Row],[Spread]]-Table2[[#This Row],[Spread/V]])=0,1,IF(Table2[[#This Row],[Spread]]&gt;Table2[[#This Row],[Spread/V]],1,0))</f>
        <v>1</v>
      </c>
      <c r="G173">
        <v>85</v>
      </c>
      <c r="H173" s="7">
        <f t="shared" si="4"/>
        <v>162</v>
      </c>
      <c r="I173">
        <f>IF(Table2[[#This Row],[Total/V]]&lt;=Table2[[#This Row],[Total]],1,0)</f>
        <v>0</v>
      </c>
      <c r="J173">
        <v>193</v>
      </c>
      <c r="K173"/>
      <c r="L173" s="21">
        <f>(Table2[[#This Row],[H/Pace]]/100)*(VLOOKUP(Table2[[#This Row],[Home/Neutral]],home_lookup,8,FALSE)+VLOOKUP(Table2[[#This Row],[Home/Neutral]],OFR_lookup,2,FALSE)+VLOOKUP(Table2[[#This Row],[Visitor/Neutral]],def_diff_lookup,6,FALSE))</f>
        <v>104.645385349919</v>
      </c>
      <c r="M173" s="21"/>
      <c r="N173" s="21">
        <f>(Table2[[#This Row],[A/Pace]]/100)*(VLOOKUP(Table2[[#This Row],[Visitor/Neutral]],OFR_lookup,2,FALSE)+VLOOKUP(Table2[[#This Row],[Home/Neutral]],def_diff_lookup,6,FALSE))</f>
        <v>101.144239</v>
      </c>
      <c r="O173" s="21"/>
      <c r="P173" s="21"/>
      <c r="Q173">
        <f>VLOOKUP(Table2[[#This Row],[Home/Neutral]],pace_lookup,7,FALSE)</f>
        <v>91.5</v>
      </c>
      <c r="R173" s="5">
        <f>VLOOKUP(Table2[[#This Row],[Visitor/Neutral]],pace_lookup,7,FALSE)</f>
        <v>95.1</v>
      </c>
      <c r="S173" s="7">
        <f t="shared" si="5"/>
        <v>8</v>
      </c>
      <c r="T173">
        <v>-2.5</v>
      </c>
      <c r="U173" s="15"/>
      <c r="W173" s="2">
        <f>-home-VLOOKUP(Table2[[#This Row],[Home/Neutral]],rtg_vlookup,4,FALSE)+VLOOKUP(Table2[[#This Row],[Visitor/Neutral]],rtg_vlookup,4,FALSE)</f>
        <v>-2.3786885245901654</v>
      </c>
      <c r="X173" s="15"/>
      <c r="Y173" s="2"/>
      <c r="Z173" s="2">
        <f>Table2[[#This Row],[A/EV]]-Table2[[#This Row],[H/EV]]</f>
        <v>-3.5011463499189972</v>
      </c>
      <c r="AA173" s="29"/>
      <c r="AB173" s="30"/>
      <c r="AC173" s="30"/>
      <c r="AD173" s="30"/>
      <c r="AE173" s="30"/>
      <c r="AF173" s="7" t="b">
        <f>IF(VLOOKUP(Table2[[#This Row],[Home/Neutral]],division_lookup,9,FALSE)=VLOOKUP(Table2[[#This Row],[Visitor/Neutral]],division_lookup,9,FALSE),TRUE,FALSE)</f>
        <v>0</v>
      </c>
      <c r="AG173" s="15" t="str">
        <f>VLOOKUP(Table2[[#This Row],[Home/Neutral]],division_lookup,9,FALSE)</f>
        <v>NW</v>
      </c>
      <c r="AH173" s="15" t="str">
        <f>IF(Table2[[#This Row],[Total/EV]]&lt;Table2[[#This Row],[Total/V]],"UNDER","OVER")</f>
        <v>UNDER</v>
      </c>
      <c r="AI173" s="15"/>
      <c r="AJ173" s="2"/>
      <c r="AK173" s="2"/>
      <c r="AL173" s="18">
        <f>Table2[[#This Row],[SRS]]-Table2[[#This Row],[Spread]]</f>
        <v>-10.378688524590165</v>
      </c>
      <c r="AM173" s="21">
        <f>Table2[[#This Row],[(A) Err]]^2</f>
        <v>107.71717549045958</v>
      </c>
      <c r="AN173" s="6">
        <f>Table2[[#This Row],[EV]]-Table2[[#This Row],[Spread]]</f>
        <v>-11.501146349918997</v>
      </c>
      <c r="AO173" s="1">
        <f>Table2[[#This Row],[EV Err]]^2</f>
        <v>132.27636736225506</v>
      </c>
      <c r="AP173" s="1"/>
    </row>
    <row r="174" spans="1:42" ht="15.75" thickBot="1" x14ac:dyDescent="0.3">
      <c r="A174" s="100">
        <v>42691</v>
      </c>
      <c r="B174" s="3" t="s">
        <v>137</v>
      </c>
      <c r="C174" s="3" t="s">
        <v>128</v>
      </c>
      <c r="D174" s="3">
        <f>IF((Table2[[#This Row],[Spread]]-Table2[[#This Row],[Spread/V]])=0,1,IF(Table2[[#This Row],[Spread]]&lt;Table2[[#This Row],[Spread/V]],1,0))</f>
        <v>1</v>
      </c>
      <c r="E174" s="3">
        <v>119</v>
      </c>
      <c r="F174" s="3">
        <f>IF((Table2[[#This Row],[Spread]]-Table2[[#This Row],[Spread/V]])=0,1,IF(Table2[[#This Row],[Spread]]&gt;Table2[[#This Row],[Spread/V]],1,0))</f>
        <v>0</v>
      </c>
      <c r="G174" s="3">
        <v>112</v>
      </c>
      <c r="H174" s="8">
        <f t="shared" si="4"/>
        <v>231</v>
      </c>
      <c r="I174" s="3">
        <f>IF(Table2[[#This Row],[Total/V]]&lt;=Table2[[#This Row],[Total]],1,0)</f>
        <v>1</v>
      </c>
      <c r="J174" s="3">
        <v>208</v>
      </c>
      <c r="K174" s="3"/>
      <c r="L174" s="22">
        <f>(Table2[[#This Row],[H/Pace]]/100)*(VLOOKUP(Table2[[#This Row],[Home/Neutral]],home_lookup,8,FALSE)+VLOOKUP(Table2[[#This Row],[Home/Neutral]],OFR_lookup,2,FALSE)+VLOOKUP(Table2[[#This Row],[Visitor/Neutral]],def_diff_lookup,6,FALSE))</f>
        <v>110.91133255421872</v>
      </c>
      <c r="M174" s="22"/>
      <c r="N174" s="22">
        <f>(Table2[[#This Row],[A/Pace]]/100)*(VLOOKUP(Table2[[#This Row],[Visitor/Neutral]],OFR_lookup,2,FALSE)+VLOOKUP(Table2[[#This Row],[Home/Neutral]],def_diff_lookup,6,FALSE))</f>
        <v>107.32217699999998</v>
      </c>
      <c r="O174" s="22"/>
      <c r="P174" s="22"/>
      <c r="Q174" s="3">
        <f>VLOOKUP(Table2[[#This Row],[Home/Neutral]],pace_lookup,7,FALSE)</f>
        <v>96</v>
      </c>
      <c r="R174" s="3">
        <f>VLOOKUP(Table2[[#This Row],[Visitor/Neutral]],pace_lookup,7,FALSE)</f>
        <v>96.3</v>
      </c>
      <c r="S174" s="8">
        <f t="shared" si="5"/>
        <v>-7</v>
      </c>
      <c r="T174" s="3">
        <v>-5.5</v>
      </c>
      <c r="U174" s="16"/>
      <c r="V174" s="3"/>
      <c r="W174" s="9">
        <f>-home-VLOOKUP(Table2[[#This Row],[Home/Neutral]],rtg_vlookup,4,FALSE)+VLOOKUP(Table2[[#This Row],[Visitor/Neutral]],rtg_vlookup,4,FALSE)</f>
        <v>-1.6486885245901659</v>
      </c>
      <c r="X174" s="16"/>
      <c r="Y174" s="9"/>
      <c r="Z174" s="9">
        <f>Table2[[#This Row],[A/EV]]-Table2[[#This Row],[H/EV]]</f>
        <v>-3.5891555542187348</v>
      </c>
      <c r="AA174" s="31"/>
      <c r="AB174" s="32"/>
      <c r="AC174" s="32"/>
      <c r="AD174" s="32"/>
      <c r="AE174" s="32"/>
      <c r="AF174" s="8" t="b">
        <f>IF(VLOOKUP(Table2[[#This Row],[Home/Neutral]],division_lookup,9,FALSE)=VLOOKUP(Table2[[#This Row],[Visitor/Neutral]],division_lookup,9,FALSE),TRUE,FALSE)</f>
        <v>0</v>
      </c>
      <c r="AG174" s="16" t="str">
        <f>VLOOKUP(Table2[[#This Row],[Home/Neutral]],division_lookup,9,FALSE)</f>
        <v>SE</v>
      </c>
      <c r="AH174" s="16" t="str">
        <f>IF(Table2[[#This Row],[Total/EV]]&lt;Table2[[#This Row],[Total/V]],"UNDER","OVER")</f>
        <v>UNDER</v>
      </c>
      <c r="AI174" s="16"/>
      <c r="AJ174" s="25"/>
      <c r="AK174" s="9"/>
      <c r="AL174" s="19">
        <f>Table2[[#This Row],[SRS]]-Table2[[#This Row],[Spread]]</f>
        <v>5.3513114754098341</v>
      </c>
      <c r="AM174" s="22">
        <f>Table2[[#This Row],[(A) Err]]^2</f>
        <v>28.636534506852975</v>
      </c>
      <c r="AN174" s="4">
        <f>Table2[[#This Row],[EV]]-Table2[[#This Row],[Spread]]</f>
        <v>3.4108444457812652</v>
      </c>
      <c r="AO174" s="4">
        <f>Table2[[#This Row],[EV Err]]^2</f>
        <v>11.633859833316906</v>
      </c>
      <c r="AP174" s="6"/>
    </row>
    <row r="175" spans="1:42" x14ac:dyDescent="0.25">
      <c r="A175" s="34">
        <v>42692</v>
      </c>
      <c r="B175" t="s">
        <v>110</v>
      </c>
      <c r="C175" t="s">
        <v>118</v>
      </c>
      <c r="D175">
        <f>IF((Table2[[#This Row],[Spread]]-Table2[[#This Row],[Spread/V]])=0,1,IF(Table2[[#This Row],[Spread]]&lt;Table2[[#This Row],[Spread/V]],1,0))</f>
        <v>0</v>
      </c>
      <c r="E175">
        <v>88</v>
      </c>
      <c r="F175">
        <f>IF((Table2[[#This Row],[Spread]]-Table2[[#This Row],[Spread/V]])=0,1,IF(Table2[[#This Row],[Spread]]&gt;Table2[[#This Row],[Spread/V]],1,0))</f>
        <v>1</v>
      </c>
      <c r="G175">
        <v>104</v>
      </c>
      <c r="H175" s="7">
        <f t="shared" si="4"/>
        <v>192</v>
      </c>
      <c r="I175">
        <f>IF(Table2[[#This Row],[Total/V]]&lt;=Table2[[#This Row],[Total]],1,0)</f>
        <v>0</v>
      </c>
      <c r="J175">
        <v>226</v>
      </c>
      <c r="K175"/>
      <c r="L175" s="21">
        <f>(Table2[[#This Row],[H/Pace]]/100)*(VLOOKUP(Table2[[#This Row],[Home/Neutral]],home_lookup,8,FALSE)+VLOOKUP(Table2[[#This Row],[Home/Neutral]],OFR_lookup,2,FALSE)+VLOOKUP(Table2[[#This Row],[Visitor/Neutral]],def_diff_lookup,6,FALSE))</f>
        <v>104.6663911890094</v>
      </c>
      <c r="M175" s="21"/>
      <c r="N175" s="21">
        <f>(Table2[[#This Row],[A/Pace]]/100)*(VLOOKUP(Table2[[#This Row],[Visitor/Neutral]],OFR_lookup,2,FALSE)+VLOOKUP(Table2[[#This Row],[Home/Neutral]],def_diff_lookup,6,FALSE))</f>
        <v>118.12628933333333</v>
      </c>
      <c r="O175" s="21"/>
      <c r="P175" s="21"/>
      <c r="Q175">
        <f>VLOOKUP(Table2[[#This Row],[Home/Neutral]],pace_lookup,7,FALSE)</f>
        <v>96.2</v>
      </c>
      <c r="R175" s="5">
        <f>VLOOKUP(Table2[[#This Row],[Visitor/Neutral]],pace_lookup,7,FALSE)</f>
        <v>100.4</v>
      </c>
      <c r="S175" s="7">
        <f t="shared" si="5"/>
        <v>16</v>
      </c>
      <c r="T175">
        <v>-8.5</v>
      </c>
      <c r="U175" s="15"/>
      <c r="W175" s="2">
        <f>-home-VLOOKUP(Table2[[#This Row],[Home/Neutral]],rtg_vlookup,4,FALSE)+VLOOKUP(Table2[[#This Row],[Visitor/Neutral]],rtg_vlookup,4,FALSE)</f>
        <v>8.1613114754098337</v>
      </c>
      <c r="X175" s="15"/>
      <c r="Y175" s="2"/>
      <c r="Z175" s="2">
        <f>Table2[[#This Row],[A/EV]]-Table2[[#This Row],[H/EV]]</f>
        <v>13.45989814432393</v>
      </c>
      <c r="AA175" s="29"/>
      <c r="AB175" s="30"/>
      <c r="AC175" s="30"/>
      <c r="AD175" s="30"/>
      <c r="AE175" s="30"/>
      <c r="AF175" s="7" t="b">
        <f>IF(VLOOKUP(Table2[[#This Row],[Home/Neutral]],division_lookup,9,FALSE)=VLOOKUP(Table2[[#This Row],[Visitor/Neutral]],division_lookup,9,FALSE),TRUE,FALSE)</f>
        <v>0</v>
      </c>
      <c r="AG175" s="15" t="str">
        <f>VLOOKUP(Table2[[#This Row],[Home/Neutral]],division_lookup,9,FALSE)</f>
        <v>A</v>
      </c>
      <c r="AH175" s="15" t="str">
        <f>IF(Table2[[#This Row],[Total/EV]]&lt;Table2[[#This Row],[Total/V]],"UNDER","OVER")</f>
        <v>UNDER</v>
      </c>
      <c r="AI175" s="15"/>
      <c r="AJ175" s="2"/>
      <c r="AK175" s="2"/>
      <c r="AL175" s="18">
        <f>Table2[[#This Row],[SRS]]-Table2[[#This Row],[Spread]]</f>
        <v>-7.8386885245901663</v>
      </c>
      <c r="AM175" s="21">
        <f>Table2[[#This Row],[(A) Err]]^2</f>
        <v>61.445037785541558</v>
      </c>
      <c r="AN175" s="6">
        <f>Table2[[#This Row],[EV]]-Table2[[#This Row],[Spread]]</f>
        <v>-2.5401018556760704</v>
      </c>
      <c r="AO175" s="1">
        <f>Table2[[#This Row],[EV Err]]^2</f>
        <v>6.452117437209016</v>
      </c>
      <c r="AP175" s="1"/>
    </row>
    <row r="176" spans="1:42" x14ac:dyDescent="0.25">
      <c r="A176" s="34">
        <v>42692</v>
      </c>
      <c r="B176" t="s">
        <v>112</v>
      </c>
      <c r="C176" t="s">
        <v>109</v>
      </c>
      <c r="D176">
        <f>IF((Table2[[#This Row],[Spread]]-Table2[[#This Row],[Spread/V]])=0,1,IF(Table2[[#This Row],[Spread]]&lt;Table2[[#This Row],[Spread/V]],1,0))</f>
        <v>1</v>
      </c>
      <c r="E176">
        <v>100</v>
      </c>
      <c r="F176">
        <f>IF((Table2[[#This Row],[Spread]]-Table2[[#This Row],[Spread/V]])=0,1,IF(Table2[[#This Row],[Spread]]&gt;Table2[[#This Row],[Spread/V]],1,0))</f>
        <v>0</v>
      </c>
      <c r="G176">
        <v>96</v>
      </c>
      <c r="H176" s="7">
        <f t="shared" si="4"/>
        <v>196</v>
      </c>
      <c r="I176">
        <f>IF(Table2[[#This Row],[Total/V]]&lt;=Table2[[#This Row],[Total]],1,0)</f>
        <v>0</v>
      </c>
      <c r="J176">
        <v>208</v>
      </c>
      <c r="K176"/>
      <c r="L176" s="21">
        <f>(Table2[[#This Row],[H/Pace]]/100)*(VLOOKUP(Table2[[#This Row],[Home/Neutral]],home_lookup,8,FALSE)+VLOOKUP(Table2[[#This Row],[Home/Neutral]],OFR_lookup,2,FALSE)+VLOOKUP(Table2[[#This Row],[Visitor/Neutral]],def_diff_lookup,6,FALSE))</f>
        <v>97.488381953134834</v>
      </c>
      <c r="M176" s="21"/>
      <c r="N176" s="21">
        <f>(Table2[[#This Row],[A/Pace]]/100)*(VLOOKUP(Table2[[#This Row],[Visitor/Neutral]],OFR_lookup,2,FALSE)+VLOOKUP(Table2[[#This Row],[Home/Neutral]],def_diff_lookup,6,FALSE))</f>
        <v>100.33650133333332</v>
      </c>
      <c r="O176" s="21"/>
      <c r="P176" s="21"/>
      <c r="Q176">
        <f>VLOOKUP(Table2[[#This Row],[Home/Neutral]],pace_lookup,7,FALSE)</f>
        <v>97.4</v>
      </c>
      <c r="R176" s="5">
        <f>VLOOKUP(Table2[[#This Row],[Visitor/Neutral]],pace_lookup,7,FALSE)</f>
        <v>99.2</v>
      </c>
      <c r="S176" s="7">
        <f t="shared" si="5"/>
        <v>-4</v>
      </c>
      <c r="T176">
        <v>-2</v>
      </c>
      <c r="U176" s="15"/>
      <c r="W176" s="2">
        <f>-home-VLOOKUP(Table2[[#This Row],[Home/Neutral]],rtg_vlookup,4,FALSE)+VLOOKUP(Table2[[#This Row],[Visitor/Neutral]],rtg_vlookup,4,FALSE)</f>
        <v>-2.5386885245901656</v>
      </c>
      <c r="X176" s="15"/>
      <c r="Y176" s="2"/>
      <c r="Z176" s="2">
        <f>Table2[[#This Row],[A/EV]]-Table2[[#This Row],[H/EV]]</f>
        <v>2.848119380198483</v>
      </c>
      <c r="AA176" s="29"/>
      <c r="AB176" s="30"/>
      <c r="AC176" s="30"/>
      <c r="AD176" s="30"/>
      <c r="AE176" s="30"/>
      <c r="AF176" s="7" t="b">
        <f>IF(VLOOKUP(Table2[[#This Row],[Home/Neutral]],division_lookup,9,FALSE)=VLOOKUP(Table2[[#This Row],[Visitor/Neutral]],division_lookup,9,FALSE),TRUE,FALSE)</f>
        <v>1</v>
      </c>
      <c r="AG176" s="15" t="str">
        <f>VLOOKUP(Table2[[#This Row],[Home/Neutral]],division_lookup,9,FALSE)</f>
        <v>SE</v>
      </c>
      <c r="AH176" s="15" t="str">
        <f>IF(Table2[[#This Row],[Total/EV]]&lt;Table2[[#This Row],[Total/V]],"UNDER","OVER")</f>
        <v>UNDER</v>
      </c>
      <c r="AI176" s="15"/>
      <c r="AJ176" s="2"/>
      <c r="AK176" s="2"/>
      <c r="AL176" s="18">
        <f>Table2[[#This Row],[SRS]]-Table2[[#This Row],[Spread]]</f>
        <v>1.4613114754098344</v>
      </c>
      <c r="AM176" s="21">
        <f>Table2[[#This Row],[(A) Err]]^2</f>
        <v>2.135431228164467</v>
      </c>
      <c r="AN176" s="6">
        <f>Table2[[#This Row],[EV]]-Table2[[#This Row],[Spread]]</f>
        <v>6.848119380198483</v>
      </c>
      <c r="AO176" s="1">
        <f>Table2[[#This Row],[EV Err]]^2</f>
        <v>46.896739045450055</v>
      </c>
      <c r="AP176" s="1"/>
    </row>
    <row r="177" spans="1:42" x14ac:dyDescent="0.25">
      <c r="A177" s="34">
        <v>42692</v>
      </c>
      <c r="B177" t="s">
        <v>114</v>
      </c>
      <c r="C177" t="s">
        <v>117</v>
      </c>
      <c r="D177">
        <f>IF((Table2[[#This Row],[Spread]]-Table2[[#This Row],[Spread/V]])=0,1,IF(Table2[[#This Row],[Spread]]&lt;Table2[[#This Row],[Spread/V]],1,0))</f>
        <v>1</v>
      </c>
      <c r="E177">
        <v>104</v>
      </c>
      <c r="F177">
        <f>IF((Table2[[#This Row],[Spread]]-Table2[[#This Row],[Spread/V]])=0,1,IF(Table2[[#This Row],[Spread]]&gt;Table2[[#This Row],[Spread/V]],1,0))</f>
        <v>0</v>
      </c>
      <c r="G177">
        <v>81</v>
      </c>
      <c r="H177" s="7">
        <f t="shared" si="4"/>
        <v>185</v>
      </c>
      <c r="I177">
        <f>IF(Table2[[#This Row],[Total/V]]&lt;=Table2[[#This Row],[Total]],1,0)</f>
        <v>0</v>
      </c>
      <c r="J177">
        <v>203</v>
      </c>
      <c r="K177"/>
      <c r="L177" s="21">
        <f>(Table2[[#This Row],[H/Pace]]/100)*(VLOOKUP(Table2[[#This Row],[Home/Neutral]],home_lookup,8,FALSE)+VLOOKUP(Table2[[#This Row],[Home/Neutral]],OFR_lookup,2,FALSE)+VLOOKUP(Table2[[#This Row],[Visitor/Neutral]],def_diff_lookup,6,FALSE))</f>
        <v>110.48591276756467</v>
      </c>
      <c r="M177" s="21"/>
      <c r="N177" s="21">
        <f>(Table2[[#This Row],[A/Pace]]/100)*(VLOOKUP(Table2[[#This Row],[Visitor/Neutral]],OFR_lookup,2,FALSE)+VLOOKUP(Table2[[#This Row],[Home/Neutral]],def_diff_lookup,6,FALSE))</f>
        <v>97.567926666666651</v>
      </c>
      <c r="O177" s="21"/>
      <c r="P177" s="21"/>
      <c r="Q177">
        <f>VLOOKUP(Table2[[#This Row],[Home/Neutral]],pace_lookup,7,FALSE)</f>
        <v>97.3</v>
      </c>
      <c r="R177" s="5">
        <f>VLOOKUP(Table2[[#This Row],[Visitor/Neutral]],pace_lookup,7,FALSE)</f>
        <v>94</v>
      </c>
      <c r="S177" s="7">
        <f t="shared" si="5"/>
        <v>-23</v>
      </c>
      <c r="T177">
        <v>-8.5</v>
      </c>
      <c r="U177" s="15"/>
      <c r="W177" s="2">
        <f>-home-VLOOKUP(Table2[[#This Row],[Home/Neutral]],rtg_vlookup,4,FALSE)+VLOOKUP(Table2[[#This Row],[Visitor/Neutral]],rtg_vlookup,4,FALSE)</f>
        <v>-9.8586885245901659</v>
      </c>
      <c r="X177" s="15"/>
      <c r="Y177" s="2"/>
      <c r="Z177" s="2">
        <f>Table2[[#This Row],[A/EV]]-Table2[[#This Row],[H/EV]]</f>
        <v>-12.91798610089802</v>
      </c>
      <c r="AA177" s="29"/>
      <c r="AB177" s="30"/>
      <c r="AC177" s="30"/>
      <c r="AD177" s="30"/>
      <c r="AE177" s="30"/>
      <c r="AF177" s="7" t="b">
        <f>IF(VLOOKUP(Table2[[#This Row],[Home/Neutral]],division_lookup,9,FALSE)=VLOOKUP(Table2[[#This Row],[Visitor/Neutral]],division_lookup,9,FALSE),TRUE,FALSE)</f>
        <v>1</v>
      </c>
      <c r="AG177" s="15" t="str">
        <f>VLOOKUP(Table2[[#This Row],[Home/Neutral]],division_lookup,9,FALSE)</f>
        <v>C</v>
      </c>
      <c r="AH177" s="15" t="str">
        <f>IF(Table2[[#This Row],[Total/EV]]&lt;Table2[[#This Row],[Total/V]],"UNDER","OVER")</f>
        <v>UNDER</v>
      </c>
      <c r="AI177" s="15"/>
      <c r="AJ177" s="2"/>
      <c r="AK177" s="2"/>
      <c r="AL177" s="18">
        <f>Table2[[#This Row],[SRS]]-Table2[[#This Row],[Spread]]</f>
        <v>13.141311475409834</v>
      </c>
      <c r="AM177" s="21">
        <f>Table2[[#This Row],[(A) Err]]^2</f>
        <v>172.69406729373819</v>
      </c>
      <c r="AN177" s="6">
        <f>Table2[[#This Row],[EV]]-Table2[[#This Row],[Spread]]</f>
        <v>10.08201389910198</v>
      </c>
      <c r="AO177" s="1">
        <f>Table2[[#This Row],[EV Err]]^2</f>
        <v>101.64700426168551</v>
      </c>
      <c r="AP177" s="1"/>
    </row>
    <row r="178" spans="1:42" x14ac:dyDescent="0.25">
      <c r="A178" s="34">
        <v>42692</v>
      </c>
      <c r="B178" t="s">
        <v>115</v>
      </c>
      <c r="C178" t="s">
        <v>123</v>
      </c>
      <c r="D178">
        <f>IF((Table2[[#This Row],[Spread]]-Table2[[#This Row],[Spread/V]])=0,1,IF(Table2[[#This Row],[Spread]]&lt;Table2[[#This Row],[Spread/V]],1,0))</f>
        <v>0</v>
      </c>
      <c r="E178">
        <v>64</v>
      </c>
      <c r="F178">
        <f>IF((Table2[[#This Row],[Spread]]-Table2[[#This Row],[Spread/V]])=0,1,IF(Table2[[#This Row],[Spread]]&gt;Table2[[#This Row],[Spread/V]],1,0))</f>
        <v>1</v>
      </c>
      <c r="G178">
        <v>80</v>
      </c>
      <c r="H178" s="7">
        <f t="shared" si="4"/>
        <v>144</v>
      </c>
      <c r="I178">
        <f>IF(Table2[[#This Row],[Total/V]]&lt;=Table2[[#This Row],[Total]],1,0)</f>
        <v>0</v>
      </c>
      <c r="J178">
        <v>185.5</v>
      </c>
      <c r="K178"/>
      <c r="L178" s="21">
        <f>(Table2[[#This Row],[H/Pace]]/100)*(VLOOKUP(Table2[[#This Row],[Home/Neutral]],home_lookup,8,FALSE)+VLOOKUP(Table2[[#This Row],[Home/Neutral]],OFR_lookup,2,FALSE)+VLOOKUP(Table2[[#This Row],[Visitor/Neutral]],def_diff_lookup,6,FALSE))</f>
        <v>92.107723115967758</v>
      </c>
      <c r="M178" s="21"/>
      <c r="N178" s="21">
        <f>(Table2[[#This Row],[A/Pace]]/100)*(VLOOKUP(Table2[[#This Row],[Visitor/Neutral]],OFR_lookup,2,FALSE)+VLOOKUP(Table2[[#This Row],[Home/Neutral]],def_diff_lookup,6,FALSE))</f>
        <v>95.363491666666661</v>
      </c>
      <c r="O178" s="21"/>
      <c r="P178" s="21"/>
      <c r="Q178">
        <f>VLOOKUP(Table2[[#This Row],[Home/Neutral]],pace_lookup,7,FALSE)</f>
        <v>92.9</v>
      </c>
      <c r="R178" s="5">
        <f>VLOOKUP(Table2[[#This Row],[Visitor/Neutral]],pace_lookup,7,FALSE)</f>
        <v>92.5</v>
      </c>
      <c r="S178" s="7">
        <f t="shared" si="5"/>
        <v>16</v>
      </c>
      <c r="T178">
        <v>-3.5</v>
      </c>
      <c r="U178" s="15"/>
      <c r="W178" s="2">
        <f>-home-VLOOKUP(Table2[[#This Row],[Home/Neutral]],rtg_vlookup,4,FALSE)+VLOOKUP(Table2[[#This Row],[Visitor/Neutral]],rtg_vlookup,4,FALSE)</f>
        <v>6.7613114754098333</v>
      </c>
      <c r="X178" s="15"/>
      <c r="Y178" s="2"/>
      <c r="Z178" s="2">
        <f>Table2[[#This Row],[A/EV]]-Table2[[#This Row],[H/EV]]</f>
        <v>3.2557685506989031</v>
      </c>
      <c r="AA178" s="29"/>
      <c r="AB178" s="30"/>
      <c r="AC178" s="30"/>
      <c r="AD178" s="30"/>
      <c r="AE178" s="30"/>
      <c r="AF178" s="7" t="b">
        <f>IF(VLOOKUP(Table2[[#This Row],[Home/Neutral]],division_lookup,9,FALSE)=VLOOKUP(Table2[[#This Row],[Visitor/Neutral]],division_lookup,9,FALSE),TRUE,FALSE)</f>
        <v>1</v>
      </c>
      <c r="AG178" s="15" t="str">
        <f>VLOOKUP(Table2[[#This Row],[Home/Neutral]],division_lookup,9,FALSE)</f>
        <v>SW</v>
      </c>
      <c r="AH178" s="15" t="str">
        <f>IF(Table2[[#This Row],[Total/EV]]&lt;Table2[[#This Row],[Total/V]],"UNDER","OVER")</f>
        <v>UNDER</v>
      </c>
      <c r="AI178" s="15"/>
      <c r="AJ178" s="2"/>
      <c r="AK178" s="2"/>
      <c r="AL178" s="18">
        <f>Table2[[#This Row],[SRS]]-Table2[[#This Row],[Spread]]</f>
        <v>-9.2386885245901667</v>
      </c>
      <c r="AM178" s="21">
        <f>Table2[[#This Row],[(A) Err]]^2</f>
        <v>85.353365654394025</v>
      </c>
      <c r="AN178" s="6">
        <f>Table2[[#This Row],[EV]]-Table2[[#This Row],[Spread]]</f>
        <v>-12.744231449301097</v>
      </c>
      <c r="AO178" s="1">
        <f>Table2[[#This Row],[EV Err]]^2</f>
        <v>162.41543523335514</v>
      </c>
      <c r="AP178" s="1"/>
    </row>
    <row r="179" spans="1:42" x14ac:dyDescent="0.25">
      <c r="A179" s="34">
        <v>42692</v>
      </c>
      <c r="B179" t="s">
        <v>116</v>
      </c>
      <c r="C179" t="s">
        <v>135</v>
      </c>
      <c r="D179">
        <f>IF((Table2[[#This Row],[Spread]]-Table2[[#This Row],[Spread/V]])=0,1,IF(Table2[[#This Row],[Spread]]&lt;Table2[[#This Row],[Spread/V]],1,0))</f>
        <v>0</v>
      </c>
      <c r="E179">
        <v>111</v>
      </c>
      <c r="F179">
        <f>IF((Table2[[#This Row],[Spread]]-Table2[[#This Row],[Spread/V]])=0,1,IF(Table2[[#This Row],[Spread]]&gt;Table2[[#This Row],[Spread/V]],1,0))</f>
        <v>1</v>
      </c>
      <c r="G179">
        <v>113</v>
      </c>
      <c r="H179" s="7">
        <f t="shared" si="4"/>
        <v>224</v>
      </c>
      <c r="I179">
        <f>IF(Table2[[#This Row],[Total/V]]&lt;=Table2[[#This Row],[Total]],1,0)</f>
        <v>1</v>
      </c>
      <c r="J179">
        <v>213</v>
      </c>
      <c r="K179"/>
      <c r="L179" s="21">
        <f>(Table2[[#This Row],[H/Pace]]/100)*(VLOOKUP(Table2[[#This Row],[Home/Neutral]],home_lookup,8,FALSE)+VLOOKUP(Table2[[#This Row],[Home/Neutral]],OFR_lookup,2,FALSE)+VLOOKUP(Table2[[#This Row],[Visitor/Neutral]],def_diff_lookup,6,FALSE))</f>
        <v>105.80759470161864</v>
      </c>
      <c r="M179" s="21"/>
      <c r="N179" s="21">
        <f>(Table2[[#This Row],[A/Pace]]/100)*(VLOOKUP(Table2[[#This Row],[Visitor/Neutral]],OFR_lookup,2,FALSE)+VLOOKUP(Table2[[#This Row],[Home/Neutral]],def_diff_lookup,6,FALSE))</f>
        <v>108.52290599999999</v>
      </c>
      <c r="O179" s="21"/>
      <c r="P179" s="21"/>
      <c r="Q179">
        <f>VLOOKUP(Table2[[#This Row],[Home/Neutral]],pace_lookup,7,FALSE)</f>
        <v>99.1</v>
      </c>
      <c r="R179" s="5">
        <f>VLOOKUP(Table2[[#This Row],[Visitor/Neutral]],pace_lookup,7,FALSE)</f>
        <v>95.4</v>
      </c>
      <c r="S179" s="7">
        <f t="shared" si="5"/>
        <v>2</v>
      </c>
      <c r="T179">
        <v>-3.5</v>
      </c>
      <c r="U179" s="15"/>
      <c r="W179" s="2">
        <f>-home-VLOOKUP(Table2[[#This Row],[Home/Neutral]],rtg_vlookup,4,FALSE)+VLOOKUP(Table2[[#This Row],[Visitor/Neutral]],rtg_vlookup,4,FALSE)</f>
        <v>3.9013114754098344</v>
      </c>
      <c r="X179" s="15"/>
      <c r="Y179" s="2"/>
      <c r="Z179" s="2">
        <f>Table2[[#This Row],[A/EV]]-Table2[[#This Row],[H/EV]]</f>
        <v>2.7153112983813514</v>
      </c>
      <c r="AA179" s="29"/>
      <c r="AB179" s="30"/>
      <c r="AC179" s="30"/>
      <c r="AD179" s="30"/>
      <c r="AE179" s="30"/>
      <c r="AF179" s="7" t="b">
        <f>IF(VLOOKUP(Table2[[#This Row],[Home/Neutral]],division_lookup,9,FALSE)=VLOOKUP(Table2[[#This Row],[Visitor/Neutral]],division_lookup,9,FALSE),TRUE,FALSE)</f>
        <v>0</v>
      </c>
      <c r="AG179" s="15" t="str">
        <f>VLOOKUP(Table2[[#This Row],[Home/Neutral]],division_lookup,9,FALSE)</f>
        <v>NW</v>
      </c>
      <c r="AH179" s="15" t="str">
        <f>IF(Table2[[#This Row],[Total/EV]]&lt;Table2[[#This Row],[Total/V]],"UNDER","OVER")</f>
        <v>UNDER</v>
      </c>
      <c r="AI179" s="15"/>
      <c r="AJ179" s="2"/>
      <c r="AK179" s="2"/>
      <c r="AL179" s="18">
        <f>Table2[[#This Row],[SRS]]-Table2[[#This Row],[Spread]]</f>
        <v>1.9013114754098344</v>
      </c>
      <c r="AM179" s="21">
        <f>Table2[[#This Row],[(A) Err]]^2</f>
        <v>3.6149853265251211</v>
      </c>
      <c r="AN179" s="6">
        <f>Table2[[#This Row],[EV]]-Table2[[#This Row],[Spread]]</f>
        <v>0.71531129838135143</v>
      </c>
      <c r="AO179" s="1">
        <f>Table2[[#This Row],[EV Err]]^2</f>
        <v>0.51167025359201479</v>
      </c>
      <c r="AP179" s="1"/>
    </row>
    <row r="180" spans="1:42" x14ac:dyDescent="0.25">
      <c r="A180" s="34">
        <v>42692</v>
      </c>
      <c r="B180" t="s">
        <v>120</v>
      </c>
      <c r="C180" t="s">
        <v>131</v>
      </c>
      <c r="D180">
        <f>IF((Table2[[#This Row],[Spread]]-Table2[[#This Row],[Spread/V]])=0,1,IF(Table2[[#This Row],[Spread]]&lt;Table2[[#This Row],[Spread/V]],1,0))</f>
        <v>0</v>
      </c>
      <c r="E180">
        <v>96</v>
      </c>
      <c r="F180">
        <f>IF((Table2[[#This Row],[Spread]]-Table2[[#This Row],[Spread/V]])=0,1,IF(Table2[[#This Row],[Spread]]&gt;Table2[[#This Row],[Spread/V]],1,0))</f>
        <v>1</v>
      </c>
      <c r="G180">
        <v>116</v>
      </c>
      <c r="H180" s="7">
        <f t="shared" si="4"/>
        <v>212</v>
      </c>
      <c r="I180">
        <f>IF(Table2[[#This Row],[Total/V]]&lt;=Table2[[#This Row],[Total]],1,0)</f>
        <v>0</v>
      </c>
      <c r="J180">
        <v>216.5</v>
      </c>
      <c r="K180"/>
      <c r="L180" s="21">
        <f>(Table2[[#This Row],[H/Pace]]/100)*(VLOOKUP(Table2[[#This Row],[Home/Neutral]],home_lookup,8,FALSE)+VLOOKUP(Table2[[#This Row],[Home/Neutral]],OFR_lookup,2,FALSE)+VLOOKUP(Table2[[#This Row],[Visitor/Neutral]],def_diff_lookup,6,FALSE))</f>
        <v>107.09652542930861</v>
      </c>
      <c r="M180" s="21"/>
      <c r="N180" s="21">
        <f>(Table2[[#This Row],[A/Pace]]/100)*(VLOOKUP(Table2[[#This Row],[Visitor/Neutral]],OFR_lookup,2,FALSE)+VLOOKUP(Table2[[#This Row],[Home/Neutral]],def_diff_lookup,6,FALSE))</f>
        <v>104.919483</v>
      </c>
      <c r="O180" s="21"/>
      <c r="P180" s="21"/>
      <c r="Q180">
        <f>VLOOKUP(Table2[[#This Row],[Home/Neutral]],pace_lookup,7,FALSE)</f>
        <v>98.3</v>
      </c>
      <c r="R180" s="5">
        <f>VLOOKUP(Table2[[#This Row],[Visitor/Neutral]],pace_lookup,7,FALSE)</f>
        <v>101.7</v>
      </c>
      <c r="S180" s="7">
        <f t="shared" si="5"/>
        <v>20</v>
      </c>
      <c r="T180">
        <v>-4</v>
      </c>
      <c r="U180" s="15"/>
      <c r="W180" s="2">
        <f>-home-VLOOKUP(Table2[[#This Row],[Home/Neutral]],rtg_vlookup,4,FALSE)+VLOOKUP(Table2[[#This Row],[Visitor/Neutral]],rtg_vlookup,4,FALSE)</f>
        <v>-4.4586885245901655</v>
      </c>
      <c r="X180" s="15"/>
      <c r="Y180" s="2"/>
      <c r="Z180" s="2">
        <f>Table2[[#This Row],[A/EV]]-Table2[[#This Row],[H/EV]]</f>
        <v>-2.1770424293086137</v>
      </c>
      <c r="AA180" s="29"/>
      <c r="AB180" s="30"/>
      <c r="AC180" s="30"/>
      <c r="AD180" s="30"/>
      <c r="AE180" s="30"/>
      <c r="AF180" s="7" t="b">
        <f>IF(VLOOKUP(Table2[[#This Row],[Home/Neutral]],division_lookup,9,FALSE)=VLOOKUP(Table2[[#This Row],[Visitor/Neutral]],division_lookup,9,FALSE),TRUE,FALSE)</f>
        <v>0</v>
      </c>
      <c r="AG180" s="15" t="str">
        <f>VLOOKUP(Table2[[#This Row],[Home/Neutral]],division_lookup,9,FALSE)</f>
        <v>C</v>
      </c>
      <c r="AH180" s="15" t="str">
        <f>IF(Table2[[#This Row],[Total/EV]]&lt;Table2[[#This Row],[Total/V]],"UNDER","OVER")</f>
        <v>UNDER</v>
      </c>
      <c r="AI180" s="15"/>
      <c r="AJ180" s="2"/>
      <c r="AK180" s="2"/>
      <c r="AL180" s="18">
        <f>Table2[[#This Row],[SRS]]-Table2[[#This Row],[Spread]]</f>
        <v>-24.458688524590166</v>
      </c>
      <c r="AM180" s="21">
        <f>Table2[[#This Row],[(A) Err]]^2</f>
        <v>598.2274443429186</v>
      </c>
      <c r="AN180" s="6">
        <f>Table2[[#This Row],[EV]]-Table2[[#This Row],[Spread]]</f>
        <v>-22.177042429308614</v>
      </c>
      <c r="AO180" s="1">
        <f>Table2[[#This Row],[EV Err]]^2</f>
        <v>491.82121091135451</v>
      </c>
      <c r="AP180" s="1"/>
    </row>
    <row r="181" spans="1:42" x14ac:dyDescent="0.25">
      <c r="A181" s="34">
        <v>42692</v>
      </c>
      <c r="B181" t="s">
        <v>122</v>
      </c>
      <c r="C181" t="s">
        <v>134</v>
      </c>
      <c r="D181">
        <f>IF((Table2[[#This Row],[Spread]]-Table2[[#This Row],[Spread/V]])=0,1,IF(Table2[[#This Row],[Spread]]&lt;Table2[[#This Row],[Spread/V]],1,0))</f>
        <v>0</v>
      </c>
      <c r="E181">
        <v>107</v>
      </c>
      <c r="F181">
        <f>IF((Table2[[#This Row],[Spread]]-Table2[[#This Row],[Spread/V]])=0,1,IF(Table2[[#This Row],[Spread]]&gt;Table2[[#This Row],[Spread/V]],1,0))</f>
        <v>1</v>
      </c>
      <c r="G181">
        <v>116</v>
      </c>
      <c r="H181" s="7">
        <f t="shared" si="4"/>
        <v>223</v>
      </c>
      <c r="I181">
        <f>IF(Table2[[#This Row],[Total/V]]&lt;=Table2[[#This Row],[Total]],1,0)</f>
        <v>1</v>
      </c>
      <c r="J181">
        <v>209</v>
      </c>
      <c r="K181"/>
      <c r="L181" s="21">
        <f>(Table2[[#This Row],[H/Pace]]/100)*(VLOOKUP(Table2[[#This Row],[Home/Neutral]],home_lookup,8,FALSE)+VLOOKUP(Table2[[#This Row],[Home/Neutral]],OFR_lookup,2,FALSE)+VLOOKUP(Table2[[#This Row],[Visitor/Neutral]],def_diff_lookup,6,FALSE))</f>
        <v>108.44526832744732</v>
      </c>
      <c r="M181" s="21"/>
      <c r="N181" s="21">
        <f>(Table2[[#This Row],[A/Pace]]/100)*(VLOOKUP(Table2[[#This Row],[Visitor/Neutral]],OFR_lookup,2,FALSE)+VLOOKUP(Table2[[#This Row],[Home/Neutral]],def_diff_lookup,6,FALSE))</f>
        <v>109.50745266666665</v>
      </c>
      <c r="O181" s="21"/>
      <c r="P181" s="21"/>
      <c r="Q181">
        <f>VLOOKUP(Table2[[#This Row],[Home/Neutral]],pace_lookup,7,FALSE)</f>
        <v>100.2</v>
      </c>
      <c r="R181" s="5">
        <f>VLOOKUP(Table2[[#This Row],[Visitor/Neutral]],pace_lookup,7,FALSE)</f>
        <v>93.4</v>
      </c>
      <c r="S181" s="7">
        <f t="shared" si="5"/>
        <v>9</v>
      </c>
      <c r="T181">
        <v>-7.5</v>
      </c>
      <c r="U181" s="15"/>
      <c r="W181" s="2">
        <f>-home-VLOOKUP(Table2[[#This Row],[Home/Neutral]],rtg_vlookup,4,FALSE)+VLOOKUP(Table2[[#This Row],[Visitor/Neutral]],rtg_vlookup,4,FALSE)</f>
        <v>6.8613114754098339</v>
      </c>
      <c r="X181" s="15"/>
      <c r="Y181" s="2"/>
      <c r="Z181" s="2">
        <f>Table2[[#This Row],[A/EV]]-Table2[[#This Row],[H/EV]]</f>
        <v>1.0621843392193284</v>
      </c>
      <c r="AA181" s="29"/>
      <c r="AB181" s="30"/>
      <c r="AC181" s="30"/>
      <c r="AD181" s="30"/>
      <c r="AE181" s="30"/>
      <c r="AF181" s="7" t="b">
        <f>IF(VLOOKUP(Table2[[#This Row],[Home/Neutral]],division_lookup,9,FALSE)=VLOOKUP(Table2[[#This Row],[Visitor/Neutral]],division_lookup,9,FALSE),TRUE,FALSE)</f>
        <v>0</v>
      </c>
      <c r="AG181" s="15" t="str">
        <f>VLOOKUP(Table2[[#This Row],[Home/Neutral]],division_lookup,9,FALSE)</f>
        <v>P</v>
      </c>
      <c r="AH181" s="15" t="str">
        <f>IF(Table2[[#This Row],[Total/EV]]&lt;Table2[[#This Row],[Total/V]],"UNDER","OVER")</f>
        <v>UNDER</v>
      </c>
      <c r="AI181" s="15"/>
      <c r="AJ181" s="2"/>
      <c r="AK181" s="2"/>
      <c r="AL181" s="18">
        <f>Table2[[#This Row],[SRS]]-Table2[[#This Row],[Spread]]</f>
        <v>-2.1386885245901661</v>
      </c>
      <c r="AM181" s="21">
        <f>Table2[[#This Row],[(A) Err]]^2</f>
        <v>4.5739886052136614</v>
      </c>
      <c r="AN181" s="6">
        <f>Table2[[#This Row],[EV]]-Table2[[#This Row],[Spread]]</f>
        <v>-7.9378156607806716</v>
      </c>
      <c r="AO181" s="1">
        <f>Table2[[#This Row],[EV Err]]^2</f>
        <v>63.008917464534889</v>
      </c>
      <c r="AP181" s="1"/>
    </row>
    <row r="182" spans="1:42" x14ac:dyDescent="0.25">
      <c r="A182" s="34">
        <v>42692</v>
      </c>
      <c r="B182" t="s">
        <v>127</v>
      </c>
      <c r="C182" t="s">
        <v>132</v>
      </c>
      <c r="D182">
        <f>IF((Table2[[#This Row],[Spread]]-Table2[[#This Row],[Spread/V]])=0,1,IF(Table2[[#This Row],[Spread]]&lt;Table2[[#This Row],[Spread/V]],1,0))</f>
        <v>1</v>
      </c>
      <c r="E182">
        <v>113</v>
      </c>
      <c r="F182">
        <f>IF((Table2[[#This Row],[Spread]]-Table2[[#This Row],[Spread/V]])=0,1,IF(Table2[[#This Row],[Spread]]&gt;Table2[[#This Row],[Spread/V]],1,0))</f>
        <v>0</v>
      </c>
      <c r="G182">
        <v>101</v>
      </c>
      <c r="H182" s="7">
        <f t="shared" si="4"/>
        <v>214</v>
      </c>
      <c r="I182">
        <f>IF(Table2[[#This Row],[Total/V]]&lt;=Table2[[#This Row],[Total]],1,0)</f>
        <v>1</v>
      </c>
      <c r="J182">
        <v>213.5</v>
      </c>
      <c r="K182"/>
      <c r="L182" s="21">
        <f>(Table2[[#This Row],[H/Pace]]/100)*(VLOOKUP(Table2[[#This Row],[Home/Neutral]],home_lookup,8,FALSE)+VLOOKUP(Table2[[#This Row],[Home/Neutral]],OFR_lookup,2,FALSE)+VLOOKUP(Table2[[#This Row],[Visitor/Neutral]],def_diff_lookup,6,FALSE))</f>
        <v>108.16086493743047</v>
      </c>
      <c r="M182" s="21"/>
      <c r="N182" s="21">
        <f>(Table2[[#This Row],[A/Pace]]/100)*(VLOOKUP(Table2[[#This Row],[Visitor/Neutral]],OFR_lookup,2,FALSE)+VLOOKUP(Table2[[#This Row],[Home/Neutral]],def_diff_lookup,6,FALSE))</f>
        <v>107.13443866666667</v>
      </c>
      <c r="O182" s="21"/>
      <c r="P182" s="21"/>
      <c r="Q182">
        <f>VLOOKUP(Table2[[#This Row],[Home/Neutral]],pace_lookup,7,FALSE)</f>
        <v>99.3</v>
      </c>
      <c r="R182" s="5">
        <f>VLOOKUP(Table2[[#This Row],[Visitor/Neutral]],pace_lookup,7,FALSE)</f>
        <v>98.8</v>
      </c>
      <c r="S182" s="7">
        <f t="shared" si="5"/>
        <v>-12</v>
      </c>
      <c r="T182">
        <v>0</v>
      </c>
      <c r="U182" s="15"/>
      <c r="W182" s="2">
        <f>-home-VLOOKUP(Table2[[#This Row],[Home/Neutral]],rtg_vlookup,4,FALSE)+VLOOKUP(Table2[[#This Row],[Visitor/Neutral]],rtg_vlookup,4,FALSE)</f>
        <v>-2.5586885245901656</v>
      </c>
      <c r="X182" s="15"/>
      <c r="Y182" s="2"/>
      <c r="Z182" s="2">
        <f>Table2[[#This Row],[A/EV]]-Table2[[#This Row],[H/EV]]</f>
        <v>-1.0264262707638068</v>
      </c>
      <c r="AA182" s="29"/>
      <c r="AB182" s="30"/>
      <c r="AC182" s="30"/>
      <c r="AD182" s="30"/>
      <c r="AE182" s="30"/>
      <c r="AF182" s="7" t="b">
        <f>IF(VLOOKUP(Table2[[#This Row],[Home/Neutral]],division_lookup,9,FALSE)=VLOOKUP(Table2[[#This Row],[Visitor/Neutral]],division_lookup,9,FALSE),TRUE,FALSE)</f>
        <v>0</v>
      </c>
      <c r="AG182" s="15" t="str">
        <f>VLOOKUP(Table2[[#This Row],[Home/Neutral]],division_lookup,9,FALSE)</f>
        <v>SW</v>
      </c>
      <c r="AH182" s="15" t="str">
        <f>IF(Table2[[#This Row],[Total/EV]]&lt;Table2[[#This Row],[Total/V]],"UNDER","OVER")</f>
        <v>UNDER</v>
      </c>
      <c r="AI182" s="15"/>
      <c r="AJ182" s="2"/>
      <c r="AK182" s="2"/>
      <c r="AL182" s="18">
        <f>Table2[[#This Row],[SRS]]-Table2[[#This Row],[Spread]]</f>
        <v>9.4413114754098348</v>
      </c>
      <c r="AM182" s="21">
        <f>Table2[[#This Row],[(A) Err]]^2</f>
        <v>89.138362375705427</v>
      </c>
      <c r="AN182" s="6">
        <f>Table2[[#This Row],[EV]]-Table2[[#This Row],[Spread]]</f>
        <v>10.973573729236193</v>
      </c>
      <c r="AO182" s="1">
        <f>Table2[[#This Row],[EV Err]]^2</f>
        <v>120.41932039098273</v>
      </c>
      <c r="AP182" s="1"/>
    </row>
    <row r="183" spans="1:42" x14ac:dyDescent="0.25">
      <c r="A183" s="34">
        <v>42692</v>
      </c>
      <c r="B183" t="s">
        <v>129</v>
      </c>
      <c r="C183" t="s">
        <v>111</v>
      </c>
      <c r="D183">
        <f>IF((Table2[[#This Row],[Spread]]-Table2[[#This Row],[Spread/V]])=0,1,IF(Table2[[#This Row],[Spread]]&lt;Table2[[#This Row],[Spread/V]],1,0))</f>
        <v>1</v>
      </c>
      <c r="E183">
        <v>124</v>
      </c>
      <c r="F183">
        <f>IF((Table2[[#This Row],[Spread]]-Table2[[#This Row],[Spread/V]])=0,1,IF(Table2[[#This Row],[Spread]]&gt;Table2[[#This Row],[Spread/V]],1,0))</f>
        <v>0</v>
      </c>
      <c r="G183">
        <v>105</v>
      </c>
      <c r="H183" s="7">
        <f t="shared" si="4"/>
        <v>229</v>
      </c>
      <c r="I183">
        <f>IF(Table2[[#This Row],[Total/V]]&lt;=Table2[[#This Row],[Total]],1,0)</f>
        <v>1</v>
      </c>
      <c r="J183">
        <v>217</v>
      </c>
      <c r="K183"/>
      <c r="L183" s="21">
        <f>(Table2[[#This Row],[H/Pace]]/100)*(VLOOKUP(Table2[[#This Row],[Home/Neutral]],home_lookup,8,FALSE)+VLOOKUP(Table2[[#This Row],[Home/Neutral]],OFR_lookup,2,FALSE)+VLOOKUP(Table2[[#This Row],[Visitor/Neutral]],def_diff_lookup,6,FALSE))</f>
        <v>111.65840376890107</v>
      </c>
      <c r="M183" s="21"/>
      <c r="N183" s="21">
        <f>(Table2[[#This Row],[A/Pace]]/100)*(VLOOKUP(Table2[[#This Row],[Visitor/Neutral]],OFR_lookup,2,FALSE)+VLOOKUP(Table2[[#This Row],[Home/Neutral]],def_diff_lookup,6,FALSE))</f>
        <v>102.25058</v>
      </c>
      <c r="O183" s="21"/>
      <c r="P183" s="21"/>
      <c r="Q183">
        <f>VLOOKUP(Table2[[#This Row],[Home/Neutral]],pace_lookup,7,FALSE)</f>
        <v>99</v>
      </c>
      <c r="R183" s="5">
        <f>VLOOKUP(Table2[[#This Row],[Visitor/Neutral]],pace_lookup,7,FALSE)</f>
        <v>102</v>
      </c>
      <c r="S183" s="7">
        <f t="shared" si="5"/>
        <v>-19</v>
      </c>
      <c r="T183">
        <v>-9.5</v>
      </c>
      <c r="U183" s="15"/>
      <c r="W183" s="2">
        <f>-home-VLOOKUP(Table2[[#This Row],[Home/Neutral]],rtg_vlookup,4,FALSE)+VLOOKUP(Table2[[#This Row],[Visitor/Neutral]],rtg_vlookup,4,FALSE)</f>
        <v>-13.068688524590165</v>
      </c>
      <c r="X183" s="15"/>
      <c r="Y183" s="2"/>
      <c r="Z183" s="2">
        <f>Table2[[#This Row],[A/EV]]-Table2[[#This Row],[H/EV]]</f>
        <v>-9.4078237689010678</v>
      </c>
      <c r="AA183" s="29"/>
      <c r="AB183" s="30"/>
      <c r="AC183" s="30"/>
      <c r="AD183" s="30"/>
      <c r="AE183" s="30"/>
      <c r="AF183" s="7" t="b">
        <f>IF(VLOOKUP(Table2[[#This Row],[Home/Neutral]],division_lookup,9,FALSE)=VLOOKUP(Table2[[#This Row],[Visitor/Neutral]],division_lookup,9,FALSE),TRUE,FALSE)</f>
        <v>0</v>
      </c>
      <c r="AG183" s="15" t="str">
        <f>VLOOKUP(Table2[[#This Row],[Home/Neutral]],division_lookup,9,FALSE)</f>
        <v>NW</v>
      </c>
      <c r="AH183" s="15" t="str">
        <f>IF(Table2[[#This Row],[Total/EV]]&lt;Table2[[#This Row],[Total/V]],"UNDER","OVER")</f>
        <v>UNDER</v>
      </c>
      <c r="AI183" s="15"/>
      <c r="AJ183" s="2"/>
      <c r="AK183" s="2"/>
      <c r="AL183" s="18">
        <f>Table2[[#This Row],[SRS]]-Table2[[#This Row],[Spread]]</f>
        <v>5.9313114754098351</v>
      </c>
      <c r="AM183" s="21">
        <f>Table2[[#This Row],[(A) Err]]^2</f>
        <v>35.180455818328397</v>
      </c>
      <c r="AN183" s="6">
        <f>Table2[[#This Row],[EV]]-Table2[[#This Row],[Spread]]</f>
        <v>9.5921762310989322</v>
      </c>
      <c r="AO183" s="1">
        <f>Table2[[#This Row],[EV Err]]^2</f>
        <v>92.009844848459323</v>
      </c>
      <c r="AP183" s="1"/>
    </row>
    <row r="184" spans="1:42" ht="15.75" thickBot="1" x14ac:dyDescent="0.3">
      <c r="A184" s="100">
        <v>42692</v>
      </c>
      <c r="B184" s="3" t="s">
        <v>133</v>
      </c>
      <c r="C184" s="3" t="s">
        <v>121</v>
      </c>
      <c r="D184" s="3">
        <f>IF((Table2[[#This Row],[Spread]]-Table2[[#This Row],[Spread/V]])=0,1,IF(Table2[[#This Row],[Spread]]&lt;Table2[[#This Row],[Spread/V]],1,0))</f>
        <v>0</v>
      </c>
      <c r="E184" s="3">
        <v>115</v>
      </c>
      <c r="F184" s="3">
        <f>IF((Table2[[#This Row],[Spread]]-Table2[[#This Row],[Spread/V]])=0,1,IF(Table2[[#This Row],[Spread]]&gt;Table2[[#This Row],[Spread/V]],1,0))</f>
        <v>1</v>
      </c>
      <c r="G184" s="3">
        <v>121</v>
      </c>
      <c r="H184" s="8">
        <f t="shared" si="4"/>
        <v>236</v>
      </c>
      <c r="I184" s="3">
        <f>IF(Table2[[#This Row],[Total/V]]&lt;=Table2[[#This Row],[Total]],1,0)</f>
        <v>1</v>
      </c>
      <c r="J184" s="3">
        <v>202.5</v>
      </c>
      <c r="K184" s="3"/>
      <c r="L184" s="22">
        <f>(Table2[[#This Row],[H/Pace]]/100)*(VLOOKUP(Table2[[#This Row],[Home/Neutral]],home_lookup,8,FALSE)+VLOOKUP(Table2[[#This Row],[Home/Neutral]],OFR_lookup,2,FALSE)+VLOOKUP(Table2[[#This Row],[Visitor/Neutral]],def_diff_lookup,6,FALSE))</f>
        <v>104.01022748279979</v>
      </c>
      <c r="M184" s="22"/>
      <c r="N184" s="22">
        <f>(Table2[[#This Row],[A/Pace]]/100)*(VLOOKUP(Table2[[#This Row],[Visitor/Neutral]],OFR_lookup,2,FALSE)+VLOOKUP(Table2[[#This Row],[Home/Neutral]],def_diff_lookup,6,FALSE))</f>
        <v>114.08522266666667</v>
      </c>
      <c r="O184" s="22"/>
      <c r="P184" s="22"/>
      <c r="Q184" s="3">
        <f>VLOOKUP(Table2[[#This Row],[Home/Neutral]],pace_lookup,7,FALSE)</f>
        <v>94.2</v>
      </c>
      <c r="R184" s="3">
        <f>VLOOKUP(Table2[[#This Row],[Visitor/Neutral]],pace_lookup,7,FALSE)</f>
        <v>96.4</v>
      </c>
      <c r="S184" s="8">
        <f t="shared" si="5"/>
        <v>6</v>
      </c>
      <c r="T184" s="3">
        <v>-8.5</v>
      </c>
      <c r="U184" s="16"/>
      <c r="V184" s="3"/>
      <c r="W184" s="9">
        <f>-home-VLOOKUP(Table2[[#This Row],[Home/Neutral]],rtg_vlookup,4,FALSE)+VLOOKUP(Table2[[#This Row],[Visitor/Neutral]],rtg_vlookup,4,FALSE)</f>
        <v>11.871311475409835</v>
      </c>
      <c r="X184" s="16"/>
      <c r="Y184" s="9"/>
      <c r="Z184" s="9">
        <f>Table2[[#This Row],[A/EV]]-Table2[[#This Row],[H/EV]]</f>
        <v>10.074995183866875</v>
      </c>
      <c r="AA184" s="31"/>
      <c r="AB184" s="32"/>
      <c r="AC184" s="32"/>
      <c r="AD184" s="32"/>
      <c r="AE184" s="32"/>
      <c r="AF184" s="8" t="b">
        <f>IF(VLOOKUP(Table2[[#This Row],[Home/Neutral]],division_lookup,9,FALSE)=VLOOKUP(Table2[[#This Row],[Visitor/Neutral]],division_lookup,9,FALSE),TRUE,FALSE)</f>
        <v>1</v>
      </c>
      <c r="AG184" s="16" t="str">
        <f>VLOOKUP(Table2[[#This Row],[Home/Neutral]],division_lookup,9,FALSE)</f>
        <v>P</v>
      </c>
      <c r="AH184" s="16" t="str">
        <f>IF(Table2[[#This Row],[Total/EV]]&lt;Table2[[#This Row],[Total/V]],"UNDER","OVER")</f>
        <v>UNDER</v>
      </c>
      <c r="AI184" s="16"/>
      <c r="AJ184" s="25"/>
      <c r="AK184" s="9"/>
      <c r="AL184" s="19">
        <f>Table2[[#This Row],[SRS]]-Table2[[#This Row],[Spread]]</f>
        <v>5.8713114754098346</v>
      </c>
      <c r="AM184" s="22">
        <f>Table2[[#This Row],[(A) Err]]^2</f>
        <v>34.472298441279207</v>
      </c>
      <c r="AN184" s="4">
        <f>Table2[[#This Row],[EV]]-Table2[[#This Row],[Spread]]</f>
        <v>4.074995183866875</v>
      </c>
      <c r="AO184" s="4">
        <f>Table2[[#This Row],[EV Err]]^2</f>
        <v>16.605585748538225</v>
      </c>
      <c r="AP184" s="1"/>
    </row>
    <row r="185" spans="1:42" x14ac:dyDescent="0.25">
      <c r="A185" s="34">
        <v>42693</v>
      </c>
      <c r="B185" t="s">
        <v>117</v>
      </c>
      <c r="C185" t="s">
        <v>110</v>
      </c>
      <c r="D185">
        <f>IF((Table2[[#This Row],[Spread]]-Table2[[#This Row],[Spread/V]])=0,1,IF(Table2[[#This Row],[Spread]]&lt;Table2[[#This Row],[Spread/V]],1,0))</f>
        <v>0</v>
      </c>
      <c r="E185">
        <v>92</v>
      </c>
      <c r="F185">
        <f>IF((Table2[[#This Row],[Spread]]-Table2[[#This Row],[Spread/V]])=0,1,IF(Table2[[#This Row],[Spread]]&gt;Table2[[#This Row],[Spread/V]],1,0))</f>
        <v>1</v>
      </c>
      <c r="G185">
        <v>94</v>
      </c>
      <c r="H185" s="7">
        <f t="shared" si="4"/>
        <v>186</v>
      </c>
      <c r="I185">
        <f>IF(Table2[[#This Row],[Total/V]]&lt;=Table2[[#This Row],[Total]],1,0)</f>
        <v>0</v>
      </c>
      <c r="J185">
        <v>199.5</v>
      </c>
      <c r="K185"/>
      <c r="L185" s="21">
        <f>(Table2[[#This Row],[H/Pace]]/100)*(VLOOKUP(Table2[[#This Row],[Home/Neutral]],home_lookup,8,FALSE)+VLOOKUP(Table2[[#This Row],[Home/Neutral]],OFR_lookup,2,FALSE)+VLOOKUP(Table2[[#This Row],[Visitor/Neutral]],def_diff_lookup,6,FALSE))</f>
        <v>112.91339591446429</v>
      </c>
      <c r="M185" s="21"/>
      <c r="N185" s="21">
        <f>(Table2[[#This Row],[A/Pace]]/100)*(VLOOKUP(Table2[[#This Row],[Visitor/Neutral]],OFR_lookup,2,FALSE)+VLOOKUP(Table2[[#This Row],[Home/Neutral]],def_diff_lookup,6,FALSE))</f>
        <v>99.995731333333339</v>
      </c>
      <c r="O185" s="21"/>
      <c r="P185" s="21"/>
      <c r="Q185">
        <f>VLOOKUP(Table2[[#This Row],[Home/Neutral]],pace_lookup,7,FALSE)</f>
        <v>94</v>
      </c>
      <c r="R185" s="5">
        <f>VLOOKUP(Table2[[#This Row],[Visitor/Neutral]],pace_lookup,7,FALSE)</f>
        <v>96.2</v>
      </c>
      <c r="S185" s="7">
        <f t="shared" si="5"/>
        <v>2</v>
      </c>
      <c r="T185">
        <v>-1.5</v>
      </c>
      <c r="U185" s="15"/>
      <c r="W185" s="2">
        <f>-home-VLOOKUP(Table2[[#This Row],[Home/Neutral]],rtg_vlookup,4,FALSE)+VLOOKUP(Table2[[#This Row],[Visitor/Neutral]],rtg_vlookup,4,FALSE)</f>
        <v>-3.8686885245901661</v>
      </c>
      <c r="X185" s="15"/>
      <c r="Y185" s="2"/>
      <c r="Z185" s="2">
        <f>Table2[[#This Row],[A/EV]]-Table2[[#This Row],[H/EV]]</f>
        <v>-12.91766458113095</v>
      </c>
      <c r="AA185" s="29"/>
      <c r="AB185" s="30"/>
      <c r="AC185" s="30"/>
      <c r="AD185" s="30"/>
      <c r="AE185" s="30"/>
      <c r="AF185" s="7" t="b">
        <f>IF(VLOOKUP(Table2[[#This Row],[Home/Neutral]],division_lookup,9,FALSE)=VLOOKUP(Table2[[#This Row],[Visitor/Neutral]],division_lookup,9,FALSE),TRUE,FALSE)</f>
        <v>0</v>
      </c>
      <c r="AG185" s="15" t="str">
        <f>VLOOKUP(Table2[[#This Row],[Home/Neutral]],division_lookup,9,FALSE)</f>
        <v>C</v>
      </c>
      <c r="AH185" s="15" t="str">
        <f>IF(Table2[[#This Row],[Total/EV]]&lt;Table2[[#This Row],[Total/V]],"UNDER","OVER")</f>
        <v>UNDER</v>
      </c>
      <c r="AI185" s="15"/>
      <c r="AJ185" s="2"/>
      <c r="AK185" s="2"/>
      <c r="AL185" s="18">
        <f>Table2[[#This Row],[SRS]]-Table2[[#This Row],[Spread]]</f>
        <v>-5.8686885245901657</v>
      </c>
      <c r="AM185" s="21">
        <f>Table2[[#This Row],[(A) Err]]^2</f>
        <v>34.441504998656292</v>
      </c>
      <c r="AN185" s="6">
        <f>Table2[[#This Row],[EV]]-Table2[[#This Row],[Spread]]</f>
        <v>-14.91766458113095</v>
      </c>
      <c r="AO185" s="1">
        <f>Table2[[#This Row],[EV Err]]^2</f>
        <v>222.53671655512883</v>
      </c>
      <c r="AP185" s="1"/>
    </row>
    <row r="186" spans="1:42" x14ac:dyDescent="0.25">
      <c r="A186" s="34">
        <v>42693</v>
      </c>
      <c r="B186" t="s">
        <v>119</v>
      </c>
      <c r="C186" t="s">
        <v>136</v>
      </c>
      <c r="D186">
        <f>IF((Table2[[#This Row],[Spread]]-Table2[[#This Row],[Spread/V]])=0,1,IF(Table2[[#This Row],[Spread]]&lt;Table2[[#This Row],[Spread/V]],1,0))</f>
        <v>1</v>
      </c>
      <c r="E186">
        <v>111</v>
      </c>
      <c r="F186">
        <f>IF((Table2[[#This Row],[Spread]]-Table2[[#This Row],[Spread/V]])=0,1,IF(Table2[[#This Row],[Spread]]&gt;Table2[[#This Row],[Spread/V]],1,0))</f>
        <v>0</v>
      </c>
      <c r="G186">
        <v>102</v>
      </c>
      <c r="H186" s="7">
        <f t="shared" si="4"/>
        <v>213</v>
      </c>
      <c r="I186">
        <f>IF(Table2[[#This Row],[Total/V]]&lt;=Table2[[#This Row],[Total]],1,0)</f>
        <v>1</v>
      </c>
      <c r="J186">
        <v>200.5</v>
      </c>
      <c r="K186"/>
      <c r="L186" s="21">
        <f>(Table2[[#This Row],[H/Pace]]/100)*(VLOOKUP(Table2[[#This Row],[Home/Neutral]],home_lookup,8,FALSE)+VLOOKUP(Table2[[#This Row],[Home/Neutral]],OFR_lookup,2,FALSE)+VLOOKUP(Table2[[#This Row],[Visitor/Neutral]],def_diff_lookup,6,FALSE))</f>
        <v>104.55900376977627</v>
      </c>
      <c r="M186" s="21"/>
      <c r="N186" s="21">
        <f>(Table2[[#This Row],[A/Pace]]/100)*(VLOOKUP(Table2[[#This Row],[Visitor/Neutral]],OFR_lookup,2,FALSE)+VLOOKUP(Table2[[#This Row],[Home/Neutral]],def_diff_lookup,6,FALSE))</f>
        <v>99.859135000000009</v>
      </c>
      <c r="O186" s="21"/>
      <c r="P186" s="21"/>
      <c r="Q186">
        <f>VLOOKUP(Table2[[#This Row],[Home/Neutral]],pace_lookup,7,FALSE)</f>
        <v>96.9</v>
      </c>
      <c r="R186" s="5">
        <f>VLOOKUP(Table2[[#This Row],[Visitor/Neutral]],pace_lookup,7,FALSE)</f>
        <v>91.5</v>
      </c>
      <c r="S186" s="7">
        <f t="shared" si="5"/>
        <v>-9</v>
      </c>
      <c r="T186">
        <v>-6.5</v>
      </c>
      <c r="U186" s="15"/>
      <c r="W186" s="2">
        <f>-home-VLOOKUP(Table2[[#This Row],[Home/Neutral]],rtg_vlookup,4,FALSE)+VLOOKUP(Table2[[#This Row],[Visitor/Neutral]],rtg_vlookup,4,FALSE)</f>
        <v>-2.2086885245901655</v>
      </c>
      <c r="X186" s="15"/>
      <c r="Y186" s="2"/>
      <c r="Z186" s="2">
        <f>Table2[[#This Row],[A/EV]]-Table2[[#This Row],[H/EV]]</f>
        <v>-4.6998687697762591</v>
      </c>
      <c r="AA186" s="29"/>
      <c r="AB186" s="30"/>
      <c r="AC186" s="30"/>
      <c r="AD186" s="30"/>
      <c r="AE186" s="30"/>
      <c r="AF186" s="7" t="b">
        <f>IF(VLOOKUP(Table2[[#This Row],[Home/Neutral]],division_lookup,9,FALSE)=VLOOKUP(Table2[[#This Row],[Visitor/Neutral]],division_lookup,9,FALSE),TRUE,FALSE)</f>
        <v>0</v>
      </c>
      <c r="AG186" s="15" t="str">
        <f>VLOOKUP(Table2[[#This Row],[Home/Neutral]],division_lookup,9,FALSE)</f>
        <v>SW</v>
      </c>
      <c r="AH186" s="15" t="str">
        <f>IF(Table2[[#This Row],[Total/EV]]&lt;Table2[[#This Row],[Total/V]],"UNDER","OVER")</f>
        <v>UNDER</v>
      </c>
      <c r="AI186" s="15"/>
      <c r="AJ186" s="2"/>
      <c r="AK186" s="2"/>
      <c r="AL186" s="18">
        <f>Table2[[#This Row],[SRS]]-Table2[[#This Row],[Spread]]</f>
        <v>6.7913114754098345</v>
      </c>
      <c r="AM186" s="21">
        <f>Table2[[#This Row],[(A) Err]]^2</f>
        <v>46.121911556033304</v>
      </c>
      <c r="AN186" s="6">
        <f>Table2[[#This Row],[EV]]-Table2[[#This Row],[Spread]]</f>
        <v>4.3001312302237409</v>
      </c>
      <c r="AO186" s="1">
        <f>Table2[[#This Row],[EV Err]]^2</f>
        <v>18.491128597145543</v>
      </c>
      <c r="AP186" s="1"/>
    </row>
    <row r="187" spans="1:42" x14ac:dyDescent="0.25">
      <c r="A187" s="34">
        <v>42693</v>
      </c>
      <c r="B187" t="s">
        <v>121</v>
      </c>
      <c r="C187" t="s">
        <v>113</v>
      </c>
      <c r="D187">
        <f>IF((Table2[[#This Row],[Spread]]-Table2[[#This Row],[Spread/V]])=0,1,IF(Table2[[#This Row],[Spread]]&lt;Table2[[#This Row],[Spread/V]],1,0))</f>
        <v>0</v>
      </c>
      <c r="E187">
        <v>102</v>
      </c>
      <c r="F187">
        <f>IF((Table2[[#This Row],[Spread]]-Table2[[#This Row],[Spread/V]])=0,1,IF(Table2[[#This Row],[Spread]]&gt;Table2[[#This Row],[Spread/V]],1,0))</f>
        <v>1</v>
      </c>
      <c r="G187">
        <v>95</v>
      </c>
      <c r="H187" s="7">
        <f t="shared" si="4"/>
        <v>197</v>
      </c>
      <c r="I187">
        <f>IF(Table2[[#This Row],[Total/V]]&lt;=Table2[[#This Row],[Total]],1,0)</f>
        <v>0</v>
      </c>
      <c r="J187">
        <v>203.5</v>
      </c>
      <c r="K187"/>
      <c r="L187" s="21">
        <f>(Table2[[#This Row],[H/Pace]]/100)*(VLOOKUP(Table2[[#This Row],[Home/Neutral]],home_lookup,8,FALSE)+VLOOKUP(Table2[[#This Row],[Home/Neutral]],OFR_lookup,2,FALSE)+VLOOKUP(Table2[[#This Row],[Visitor/Neutral]],def_diff_lookup,6,FALSE))</f>
        <v>113.44660060751254</v>
      </c>
      <c r="M187" s="21"/>
      <c r="N187" s="21">
        <f>(Table2[[#This Row],[A/Pace]]/100)*(VLOOKUP(Table2[[#This Row],[Visitor/Neutral]],OFR_lookup,2,FALSE)+VLOOKUP(Table2[[#This Row],[Home/Neutral]],def_diff_lookup,6,FALSE))</f>
        <v>101.34394899999999</v>
      </c>
      <c r="O187" s="21"/>
      <c r="P187" s="21"/>
      <c r="Q187">
        <f>VLOOKUP(Table2[[#This Row],[Home/Neutral]],pace_lookup,7,FALSE)</f>
        <v>96.4</v>
      </c>
      <c r="R187" s="5">
        <f>VLOOKUP(Table2[[#This Row],[Visitor/Neutral]],pace_lookup,7,FALSE)</f>
        <v>95.1</v>
      </c>
      <c r="S187" s="7">
        <f t="shared" si="5"/>
        <v>-7</v>
      </c>
      <c r="T187">
        <v>-8</v>
      </c>
      <c r="U187" s="15"/>
      <c r="W187" s="2">
        <f>-home-VLOOKUP(Table2[[#This Row],[Home/Neutral]],rtg_vlookup,4,FALSE)+VLOOKUP(Table2[[#This Row],[Visitor/Neutral]],rtg_vlookup,4,FALSE)</f>
        <v>-10.858688524590166</v>
      </c>
      <c r="X187" s="15"/>
      <c r="Y187" s="2"/>
      <c r="Z187" s="2">
        <f>Table2[[#This Row],[A/EV]]-Table2[[#This Row],[H/EV]]</f>
        <v>-12.102651607512541</v>
      </c>
      <c r="AA187" s="29"/>
      <c r="AB187" s="30"/>
      <c r="AC187" s="30"/>
      <c r="AD187" s="30"/>
      <c r="AE187" s="30"/>
      <c r="AF187" s="7" t="b">
        <f>IF(VLOOKUP(Table2[[#This Row],[Home/Neutral]],division_lookup,9,FALSE)=VLOOKUP(Table2[[#This Row],[Visitor/Neutral]],division_lookup,9,FALSE),TRUE,FALSE)</f>
        <v>0</v>
      </c>
      <c r="AG187" s="15" t="str">
        <f>VLOOKUP(Table2[[#This Row],[Home/Neutral]],division_lookup,9,FALSE)</f>
        <v>P</v>
      </c>
      <c r="AH187" s="15" t="str">
        <f>IF(Table2[[#This Row],[Total/EV]]&lt;Table2[[#This Row],[Total/V]],"UNDER","OVER")</f>
        <v>UNDER</v>
      </c>
      <c r="AI187" s="15"/>
      <c r="AJ187" s="2"/>
      <c r="AK187" s="2"/>
      <c r="AL187" s="18">
        <f>Table2[[#This Row],[SRS]]-Table2[[#This Row],[Spread]]</f>
        <v>-3.8586885245901659</v>
      </c>
      <c r="AM187" s="21">
        <f>Table2[[#This Row],[(A) Err]]^2</f>
        <v>14.889477129803831</v>
      </c>
      <c r="AN187" s="6">
        <f>Table2[[#This Row],[EV]]-Table2[[#This Row],[Spread]]</f>
        <v>-5.1026516075125414</v>
      </c>
      <c r="AO187" s="1">
        <f>Table2[[#This Row],[EV Err]]^2</f>
        <v>26.037053427650324</v>
      </c>
      <c r="AP187" s="1"/>
    </row>
    <row r="188" spans="1:42" x14ac:dyDescent="0.25">
      <c r="A188" s="34">
        <v>42693</v>
      </c>
      <c r="B188" t="s">
        <v>123</v>
      </c>
      <c r="C188" t="s">
        <v>126</v>
      </c>
      <c r="D188">
        <f>IF((Table2[[#This Row],[Spread]]-Table2[[#This Row],[Spread/V]])=0,1,IF(Table2[[#This Row],[Spread]]&lt;Table2[[#This Row],[Spread/V]],1,0))</f>
        <v>1</v>
      </c>
      <c r="E188">
        <v>93</v>
      </c>
      <c r="F188">
        <f>IF((Table2[[#This Row],[Spread]]-Table2[[#This Row],[Spread/V]])=0,1,IF(Table2[[#This Row],[Spread]]&gt;Table2[[#This Row],[Spread/V]],1,0))</f>
        <v>0</v>
      </c>
      <c r="G188">
        <v>71</v>
      </c>
      <c r="H188" s="7">
        <f t="shared" si="4"/>
        <v>164</v>
      </c>
      <c r="I188">
        <f>IF(Table2[[#This Row],[Total/V]]&lt;=Table2[[#This Row],[Total]],1,0)</f>
        <v>0</v>
      </c>
      <c r="J188">
        <v>200</v>
      </c>
      <c r="K188"/>
      <c r="L188" s="21">
        <f>(Table2[[#This Row],[H/Pace]]/100)*(VLOOKUP(Table2[[#This Row],[Home/Neutral]],home_lookup,8,FALSE)+VLOOKUP(Table2[[#This Row],[Home/Neutral]],OFR_lookup,2,FALSE)+VLOOKUP(Table2[[#This Row],[Visitor/Neutral]],def_diff_lookup,6,FALSE))</f>
        <v>104.72317709563919</v>
      </c>
      <c r="M188" s="21"/>
      <c r="N188" s="21">
        <f>(Table2[[#This Row],[A/Pace]]/100)*(VLOOKUP(Table2[[#This Row],[Visitor/Neutral]],OFR_lookup,2,FALSE)+VLOOKUP(Table2[[#This Row],[Home/Neutral]],def_diff_lookup,6,FALSE))</f>
        <v>100.60526300000001</v>
      </c>
      <c r="O188" s="21"/>
      <c r="P188" s="21"/>
      <c r="Q188">
        <f>VLOOKUP(Table2[[#This Row],[Home/Neutral]],pace_lookup,7,FALSE)</f>
        <v>92.5</v>
      </c>
      <c r="R188" s="5">
        <f>VLOOKUP(Table2[[#This Row],[Visitor/Neutral]],pace_lookup,7,FALSE)</f>
        <v>95.7</v>
      </c>
      <c r="S188" s="7">
        <f t="shared" si="5"/>
        <v>-22</v>
      </c>
      <c r="T188">
        <v>-1</v>
      </c>
      <c r="U188" s="15"/>
      <c r="W188" s="2">
        <f>-home-VLOOKUP(Table2[[#This Row],[Home/Neutral]],rtg_vlookup,4,FALSE)+VLOOKUP(Table2[[#This Row],[Visitor/Neutral]],rtg_vlookup,4,FALSE)</f>
        <v>-4.6386885245901661</v>
      </c>
      <c r="X188" s="15"/>
      <c r="Y188" s="2"/>
      <c r="Z188" s="2">
        <f>Table2[[#This Row],[A/EV]]-Table2[[#This Row],[H/EV]]</f>
        <v>-4.1179140956391791</v>
      </c>
      <c r="AA188" s="29"/>
      <c r="AB188" s="30"/>
      <c r="AC188" s="30"/>
      <c r="AD188" s="30"/>
      <c r="AE188" s="30"/>
      <c r="AF188" s="7" t="b">
        <f>IF(VLOOKUP(Table2[[#This Row],[Home/Neutral]],division_lookup,9,FALSE)=VLOOKUP(Table2[[#This Row],[Visitor/Neutral]],division_lookup,9,FALSE),TRUE,FALSE)</f>
        <v>0</v>
      </c>
      <c r="AG188" s="15" t="str">
        <f>VLOOKUP(Table2[[#This Row],[Home/Neutral]],division_lookup,9,FALSE)</f>
        <v>SW</v>
      </c>
      <c r="AH188" s="15" t="str">
        <f>IF(Table2[[#This Row],[Total/EV]]&lt;Table2[[#This Row],[Total/V]],"UNDER","OVER")</f>
        <v>UNDER</v>
      </c>
      <c r="AI188" s="15"/>
      <c r="AJ188" s="2"/>
      <c r="AK188" s="2"/>
      <c r="AL188" s="18">
        <f>Table2[[#This Row],[SRS]]-Table2[[#This Row],[Spread]]</f>
        <v>17.361311475409835</v>
      </c>
      <c r="AM188" s="21">
        <f>Table2[[#This Row],[(A) Err]]^2</f>
        <v>301.4151361461972</v>
      </c>
      <c r="AN188" s="6">
        <f>Table2[[#This Row],[EV]]-Table2[[#This Row],[Spread]]</f>
        <v>17.882085904360821</v>
      </c>
      <c r="AO188" s="1">
        <f>Table2[[#This Row],[EV Err]]^2</f>
        <v>319.76899629093998</v>
      </c>
      <c r="AP188" s="1"/>
    </row>
    <row r="189" spans="1:42" x14ac:dyDescent="0.25">
      <c r="A189" s="34">
        <v>42693</v>
      </c>
      <c r="B189" t="s">
        <v>125</v>
      </c>
      <c r="C189" t="s">
        <v>118</v>
      </c>
      <c r="D189">
        <f>IF((Table2[[#This Row],[Spread]]-Table2[[#This Row],[Spread/V]])=0,1,IF(Table2[[#This Row],[Spread]]&lt;Table2[[#This Row],[Spread/V]],1,0))</f>
        <v>0</v>
      </c>
      <c r="E189">
        <v>121</v>
      </c>
      <c r="F189">
        <f>IF((Table2[[#This Row],[Spread]]-Table2[[#This Row],[Spread/V]])=0,1,IF(Table2[[#This Row],[Spread]]&gt;Table2[[#This Row],[Spread/V]],1,0))</f>
        <v>1</v>
      </c>
      <c r="G189">
        <v>124</v>
      </c>
      <c r="H189" s="7">
        <f t="shared" si="4"/>
        <v>245</v>
      </c>
      <c r="I189">
        <f>IF(Table2[[#This Row],[Total/V]]&lt;=Table2[[#This Row],[Total]],1,0)</f>
        <v>1</v>
      </c>
      <c r="J189">
        <v>218.5</v>
      </c>
      <c r="K189"/>
      <c r="L189" s="21">
        <f>(Table2[[#This Row],[H/Pace]]/100)*(VLOOKUP(Table2[[#This Row],[Home/Neutral]],home_lookup,8,FALSE)+VLOOKUP(Table2[[#This Row],[Home/Neutral]],OFR_lookup,2,FALSE)+VLOOKUP(Table2[[#This Row],[Visitor/Neutral]],def_diff_lookup,6,FALSE))</f>
        <v>107.40213550061908</v>
      </c>
      <c r="M189" s="21"/>
      <c r="N189" s="21">
        <f>(Table2[[#This Row],[A/Pace]]/100)*(VLOOKUP(Table2[[#This Row],[Visitor/Neutral]],OFR_lookup,2,FALSE)+VLOOKUP(Table2[[#This Row],[Home/Neutral]],def_diff_lookup,6,FALSE))</f>
        <v>119.48168933333332</v>
      </c>
      <c r="O189" s="21"/>
      <c r="P189" s="21"/>
      <c r="Q189">
        <f>VLOOKUP(Table2[[#This Row],[Home/Neutral]],pace_lookup,7,FALSE)</f>
        <v>96.1</v>
      </c>
      <c r="R189" s="5">
        <f>VLOOKUP(Table2[[#This Row],[Visitor/Neutral]],pace_lookup,7,FALSE)</f>
        <v>100.4</v>
      </c>
      <c r="S189" s="7">
        <f t="shared" si="5"/>
        <v>3</v>
      </c>
      <c r="T189">
        <v>-9</v>
      </c>
      <c r="U189" s="15"/>
      <c r="W189" s="2">
        <f>-home-VLOOKUP(Table2[[#This Row],[Home/Neutral]],rtg_vlookup,4,FALSE)+VLOOKUP(Table2[[#This Row],[Visitor/Neutral]],rtg_vlookup,4,FALSE)</f>
        <v>11.121311475409835</v>
      </c>
      <c r="X189" s="15"/>
      <c r="Y189" s="2"/>
      <c r="Z189" s="2">
        <f>Table2[[#This Row],[A/EV]]-Table2[[#This Row],[H/EV]]</f>
        <v>12.07955383271424</v>
      </c>
      <c r="AA189" s="29"/>
      <c r="AB189" s="30"/>
      <c r="AC189" s="30"/>
      <c r="AD189" s="30"/>
      <c r="AE189" s="30"/>
      <c r="AF189" s="7" t="b">
        <f>IF(VLOOKUP(Table2[[#This Row],[Home/Neutral]],division_lookup,9,FALSE)=VLOOKUP(Table2[[#This Row],[Visitor/Neutral]],division_lookup,9,FALSE),TRUE,FALSE)</f>
        <v>0</v>
      </c>
      <c r="AG189" s="15" t="str">
        <f>VLOOKUP(Table2[[#This Row],[Home/Neutral]],division_lookup,9,FALSE)</f>
        <v>C</v>
      </c>
      <c r="AH189" s="15" t="str">
        <f>IF(Table2[[#This Row],[Total/EV]]&lt;Table2[[#This Row],[Total/V]],"UNDER","OVER")</f>
        <v>UNDER</v>
      </c>
      <c r="AI189" s="15"/>
      <c r="AJ189" s="2"/>
      <c r="AK189" s="2"/>
      <c r="AL189" s="18">
        <f>Table2[[#This Row],[SRS]]-Table2[[#This Row],[Spread]]</f>
        <v>8.1213114754098346</v>
      </c>
      <c r="AM189" s="21">
        <f>Table2[[#This Row],[(A) Err]]^2</f>
        <v>65.955700080623458</v>
      </c>
      <c r="AN189" s="6">
        <f>Table2[[#This Row],[EV]]-Table2[[#This Row],[Spread]]</f>
        <v>9.0795538327142395</v>
      </c>
      <c r="AO189" s="1">
        <f>Table2[[#This Row],[EV Err]]^2</f>
        <v>82.438297801155841</v>
      </c>
      <c r="AP189" s="1"/>
    </row>
    <row r="190" spans="1:42" x14ac:dyDescent="0.25">
      <c r="A190" s="34">
        <v>42693</v>
      </c>
      <c r="B190" t="s">
        <v>127</v>
      </c>
      <c r="C190" t="s">
        <v>112</v>
      </c>
      <c r="D190">
        <f>IF((Table2[[#This Row],[Spread]]-Table2[[#This Row],[Spread/V]])=0,1,IF(Table2[[#This Row],[Spread]]&lt;Table2[[#This Row],[Spread/V]],1,0))</f>
        <v>1</v>
      </c>
      <c r="E190">
        <v>121</v>
      </c>
      <c r="F190">
        <f>IF((Table2[[#This Row],[Spread]]-Table2[[#This Row],[Spread/V]])=0,1,IF(Table2[[#This Row],[Spread]]&gt;Table2[[#This Row],[Spread/V]],1,0))</f>
        <v>0</v>
      </c>
      <c r="G190">
        <v>116</v>
      </c>
      <c r="H190" s="7">
        <f t="shared" si="4"/>
        <v>237</v>
      </c>
      <c r="I190">
        <f>IF(Table2[[#This Row],[Total/V]]&lt;=Table2[[#This Row],[Total]],1,0)</f>
        <v>1</v>
      </c>
      <c r="J190">
        <v>205.5</v>
      </c>
      <c r="K190"/>
      <c r="L190" s="21">
        <f>(Table2[[#This Row],[H/Pace]]/100)*(VLOOKUP(Table2[[#This Row],[Home/Neutral]],home_lookup,8,FALSE)+VLOOKUP(Table2[[#This Row],[Home/Neutral]],OFR_lookup,2,FALSE)+VLOOKUP(Table2[[#This Row],[Visitor/Neutral]],def_diff_lookup,6,FALSE))</f>
        <v>101.75601493743048</v>
      </c>
      <c r="M190" s="21"/>
      <c r="N190" s="21">
        <f>(Table2[[#This Row],[A/Pace]]/100)*(VLOOKUP(Table2[[#This Row],[Visitor/Neutral]],OFR_lookup,2,FALSE)+VLOOKUP(Table2[[#This Row],[Home/Neutral]],def_diff_lookup,6,FALSE))</f>
        <v>103.70729933333332</v>
      </c>
      <c r="O190" s="21"/>
      <c r="P190" s="21"/>
      <c r="Q190">
        <f>VLOOKUP(Table2[[#This Row],[Home/Neutral]],pace_lookup,7,FALSE)</f>
        <v>99.3</v>
      </c>
      <c r="R190" s="5">
        <f>VLOOKUP(Table2[[#This Row],[Visitor/Neutral]],pace_lookup,7,FALSE)</f>
        <v>97.4</v>
      </c>
      <c r="S190" s="7">
        <f t="shared" si="5"/>
        <v>-5</v>
      </c>
      <c r="T190">
        <v>-1.5</v>
      </c>
      <c r="U190" s="15"/>
      <c r="W190" s="2">
        <f>-home-VLOOKUP(Table2[[#This Row],[Home/Neutral]],rtg_vlookup,4,FALSE)+VLOOKUP(Table2[[#This Row],[Visitor/Neutral]],rtg_vlookup,4,FALSE)</f>
        <v>1.9213114754098344</v>
      </c>
      <c r="X190" s="15"/>
      <c r="Y190" s="2"/>
      <c r="Z190" s="2">
        <f>Table2[[#This Row],[A/EV]]-Table2[[#This Row],[H/EV]]</f>
        <v>1.9512843959028459</v>
      </c>
      <c r="AA190" s="29"/>
      <c r="AB190" s="30"/>
      <c r="AC190" s="30"/>
      <c r="AD190" s="30"/>
      <c r="AE190" s="30"/>
      <c r="AF190" s="7" t="b">
        <f>IF(VLOOKUP(Table2[[#This Row],[Home/Neutral]],division_lookup,9,FALSE)=VLOOKUP(Table2[[#This Row],[Visitor/Neutral]],division_lookup,9,FALSE),TRUE,FALSE)</f>
        <v>0</v>
      </c>
      <c r="AG190" s="15" t="str">
        <f>VLOOKUP(Table2[[#This Row],[Home/Neutral]],division_lookup,9,FALSE)</f>
        <v>SW</v>
      </c>
      <c r="AH190" s="15" t="str">
        <f>IF(Table2[[#This Row],[Total/EV]]&lt;Table2[[#This Row],[Total/V]],"UNDER","OVER")</f>
        <v>UNDER</v>
      </c>
      <c r="AI190" s="15"/>
      <c r="AJ190" s="2"/>
      <c r="AK190" s="2"/>
      <c r="AL190" s="18">
        <f>Table2[[#This Row],[SRS]]-Table2[[#This Row],[Spread]]</f>
        <v>6.9213114754098344</v>
      </c>
      <c r="AM190" s="21">
        <f>Table2[[#This Row],[(A) Err]]^2</f>
        <v>47.904552539639859</v>
      </c>
      <c r="AN190" s="6">
        <f>Table2[[#This Row],[EV]]-Table2[[#This Row],[Spread]]</f>
        <v>6.9512843959028459</v>
      </c>
      <c r="AO190" s="1">
        <f>Table2[[#This Row],[EV Err]]^2</f>
        <v>48.320354752722395</v>
      </c>
      <c r="AP190" s="1"/>
    </row>
    <row r="191" spans="1:42" x14ac:dyDescent="0.25">
      <c r="A191" s="34">
        <v>42693</v>
      </c>
      <c r="B191" t="s">
        <v>130</v>
      </c>
      <c r="C191" t="s">
        <v>115</v>
      </c>
      <c r="D191">
        <f>IF((Table2[[#This Row],[Spread]]-Table2[[#This Row],[Spread/V]])=0,1,IF(Table2[[#This Row],[Spread]]&lt;Table2[[#This Row],[Spread/V]],1,0))</f>
        <v>1</v>
      </c>
      <c r="E191">
        <v>95</v>
      </c>
      <c r="F191">
        <f>IF((Table2[[#This Row],[Spread]]-Table2[[#This Row],[Spread/V]])=0,1,IF(Table2[[#This Row],[Spread]]&gt;Table2[[#This Row],[Spread/V]],1,0))</f>
        <v>0</v>
      </c>
      <c r="G191">
        <v>87</v>
      </c>
      <c r="H191" s="7">
        <f t="shared" si="4"/>
        <v>182</v>
      </c>
      <c r="I191">
        <f>IF(Table2[[#This Row],[Total/V]]&lt;=Table2[[#This Row],[Total]],1,0)</f>
        <v>1</v>
      </c>
      <c r="J191">
        <v>179.5</v>
      </c>
      <c r="K191"/>
      <c r="L191" s="21">
        <f>(Table2[[#This Row],[H/Pace]]/100)*(VLOOKUP(Table2[[#This Row],[Home/Neutral]],home_lookup,8,FALSE)+VLOOKUP(Table2[[#This Row],[Home/Neutral]],OFR_lookup,2,FALSE)+VLOOKUP(Table2[[#This Row],[Visitor/Neutral]],def_diff_lookup,6,FALSE))</f>
        <v>95.8283849671094</v>
      </c>
      <c r="M191" s="21"/>
      <c r="N191" s="21">
        <f>(Table2[[#This Row],[A/Pace]]/100)*(VLOOKUP(Table2[[#This Row],[Visitor/Neutral]],OFR_lookup,2,FALSE)+VLOOKUP(Table2[[#This Row],[Home/Neutral]],def_diff_lookup,6,FALSE))</f>
        <v>90.025364333333329</v>
      </c>
      <c r="O191" s="21"/>
      <c r="P191" s="21"/>
      <c r="Q191">
        <f>VLOOKUP(Table2[[#This Row],[Home/Neutral]],pace_lookup,7,FALSE)</f>
        <v>94.2</v>
      </c>
      <c r="R191" s="5">
        <f>VLOOKUP(Table2[[#This Row],[Visitor/Neutral]],pace_lookup,7,FALSE)</f>
        <v>92.9</v>
      </c>
      <c r="S191" s="7">
        <f t="shared" si="5"/>
        <v>-8</v>
      </c>
      <c r="T191">
        <v>-7.5</v>
      </c>
      <c r="U191" s="15"/>
      <c r="W191" s="2">
        <f>-home-VLOOKUP(Table2[[#This Row],[Home/Neutral]],rtg_vlookup,4,FALSE)+VLOOKUP(Table2[[#This Row],[Visitor/Neutral]],rtg_vlookup,4,FALSE)</f>
        <v>-3.0086885245901644</v>
      </c>
      <c r="X191" s="15"/>
      <c r="Y191" s="2"/>
      <c r="Z191" s="2">
        <f>Table2[[#This Row],[A/EV]]-Table2[[#This Row],[H/EV]]</f>
        <v>-5.8030206337760717</v>
      </c>
      <c r="AA191" s="29"/>
      <c r="AB191" s="30"/>
      <c r="AC191" s="30"/>
      <c r="AD191" s="30"/>
      <c r="AE191" s="30"/>
      <c r="AF191" s="7" t="b">
        <f>IF(VLOOKUP(Table2[[#This Row],[Home/Neutral]],division_lookup,9,FALSE)=VLOOKUP(Table2[[#This Row],[Visitor/Neutral]],division_lookup,9,FALSE),TRUE,FALSE)</f>
        <v>0</v>
      </c>
      <c r="AG191" s="15" t="str">
        <f>VLOOKUP(Table2[[#This Row],[Home/Neutral]],division_lookup,9,FALSE)</f>
        <v>SE</v>
      </c>
      <c r="AH191" s="15" t="str">
        <f>IF(Table2[[#This Row],[Total/EV]]&lt;Table2[[#This Row],[Total/V]],"UNDER","OVER")</f>
        <v>UNDER</v>
      </c>
      <c r="AI191" s="15"/>
      <c r="AJ191" s="2"/>
      <c r="AK191" s="2"/>
      <c r="AL191" s="18">
        <f>Table2[[#This Row],[SRS]]-Table2[[#This Row],[Spread]]</f>
        <v>4.9913114754098356</v>
      </c>
      <c r="AM191" s="21">
        <f>Table2[[#This Row],[(A) Err]]^2</f>
        <v>24.91319024455791</v>
      </c>
      <c r="AN191" s="6">
        <f>Table2[[#This Row],[EV]]-Table2[[#This Row],[Spread]]</f>
        <v>2.1969793662239283</v>
      </c>
      <c r="AO191" s="1">
        <f>Table2[[#This Row],[EV Err]]^2</f>
        <v>4.8267183356136938</v>
      </c>
      <c r="AP191" s="1"/>
    </row>
    <row r="192" spans="1:42" x14ac:dyDescent="0.25">
      <c r="A192" s="34">
        <v>42693</v>
      </c>
      <c r="B192" t="s">
        <v>138</v>
      </c>
      <c r="C192" t="s">
        <v>131</v>
      </c>
      <c r="D192">
        <f>IF((Table2[[#This Row],[Spread]]-Table2[[#This Row],[Spread/V]])=0,1,IF(Table2[[#This Row],[Spread]]&lt;Table2[[#This Row],[Spread/V]],1,0))</f>
        <v>1</v>
      </c>
      <c r="E192">
        <v>120</v>
      </c>
      <c r="F192">
        <f>IF((Table2[[#This Row],[Spread]]-Table2[[#This Row],[Spread/V]])=0,1,IF(Table2[[#This Row],[Spread]]&gt;Table2[[#This Row],[Spread/V]],1,0))</f>
        <v>0</v>
      </c>
      <c r="G192">
        <v>105</v>
      </c>
      <c r="H192" s="7">
        <f t="shared" si="4"/>
        <v>225</v>
      </c>
      <c r="I192">
        <f>IF(Table2[[#This Row],[Total/V]]&lt;=Table2[[#This Row],[Total]],1,0)</f>
        <v>1</v>
      </c>
      <c r="J192">
        <v>211</v>
      </c>
      <c r="K192"/>
      <c r="L192" s="21">
        <f>(Table2[[#This Row],[H/Pace]]/100)*(VLOOKUP(Table2[[#This Row],[Home/Neutral]],home_lookup,8,FALSE)+VLOOKUP(Table2[[#This Row],[Home/Neutral]],OFR_lookup,2,FALSE)+VLOOKUP(Table2[[#This Row],[Visitor/Neutral]],def_diff_lookup,6,FALSE))</f>
        <v>100.20678353124011</v>
      </c>
      <c r="M192" s="21"/>
      <c r="N192" s="21">
        <f>(Table2[[#This Row],[A/Pace]]/100)*(VLOOKUP(Table2[[#This Row],[Visitor/Neutral]],OFR_lookup,2,FALSE)+VLOOKUP(Table2[[#This Row],[Home/Neutral]],def_diff_lookup,6,FALSE))</f>
        <v>104.878803</v>
      </c>
      <c r="O192" s="21"/>
      <c r="P192" s="21"/>
      <c r="Q192">
        <f>VLOOKUP(Table2[[#This Row],[Home/Neutral]],pace_lookup,7,FALSE)</f>
        <v>97.5</v>
      </c>
      <c r="R192" s="5">
        <f>VLOOKUP(Table2[[#This Row],[Visitor/Neutral]],pace_lookup,7,FALSE)</f>
        <v>101.7</v>
      </c>
      <c r="S192" s="7">
        <f t="shared" si="5"/>
        <v>-15</v>
      </c>
      <c r="T192">
        <v>-1.5</v>
      </c>
      <c r="U192" s="15"/>
      <c r="W192" s="2">
        <f>-home-VLOOKUP(Table2[[#This Row],[Home/Neutral]],rtg_vlookup,4,FALSE)+VLOOKUP(Table2[[#This Row],[Visitor/Neutral]],rtg_vlookup,4,FALSE)</f>
        <v>0.47131147540983509</v>
      </c>
      <c r="X192" s="15"/>
      <c r="Y192" s="2"/>
      <c r="Z192" s="2">
        <f>Table2[[#This Row],[A/EV]]-Table2[[#This Row],[H/EV]]</f>
        <v>4.672019468759899</v>
      </c>
      <c r="AA192" s="29"/>
      <c r="AB192" s="30"/>
      <c r="AC192" s="30"/>
      <c r="AD192" s="30"/>
      <c r="AE192" s="30"/>
      <c r="AF192" s="7" t="b">
        <f>IF(VLOOKUP(Table2[[#This Row],[Home/Neutral]],division_lookup,9,FALSE)=VLOOKUP(Table2[[#This Row],[Visitor/Neutral]],division_lookup,9,FALSE),TRUE,FALSE)</f>
        <v>0</v>
      </c>
      <c r="AG192" s="15" t="str">
        <f>VLOOKUP(Table2[[#This Row],[Home/Neutral]],division_lookup,9,FALSE)</f>
        <v>A</v>
      </c>
      <c r="AH192" s="15" t="str">
        <f>IF(Table2[[#This Row],[Total/EV]]&lt;Table2[[#This Row],[Total/V]],"UNDER","OVER")</f>
        <v>UNDER</v>
      </c>
      <c r="AJ192" s="2"/>
      <c r="AK192" s="2"/>
      <c r="AL192" s="18">
        <f>Table2[[#This Row],[SRS]]-Table2[[#This Row],[Spread]]</f>
        <v>15.471311475409834</v>
      </c>
      <c r="AM192" s="21">
        <f>Table2[[#This Row],[(A) Err]]^2</f>
        <v>239.36147876914802</v>
      </c>
      <c r="AN192" s="6">
        <f>Table2[[#This Row],[EV]]-Table2[[#This Row],[Spread]]</f>
        <v>19.672019468759899</v>
      </c>
      <c r="AO192" s="1">
        <f>Table2[[#This Row],[EV Err]]^2</f>
        <v>386.98834997926849</v>
      </c>
      <c r="AP192" s="1"/>
    </row>
    <row r="193" spans="1:42" ht="15.75" thickBot="1" x14ac:dyDescent="0.3">
      <c r="A193" s="100">
        <v>42693</v>
      </c>
      <c r="B193" s="3" t="s">
        <v>137</v>
      </c>
      <c r="C193" s="3" t="s">
        <v>124</v>
      </c>
      <c r="D193" s="3">
        <f>IF((Table2[[#This Row],[Spread]]-Table2[[#This Row],[Spread/V]])=0,1,IF(Table2[[#This Row],[Spread]]&lt;Table2[[#This Row],[Spread/V]],1,0))</f>
        <v>0</v>
      </c>
      <c r="E193" s="3">
        <v>111</v>
      </c>
      <c r="F193" s="3">
        <f>IF((Table2[[#This Row],[Spread]]-Table2[[#This Row],[Spread/V]])=0,1,IF(Table2[[#This Row],[Spread]]&gt;Table2[[#This Row],[Spread/V]],1,0))</f>
        <v>1</v>
      </c>
      <c r="G193" s="3">
        <v>114</v>
      </c>
      <c r="H193" s="8">
        <f t="shared" si="4"/>
        <v>225</v>
      </c>
      <c r="I193" s="3">
        <f>IF(Table2[[#This Row],[Total/V]]&lt;=Table2[[#This Row],[Total]],1,0)</f>
        <v>1</v>
      </c>
      <c r="J193" s="3">
        <v>199</v>
      </c>
      <c r="K193" s="3"/>
      <c r="L193" s="22">
        <f>(Table2[[#This Row],[H/Pace]]/100)*(VLOOKUP(Table2[[#This Row],[Home/Neutral]],home_lookup,8,FALSE)+VLOOKUP(Table2[[#This Row],[Home/Neutral]],OFR_lookup,2,FALSE)+VLOOKUP(Table2[[#This Row],[Visitor/Neutral]],def_diff_lookup,6,FALSE))</f>
        <v>105.77533255421871</v>
      </c>
      <c r="M193" s="22"/>
      <c r="N193" s="22">
        <f>(Table2[[#This Row],[A/Pace]]/100)*(VLOOKUP(Table2[[#This Row],[Visitor/Neutral]],OFR_lookup,2,FALSE)+VLOOKUP(Table2[[#This Row],[Home/Neutral]],def_diff_lookup,6,FALSE))</f>
        <v>100.03005966666666</v>
      </c>
      <c r="O193" s="22"/>
      <c r="P193" s="22"/>
      <c r="Q193" s="3">
        <f>VLOOKUP(Table2[[#This Row],[Home/Neutral]],pace_lookup,7,FALSE)</f>
        <v>96</v>
      </c>
      <c r="R193" s="3">
        <f>VLOOKUP(Table2[[#This Row],[Visitor/Neutral]],pace_lookup,7,FALSE)</f>
        <v>93.7</v>
      </c>
      <c r="S193" s="8">
        <f t="shared" si="5"/>
        <v>3</v>
      </c>
      <c r="T193" s="3">
        <v>-4.5</v>
      </c>
      <c r="U193" s="16"/>
      <c r="V193" s="3"/>
      <c r="W193" s="9">
        <f>-home-VLOOKUP(Table2[[#This Row],[Home/Neutral]],rtg_vlookup,4,FALSE)+VLOOKUP(Table2[[#This Row],[Visitor/Neutral]],rtg_vlookup,4,FALSE)</f>
        <v>-0.98868852459016598</v>
      </c>
      <c r="X193" s="16"/>
      <c r="Y193" s="9"/>
      <c r="Z193" s="9">
        <f>Table2[[#This Row],[A/EV]]-Table2[[#This Row],[H/EV]]</f>
        <v>-5.7452728875520478</v>
      </c>
      <c r="AA193" s="31"/>
      <c r="AB193" s="32"/>
      <c r="AC193" s="32"/>
      <c r="AD193" s="32"/>
      <c r="AE193" s="32"/>
      <c r="AF193" s="8" t="b">
        <f>IF(VLOOKUP(Table2[[#This Row],[Home/Neutral]],division_lookup,9,FALSE)=VLOOKUP(Table2[[#This Row],[Visitor/Neutral]],division_lookup,9,FALSE),TRUE,FALSE)</f>
        <v>1</v>
      </c>
      <c r="AG193" s="16" t="str">
        <f>VLOOKUP(Table2[[#This Row],[Home/Neutral]],division_lookup,9,FALSE)</f>
        <v>SE</v>
      </c>
      <c r="AH193" s="16" t="str">
        <f>IF(Table2[[#This Row],[Total/EV]]&lt;Table2[[#This Row],[Total/V]],"UNDER","OVER")</f>
        <v>UNDER</v>
      </c>
      <c r="AI193" s="3"/>
      <c r="AJ193" s="9"/>
      <c r="AK193" s="9"/>
      <c r="AL193" s="19">
        <f>Table2[[#This Row],[SRS]]-Table2[[#This Row],[Spread]]</f>
        <v>-3.9886885245901658</v>
      </c>
      <c r="AM193" s="22">
        <f>Table2[[#This Row],[(A) Err]]^2</f>
        <v>15.909636146197274</v>
      </c>
      <c r="AN193" s="4">
        <f>Table2[[#This Row],[EV]]-Table2[[#This Row],[Spread]]</f>
        <v>-8.7452728875520478</v>
      </c>
      <c r="AO193" s="4">
        <f>Table2[[#This Row],[EV Err]]^2</f>
        <v>76.479797877752929</v>
      </c>
      <c r="AP193" s="1"/>
    </row>
    <row r="194" spans="1:42" x14ac:dyDescent="0.25">
      <c r="A194" s="34">
        <v>42694</v>
      </c>
      <c r="B194" t="s">
        <v>111</v>
      </c>
      <c r="C194" t="s">
        <v>132</v>
      </c>
      <c r="D194">
        <f>IF((Table2[[#This Row],[Spread]]-Table2[[#This Row],[Spread/V]])=0,1,IF(Table2[[#This Row],[Spread]]&lt;Table2[[#This Row],[Spread/V]],1,0))</f>
        <v>0</v>
      </c>
      <c r="E194">
        <v>109</v>
      </c>
      <c r="F194">
        <f>IF((Table2[[#This Row],[Spread]]-Table2[[#This Row],[Spread/V]])=0,1,IF(Table2[[#This Row],[Spread]]&gt;Table2[[#This Row],[Spread/V]],1,0))</f>
        <v>1</v>
      </c>
      <c r="G194">
        <v>129</v>
      </c>
      <c r="H194" s="7">
        <f t="shared" si="4"/>
        <v>238</v>
      </c>
      <c r="I194">
        <f>IF(Table2[[#This Row],[Total/V]]&lt;=Table2[[#This Row],[Total]],1,0)</f>
        <v>1</v>
      </c>
      <c r="J194">
        <v>219.5</v>
      </c>
      <c r="K194"/>
      <c r="L194" s="21">
        <f>(Table2[[#This Row],[H/Pace]]/100)*(VLOOKUP(Table2[[#This Row],[Home/Neutral]],home_lookup,8,FALSE)+VLOOKUP(Table2[[#This Row],[Home/Neutral]],OFR_lookup,2,FALSE)+VLOOKUP(Table2[[#This Row],[Visitor/Neutral]],def_diff_lookup,6,FALSE))</f>
        <v>105.81161832771636</v>
      </c>
      <c r="M194" s="21"/>
      <c r="N194" s="21">
        <f>(Table2[[#This Row],[A/Pace]]/100)*(VLOOKUP(Table2[[#This Row],[Visitor/Neutral]],OFR_lookup,2,FALSE)+VLOOKUP(Table2[[#This Row],[Home/Neutral]],def_diff_lookup,6,FALSE))</f>
        <v>112.65735866666667</v>
      </c>
      <c r="O194" s="21"/>
      <c r="P194" s="21"/>
      <c r="Q194">
        <f>VLOOKUP(Table2[[#This Row],[Home/Neutral]],pace_lookup,7,FALSE)</f>
        <v>102</v>
      </c>
      <c r="R194" s="5">
        <f>VLOOKUP(Table2[[#This Row],[Visitor/Neutral]],pace_lookup,7,FALSE)</f>
        <v>98.8</v>
      </c>
      <c r="S194" s="7">
        <f t="shared" si="5"/>
        <v>20</v>
      </c>
      <c r="T194">
        <v>-4.5</v>
      </c>
      <c r="U194" s="15"/>
      <c r="W194" s="2">
        <f>-home-VLOOKUP(Table2[[#This Row],[Home/Neutral]],rtg_vlookup,4,FALSE)+VLOOKUP(Table2[[#This Row],[Visitor/Neutral]],rtg_vlookup,4,FALSE)</f>
        <v>3.5613114754098336</v>
      </c>
      <c r="X194" s="15"/>
      <c r="Y194" s="2"/>
      <c r="Z194" s="2">
        <f>Table2[[#This Row],[A/EV]]-Table2[[#This Row],[H/EV]]</f>
        <v>6.8457403389503071</v>
      </c>
      <c r="AA194" s="29"/>
      <c r="AB194" s="30"/>
      <c r="AC194" s="30"/>
      <c r="AD194" s="30"/>
      <c r="AE194" s="30"/>
      <c r="AF194" s="7" t="b">
        <f>IF(VLOOKUP(Table2[[#This Row],[Home/Neutral]],division_lookup,9,FALSE)=VLOOKUP(Table2[[#This Row],[Visitor/Neutral]],division_lookup,9,FALSE),TRUE,FALSE)</f>
        <v>0</v>
      </c>
      <c r="AG194" s="15" t="str">
        <f>VLOOKUP(Table2[[#This Row],[Home/Neutral]],division_lookup,9,FALSE)</f>
        <v>A</v>
      </c>
      <c r="AH194" s="15" t="str">
        <f>IF(Table2[[#This Row],[Total/EV]]&lt;Table2[[#This Row],[Total/V]],"UNDER","OVER")</f>
        <v>UNDER</v>
      </c>
      <c r="AJ194" s="2"/>
      <c r="AK194" s="2"/>
      <c r="AL194" s="18">
        <f>Table2[[#This Row],[SRS]]-Table2[[#This Row],[Spread]]</f>
        <v>-16.438688524590166</v>
      </c>
      <c r="AM194" s="21">
        <f>Table2[[#This Row],[(A) Err]]^2</f>
        <v>270.23048040849238</v>
      </c>
      <c r="AN194" s="6">
        <f>Table2[[#This Row],[EV]]-Table2[[#This Row],[Spread]]</f>
        <v>-13.154259661049693</v>
      </c>
      <c r="AO194" s="1">
        <f>Table2[[#This Row],[EV Err]]^2</f>
        <v>173.03454723031919</v>
      </c>
      <c r="AP194" s="1"/>
    </row>
    <row r="195" spans="1:42" x14ac:dyDescent="0.25">
      <c r="A195" s="34">
        <v>42694</v>
      </c>
      <c r="B195" t="s">
        <v>116</v>
      </c>
      <c r="C195" t="s">
        <v>136</v>
      </c>
      <c r="D195">
        <f>IF((Table2[[#This Row],[Spread]]-Table2[[#This Row],[Spread/V]])=0,1,IF(Table2[[#This Row],[Spread]]&lt;Table2[[#This Row],[Spread/V]],1,0))</f>
        <v>1</v>
      </c>
      <c r="E195">
        <v>105</v>
      </c>
      <c r="F195">
        <f>IF((Table2[[#This Row],[Spread]]-Table2[[#This Row],[Spread/V]])=0,1,IF(Table2[[#This Row],[Spread]]&gt;Table2[[#This Row],[Spread/V]],1,0))</f>
        <v>0</v>
      </c>
      <c r="G195">
        <v>91</v>
      </c>
      <c r="H195" s="7">
        <f t="shared" ref="H195:H208" si="6">E195+G195</f>
        <v>196</v>
      </c>
      <c r="I195">
        <f>IF(Table2[[#This Row],[Total/V]]&lt;=Table2[[#This Row],[Total]],1,0)</f>
        <v>0</v>
      </c>
      <c r="J195">
        <v>198</v>
      </c>
      <c r="K195"/>
      <c r="L195" s="21">
        <f>(Table2[[#This Row],[H/Pace]]/100)*(VLOOKUP(Table2[[#This Row],[Home/Neutral]],home_lookup,8,FALSE)+VLOOKUP(Table2[[#This Row],[Home/Neutral]],OFR_lookup,2,FALSE)+VLOOKUP(Table2[[#This Row],[Visitor/Neutral]],def_diff_lookup,6,FALSE))</f>
        <v>100.46610470161863</v>
      </c>
      <c r="M195" s="21"/>
      <c r="N195" s="21">
        <f>(Table2[[#This Row],[A/Pace]]/100)*(VLOOKUP(Table2[[#This Row],[Visitor/Neutral]],OFR_lookup,2,FALSE)+VLOOKUP(Table2[[#This Row],[Home/Neutral]],def_diff_lookup,6,FALSE))</f>
        <v>97.608234999999993</v>
      </c>
      <c r="O195" s="21"/>
      <c r="P195" s="21"/>
      <c r="Q195">
        <f>VLOOKUP(Table2[[#This Row],[Home/Neutral]],pace_lookup,7,FALSE)</f>
        <v>99.1</v>
      </c>
      <c r="R195" s="5">
        <f>VLOOKUP(Table2[[#This Row],[Visitor/Neutral]],pace_lookup,7,FALSE)</f>
        <v>91.5</v>
      </c>
      <c r="S195" s="7">
        <f>G195-E195</f>
        <v>-14</v>
      </c>
      <c r="T195">
        <v>-4</v>
      </c>
      <c r="U195" s="15"/>
      <c r="W195" s="2">
        <f>-home-VLOOKUP(Table2[[#This Row],[Home/Neutral]],rtg_vlookup,4,FALSE)+VLOOKUP(Table2[[#This Row],[Visitor/Neutral]],rtg_vlookup,4,FALSE)</f>
        <v>2.211311475409834</v>
      </c>
      <c r="X195" s="15"/>
      <c r="Y195" s="2"/>
      <c r="Z195" s="2">
        <f>Table2[[#This Row],[A/EV]]-Table2[[#This Row],[H/EV]]</f>
        <v>-2.8578697016186396</v>
      </c>
      <c r="AA195" s="29"/>
      <c r="AB195" s="30"/>
      <c r="AC195" s="30"/>
      <c r="AD195" s="30"/>
      <c r="AE195" s="30"/>
      <c r="AF195" s="7" t="b">
        <f>IF(VLOOKUP(Table2[[#This Row],[Home/Neutral]],division_lookup,9,FALSE)=VLOOKUP(Table2[[#This Row],[Visitor/Neutral]],division_lookup,9,FALSE),TRUE,FALSE)</f>
        <v>1</v>
      </c>
      <c r="AG195" s="15" t="str">
        <f>VLOOKUP(Table2[[#This Row],[Home/Neutral]],division_lookup,9,FALSE)</f>
        <v>NW</v>
      </c>
      <c r="AH195" s="15" t="str">
        <f>IF(Table2[[#This Row],[Total/EV]]&lt;Table2[[#This Row],[Total/V]],"UNDER","OVER")</f>
        <v>UNDER</v>
      </c>
      <c r="AJ195" s="2"/>
      <c r="AK195" s="2"/>
      <c r="AL195" s="18">
        <f>Table2[[#This Row],[SRS]]-Table2[[#This Row],[Spread]]</f>
        <v>16.211311475409833</v>
      </c>
      <c r="AM195" s="21">
        <f>Table2[[#This Row],[(A) Err]]^2</f>
        <v>262.8066197527545</v>
      </c>
      <c r="AN195" s="6">
        <f>Table2[[#This Row],[EV]]-Table2[[#This Row],[Spread]]</f>
        <v>11.14213029838136</v>
      </c>
      <c r="AO195" s="1">
        <f>Table2[[#This Row],[EV Err]]^2</f>
        <v>124.14706758610791</v>
      </c>
      <c r="AP195" s="1"/>
    </row>
    <row r="196" spans="1:42" x14ac:dyDescent="0.25">
      <c r="A196" s="34">
        <v>42694</v>
      </c>
      <c r="B196" t="s">
        <v>122</v>
      </c>
      <c r="C196" t="s">
        <v>113</v>
      </c>
      <c r="D196">
        <f>IF((Table2[[#This Row],[Spread]]-Table2[[#This Row],[Spread/V]])=0,1,IF(Table2[[#This Row],[Spread]]&lt;Table2[[#This Row],[Spread/V]],1,0))</f>
        <v>0</v>
      </c>
      <c r="E196">
        <v>110</v>
      </c>
      <c r="F196">
        <f>IF((Table2[[#This Row],[Spread]]-Table2[[#This Row],[Spread/V]])=0,1,IF(Table2[[#This Row],[Spread]]&gt;Table2[[#This Row],[Spread/V]],1,0))</f>
        <v>1</v>
      </c>
      <c r="G196">
        <v>118</v>
      </c>
      <c r="H196" s="7">
        <f t="shared" si="6"/>
        <v>228</v>
      </c>
      <c r="I196">
        <f>IF(Table2[[#This Row],[Total/V]]&lt;=Table2[[#This Row],[Total]],1,0)</f>
        <v>1</v>
      </c>
      <c r="J196">
        <v>209.5</v>
      </c>
      <c r="K196"/>
      <c r="L196" s="21">
        <f>(Table2[[#This Row],[H/Pace]]/100)*(VLOOKUP(Table2[[#This Row],[Home/Neutral]],home_lookup,8,FALSE)+VLOOKUP(Table2[[#This Row],[Home/Neutral]],OFR_lookup,2,FALSE)+VLOOKUP(Table2[[#This Row],[Visitor/Neutral]],def_diff_lookup,6,FALSE))</f>
        <v>109.35708832744731</v>
      </c>
      <c r="M196" s="21"/>
      <c r="N196" s="21">
        <f>(Table2[[#This Row],[A/Pace]]/100)*(VLOOKUP(Table2[[#This Row],[Visitor/Neutral]],OFR_lookup,2,FALSE)+VLOOKUP(Table2[[#This Row],[Home/Neutral]],def_diff_lookup,6,FALSE))</f>
        <v>109.75078899999998</v>
      </c>
      <c r="O196" s="21"/>
      <c r="P196" s="21"/>
      <c r="Q196">
        <f>VLOOKUP(Table2[[#This Row],[Home/Neutral]],pace_lookup,7,FALSE)</f>
        <v>100.2</v>
      </c>
      <c r="R196" s="5">
        <f>VLOOKUP(Table2[[#This Row],[Visitor/Neutral]],pace_lookup,7,FALSE)</f>
        <v>95.1</v>
      </c>
      <c r="S196" s="7">
        <f>G196-E196</f>
        <v>8</v>
      </c>
      <c r="T196">
        <v>-2</v>
      </c>
      <c r="U196" s="15"/>
      <c r="W196" s="2">
        <f>-home-VLOOKUP(Table2[[#This Row],[Home/Neutral]],rtg_vlookup,4,FALSE)+VLOOKUP(Table2[[#This Row],[Visitor/Neutral]],rtg_vlookup,4,FALSE)</f>
        <v>4.1213114754098346</v>
      </c>
      <c r="X196" s="15"/>
      <c r="Y196" s="2"/>
      <c r="Z196" s="2">
        <f>Table2[[#This Row],[A/EV]]-Table2[[#This Row],[H/EV]]</f>
        <v>0.39370067255266861</v>
      </c>
      <c r="AA196" s="29"/>
      <c r="AB196" s="30"/>
      <c r="AC196" s="30"/>
      <c r="AD196" s="30"/>
      <c r="AE196" s="30"/>
      <c r="AF196" s="7" t="b">
        <f>IF(VLOOKUP(Table2[[#This Row],[Home/Neutral]],division_lookup,9,FALSE)=VLOOKUP(Table2[[#This Row],[Visitor/Neutral]],division_lookup,9,FALSE),TRUE,FALSE)</f>
        <v>0</v>
      </c>
      <c r="AG196" s="15" t="str">
        <f>VLOOKUP(Table2[[#This Row],[Home/Neutral]],division_lookup,9,FALSE)</f>
        <v>P</v>
      </c>
      <c r="AH196" s="15" t="str">
        <f>IF(Table2[[#This Row],[Total/EV]]&lt;Table2[[#This Row],[Total/V]],"UNDER","OVER")</f>
        <v>UNDER</v>
      </c>
      <c r="AJ196" s="2"/>
      <c r="AK196" s="2"/>
      <c r="AL196" s="18">
        <f>Table2[[#This Row],[SRS]]-Table2[[#This Row],[Spread]]</f>
        <v>-3.8786885245901654</v>
      </c>
      <c r="AM196" s="21">
        <f>Table2[[#This Row],[(A) Err]]^2</f>
        <v>15.044224670787434</v>
      </c>
      <c r="AN196" s="6">
        <f>Table2[[#This Row],[EV]]-Table2[[#This Row],[Spread]]</f>
        <v>-7.6062993274473314</v>
      </c>
      <c r="AO196" s="1">
        <f>Table2[[#This Row],[EV Err]]^2</f>
        <v>57.855789458725724</v>
      </c>
      <c r="AP196" s="1"/>
    </row>
    <row r="197" spans="1:42" x14ac:dyDescent="0.25">
      <c r="A197" s="34">
        <v>42694</v>
      </c>
      <c r="B197" t="s">
        <v>128</v>
      </c>
      <c r="C197" t="s">
        <v>109</v>
      </c>
      <c r="D197">
        <f>IF((Table2[[#This Row],[Spread]]-Table2[[#This Row],[Spread/V]])=0,1,IF(Table2[[#This Row],[Spread]]&lt;Table2[[#This Row],[Spread/V]],1,0))</f>
        <v>1</v>
      </c>
      <c r="E197">
        <v>104</v>
      </c>
      <c r="F197">
        <f>IF((Table2[[#This Row],[Spread]]-Table2[[#This Row],[Spread/V]])=0,1,IF(Table2[[#This Row],[Spread]]&gt;Table2[[#This Row],[Spread/V]],1,0))</f>
        <v>0</v>
      </c>
      <c r="G197">
        <v>94</v>
      </c>
      <c r="H197" s="7">
        <f t="shared" si="6"/>
        <v>198</v>
      </c>
      <c r="I197">
        <f>IF(Table2[[#This Row],[Total/V]]&lt;=Table2[[#This Row],[Total]],1,0)</f>
        <v>0</v>
      </c>
      <c r="J197">
        <v>208</v>
      </c>
      <c r="K197"/>
      <c r="L197" s="21">
        <f>(Table2[[#This Row],[H/Pace]]/100)*(VLOOKUP(Table2[[#This Row],[Home/Neutral]],home_lookup,8,FALSE)+VLOOKUP(Table2[[#This Row],[Home/Neutral]],OFR_lookup,2,FALSE)+VLOOKUP(Table2[[#This Row],[Visitor/Neutral]],def_diff_lookup,6,FALSE))</f>
        <v>101.7781098778302</v>
      </c>
      <c r="M197" s="21"/>
      <c r="N197" s="21">
        <f>(Table2[[#This Row],[A/Pace]]/100)*(VLOOKUP(Table2[[#This Row],[Visitor/Neutral]],OFR_lookup,2,FALSE)+VLOOKUP(Table2[[#This Row],[Home/Neutral]],def_diff_lookup,6,FALSE))</f>
        <v>104.37394133333333</v>
      </c>
      <c r="O197" s="21"/>
      <c r="P197" s="21"/>
      <c r="Q197">
        <f>VLOOKUP(Table2[[#This Row],[Home/Neutral]],pace_lookup,7,FALSE)</f>
        <v>96.3</v>
      </c>
      <c r="R197" s="5">
        <f>VLOOKUP(Table2[[#This Row],[Visitor/Neutral]],pace_lookup,7,FALSE)</f>
        <v>99.2</v>
      </c>
      <c r="S197" s="7">
        <f>G197-E197</f>
        <v>-10</v>
      </c>
      <c r="T197">
        <v>-4.5</v>
      </c>
      <c r="U197" s="15"/>
      <c r="W197" s="2">
        <f>-home-VLOOKUP(Table2[[#This Row],[Home/Neutral]],rtg_vlookup,4,FALSE)+VLOOKUP(Table2[[#This Row],[Visitor/Neutral]],rtg_vlookup,4,FALSE)</f>
        <v>1.3613114754098343</v>
      </c>
      <c r="X197" s="15"/>
      <c r="Y197" s="2"/>
      <c r="Z197" s="2">
        <f>Table2[[#This Row],[A/EV]]-Table2[[#This Row],[H/EV]]</f>
        <v>2.5958314555031308</v>
      </c>
      <c r="AA197" s="29"/>
      <c r="AB197" s="30"/>
      <c r="AC197" s="30"/>
      <c r="AD197" s="30"/>
      <c r="AE197" s="30"/>
      <c r="AF197" s="7" t="b">
        <f>IF(VLOOKUP(Table2[[#This Row],[Home/Neutral]],division_lookup,9,FALSE)=VLOOKUP(Table2[[#This Row],[Visitor/Neutral]],division_lookup,9,FALSE),TRUE,FALSE)</f>
        <v>0</v>
      </c>
      <c r="AG197" s="15" t="str">
        <f>VLOOKUP(Table2[[#This Row],[Home/Neutral]],division_lookup,9,FALSE)</f>
        <v>A</v>
      </c>
      <c r="AH197" s="15" t="str">
        <f>IF(Table2[[#This Row],[Total/EV]]&lt;Table2[[#This Row],[Total/V]],"UNDER","OVER")</f>
        <v>UNDER</v>
      </c>
      <c r="AJ197" s="2"/>
      <c r="AK197" s="2"/>
      <c r="AL197" s="18">
        <f>Table2[[#This Row],[SRS]]-Table2[[#This Row],[Spread]]</f>
        <v>11.361311475409835</v>
      </c>
      <c r="AM197" s="21">
        <f>Table2[[#This Row],[(A) Err]]^2</f>
        <v>129.07939844127921</v>
      </c>
      <c r="AN197" s="6">
        <f>Table2[[#This Row],[EV]]-Table2[[#This Row],[Spread]]</f>
        <v>12.595831455503131</v>
      </c>
      <c r="AO197" s="1">
        <f>Table2[[#This Row],[EV Err]]^2</f>
        <v>158.65497005544211</v>
      </c>
      <c r="AP197" s="1"/>
    </row>
    <row r="198" spans="1:42" x14ac:dyDescent="0.25">
      <c r="A198" s="34">
        <v>42694</v>
      </c>
      <c r="B198" t="s">
        <v>129</v>
      </c>
      <c r="C198" t="s">
        <v>120</v>
      </c>
      <c r="D198">
        <f>IF((Table2[[#This Row],[Spread]]-Table2[[#This Row],[Spread/V]])=0,1,IF(Table2[[#This Row],[Spread]]&lt;Table2[[#This Row],[Spread/V]],1,0))</f>
        <v>0</v>
      </c>
      <c r="E198">
        <v>111</v>
      </c>
      <c r="F198">
        <f>IF((Table2[[#This Row],[Spread]]-Table2[[#This Row],[Spread/V]])=0,1,IF(Table2[[#This Row],[Spread]]&gt;Table2[[#This Row],[Spread/V]],1,0))</f>
        <v>1</v>
      </c>
      <c r="G198">
        <v>115</v>
      </c>
      <c r="H198" s="7">
        <f t="shared" si="6"/>
        <v>226</v>
      </c>
      <c r="I198">
        <f>IF(Table2[[#This Row],[Total/V]]&lt;=Table2[[#This Row],[Total]],1,0)</f>
        <v>1</v>
      </c>
      <c r="J198">
        <v>211</v>
      </c>
      <c r="K198"/>
      <c r="L198" s="21">
        <f>(Table2[[#This Row],[H/Pace]]/100)*(VLOOKUP(Table2[[#This Row],[Home/Neutral]],home_lookup,8,FALSE)+VLOOKUP(Table2[[#This Row],[Home/Neutral]],OFR_lookup,2,FALSE)+VLOOKUP(Table2[[#This Row],[Visitor/Neutral]],def_diff_lookup,6,FALSE))</f>
        <v>109.15370376890107</v>
      </c>
      <c r="M198" s="21"/>
      <c r="N198" s="21">
        <f>(Table2[[#This Row],[A/Pace]]/100)*(VLOOKUP(Table2[[#This Row],[Visitor/Neutral]],OFR_lookup,2,FALSE)+VLOOKUP(Table2[[#This Row],[Home/Neutral]],def_diff_lookup,6,FALSE))</f>
        <v>100.05531033333334</v>
      </c>
      <c r="O198" s="21"/>
      <c r="P198" s="21"/>
      <c r="Q198">
        <f>VLOOKUP(Table2[[#This Row],[Home/Neutral]],pace_lookup,7,FALSE)</f>
        <v>99</v>
      </c>
      <c r="R198" s="5">
        <f>VLOOKUP(Table2[[#This Row],[Visitor/Neutral]],pace_lookup,7,FALSE)</f>
        <v>98.3</v>
      </c>
      <c r="S198" s="7">
        <f>G198-E198</f>
        <v>4</v>
      </c>
      <c r="T198">
        <v>-9.5</v>
      </c>
      <c r="U198" s="15"/>
      <c r="W198" s="2">
        <f>-home-VLOOKUP(Table2[[#This Row],[Home/Neutral]],rtg_vlookup,4,FALSE)+VLOOKUP(Table2[[#This Row],[Visitor/Neutral]],rtg_vlookup,4,FALSE)</f>
        <v>-8.9886885245901667</v>
      </c>
      <c r="X198" s="15"/>
      <c r="Y198" s="2"/>
      <c r="Z198" s="2">
        <f>Table2[[#This Row],[A/EV]]-Table2[[#This Row],[H/EV]]</f>
        <v>-9.0983934355677292</v>
      </c>
      <c r="AA198" s="29"/>
      <c r="AB198" s="30"/>
      <c r="AC198" s="30"/>
      <c r="AD198" s="30"/>
      <c r="AE198" s="30"/>
      <c r="AF198" s="7" t="b">
        <f>IF(VLOOKUP(Table2[[#This Row],[Home/Neutral]],division_lookup,9,FALSE)=VLOOKUP(Table2[[#This Row],[Visitor/Neutral]],division_lookup,9,FALSE),TRUE,FALSE)</f>
        <v>0</v>
      </c>
      <c r="AG198" s="15" t="str">
        <f>VLOOKUP(Table2[[#This Row],[Home/Neutral]],division_lookup,9,FALSE)</f>
        <v>NW</v>
      </c>
      <c r="AH198" s="15" t="str">
        <f>IF(Table2[[#This Row],[Total/EV]]&lt;Table2[[#This Row],[Total/V]],"UNDER","OVER")</f>
        <v>UNDER</v>
      </c>
      <c r="AJ198" s="2"/>
      <c r="AK198" s="2"/>
      <c r="AL198" s="18">
        <f>Table2[[#This Row],[SRS]]-Table2[[#This Row],[Spread]]</f>
        <v>-12.988688524590167</v>
      </c>
      <c r="AM198" s="21">
        <f>Table2[[#This Row],[(A) Err]]^2</f>
        <v>168.70602958882029</v>
      </c>
      <c r="AN198" s="6">
        <f>Table2[[#This Row],[EV]]-Table2[[#This Row],[Spread]]</f>
        <v>-13.098393435567729</v>
      </c>
      <c r="AO198" s="1">
        <f>Table2[[#This Row],[EV Err]]^2</f>
        <v>171.56791059292377</v>
      </c>
      <c r="AP198" s="1"/>
    </row>
    <row r="199" spans="1:42" ht="15.75" thickBot="1" x14ac:dyDescent="0.3">
      <c r="A199" s="100">
        <v>42694</v>
      </c>
      <c r="B199" s="3" t="s">
        <v>133</v>
      </c>
      <c r="C199" s="3" t="s">
        <v>135</v>
      </c>
      <c r="D199" s="3">
        <f>IF((Table2[[#This Row],[Spread]]-Table2[[#This Row],[Spread/V]])=0,1,IF(Table2[[#This Row],[Spread]]&lt;Table2[[#This Row],[Spread/V]],1,0))</f>
        <v>0</v>
      </c>
      <c r="E199" s="3">
        <v>102</v>
      </c>
      <c r="F199" s="3">
        <f>IF((Table2[[#This Row],[Spread]]-Table2[[#This Row],[Spread/V]])=0,1,IF(Table2[[#This Row],[Spread]]&gt;Table2[[#This Row],[Spread/V]],1,0))</f>
        <v>1</v>
      </c>
      <c r="G199" s="3">
        <v>99</v>
      </c>
      <c r="H199" s="8">
        <f t="shared" si="6"/>
        <v>201</v>
      </c>
      <c r="I199" s="3">
        <f>IF(Table2[[#This Row],[Total/V]]&lt;=Table2[[#This Row],[Total]],1,0)</f>
        <v>0</v>
      </c>
      <c r="J199" s="3">
        <v>211</v>
      </c>
      <c r="K199" s="3"/>
      <c r="L199" s="22">
        <f>(Table2[[#This Row],[H/Pace]]/100)*(VLOOKUP(Table2[[#This Row],[Home/Neutral]],home_lookup,8,FALSE)+VLOOKUP(Table2[[#This Row],[Home/Neutral]],OFR_lookup,2,FALSE)+VLOOKUP(Table2[[#This Row],[Visitor/Neutral]],def_diff_lookup,6,FALSE))</f>
        <v>108.88978748279979</v>
      </c>
      <c r="M199" s="22"/>
      <c r="N199" s="22">
        <f>(Table2[[#This Row],[A/Pace]]/100)*(VLOOKUP(Table2[[#This Row],[Visitor/Neutral]],OFR_lookup,2,FALSE)+VLOOKUP(Table2[[#This Row],[Home/Neutral]],def_diff_lookup,6,FALSE))</f>
        <v>111.365826</v>
      </c>
      <c r="O199" s="22"/>
      <c r="P199" s="22"/>
      <c r="Q199" s="3">
        <f>VLOOKUP(Table2[[#This Row],[Home/Neutral]],pace_lookup,7,FALSE)</f>
        <v>94.2</v>
      </c>
      <c r="R199" s="3">
        <f>VLOOKUP(Table2[[#This Row],[Visitor/Neutral]],pace_lookup,7,FALSE)</f>
        <v>95.4</v>
      </c>
      <c r="S199" s="8">
        <f>G199-E199</f>
        <v>-3</v>
      </c>
      <c r="T199" s="3">
        <v>-4</v>
      </c>
      <c r="U199" s="16"/>
      <c r="V199" s="3"/>
      <c r="W199" s="9">
        <f>-home-VLOOKUP(Table2[[#This Row],[Home/Neutral]],rtg_vlookup,4,FALSE)+VLOOKUP(Table2[[#This Row],[Visitor/Neutral]],rtg_vlookup,4,FALSE)</f>
        <v>5.0813114754098345</v>
      </c>
      <c r="X199" s="16"/>
      <c r="Y199" s="9"/>
      <c r="Z199" s="9">
        <f>Table2[[#This Row],[A/EV]]-Table2[[#This Row],[H/EV]]</f>
        <v>2.4760385172002088</v>
      </c>
      <c r="AA199" s="31"/>
      <c r="AB199" s="32"/>
      <c r="AC199" s="32"/>
      <c r="AD199" s="32"/>
      <c r="AE199" s="32"/>
      <c r="AF199" s="8" t="b">
        <f>IF(VLOOKUP(Table2[[#This Row],[Home/Neutral]],division_lookup,9,FALSE)=VLOOKUP(Table2[[#This Row],[Visitor/Neutral]],division_lookup,9,FALSE),TRUE,FALSE)</f>
        <v>0</v>
      </c>
      <c r="AG199" s="16" t="str">
        <f>VLOOKUP(Table2[[#This Row],[Home/Neutral]],division_lookup,9,FALSE)</f>
        <v>P</v>
      </c>
      <c r="AH199" s="16" t="str">
        <f>IF(Table2[[#This Row],[Total/EV]]&lt;Table2[[#This Row],[Total/V]],"UNDER","OVER")</f>
        <v>UNDER</v>
      </c>
      <c r="AI199" s="3"/>
      <c r="AJ199" s="9"/>
      <c r="AK199" s="9"/>
      <c r="AL199" s="19">
        <f>Table2[[#This Row],[SRS]]-Table2[[#This Row],[Spread]]</f>
        <v>8.0813114754098336</v>
      </c>
      <c r="AM199" s="22">
        <f>Table2[[#This Row],[(A) Err]]^2</f>
        <v>65.307595162590658</v>
      </c>
      <c r="AN199" s="4">
        <f>Table2[[#This Row],[EV]]-Table2[[#This Row],[Spread]]</f>
        <v>5.4760385172002088</v>
      </c>
      <c r="AO199" s="4">
        <f>Table2[[#This Row],[EV Err]]^2</f>
        <v>29.986997841860262</v>
      </c>
      <c r="AP199" s="1"/>
    </row>
    <row r="200" spans="1:42" x14ac:dyDescent="0.25">
      <c r="A200" s="34">
        <v>42695</v>
      </c>
      <c r="B200" t="s">
        <v>112</v>
      </c>
      <c r="C200" t="s">
        <v>123</v>
      </c>
      <c r="D200">
        <f>IF((Table2[[#This Row],[Spread]]-Table2[[#This Row],[Spread/V]])=0,1,IF(Table2[[#This Row],[Spread]]&lt;Table2[[#This Row],[Spread/V]],1,0))</f>
        <v>0</v>
      </c>
      <c r="E200">
        <v>90</v>
      </c>
      <c r="F200">
        <f>IF((Table2[[#This Row],[Spread]]-Table2[[#This Row],[Spread/V]])=0,1,IF(Table2[[#This Row],[Spread]]&gt;Table2[[#This Row],[Spread/V]],1,0))</f>
        <v>1</v>
      </c>
      <c r="G200">
        <v>105</v>
      </c>
      <c r="H200" s="7">
        <f t="shared" si="6"/>
        <v>195</v>
      </c>
      <c r="I200">
        <f>IF(Table2[[#This Row],[Total/V]]&lt;=Table2[[#This Row],[Total]],1,0)</f>
        <v>0</v>
      </c>
      <c r="J200">
        <v>197.5</v>
      </c>
      <c r="K200"/>
      <c r="L200" s="21">
        <f>(Table2[[#This Row],[H/Pace]]/100)*(VLOOKUP(Table2[[#This Row],[Home/Neutral]],home_lookup,8,FALSE)+VLOOKUP(Table2[[#This Row],[Home/Neutral]],OFR_lookup,2,FALSE)+VLOOKUP(Table2[[#This Row],[Visitor/Neutral]],def_diff_lookup,6,FALSE))</f>
        <v>100.72206195313484</v>
      </c>
      <c r="M200" s="21"/>
      <c r="N200" s="21">
        <f>(Table2[[#This Row],[A/Pace]]/100)*(VLOOKUP(Table2[[#This Row],[Visitor/Neutral]],OFR_lookup,2,FALSE)+VLOOKUP(Table2[[#This Row],[Home/Neutral]],def_diff_lookup,6,FALSE))</f>
        <v>95.150741666666661</v>
      </c>
      <c r="O200" s="21"/>
      <c r="P200" s="21"/>
      <c r="Q200">
        <f>VLOOKUP(Table2[[#This Row],[Home/Neutral]],pace_lookup,7,FALSE)</f>
        <v>97.4</v>
      </c>
      <c r="R200" s="5">
        <f>VLOOKUP(Table2[[#This Row],[Visitor/Neutral]],pace_lookup,7,FALSE)</f>
        <v>92.5</v>
      </c>
      <c r="S200" s="7">
        <f t="shared" ref="S200:S208" si="7">G200-E200</f>
        <v>15</v>
      </c>
      <c r="T200">
        <v>4.5</v>
      </c>
      <c r="U200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0">
        <v>-6.3</v>
      </c>
      <c r="W200" s="2">
        <f>-home-VLOOKUP(Table2[[#This Row],[Home/Neutral]],rtg_vlookup,4,FALSE)+VLOOKUP(Table2[[#This Row],[Visitor/Neutral]],rtg_vlookup,4,FALSE)</f>
        <v>-4.1386885245901661</v>
      </c>
      <c r="X200" s="15"/>
      <c r="Y200" s="2"/>
      <c r="Z200" s="2">
        <f>Table2[[#This Row],[A/EV]]-Table2[[#This Row],[H/EV]]</f>
        <v>-5.571320286468179</v>
      </c>
      <c r="AA200" s="29" t="str">
        <f>IF(Table2[[#This Row],[Spread/V]]&gt;=Table2[[#This Row],[SRS/Real]],"HOME","AWAY")</f>
        <v>HOME</v>
      </c>
      <c r="AB200" s="33"/>
      <c r="AC200" s="33"/>
      <c r="AD200" s="33"/>
      <c r="AE200" s="33"/>
      <c r="AF200" s="7" t="b">
        <f>IF(VLOOKUP(Table2[[#This Row],[Home/Neutral]],division_lookup,9,FALSE)=VLOOKUP(Table2[[#This Row],[Visitor/Neutral]],division_lookup,9,FALSE),TRUE,FALSE)</f>
        <v>0</v>
      </c>
      <c r="AG200" s="15" t="str">
        <f>VLOOKUP(Table2[[#This Row],[Home/Neutral]],division_lookup,9,FALSE)</f>
        <v>SE</v>
      </c>
      <c r="AH200" s="15" t="str">
        <f>IF(Table2[[#This Row],[Total/EV]]&lt;Table2[[#This Row],[Total/V]],"UNDER","OVER")</f>
        <v>UNDER</v>
      </c>
      <c r="AI200" s="15">
        <f>Table2[[#This Row],[SRS/Real]]-Table2[[#This Row],[Spread/V]]</f>
        <v>-10.8</v>
      </c>
      <c r="AJ200" s="2"/>
      <c r="AK200" s="2"/>
      <c r="AL200" s="18">
        <f>Table2[[#This Row],[SRS]]-Table2[[#This Row],[Spread]]</f>
        <v>-19.138688524590165</v>
      </c>
      <c r="AM200" s="21">
        <f>Table2[[#This Row],[(A) Err]]^2</f>
        <v>366.28939844127927</v>
      </c>
      <c r="AN200" s="6">
        <f>Table2[[#This Row],[EV]]-Table2[[#This Row],[Spread]]</f>
        <v>-20.571320286468179</v>
      </c>
      <c r="AO200" s="1">
        <f>Table2[[#This Row],[EV Err]]^2</f>
        <v>423.17921832845724</v>
      </c>
      <c r="AP200" s="1"/>
    </row>
    <row r="201" spans="1:42" x14ac:dyDescent="0.25">
      <c r="A201" s="34">
        <v>42695</v>
      </c>
      <c r="B201" t="s">
        <v>117</v>
      </c>
      <c r="C201" t="s">
        <v>119</v>
      </c>
      <c r="D201">
        <f>IF((Table2[[#This Row],[Spread]]-Table2[[#This Row],[Spread/V]])=0,1,IF(Table2[[#This Row],[Spread]]&lt;Table2[[#This Row],[Spread/V]],1,0))</f>
        <v>0</v>
      </c>
      <c r="E201">
        <v>96</v>
      </c>
      <c r="F201">
        <f>IF((Table2[[#This Row],[Spread]]-Table2[[#This Row],[Spread/V]])=0,1,IF(Table2[[#This Row],[Spread]]&gt;Table2[[#This Row],[Spread/V]],1,0))</f>
        <v>1</v>
      </c>
      <c r="G201">
        <v>99</v>
      </c>
      <c r="H201" s="7">
        <f t="shared" si="6"/>
        <v>195</v>
      </c>
      <c r="I201">
        <f>IF(Table2[[#This Row],[Total/V]]&lt;=Table2[[#This Row],[Total]],1,0)</f>
        <v>0</v>
      </c>
      <c r="J201">
        <v>209.5</v>
      </c>
      <c r="K201"/>
      <c r="L201" s="21">
        <f>(Table2[[#This Row],[H/Pace]]/100)*(VLOOKUP(Table2[[#This Row],[Home/Neutral]],home_lookup,8,FALSE)+VLOOKUP(Table2[[#This Row],[Home/Neutral]],OFR_lookup,2,FALSE)+VLOOKUP(Table2[[#This Row],[Visitor/Neutral]],def_diff_lookup,6,FALSE))</f>
        <v>114.7933959144643</v>
      </c>
      <c r="M201" s="21"/>
      <c r="N201" s="21">
        <f>(Table2[[#This Row],[A/Pace]]/100)*(VLOOKUP(Table2[[#This Row],[Visitor/Neutral]],OFR_lookup,2,FALSE)+VLOOKUP(Table2[[#This Row],[Home/Neutral]],def_diff_lookup,6,FALSE))</f>
        <v>105.77184100000001</v>
      </c>
      <c r="O201" s="21"/>
      <c r="P201" s="21"/>
      <c r="Q201">
        <f>VLOOKUP(Table2[[#This Row],[Home/Neutral]],pace_lookup,7,FALSE)</f>
        <v>94</v>
      </c>
      <c r="R201" s="5">
        <f>VLOOKUP(Table2[[#This Row],[Visitor/Neutral]],pace_lookup,7,FALSE)</f>
        <v>96.9</v>
      </c>
      <c r="S201" s="7">
        <f t="shared" si="7"/>
        <v>3</v>
      </c>
      <c r="T201">
        <v>2.5</v>
      </c>
      <c r="U201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1">
        <v>1.2</v>
      </c>
      <c r="W201" s="2">
        <f>-home-VLOOKUP(Table2[[#This Row],[Home/Neutral]],rtg_vlookup,4,FALSE)+VLOOKUP(Table2[[#This Row],[Visitor/Neutral]],rtg_vlookup,4,FALSE)</f>
        <v>-0.66868852459016592</v>
      </c>
      <c r="X201" s="15"/>
      <c r="Y201" s="2"/>
      <c r="Z201" s="2">
        <f>Table2[[#This Row],[A/EV]]-Table2[[#This Row],[H/EV]]</f>
        <v>-9.0215549144642893</v>
      </c>
      <c r="AA201" s="29" t="str">
        <f>IF(Table2[[#This Row],[Spread/V]]&gt;=Table2[[#This Row],[SRS/Real]],"HOME","AWAY")</f>
        <v>HOME</v>
      </c>
      <c r="AB201" s="33"/>
      <c r="AC201" s="33"/>
      <c r="AD201" s="33"/>
      <c r="AE201" s="33"/>
      <c r="AF201" s="7" t="b">
        <f>IF(VLOOKUP(Table2[[#This Row],[Home/Neutral]],division_lookup,9,FALSE)=VLOOKUP(Table2[[#This Row],[Visitor/Neutral]],division_lookup,9,FALSE),TRUE,FALSE)</f>
        <v>0</v>
      </c>
      <c r="AG201" s="15" t="str">
        <f>VLOOKUP(Table2[[#This Row],[Home/Neutral]],division_lookup,9,FALSE)</f>
        <v>C</v>
      </c>
      <c r="AH201" s="15" t="str">
        <f>IF(Table2[[#This Row],[Total/EV]]&lt;Table2[[#This Row],[Total/V]],"UNDER","OVER")</f>
        <v>UNDER</v>
      </c>
      <c r="AI201" s="15">
        <f>Table2[[#This Row],[SRS/Real]]-Table2[[#This Row],[Spread/V]]</f>
        <v>-1.3</v>
      </c>
      <c r="AJ201" s="2"/>
      <c r="AK201" s="2"/>
      <c r="AL201" s="18">
        <f>Table2[[#This Row],[SRS]]-Table2[[#This Row],[Spread]]</f>
        <v>-3.6686885245901659</v>
      </c>
      <c r="AM201" s="21">
        <f>Table2[[#This Row],[(A) Err]]^2</f>
        <v>13.459275490459568</v>
      </c>
      <c r="AN201" s="6">
        <f>Table2[[#This Row],[EV]]-Table2[[#This Row],[Spread]]</f>
        <v>-12.021554914464289</v>
      </c>
      <c r="AO201" s="1">
        <f>Table2[[#This Row],[EV Err]]^2</f>
        <v>144.51778256148052</v>
      </c>
      <c r="AP201" s="1"/>
    </row>
    <row r="202" spans="1:42" x14ac:dyDescent="0.25">
      <c r="A202" s="34">
        <v>42695</v>
      </c>
      <c r="B202" t="s">
        <v>120</v>
      </c>
      <c r="C202" t="s">
        <v>118</v>
      </c>
      <c r="D202">
        <f>IF((Table2[[#This Row],[Spread]]-Table2[[#This Row],[Spread/V]])=0,1,IF(Table2[[#This Row],[Spread]]&lt;Table2[[#This Row],[Spread/V]],1,0))</f>
        <v>0</v>
      </c>
      <c r="E202">
        <v>83</v>
      </c>
      <c r="F202">
        <f>IF((Table2[[#This Row],[Spread]]-Table2[[#This Row],[Spread/V]])=0,1,IF(Table2[[#This Row],[Spread]]&gt;Table2[[#This Row],[Spread/V]],1,0))</f>
        <v>1</v>
      </c>
      <c r="G202">
        <v>120</v>
      </c>
      <c r="H202" s="7">
        <f t="shared" si="6"/>
        <v>203</v>
      </c>
      <c r="I202">
        <f>IF(Table2[[#This Row],[Total/V]]&lt;=Table2[[#This Row],[Total]],1,0)</f>
        <v>0</v>
      </c>
      <c r="J202">
        <v>219</v>
      </c>
      <c r="K202"/>
      <c r="L202" s="21">
        <f>(Table2[[#This Row],[H/Pace]]/100)*(VLOOKUP(Table2[[#This Row],[Home/Neutral]],home_lookup,8,FALSE)+VLOOKUP(Table2[[#This Row],[Home/Neutral]],OFR_lookup,2,FALSE)+VLOOKUP(Table2[[#This Row],[Visitor/Neutral]],def_diff_lookup,6,FALSE))</f>
        <v>104.86511542930862</v>
      </c>
      <c r="M202" s="21"/>
      <c r="N202" s="21">
        <f>(Table2[[#This Row],[A/Pace]]/100)*(VLOOKUP(Table2[[#This Row],[Visitor/Neutral]],OFR_lookup,2,FALSE)+VLOOKUP(Table2[[#This Row],[Home/Neutral]],def_diff_lookup,6,FALSE))</f>
        <v>119.17044933333332</v>
      </c>
      <c r="O202" s="21"/>
      <c r="P202" s="21"/>
      <c r="Q202">
        <f>VLOOKUP(Table2[[#This Row],[Home/Neutral]],pace_lookup,7,FALSE)</f>
        <v>98.3</v>
      </c>
      <c r="R202" s="5">
        <f>VLOOKUP(Table2[[#This Row],[Visitor/Neutral]],pace_lookup,7,FALSE)</f>
        <v>100.4</v>
      </c>
      <c r="S202" s="7">
        <f t="shared" si="7"/>
        <v>37</v>
      </c>
      <c r="T202">
        <v>13</v>
      </c>
      <c r="U202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2">
        <v>7.1</v>
      </c>
      <c r="W202" s="2">
        <f>-home-VLOOKUP(Table2[[#This Row],[Home/Neutral]],rtg_vlookup,4,FALSE)+VLOOKUP(Table2[[#This Row],[Visitor/Neutral]],rtg_vlookup,4,FALSE)</f>
        <v>13.341311475409835</v>
      </c>
      <c r="X202" s="15"/>
      <c r="Y202" s="2"/>
      <c r="Z202" s="2">
        <f>Table2[[#This Row],[A/EV]]-Table2[[#This Row],[H/EV]]</f>
        <v>14.305333904024707</v>
      </c>
      <c r="AA202" s="29" t="str">
        <f>IF(Table2[[#This Row],[Spread/V]]&gt;=Table2[[#This Row],[SRS/Real]],"HOME","AWAY")</f>
        <v>HOME</v>
      </c>
      <c r="AB202" s="33"/>
      <c r="AC202" s="33"/>
      <c r="AD202" s="33"/>
      <c r="AE202" s="33"/>
      <c r="AF202" s="7" t="b">
        <f>IF(VLOOKUP(Table2[[#This Row],[Home/Neutral]],division_lookup,9,FALSE)=VLOOKUP(Table2[[#This Row],[Visitor/Neutral]],division_lookup,9,FALSE),TRUE,FALSE)</f>
        <v>0</v>
      </c>
      <c r="AG202" s="15" t="str">
        <f>VLOOKUP(Table2[[#This Row],[Home/Neutral]],division_lookup,9,FALSE)</f>
        <v>C</v>
      </c>
      <c r="AH202" s="15" t="str">
        <f>IF(Table2[[#This Row],[Total/EV]]&lt;Table2[[#This Row],[Total/V]],"UNDER","OVER")</f>
        <v>UNDER</v>
      </c>
      <c r="AI202" s="15">
        <f>Table2[[#This Row],[SRS/Real]]-Table2[[#This Row],[Spread/V]]</f>
        <v>-5.9</v>
      </c>
      <c r="AJ202" s="2"/>
      <c r="AK202" s="2"/>
      <c r="AL202" s="18">
        <f>Table2[[#This Row],[SRS]]-Table2[[#This Row],[Spread]]</f>
        <v>-23.658688524590165</v>
      </c>
      <c r="AM202" s="21">
        <f>Table2[[#This Row],[(A) Err]]^2</f>
        <v>559.73354270357436</v>
      </c>
      <c r="AN202" s="6">
        <f>Table2[[#This Row],[EV]]-Table2[[#This Row],[Spread]]</f>
        <v>-22.694666095975293</v>
      </c>
      <c r="AO202" s="1">
        <f>Table2[[#This Row],[EV Err]]^2</f>
        <v>515.04786920781044</v>
      </c>
      <c r="AP202" s="1"/>
    </row>
    <row r="203" spans="1:42" x14ac:dyDescent="0.25">
      <c r="A203" s="34">
        <v>42695</v>
      </c>
      <c r="B203" t="s">
        <v>121</v>
      </c>
      <c r="C203" t="s">
        <v>135</v>
      </c>
      <c r="D203">
        <f>IF((Table2[[#This Row],[Spread]]-Table2[[#This Row],[Spread/V]])=0,1,IF(Table2[[#This Row],[Spread]]&lt;Table2[[#This Row],[Spread/V]],1,0))</f>
        <v>0</v>
      </c>
      <c r="E203">
        <v>123</v>
      </c>
      <c r="F203">
        <f>IF((Table2[[#This Row],[Spread]]-Table2[[#This Row],[Spread/V]])=0,1,IF(Table2[[#This Row],[Spread]]&gt;Table2[[#This Row],[Spread/V]],1,0))</f>
        <v>1</v>
      </c>
      <c r="G203">
        <v>115</v>
      </c>
      <c r="H203" s="7">
        <f t="shared" si="6"/>
        <v>238</v>
      </c>
      <c r="I203">
        <f>IF(Table2[[#This Row],[Total/V]]&lt;=Table2[[#This Row],[Total]],1,0)</f>
        <v>1</v>
      </c>
      <c r="J203">
        <v>207</v>
      </c>
      <c r="K203"/>
      <c r="L203" s="21">
        <f>(Table2[[#This Row],[H/Pace]]/100)*(VLOOKUP(Table2[[#This Row],[Home/Neutral]],home_lookup,8,FALSE)+VLOOKUP(Table2[[#This Row],[Home/Neutral]],OFR_lookup,2,FALSE)+VLOOKUP(Table2[[#This Row],[Visitor/Neutral]],def_diff_lookup,6,FALSE))</f>
        <v>114.74800060751252</v>
      </c>
      <c r="M203" s="21"/>
      <c r="N203" s="21">
        <f>(Table2[[#This Row],[A/Pace]]/100)*(VLOOKUP(Table2[[#This Row],[Visitor/Neutral]],OFR_lookup,2,FALSE)+VLOOKUP(Table2[[#This Row],[Home/Neutral]],def_diff_lookup,6,FALSE))</f>
        <v>104.19174600000001</v>
      </c>
      <c r="O203" s="21"/>
      <c r="P203" s="21"/>
      <c r="Q203">
        <f>VLOOKUP(Table2[[#This Row],[Home/Neutral]],pace_lookup,7,FALSE)</f>
        <v>96.4</v>
      </c>
      <c r="R203" s="5">
        <f>VLOOKUP(Table2[[#This Row],[Visitor/Neutral]],pace_lookup,7,FALSE)</f>
        <v>95.4</v>
      </c>
      <c r="S203" s="7">
        <f t="shared" si="7"/>
        <v>-8</v>
      </c>
      <c r="T203">
        <v>-8.5</v>
      </c>
      <c r="U203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3">
        <v>-12.8</v>
      </c>
      <c r="W203" s="2">
        <f>-home-VLOOKUP(Table2[[#This Row],[Home/Neutral]],rtg_vlookup,4,FALSE)+VLOOKUP(Table2[[#This Row],[Visitor/Neutral]],rtg_vlookup,4,FALSE)</f>
        <v>-9.5686885245901649</v>
      </c>
      <c r="X203" s="15"/>
      <c r="Y203" s="2"/>
      <c r="Z203" s="2">
        <f>Table2[[#This Row],[A/EV]]-Table2[[#This Row],[H/EV]]</f>
        <v>-10.556254607512514</v>
      </c>
      <c r="AA203" s="29" t="str">
        <f>IF(Table2[[#This Row],[Spread/V]]&gt;=Table2[[#This Row],[SRS/Real]],"HOME","AWAY")</f>
        <v>HOME</v>
      </c>
      <c r="AB203" s="33"/>
      <c r="AC203" s="33"/>
      <c r="AD203" s="33"/>
      <c r="AE203" s="33"/>
      <c r="AF203" s="7" t="b">
        <f>IF(VLOOKUP(Table2[[#This Row],[Home/Neutral]],division_lookup,9,FALSE)=VLOOKUP(Table2[[#This Row],[Visitor/Neutral]],division_lookup,9,FALSE),TRUE,FALSE)</f>
        <v>0</v>
      </c>
      <c r="AG203" s="15" t="str">
        <f>VLOOKUP(Table2[[#This Row],[Home/Neutral]],division_lookup,9,FALSE)</f>
        <v>P</v>
      </c>
      <c r="AH203" s="15" t="str">
        <f>IF(Table2[[#This Row],[Total/EV]]&lt;Table2[[#This Row],[Total/V]],"UNDER","OVER")</f>
        <v>UNDER</v>
      </c>
      <c r="AI203" s="15">
        <f>Table2[[#This Row],[SRS/Real]]-Table2[[#This Row],[Spread/V]]</f>
        <v>-4.3000000000000007</v>
      </c>
      <c r="AJ203" s="2"/>
      <c r="AK203" s="2"/>
      <c r="AL203" s="18">
        <f>Table2[[#This Row],[SRS]]-Table2[[#This Row],[Spread]]</f>
        <v>-1.5686885245901649</v>
      </c>
      <c r="AM203" s="21">
        <f>Table2[[#This Row],[(A) Err]]^2</f>
        <v>2.4607836871808684</v>
      </c>
      <c r="AN203" s="6">
        <f>Table2[[#This Row],[EV]]-Table2[[#This Row],[Spread]]</f>
        <v>-2.5562546075125141</v>
      </c>
      <c r="AO203" s="1">
        <f>Table2[[#This Row],[EV Err]]^2</f>
        <v>6.5344376184289574</v>
      </c>
      <c r="AP203" s="1"/>
    </row>
    <row r="204" spans="1:42" x14ac:dyDescent="0.25">
      <c r="A204" s="34">
        <v>42695</v>
      </c>
      <c r="B204" t="s">
        <v>125</v>
      </c>
      <c r="C204" t="s">
        <v>130</v>
      </c>
      <c r="D204">
        <f>IF((Table2[[#This Row],[Spread]]-Table2[[#This Row],[Spread/V]])=0,1,IF(Table2[[#This Row],[Spread]]&lt;Table2[[#This Row],[Spread/V]],1,0))</f>
        <v>0</v>
      </c>
      <c r="E204">
        <v>93</v>
      </c>
      <c r="F204">
        <f>IF((Table2[[#This Row],[Spread]]-Table2[[#This Row],[Spread/V]])=0,1,IF(Table2[[#This Row],[Spread]]&gt;Table2[[#This Row],[Spread/V]],1,0))</f>
        <v>1</v>
      </c>
      <c r="G204">
        <v>89</v>
      </c>
      <c r="H204" s="7">
        <f t="shared" si="6"/>
        <v>182</v>
      </c>
      <c r="I204">
        <f>IF(Table2[[#This Row],[Total/V]]&lt;=Table2[[#This Row],[Total]],1,0)</f>
        <v>0</v>
      </c>
      <c r="J204">
        <v>200.5</v>
      </c>
      <c r="K204"/>
      <c r="L204" s="21">
        <f>(Table2[[#This Row],[H/Pace]]/100)*(VLOOKUP(Table2[[#This Row],[Home/Neutral]],home_lookup,8,FALSE)+VLOOKUP(Table2[[#This Row],[Home/Neutral]],OFR_lookup,2,FALSE)+VLOOKUP(Table2[[#This Row],[Visitor/Neutral]],def_diff_lookup,6,FALSE))</f>
        <v>108.31508550061908</v>
      </c>
      <c r="M204" s="21"/>
      <c r="N204" s="21">
        <f>(Table2[[#This Row],[A/Pace]]/100)*(VLOOKUP(Table2[[#This Row],[Visitor/Neutral]],OFR_lookup,2,FALSE)+VLOOKUP(Table2[[#This Row],[Home/Neutral]],def_diff_lookup,6,FALSE))</f>
        <v>94.101717999999991</v>
      </c>
      <c r="O204" s="21"/>
      <c r="P204" s="21"/>
      <c r="Q204">
        <f>VLOOKUP(Table2[[#This Row],[Home/Neutral]],pace_lookup,7,FALSE)</f>
        <v>96.1</v>
      </c>
      <c r="R204" s="5">
        <f>VLOOKUP(Table2[[#This Row],[Visitor/Neutral]],pace_lookup,7,FALSE)</f>
        <v>94.2</v>
      </c>
      <c r="S204" s="7">
        <f t="shared" si="7"/>
        <v>-4</v>
      </c>
      <c r="T204">
        <v>-5</v>
      </c>
      <c r="U204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4">
        <v>-9.5</v>
      </c>
      <c r="W204" s="2">
        <f>-home-VLOOKUP(Table2[[#This Row],[Home/Neutral]],rtg_vlookup,4,FALSE)+VLOOKUP(Table2[[#This Row],[Visitor/Neutral]],rtg_vlookup,4,FALSE)</f>
        <v>-8.9286885245901662</v>
      </c>
      <c r="X204" s="15"/>
      <c r="Y204" s="2"/>
      <c r="Z204" s="2">
        <f>Table2[[#This Row],[A/EV]]-Table2[[#This Row],[H/EV]]</f>
        <v>-14.213367500619086</v>
      </c>
      <c r="AA204" s="29" t="str">
        <f>IF(Table2[[#This Row],[Spread/V]]&gt;=Table2[[#This Row],[SRS/Real]],"HOME","AWAY")</f>
        <v>HOME</v>
      </c>
      <c r="AB204" s="33"/>
      <c r="AC204" s="33"/>
      <c r="AD204" s="33"/>
      <c r="AE204" s="33"/>
      <c r="AF204" s="7" t="b">
        <f>IF(VLOOKUP(Table2[[#This Row],[Home/Neutral]],division_lookup,9,FALSE)=VLOOKUP(Table2[[#This Row],[Visitor/Neutral]],division_lookup,9,FALSE),TRUE,FALSE)</f>
        <v>0</v>
      </c>
      <c r="AG204" s="15" t="str">
        <f>VLOOKUP(Table2[[#This Row],[Home/Neutral]],division_lookup,9,FALSE)</f>
        <v>C</v>
      </c>
      <c r="AH204" s="15" t="str">
        <f>IF(Table2[[#This Row],[Total/EV]]&lt;Table2[[#This Row],[Total/V]],"UNDER","OVER")</f>
        <v>UNDER</v>
      </c>
      <c r="AI204" s="15">
        <f>Table2[[#This Row],[SRS/Real]]-Table2[[#This Row],[Spread/V]]</f>
        <v>-4.5</v>
      </c>
      <c r="AJ204" s="2"/>
      <c r="AK204" s="2"/>
      <c r="AL204" s="18">
        <f>Table2[[#This Row],[SRS]]-Table2[[#This Row],[Spread]]</f>
        <v>-4.9286885245901662</v>
      </c>
      <c r="AM204" s="21">
        <f>Table2[[#This Row],[(A) Err]]^2</f>
        <v>24.291970572426788</v>
      </c>
      <c r="AN204" s="6">
        <f>Table2[[#This Row],[EV]]-Table2[[#This Row],[Spread]]</f>
        <v>-10.213367500619086</v>
      </c>
      <c r="AO204" s="1">
        <f>Table2[[#This Row],[EV Err]]^2</f>
        <v>104.31287570270214</v>
      </c>
      <c r="AP204" s="1"/>
    </row>
    <row r="205" spans="1:42" x14ac:dyDescent="0.25">
      <c r="A205" s="34">
        <v>42695</v>
      </c>
      <c r="B205" t="s">
        <v>126</v>
      </c>
      <c r="C205" t="s">
        <v>110</v>
      </c>
      <c r="D205">
        <f>IF((Table2[[#This Row],[Spread]]-Table2[[#This Row],[Spread/V]])=0,1,IF(Table2[[#This Row],[Spread]]&lt;Table2[[#This Row],[Spread/V]],1,0))</f>
        <v>0</v>
      </c>
      <c r="E205">
        <v>93</v>
      </c>
      <c r="F205">
        <f>IF((Table2[[#This Row],[Spread]]-Table2[[#This Row],[Spread/V]])=0,1,IF(Table2[[#This Row],[Spread]]&gt;Table2[[#This Row],[Spread/V]],1,0))</f>
        <v>1</v>
      </c>
      <c r="G205">
        <v>99</v>
      </c>
      <c r="H205" s="7">
        <f t="shared" si="6"/>
        <v>192</v>
      </c>
      <c r="I205">
        <f>IF(Table2[[#This Row],[Total/V]]&lt;=Table2[[#This Row],[Total]],1,0)</f>
        <v>0</v>
      </c>
      <c r="J205">
        <v>207.5</v>
      </c>
      <c r="K205"/>
      <c r="L205" s="21">
        <f>(Table2[[#This Row],[H/Pace]]/100)*(VLOOKUP(Table2[[#This Row],[Home/Neutral]],home_lookup,8,FALSE)+VLOOKUP(Table2[[#This Row],[Home/Neutral]],OFR_lookup,2,FALSE)+VLOOKUP(Table2[[#This Row],[Visitor/Neutral]],def_diff_lookup,6,FALSE))</f>
        <v>115.59149777050786</v>
      </c>
      <c r="M205" s="21"/>
      <c r="N205" s="21">
        <f>(Table2[[#This Row],[A/Pace]]/100)*(VLOOKUP(Table2[[#This Row],[Visitor/Neutral]],OFR_lookup,2,FALSE)+VLOOKUP(Table2[[#This Row],[Home/Neutral]],def_diff_lookup,6,FALSE))</f>
        <v>106.83555133333334</v>
      </c>
      <c r="O205" s="21"/>
      <c r="P205" s="21"/>
      <c r="Q205">
        <f>VLOOKUP(Table2[[#This Row],[Home/Neutral]],pace_lookup,7,FALSE)</f>
        <v>95.7</v>
      </c>
      <c r="R205" s="5">
        <f>VLOOKUP(Table2[[#This Row],[Visitor/Neutral]],pace_lookup,7,FALSE)</f>
        <v>96.2</v>
      </c>
      <c r="S205" s="7">
        <f t="shared" si="7"/>
        <v>6</v>
      </c>
      <c r="T205">
        <v>2</v>
      </c>
      <c r="U205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5">
        <v>-5.2</v>
      </c>
      <c r="W205" s="2">
        <f>-home-VLOOKUP(Table2[[#This Row],[Home/Neutral]],rtg_vlookup,4,FALSE)+VLOOKUP(Table2[[#This Row],[Visitor/Neutral]],rtg_vlookup,4,FALSE)</f>
        <v>-1.1186885245901657</v>
      </c>
      <c r="X205" s="15"/>
      <c r="Y205" s="2"/>
      <c r="Z205" s="2">
        <f>Table2[[#This Row],[A/EV]]-Table2[[#This Row],[H/EV]]</f>
        <v>-8.755946437174515</v>
      </c>
      <c r="AA205" s="29" t="str">
        <f>IF(Table2[[#This Row],[Spread/V]]&gt;=Table2[[#This Row],[SRS/Real]],"HOME","AWAY")</f>
        <v>HOME</v>
      </c>
      <c r="AB205" s="33"/>
      <c r="AC205" s="33"/>
      <c r="AD205" s="33"/>
      <c r="AE205" s="33"/>
      <c r="AF205" s="7" t="b">
        <f>IF(VLOOKUP(Table2[[#This Row],[Home/Neutral]],division_lookup,9,FALSE)=VLOOKUP(Table2[[#This Row],[Visitor/Neutral]],division_lookup,9,FALSE),TRUE,FALSE)</f>
        <v>0</v>
      </c>
      <c r="AG205" s="15" t="str">
        <f>VLOOKUP(Table2[[#This Row],[Home/Neutral]],division_lookup,9,FALSE)</f>
        <v>NW</v>
      </c>
      <c r="AH205" s="15" t="str">
        <f>IF(Table2[[#This Row],[Total/EV]]&lt;Table2[[#This Row],[Total/V]],"UNDER","OVER")</f>
        <v>UNDER</v>
      </c>
      <c r="AI205" s="15">
        <f>Table2[[#This Row],[SRS/Real]]-Table2[[#This Row],[Spread/V]]</f>
        <v>-7.2</v>
      </c>
      <c r="AJ205" s="2"/>
      <c r="AK205" s="2"/>
      <c r="AL205" s="18">
        <f>Table2[[#This Row],[SRS]]-Table2[[#This Row],[Spread]]</f>
        <v>-7.1186885245901657</v>
      </c>
      <c r="AM205" s="21">
        <f>Table2[[#This Row],[(A) Err]]^2</f>
        <v>50.675726310131708</v>
      </c>
      <c r="AN205" s="6">
        <f>Table2[[#This Row],[EV]]-Table2[[#This Row],[Spread]]</f>
        <v>-14.755946437174515</v>
      </c>
      <c r="AO205" s="1">
        <f>Table2[[#This Row],[EV Err]]^2</f>
        <v>217.73795525676326</v>
      </c>
      <c r="AP205" s="1"/>
    </row>
    <row r="206" spans="1:42" x14ac:dyDescent="0.25">
      <c r="A206" s="34">
        <v>42695</v>
      </c>
      <c r="B206" t="s">
        <v>138</v>
      </c>
      <c r="C206" t="s">
        <v>124</v>
      </c>
      <c r="D206">
        <f>IF((Table2[[#This Row],[Spread]]-Table2[[#This Row],[Spread/V]])=0,1,IF(Table2[[#This Row],[Spread]]&lt;Table2[[#This Row],[Spread/V]],1,0))</f>
        <v>1</v>
      </c>
      <c r="E206">
        <v>101</v>
      </c>
      <c r="F206">
        <f>IF((Table2[[#This Row],[Spread]]-Table2[[#This Row],[Spread/V]])=0,1,IF(Table2[[#This Row],[Spread]]&gt;Table2[[#This Row],[Spread/V]],1,0))</f>
        <v>0</v>
      </c>
      <c r="G206">
        <v>94</v>
      </c>
      <c r="H206" s="7">
        <f t="shared" si="6"/>
        <v>195</v>
      </c>
      <c r="I206">
        <f>IF(Table2[[#This Row],[Total/V]]&lt;=Table2[[#This Row],[Total]],1,0)</f>
        <v>0</v>
      </c>
      <c r="J206">
        <v>201</v>
      </c>
      <c r="K206"/>
      <c r="L206" s="21">
        <f>(Table2[[#This Row],[H/Pace]]/100)*(VLOOKUP(Table2[[#This Row],[Home/Neutral]],home_lookup,8,FALSE)+VLOOKUP(Table2[[#This Row],[Home/Neutral]],OFR_lookup,2,FALSE)+VLOOKUP(Table2[[#This Row],[Visitor/Neutral]],def_diff_lookup,6,FALSE))</f>
        <v>96.950283531240103</v>
      </c>
      <c r="M206" s="21"/>
      <c r="N206" s="21">
        <f>(Table2[[#This Row],[A/Pace]]/100)*(VLOOKUP(Table2[[#This Row],[Visitor/Neutral]],OFR_lookup,2,FALSE)+VLOOKUP(Table2[[#This Row],[Home/Neutral]],def_diff_lookup,6,FALSE))</f>
        <v>98.352829666666665</v>
      </c>
      <c r="O206" s="21"/>
      <c r="P206" s="21"/>
      <c r="Q206">
        <f>VLOOKUP(Table2[[#This Row],[Home/Neutral]],pace_lookup,7,FALSE)</f>
        <v>97.5</v>
      </c>
      <c r="R206" s="5">
        <f>VLOOKUP(Table2[[#This Row],[Visitor/Neutral]],pace_lookup,7,FALSE)</f>
        <v>93.7</v>
      </c>
      <c r="S206" s="7">
        <f t="shared" si="7"/>
        <v>-7</v>
      </c>
      <c r="T206">
        <v>4.5</v>
      </c>
      <c r="U206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6">
        <v>8.6999999999999993</v>
      </c>
      <c r="W206" s="2">
        <f>-home-VLOOKUP(Table2[[#This Row],[Home/Neutral]],rtg_vlookup,4,FALSE)+VLOOKUP(Table2[[#This Row],[Visitor/Neutral]],rtg_vlookup,4,FALSE)</f>
        <v>5.6513114754098348</v>
      </c>
      <c r="X206" s="15"/>
      <c r="Y206" s="2"/>
      <c r="Z206" s="2">
        <f>Table2[[#This Row],[A/EV]]-Table2[[#This Row],[H/EV]]</f>
        <v>1.4025461354265616</v>
      </c>
      <c r="AA206" s="29" t="str">
        <f>IF(Table2[[#This Row],[Spread/V]]&gt;=Table2[[#This Row],[SRS/Real]],"HOME","AWAY")</f>
        <v>AWAY</v>
      </c>
      <c r="AB206" s="33"/>
      <c r="AC206" s="33"/>
      <c r="AD206" s="33"/>
      <c r="AE206" s="33"/>
      <c r="AF206" s="7" t="b">
        <f>IF(VLOOKUP(Table2[[#This Row],[Home/Neutral]],division_lookup,9,FALSE)=VLOOKUP(Table2[[#This Row],[Visitor/Neutral]],division_lookup,9,FALSE),TRUE,FALSE)</f>
        <v>0</v>
      </c>
      <c r="AG206" s="15" t="str">
        <f>VLOOKUP(Table2[[#This Row],[Home/Neutral]],division_lookup,9,FALSE)</f>
        <v>A</v>
      </c>
      <c r="AH206" s="15" t="str">
        <f>IF(Table2[[#This Row],[Total/EV]]&lt;Table2[[#This Row],[Total/V]],"UNDER","OVER")</f>
        <v>UNDER</v>
      </c>
      <c r="AI206" s="15">
        <f>Table2[[#This Row],[SRS/Real]]-Table2[[#This Row],[Spread/V]]</f>
        <v>4.1999999999999993</v>
      </c>
      <c r="AJ206" s="2"/>
      <c r="AK206" s="2"/>
      <c r="AL206" s="18">
        <f>Table2[[#This Row],[SRS]]-Table2[[#This Row],[Spread]]</f>
        <v>12.651311475409834</v>
      </c>
      <c r="AM206" s="21">
        <f>Table2[[#This Row],[(A) Err]]^2</f>
        <v>160.05568204783654</v>
      </c>
      <c r="AN206" s="6">
        <f>Table2[[#This Row],[EV]]-Table2[[#This Row],[Spread]]</f>
        <v>8.4025461354265616</v>
      </c>
      <c r="AO206" s="1">
        <f>Table2[[#This Row],[EV Err]]^2</f>
        <v>70.602781557971852</v>
      </c>
      <c r="AP206" s="1"/>
    </row>
    <row r="207" spans="1:42" x14ac:dyDescent="0.25">
      <c r="A207" s="34">
        <v>42695</v>
      </c>
      <c r="B207" t="s">
        <v>134</v>
      </c>
      <c r="C207" t="s">
        <v>115</v>
      </c>
      <c r="D207">
        <f>IF((Table2[[#This Row],[Spread]]-Table2[[#This Row],[Spread/V]])=0,1,IF(Table2[[#This Row],[Spread]]&lt;Table2[[#This Row],[Spread/V]],1,0))</f>
        <v>0</v>
      </c>
      <c r="E207">
        <v>96</v>
      </c>
      <c r="F207">
        <f>IF((Table2[[#This Row],[Spread]]-Table2[[#This Row],[Spread/V]])=0,1,IF(Table2[[#This Row],[Spread]]&gt;Table2[[#This Row],[Spread/V]],1,0))</f>
        <v>1</v>
      </c>
      <c r="G207">
        <v>91</v>
      </c>
      <c r="H207" s="7">
        <f t="shared" si="6"/>
        <v>187</v>
      </c>
      <c r="I207">
        <f>IF(Table2[[#This Row],[Total/V]]&lt;=Table2[[#This Row],[Total]],1,0)</f>
        <v>1</v>
      </c>
      <c r="J207">
        <v>187</v>
      </c>
      <c r="K207"/>
      <c r="L207" s="21">
        <f>(Table2[[#This Row],[H/Pace]]/100)*(VLOOKUP(Table2[[#This Row],[Home/Neutral]],home_lookup,8,FALSE)+VLOOKUP(Table2[[#This Row],[Home/Neutral]],OFR_lookup,2,FALSE)+VLOOKUP(Table2[[#This Row],[Visitor/Neutral]],def_diff_lookup,6,FALSE))</f>
        <v>100.01967343638194</v>
      </c>
      <c r="M207" s="21"/>
      <c r="N207" s="21">
        <f>(Table2[[#This Row],[A/Pace]]/100)*(VLOOKUP(Table2[[#This Row],[Visitor/Neutral]],OFR_lookup,2,FALSE)+VLOOKUP(Table2[[#This Row],[Home/Neutral]],def_diff_lookup,6,FALSE))</f>
        <v>88.938434333333348</v>
      </c>
      <c r="O207" s="21"/>
      <c r="P207" s="21"/>
      <c r="Q207">
        <f>VLOOKUP(Table2[[#This Row],[Home/Neutral]],pace_lookup,7,FALSE)</f>
        <v>93.4</v>
      </c>
      <c r="R207" s="5">
        <f>VLOOKUP(Table2[[#This Row],[Visitor/Neutral]],pace_lookup,7,FALSE)</f>
        <v>92.9</v>
      </c>
      <c r="S207" s="7">
        <f t="shared" si="7"/>
        <v>-5</v>
      </c>
      <c r="T207">
        <v>-15.5</v>
      </c>
      <c r="U207" s="1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7">
        <v>-19.399999999999999</v>
      </c>
      <c r="W207" s="2">
        <f>-home-VLOOKUP(Table2[[#This Row],[Home/Neutral]],rtg_vlookup,4,FALSE)+VLOOKUP(Table2[[#This Row],[Visitor/Neutral]],rtg_vlookup,4,FALSE)</f>
        <v>-19.028688524590166</v>
      </c>
      <c r="X207" s="15"/>
      <c r="Y207" s="2"/>
      <c r="Z207" s="2">
        <f>Table2[[#This Row],[A/EV]]-Table2[[#This Row],[H/EV]]</f>
        <v>-11.081239103048588</v>
      </c>
      <c r="AA207" s="29" t="str">
        <f>IF(Table2[[#This Row],[Spread/V]]&gt;=Table2[[#This Row],[SRS/Real]],"HOME","AWAY")</f>
        <v>HOME</v>
      </c>
      <c r="AB207" s="33"/>
      <c r="AC207" s="33"/>
      <c r="AD207" s="33"/>
      <c r="AE207" s="33"/>
      <c r="AF207" s="7" t="b">
        <f>IF(VLOOKUP(Table2[[#This Row],[Home/Neutral]],division_lookup,9,FALSE)=VLOOKUP(Table2[[#This Row],[Visitor/Neutral]],division_lookup,9,FALSE),TRUE,FALSE)</f>
        <v>1</v>
      </c>
      <c r="AG207" s="15" t="str">
        <f>VLOOKUP(Table2[[#This Row],[Home/Neutral]],division_lookup,9,FALSE)</f>
        <v>SW</v>
      </c>
      <c r="AH207" s="15" t="str">
        <f>IF(Table2[[#This Row],[Total/EV]]&lt;Table2[[#This Row],[Total/V]],"UNDER","OVER")</f>
        <v>UNDER</v>
      </c>
      <c r="AI207" s="15">
        <f>Table2[[#This Row],[SRS/Real]]-Table2[[#This Row],[Spread/V]]</f>
        <v>-3.8999999999999986</v>
      </c>
      <c r="AJ207" s="2"/>
      <c r="AK207" s="2"/>
      <c r="AL207" s="18">
        <f>Table2[[#This Row],[SRS]]-Table2[[#This Row],[Spread]]</f>
        <v>-14.028688524590166</v>
      </c>
      <c r="AM207" s="21">
        <f>Table2[[#This Row],[(A) Err]]^2</f>
        <v>196.8041017199678</v>
      </c>
      <c r="AN207" s="6">
        <f>Table2[[#This Row],[EV]]-Table2[[#This Row],[Spread]]</f>
        <v>-6.0812391030485884</v>
      </c>
      <c r="AO207" s="1">
        <f>Table2[[#This Row],[EV Err]]^2</f>
        <v>36.981469028447201</v>
      </c>
      <c r="AP207" s="1"/>
    </row>
    <row r="208" spans="1:42" ht="15.75" thickBot="1" x14ac:dyDescent="0.3">
      <c r="A208" s="100">
        <v>42695</v>
      </c>
      <c r="B208" s="3" t="s">
        <v>137</v>
      </c>
      <c r="C208" s="3" t="s">
        <v>131</v>
      </c>
      <c r="D208" s="3">
        <f>IF((Table2[[#This Row],[Spread]]-Table2[[#This Row],[Spread/V]])=0,1,IF(Table2[[#This Row],[Spread]]&lt;Table2[[#This Row],[Spread/V]],1,0))</f>
        <v>0</v>
      </c>
      <c r="E208" s="3">
        <v>106</v>
      </c>
      <c r="F208" s="3">
        <f>IF((Table2[[#This Row],[Spread]]-Table2[[#This Row],[Spread/V]])=0,1,IF(Table2[[#This Row],[Spread]]&gt;Table2[[#This Row],[Spread/V]],1,0))</f>
        <v>1</v>
      </c>
      <c r="G208" s="3">
        <v>101</v>
      </c>
      <c r="H208" s="8">
        <f t="shared" si="6"/>
        <v>207</v>
      </c>
      <c r="I208" s="3">
        <f>IF(Table2[[#This Row],[Total/V]]&lt;=Table2[[#This Row],[Total]],1,0)</f>
        <v>0</v>
      </c>
      <c r="J208" s="3">
        <v>220.5</v>
      </c>
      <c r="K208" s="3"/>
      <c r="L208" s="22">
        <f>(Table2[[#This Row],[H/Pace]]/100)*(VLOOKUP(Table2[[#This Row],[Home/Neutral]],home_lookup,8,FALSE)+VLOOKUP(Table2[[#This Row],[Home/Neutral]],OFR_lookup,2,FALSE)+VLOOKUP(Table2[[#This Row],[Visitor/Neutral]],def_diff_lookup,6,FALSE))</f>
        <v>108.98173255421871</v>
      </c>
      <c r="M208" s="22"/>
      <c r="N208" s="22">
        <f>(Table2[[#This Row],[A/Pace]]/100)*(VLOOKUP(Table2[[#This Row],[Visitor/Neutral]],OFR_lookup,2,FALSE)+VLOOKUP(Table2[[#This Row],[Home/Neutral]],def_diff_lookup,6,FALSE))</f>
        <v>106.69923299999999</v>
      </c>
      <c r="O208" s="22"/>
      <c r="P208" s="22"/>
      <c r="Q208" s="3">
        <f>VLOOKUP(Table2[[#This Row],[Home/Neutral]],pace_lookup,7,FALSE)</f>
        <v>96</v>
      </c>
      <c r="R208" s="3">
        <f>VLOOKUP(Table2[[#This Row],[Visitor/Neutral]],pace_lookup,7,FALSE)</f>
        <v>101.7</v>
      </c>
      <c r="S208" s="8">
        <f t="shared" si="7"/>
        <v>-5</v>
      </c>
      <c r="T208" s="3">
        <v>-8</v>
      </c>
      <c r="U208" s="16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08" s="3">
        <v>-7.5</v>
      </c>
      <c r="W208" s="9">
        <f>-home-VLOOKUP(Table2[[#This Row],[Home/Neutral]],rtg_vlookup,4,FALSE)+VLOOKUP(Table2[[#This Row],[Visitor/Neutral]],rtg_vlookup,4,FALSE)</f>
        <v>-6.1686885245901664</v>
      </c>
      <c r="X208" s="16"/>
      <c r="Y208" s="9"/>
      <c r="Z208" s="9">
        <f>Table2[[#This Row],[A/EV]]-Table2[[#This Row],[H/EV]]</f>
        <v>-2.2824995542187168</v>
      </c>
      <c r="AA208" s="31" t="str">
        <f>IF(Table2[[#This Row],[Spread/V]]&gt;=Table2[[#This Row],[SRS/Real]],"HOME","AWAY")</f>
        <v>AWAY</v>
      </c>
      <c r="AB208" s="32"/>
      <c r="AC208" s="32"/>
      <c r="AD208" s="32"/>
      <c r="AE208" s="32"/>
      <c r="AF208" s="8" t="b">
        <f>IF(VLOOKUP(Table2[[#This Row],[Home/Neutral]],division_lookup,9,FALSE)=VLOOKUP(Table2[[#This Row],[Visitor/Neutral]],division_lookup,9,FALSE),TRUE,FALSE)</f>
        <v>0</v>
      </c>
      <c r="AG208" s="16" t="str">
        <f>VLOOKUP(Table2[[#This Row],[Home/Neutral]],division_lookup,9,FALSE)</f>
        <v>SE</v>
      </c>
      <c r="AH208" s="16" t="str">
        <f>IF(Table2[[#This Row],[Total/EV]]&lt;Table2[[#This Row],[Total/V]],"UNDER","OVER")</f>
        <v>UNDER</v>
      </c>
      <c r="AI208" s="16">
        <f>Table2[[#This Row],[SRS/Real]]-Table2[[#This Row],[Spread/V]]</f>
        <v>0.5</v>
      </c>
      <c r="AJ208" s="9"/>
      <c r="AK208" s="9"/>
      <c r="AL208" s="19">
        <f>Table2[[#This Row],[SRS]]-Table2[[#This Row],[Spread]]</f>
        <v>-1.1686885245901664</v>
      </c>
      <c r="AM208" s="22">
        <f>Table2[[#This Row],[(A) Err]]^2</f>
        <v>1.3658328675087399</v>
      </c>
      <c r="AN208" s="4">
        <f>Table2[[#This Row],[EV]]-Table2[[#This Row],[Spread]]</f>
        <v>2.7175004457812832</v>
      </c>
      <c r="AO208" s="4">
        <f>Table2[[#This Row],[EV Err]]^2</f>
        <v>7.3848086728214728</v>
      </c>
      <c r="AP208" s="1"/>
    </row>
    <row r="209" spans="1:42" x14ac:dyDescent="0.25">
      <c r="A209" s="77">
        <v>42696</v>
      </c>
      <c r="B209" s="49" t="s">
        <v>109</v>
      </c>
      <c r="C209" s="49" t="s">
        <v>127</v>
      </c>
      <c r="D209" s="49">
        <f>IF((Table2[[#This Row],[Spread]]-Table2[[#This Row],[Spread/V]])=0,1,IF(Table2[[#This Row],[Spread]]&lt;Table2[[#This Row],[Spread/V]],1,0))</f>
        <v>0</v>
      </c>
      <c r="E209" s="49">
        <v>94</v>
      </c>
      <c r="F209" s="49">
        <f>IF((Table2[[#This Row],[Spread]]-Table2[[#This Row],[Spread/V]])=0,1,IF(Table2[[#This Row],[Spread]]&gt;Table2[[#This Row],[Spread/V]],1,0))</f>
        <v>1</v>
      </c>
      <c r="G209" s="49">
        <v>112</v>
      </c>
      <c r="H209" s="50">
        <f>Table2[[#This Row],[H/Pts]]+Table2[[#This Row],[A/Pts]]</f>
        <v>206</v>
      </c>
      <c r="I209" s="49">
        <f>IF(Table2[[#This Row],[Total/V]]&lt;=Table2[[#This Row],[Total]],1,0)</f>
        <v>0</v>
      </c>
      <c r="J209" s="49">
        <v>210</v>
      </c>
      <c r="K209" s="49">
        <v>98</v>
      </c>
      <c r="L209" s="51">
        <f>(Table2[[#This Row],[H/Pace]]/100)*(VLOOKUP(Table2[[#This Row],[Home/Neutral]],home_lookup,8,FALSE)+VLOOKUP(Table2[[#This Row],[Home/Neutral]],OFR_lookup,2,FALSE)+VLOOKUP(Table2[[#This Row],[Visitor/Neutral]],def_diff_lookup,6,FALSE))</f>
        <v>99.115846607286372</v>
      </c>
      <c r="M209" s="51">
        <v>92</v>
      </c>
      <c r="N209" s="51">
        <f>(Table2[[#This Row],[A/Pace]]/100)*(VLOOKUP(Table2[[#This Row],[Visitor/Neutral]],OFR_lookup,2,FALSE)+VLOOKUP(Table2[[#This Row],[Home/Neutral]],def_diff_lookup,6,FALSE))</f>
        <v>95.154887000000002</v>
      </c>
      <c r="O209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09" s="51">
        <f>Table2[[#This Row],[H/EV/Real]]+Table2[[#This Row],[A/EV/Real]]</f>
        <v>190</v>
      </c>
      <c r="Q209" s="49">
        <f>VLOOKUP(Table2[[#This Row],[Home/Neutral]],pace_lookup,7,FALSE)</f>
        <v>99.2</v>
      </c>
      <c r="R209" s="52">
        <f>VLOOKUP(Table2[[#This Row],[Visitor/Neutral]],pace_lookup,7,FALSE)</f>
        <v>99.3</v>
      </c>
      <c r="S209" s="50">
        <f>Table2[[#This Row],[A/Pts]]-Table2[[#This Row],[H/Pts]]</f>
        <v>18</v>
      </c>
      <c r="T209" s="49">
        <v>-8.5</v>
      </c>
      <c r="U209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09" s="49">
        <v>-14.2</v>
      </c>
      <c r="W209" s="53">
        <f>-home-VLOOKUP(Table2[[#This Row],[Home/Neutral]],rtg_vlookup,4,FALSE)+VLOOKUP(Table2[[#This Row],[Visitor/Neutral]],rtg_vlookup,4,FALSE)</f>
        <v>-7.7186885245901662</v>
      </c>
      <c r="X209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09" s="53">
        <v>-6.15</v>
      </c>
      <c r="Z209" s="53">
        <f>Table2[[#This Row],[A/EV]]-Table2[[#This Row],[H/EV]]</f>
        <v>-3.9609596072863695</v>
      </c>
      <c r="AA209" s="29" t="str">
        <f>IF(Table2[[#This Row],[Spread/V]]&gt;=Table2[[#This Row],[SRS/Real]],"HOME","AWAY")</f>
        <v>HOME</v>
      </c>
      <c r="AB209" s="33" t="str">
        <f>IF(Table2[[#This Row],[Spread/V]]&gt;=Table2[[#This Row],[EV/Real]],"HOME","AWAY")</f>
        <v>AWAY</v>
      </c>
      <c r="AC209" s="33">
        <v>0</v>
      </c>
      <c r="AD209" s="33"/>
      <c r="AE209" s="33">
        <v>1</v>
      </c>
      <c r="AF209" s="7" t="b">
        <f>IF(VLOOKUP(Table2[[#This Row],[Home/Neutral]],division_lookup,9,FALSE)=VLOOKUP(Table2[[#This Row],[Visitor/Neutral]],division_lookup,9,FALSE),TRUE,FALSE)</f>
        <v>0</v>
      </c>
      <c r="AG209" s="15" t="str">
        <f>VLOOKUP(Table2[[#This Row],[Home/Neutral]],division_lookup,9,FALSE)</f>
        <v>SE</v>
      </c>
      <c r="AH209" s="15" t="str">
        <f>IF(Table2[[#This Row],[Total/EV]]&lt;Table2[[#This Row],[Total/V]],"UNDER","OVER")</f>
        <v>UNDER</v>
      </c>
      <c r="AI209" s="15">
        <f>Table2[[#This Row],[SRS/Real]]-Table2[[#This Row],[Spread/V]]</f>
        <v>-5.6999999999999993</v>
      </c>
      <c r="AJ209" s="2">
        <f>Table2[[#This Row],[EV/Real]]-Table2[[#This Row],[Spread/V]]</f>
        <v>2.3499999999999996</v>
      </c>
      <c r="AK209" s="2">
        <f>Table2[[#This Row],[SRS/Diff]]-Table2[[#This Row],[EV/Diff]]</f>
        <v>-8.0499999999999989</v>
      </c>
      <c r="AL209" s="18">
        <f>Table2[[#This Row],[SRS]]-Table2[[#This Row],[Spread]]</f>
        <v>-25.718688524590167</v>
      </c>
      <c r="AM209" s="21">
        <f>Table2[[#This Row],[(A) Err]]^2</f>
        <v>661.45093942488597</v>
      </c>
      <c r="AN209" s="6">
        <f>Table2[[#This Row],[EV]]-Table2[[#This Row],[Spread]]</f>
        <v>-21.96095960728637</v>
      </c>
      <c r="AO209" s="1">
        <f>Table2[[#This Row],[EV Err]]^2</f>
        <v>482.2837468728635</v>
      </c>
      <c r="AP209" s="1"/>
    </row>
    <row r="210" spans="1:42" x14ac:dyDescent="0.25">
      <c r="A210" s="77">
        <v>42696</v>
      </c>
      <c r="B210" s="49" t="s">
        <v>116</v>
      </c>
      <c r="C210" s="49" t="s">
        <v>113</v>
      </c>
      <c r="D210" s="49">
        <f>IF((Table2[[#This Row],[Spread]]-Table2[[#This Row],[Spread/V]])=0,1,IF(Table2[[#This Row],[Spread]]&lt;Table2[[#This Row],[Spread/V]],1,0))</f>
        <v>1</v>
      </c>
      <c r="E210" s="49">
        <v>110</v>
      </c>
      <c r="F210" s="49">
        <f>IF((Table2[[#This Row],[Spread]]-Table2[[#This Row],[Spread/V]])=0,1,IF(Table2[[#This Row],[Spread]]&gt;Table2[[#This Row],[Spread/V]],1,0))</f>
        <v>0</v>
      </c>
      <c r="G210" s="49">
        <v>107</v>
      </c>
      <c r="H210" s="50">
        <f>Table2[[#This Row],[H/Pts]]+Table2[[#This Row],[A/Pts]]</f>
        <v>217</v>
      </c>
      <c r="I210" s="49">
        <f>IF(Table2[[#This Row],[Total/V]]&lt;=Table2[[#This Row],[Total]],1,0)</f>
        <v>1</v>
      </c>
      <c r="J210" s="49">
        <v>208</v>
      </c>
      <c r="K210" s="49">
        <v>104</v>
      </c>
      <c r="L210" s="51">
        <f>(Table2[[#This Row],[H/Pace]]/100)*(VLOOKUP(Table2[[#This Row],[Home/Neutral]],home_lookup,8,FALSE)+VLOOKUP(Table2[[#This Row],[Home/Neutral]],OFR_lookup,2,FALSE)+VLOOKUP(Table2[[#This Row],[Visitor/Neutral]],def_diff_lookup,6,FALSE))</f>
        <v>104.46974470161864</v>
      </c>
      <c r="M210" s="51">
        <v>105</v>
      </c>
      <c r="N210" s="51">
        <f>(Table2[[#This Row],[A/Pace]]/100)*(VLOOKUP(Table2[[#This Row],[Visitor/Neutral]],OFR_lookup,2,FALSE)+VLOOKUP(Table2[[#This Row],[Home/Neutral]],def_diff_lookup,6,FALSE))</f>
        <v>105.66148899999999</v>
      </c>
      <c r="O210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0" s="51">
        <f>Table2[[#This Row],[H/EV/Real]]+Table2[[#This Row],[A/EV/Real]]</f>
        <v>209</v>
      </c>
      <c r="Q210" s="49">
        <f>VLOOKUP(Table2[[#This Row],[Home/Neutral]],pace_lookup,7,FALSE)</f>
        <v>99.1</v>
      </c>
      <c r="R210" s="52">
        <f>VLOOKUP(Table2[[#This Row],[Visitor/Neutral]],pace_lookup,7,FALSE)</f>
        <v>95.1</v>
      </c>
      <c r="S210" s="50">
        <f>Table2[[#This Row],[A/Pts]]-Table2[[#This Row],[H/Pts]]</f>
        <v>-3</v>
      </c>
      <c r="T210" s="49">
        <v>1.5</v>
      </c>
      <c r="U210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0" s="49">
        <v>3.4</v>
      </c>
      <c r="W210" s="53">
        <f>-home-VLOOKUP(Table2[[#This Row],[Home/Neutral]],rtg_vlookup,4,FALSE)+VLOOKUP(Table2[[#This Row],[Visitor/Neutral]],rtg_vlookup,4,FALSE)</f>
        <v>2.6113114754098343</v>
      </c>
      <c r="X210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0" s="53">
        <v>0.87</v>
      </c>
      <c r="Z210" s="53">
        <f>Table2[[#This Row],[A/EV]]-Table2[[#This Row],[H/EV]]</f>
        <v>1.1917442983813515</v>
      </c>
      <c r="AA210" s="29" t="str">
        <f>IF(Table2[[#This Row],[Spread/V]]&gt;=Table2[[#This Row],[SRS/Real]],"HOME","AWAY")</f>
        <v>AWAY</v>
      </c>
      <c r="AB210" s="33" t="str">
        <f>IF(Table2[[#This Row],[Spread/V]]&gt;=Table2[[#This Row],[EV/Real]],"HOME","AWAY")</f>
        <v>HOME</v>
      </c>
      <c r="AC210" s="33">
        <v>0</v>
      </c>
      <c r="AD210" s="33"/>
      <c r="AE210" s="33">
        <v>1</v>
      </c>
      <c r="AF210" s="7" t="b">
        <f>IF(VLOOKUP(Table2[[#This Row],[Home/Neutral]],division_lookup,9,FALSE)=VLOOKUP(Table2[[#This Row],[Visitor/Neutral]],division_lookup,9,FALSE),TRUE,FALSE)</f>
        <v>0</v>
      </c>
      <c r="AG210" s="15" t="str">
        <f>VLOOKUP(Table2[[#This Row],[Home/Neutral]],division_lookup,9,FALSE)</f>
        <v>NW</v>
      </c>
      <c r="AH210" s="15" t="str">
        <f>IF(Table2[[#This Row],[Total/EV]]&lt;Table2[[#This Row],[Total/V]],"UNDER","OVER")</f>
        <v>OVER</v>
      </c>
      <c r="AI210" s="15">
        <f>Table2[[#This Row],[SRS/Real]]-Table2[[#This Row],[Spread/V]]</f>
        <v>1.9</v>
      </c>
      <c r="AJ210" s="2">
        <f>Table2[[#This Row],[EV/Real]]-Table2[[#This Row],[Spread/V]]</f>
        <v>-0.63</v>
      </c>
      <c r="AK210" s="2">
        <f>Table2[[#This Row],[SRS/Diff]]-Table2[[#This Row],[EV/Diff]]</f>
        <v>2.5299999999999998</v>
      </c>
      <c r="AL210" s="18">
        <f>Table2[[#This Row],[SRS]]-Table2[[#This Row],[Spread]]</f>
        <v>5.6113114754098348</v>
      </c>
      <c r="AM210" s="21">
        <f>Table2[[#This Row],[(A) Err]]^2</f>
        <v>31.486816474066096</v>
      </c>
      <c r="AN210" s="6">
        <f>Table2[[#This Row],[EV]]-Table2[[#This Row],[Spread]]</f>
        <v>4.1917442983813515</v>
      </c>
      <c r="AO210" s="1">
        <f>Table2[[#This Row],[EV Err]]^2</f>
        <v>17.570720263012568</v>
      </c>
      <c r="AP210" s="1"/>
    </row>
    <row r="211" spans="1:42" x14ac:dyDescent="0.25">
      <c r="A211" s="77">
        <v>42696</v>
      </c>
      <c r="B211" s="49" t="s">
        <v>122</v>
      </c>
      <c r="C211" s="49" t="s">
        <v>129</v>
      </c>
      <c r="D211" s="49">
        <f>IF((Table2[[#This Row],[Spread]]-Table2[[#This Row],[Spread/V]])=0,1,IF(Table2[[#This Row],[Spread]]&lt;Table2[[#This Row],[Spread/V]],1,0))</f>
        <v>1</v>
      </c>
      <c r="E211" s="49">
        <v>111</v>
      </c>
      <c r="F211" s="49">
        <f>IF((Table2[[#This Row],[Spread]]-Table2[[#This Row],[Spread/V]])=0,1,IF(Table2[[#This Row],[Spread]]&gt;Table2[[#This Row],[Spread/V]],1,0))</f>
        <v>0</v>
      </c>
      <c r="G211" s="49">
        <v>109</v>
      </c>
      <c r="H211" s="50">
        <f>Table2[[#This Row],[H/Pts]]+Table2[[#This Row],[A/Pts]]</f>
        <v>220</v>
      </c>
      <c r="I211" s="49">
        <f>IF(Table2[[#This Row],[Total/V]]&lt;=Table2[[#This Row],[Total]],1,0)</f>
        <v>0</v>
      </c>
      <c r="J211" s="49">
        <v>221</v>
      </c>
      <c r="K211" s="49">
        <v>105</v>
      </c>
      <c r="L211" s="51">
        <f>(Table2[[#This Row],[H/Pace]]/100)*(VLOOKUP(Table2[[#This Row],[Home/Neutral]],home_lookup,8,FALSE)+VLOOKUP(Table2[[#This Row],[Home/Neutral]],OFR_lookup,2,FALSE)+VLOOKUP(Table2[[#This Row],[Visitor/Neutral]],def_diff_lookup,6,FALSE))</f>
        <v>107.88414832744732</v>
      </c>
      <c r="M211" s="51">
        <v>108</v>
      </c>
      <c r="N211" s="51">
        <f>(Table2[[#This Row],[A/Pace]]/100)*(VLOOKUP(Table2[[#This Row],[Visitor/Neutral]],OFR_lookup,2,FALSE)+VLOOKUP(Table2[[#This Row],[Home/Neutral]],def_diff_lookup,6,FALSE))</f>
        <v>109.69760999999998</v>
      </c>
      <c r="O211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1" s="51">
        <f>Table2[[#This Row],[H/EV/Real]]+Table2[[#This Row],[A/EV/Real]]</f>
        <v>213</v>
      </c>
      <c r="Q211" s="49">
        <f>VLOOKUP(Table2[[#This Row],[Home/Neutral]],pace_lookup,7,FALSE)</f>
        <v>100.2</v>
      </c>
      <c r="R211" s="52">
        <f>VLOOKUP(Table2[[#This Row],[Visitor/Neutral]],pace_lookup,7,FALSE)</f>
        <v>99</v>
      </c>
      <c r="S211" s="50">
        <f>Table2[[#This Row],[A/Pts]]-Table2[[#This Row],[H/Pts]]</f>
        <v>-2</v>
      </c>
      <c r="T211" s="49">
        <v>3.5</v>
      </c>
      <c r="U211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11" s="49">
        <v>-0.8</v>
      </c>
      <c r="W211" s="53">
        <f>-home-VLOOKUP(Table2[[#This Row],[Home/Neutral]],rtg_vlookup,4,FALSE)+VLOOKUP(Table2[[#This Row],[Visitor/Neutral]],rtg_vlookup,4,FALSE)</f>
        <v>0.98131147540983421</v>
      </c>
      <c r="X211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1" s="53">
        <v>2.87</v>
      </c>
      <c r="Z211" s="53">
        <f>Table2[[#This Row],[A/EV]]-Table2[[#This Row],[H/EV]]</f>
        <v>1.8134616725526627</v>
      </c>
      <c r="AA211" s="29" t="str">
        <f>IF(Table2[[#This Row],[Spread/V]]&gt;=Table2[[#This Row],[SRS/Real]],"HOME","AWAY")</f>
        <v>HOME</v>
      </c>
      <c r="AB211" s="33" t="str">
        <f>IF(Table2[[#This Row],[Spread/V]]&gt;=Table2[[#This Row],[EV/Real]],"HOME","AWAY")</f>
        <v>HOME</v>
      </c>
      <c r="AC211" s="33"/>
      <c r="AD211" s="33">
        <v>1</v>
      </c>
      <c r="AE211" s="33"/>
      <c r="AF211" s="7" t="b">
        <f>IF(VLOOKUP(Table2[[#This Row],[Home/Neutral]],division_lookup,9,FALSE)=VLOOKUP(Table2[[#This Row],[Visitor/Neutral]],division_lookup,9,FALSE),TRUE,FALSE)</f>
        <v>0</v>
      </c>
      <c r="AG211" s="15" t="str">
        <f>VLOOKUP(Table2[[#This Row],[Home/Neutral]],division_lookup,9,FALSE)</f>
        <v>P</v>
      </c>
      <c r="AH211" s="15" t="str">
        <f>IF(Table2[[#This Row],[Total/EV]]&lt;Table2[[#This Row],[Total/V]],"UNDER","OVER")</f>
        <v>UNDER</v>
      </c>
      <c r="AI211" s="15">
        <f>Table2[[#This Row],[SRS/Real]]-Table2[[#This Row],[Spread/V]]</f>
        <v>-4.3</v>
      </c>
      <c r="AJ211" s="2">
        <f>Table2[[#This Row],[EV/Real]]-Table2[[#This Row],[Spread/V]]</f>
        <v>-0.62999999999999989</v>
      </c>
      <c r="AK211" s="2">
        <f>Table2[[#This Row],[SRS/Diff]]-Table2[[#This Row],[EV/Diff]]</f>
        <v>-3.67</v>
      </c>
      <c r="AL211" s="18">
        <f>Table2[[#This Row],[SRS]]-Table2[[#This Row],[Spread]]</f>
        <v>2.981311475409834</v>
      </c>
      <c r="AM211" s="21">
        <f>Table2[[#This Row],[(A) Err]]^2</f>
        <v>8.8882181134103604</v>
      </c>
      <c r="AN211" s="6">
        <f>Table2[[#This Row],[EV]]-Table2[[#This Row],[Spread]]</f>
        <v>3.8134616725526627</v>
      </c>
      <c r="AO211" s="1">
        <f>Table2[[#This Row],[EV Err]]^2</f>
        <v>14.542489928028152</v>
      </c>
      <c r="AP211" s="1"/>
    </row>
    <row r="212" spans="1:42" ht="15.75" thickBot="1" x14ac:dyDescent="0.3">
      <c r="A212" s="102">
        <v>42696</v>
      </c>
      <c r="B212" s="54" t="s">
        <v>128</v>
      </c>
      <c r="C212" s="54" t="s">
        <v>132</v>
      </c>
      <c r="D212" s="54">
        <f>IF((Table2[[#This Row],[Spread]]-Table2[[#This Row],[Spread/V]])=0,1,IF(Table2[[#This Row],[Spread]]&lt;Table2[[#This Row],[Spread/V]],1,0))</f>
        <v>1</v>
      </c>
      <c r="E212" s="54">
        <v>107</v>
      </c>
      <c r="F212" s="54">
        <f>IF((Table2[[#This Row],[Spread]]-Table2[[#This Row],[Spread/V]])=0,1,IF(Table2[[#This Row],[Spread]]&gt;Table2[[#This Row],[Spread/V]],1,0))</f>
        <v>0</v>
      </c>
      <c r="G212" s="54">
        <v>103</v>
      </c>
      <c r="H212" s="55">
        <f>Table2[[#This Row],[H/Pts]]+Table2[[#This Row],[A/Pts]]</f>
        <v>210</v>
      </c>
      <c r="I212" s="54">
        <f>IF(Table2[[#This Row],[Total/V]]&lt;=Table2[[#This Row],[Total]],1,0)</f>
        <v>0</v>
      </c>
      <c r="J212" s="54">
        <v>216.5</v>
      </c>
      <c r="K212" s="54">
        <v>115</v>
      </c>
      <c r="L212" s="56">
        <f>(Table2[[#This Row],[H/Pace]]/100)*(VLOOKUP(Table2[[#This Row],[Home/Neutral]],home_lookup,8,FALSE)+VLOOKUP(Table2[[#This Row],[Home/Neutral]],OFR_lookup,2,FALSE)+VLOOKUP(Table2[[#This Row],[Visitor/Neutral]],def_diff_lookup,6,FALSE))</f>
        <v>113.7096798778302</v>
      </c>
      <c r="M212" s="56">
        <v>112</v>
      </c>
      <c r="N212" s="56">
        <f>(Table2[[#This Row],[A/Pace]]/100)*(VLOOKUP(Table2[[#This Row],[Visitor/Neutral]],OFR_lookup,2,FALSE)+VLOOKUP(Table2[[#This Row],[Home/Neutral]],def_diff_lookup,6,FALSE))</f>
        <v>111.52115866666668</v>
      </c>
      <c r="O212" s="54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12" s="56">
        <f>Table2[[#This Row],[H/EV/Real]]+Table2[[#This Row],[A/EV/Real]]</f>
        <v>227</v>
      </c>
      <c r="Q212" s="54">
        <f>VLOOKUP(Table2[[#This Row],[Home/Neutral]],pace_lookup,7,FALSE)</f>
        <v>96.3</v>
      </c>
      <c r="R212" s="54">
        <f>VLOOKUP(Table2[[#This Row],[Visitor/Neutral]],pace_lookup,7,FALSE)</f>
        <v>98.8</v>
      </c>
      <c r="S212" s="55">
        <f>Table2[[#This Row],[A/Pts]]-Table2[[#This Row],[H/Pts]]</f>
        <v>-4</v>
      </c>
      <c r="T212" s="54">
        <v>-1.5</v>
      </c>
      <c r="U212" s="73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12" s="54">
        <v>-3.5</v>
      </c>
      <c r="W212" s="57">
        <f>-home-VLOOKUP(Table2[[#This Row],[Home/Neutral]],rtg_vlookup,4,FALSE)+VLOOKUP(Table2[[#This Row],[Visitor/Neutral]],rtg_vlookup,4,FALSE)</f>
        <v>-3.3586885245901659</v>
      </c>
      <c r="X212" s="73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2" s="57">
        <v>-3.59</v>
      </c>
      <c r="Z212" s="57">
        <f>Table2[[#This Row],[A/EV]]-Table2[[#This Row],[H/EV]]</f>
        <v>-2.1885212111635184</v>
      </c>
      <c r="AA212" s="31" t="str">
        <f>IF(Table2[[#This Row],[Spread/V]]&gt;=Table2[[#This Row],[SRS/Real]],"HOME","AWAY")</f>
        <v>HOME</v>
      </c>
      <c r="AB212" s="32" t="str">
        <f>IF(Table2[[#This Row],[Spread/V]]&gt;=Table2[[#This Row],[EV/Real]],"HOME","AWAY")</f>
        <v>HOME</v>
      </c>
      <c r="AC212" s="32"/>
      <c r="AD212" s="32">
        <v>1</v>
      </c>
      <c r="AE212" s="32"/>
      <c r="AF212" s="8" t="b">
        <f>IF(VLOOKUP(Table2[[#This Row],[Home/Neutral]],division_lookup,9,FALSE)=VLOOKUP(Table2[[#This Row],[Visitor/Neutral]],division_lookup,9,FALSE),TRUE,FALSE)</f>
        <v>0</v>
      </c>
      <c r="AG212" s="16" t="str">
        <f>VLOOKUP(Table2[[#This Row],[Home/Neutral]],division_lookup,9,FALSE)</f>
        <v>A</v>
      </c>
      <c r="AH212" s="16" t="str">
        <f>IF(Table2[[#This Row],[Total/EV]]&lt;Table2[[#This Row],[Total/V]],"UNDER","OVER")</f>
        <v>OVER</v>
      </c>
      <c r="AI212" s="16">
        <f>Table2[[#This Row],[SRS/Real]]-Table2[[#This Row],[Spread/V]]</f>
        <v>-2</v>
      </c>
      <c r="AJ212" s="9">
        <f>Table2[[#This Row],[EV/Real]]-Table2[[#This Row],[Spread/V]]</f>
        <v>-2.09</v>
      </c>
      <c r="AK212" s="9">
        <f>Table2[[#This Row],[SRS/Diff]]-Table2[[#This Row],[EV/Diff]]</f>
        <v>8.9999999999999858E-2</v>
      </c>
      <c r="AL212" s="19">
        <f>Table2[[#This Row],[SRS]]-Table2[[#This Row],[Spread]]</f>
        <v>0.64131147540983413</v>
      </c>
      <c r="AM212" s="22">
        <f>Table2[[#This Row],[(A) Err]]^2</f>
        <v>0.41128040849233827</v>
      </c>
      <c r="AN212" s="4">
        <f>Table2[[#This Row],[EV]]-Table2[[#This Row],[Spread]]</f>
        <v>1.8114787888364816</v>
      </c>
      <c r="AO212" s="4">
        <f>Table2[[#This Row],[EV Err]]^2</f>
        <v>3.2814554024044864</v>
      </c>
      <c r="AP212" s="1"/>
    </row>
    <row r="213" spans="1:42" x14ac:dyDescent="0.25">
      <c r="A213" s="77">
        <v>42697</v>
      </c>
      <c r="B213" s="49" t="s">
        <v>111</v>
      </c>
      <c r="C213" s="49" t="s">
        <v>110</v>
      </c>
      <c r="D213" s="49">
        <f>IF((Table2[[#This Row],[Spread]]-Table2[[#This Row],[Spread/V]])=0,1,IF(Table2[[#This Row],[Spread]]&lt;Table2[[#This Row],[Spread/V]],1,0))</f>
        <v>0</v>
      </c>
      <c r="E213" s="49">
        <v>92</v>
      </c>
      <c r="F213" s="49">
        <f>IF((Table2[[#This Row],[Spread]]-Table2[[#This Row],[Spread/V]])=0,1,IF(Table2[[#This Row],[Spread]]&gt;Table2[[#This Row],[Spread/V]],1,0))</f>
        <v>1</v>
      </c>
      <c r="G213" s="49">
        <v>111</v>
      </c>
      <c r="H213" s="64">
        <f>Table2[[#This Row],[H/Pts]]+Table2[[#This Row],[A/Pts]]</f>
        <v>203</v>
      </c>
      <c r="I213" s="49">
        <f>IF(Table2[[#This Row],[Total/V]]&lt;=Table2[[#This Row],[Total]],1,0)</f>
        <v>0</v>
      </c>
      <c r="J213" s="49">
        <v>215</v>
      </c>
      <c r="K213" s="49">
        <v>104</v>
      </c>
      <c r="L213" s="51">
        <f>(Table2[[#This Row],[H/Pace]]/100)*(VLOOKUP(Table2[[#This Row],[Home/Neutral]],home_lookup,8,FALSE)+VLOOKUP(Table2[[#This Row],[Home/Neutral]],OFR_lookup,2,FALSE)+VLOOKUP(Table2[[#This Row],[Visitor/Neutral]],def_diff_lookup,6,FALSE))</f>
        <v>100.91561832771636</v>
      </c>
      <c r="M213" s="51">
        <v>107</v>
      </c>
      <c r="N213" s="51">
        <f>(Table2[[#This Row],[A/Pace]]/100)*(VLOOKUP(Table2[[#This Row],[Visitor/Neutral]],OFR_lookup,2,FALSE)+VLOOKUP(Table2[[#This Row],[Home/Neutral]],def_diff_lookup,6,FALSE))</f>
        <v>107.87451133333334</v>
      </c>
      <c r="O213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3" s="69">
        <f>Table2[[#This Row],[H/EV/Real]]+Table2[[#This Row],[A/EV/Real]]</f>
        <v>211</v>
      </c>
      <c r="Q213" s="49">
        <f>VLOOKUP(Table2[[#This Row],[Home/Neutral]],pace_lookup,7,FALSE)</f>
        <v>102</v>
      </c>
      <c r="R213" s="52">
        <f>VLOOKUP(Table2[[#This Row],[Visitor/Neutral]],pace_lookup,7,FALSE)</f>
        <v>96.2</v>
      </c>
      <c r="S213" s="50">
        <f>Table2[[#This Row],[A/Pts]]-Table2[[#This Row],[H/Pts]]</f>
        <v>19</v>
      </c>
      <c r="T213" s="49">
        <v>7.5</v>
      </c>
      <c r="U213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3" s="49">
        <v>3.5</v>
      </c>
      <c r="W213" s="53">
        <f>-home-VLOOKUP(Table2[[#This Row],[Home/Neutral]],rtg_vlookup,4,FALSE)+VLOOKUP(Table2[[#This Row],[Visitor/Neutral]],rtg_vlookup,4,FALSE)</f>
        <v>6.481311475409834</v>
      </c>
      <c r="X213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13" s="53">
        <v>3.4</v>
      </c>
      <c r="Z213" s="53">
        <f>Table2[[#This Row],[A/EV]]-Table2[[#This Row],[H/EV]]</f>
        <v>6.9588930056169858</v>
      </c>
      <c r="AA213" s="29" t="str">
        <f>IF(Table2[[#This Row],[Spread/V]]&gt;=Table2[[#This Row],[SRS/Real]],"HOME","AWAY")</f>
        <v>HOME</v>
      </c>
      <c r="AB213" s="33" t="str">
        <f>IF(Table2[[#This Row],[Spread/V]]&gt;=Table2[[#This Row],[EV/Real]],"HOME","AWAY")</f>
        <v>HOME</v>
      </c>
      <c r="AC213" s="33"/>
      <c r="AD213" s="33">
        <v>0</v>
      </c>
      <c r="AE213" s="33"/>
      <c r="AF213" s="7" t="b">
        <f>IF(VLOOKUP(Table2[[#This Row],[Home/Neutral]],division_lookup,9,FALSE)=VLOOKUP(Table2[[#This Row],[Visitor/Neutral]],division_lookup,9,FALSE),TRUE,FALSE)</f>
        <v>1</v>
      </c>
      <c r="AG213" s="15" t="str">
        <f>VLOOKUP(Table2[[#This Row],[Home/Neutral]],division_lookup,9,FALSE)</f>
        <v>A</v>
      </c>
      <c r="AH213" s="15" t="str">
        <f>IF(Table2[[#This Row],[Total/EV]]&lt;Table2[[#This Row],[Total/V]],"UNDER","OVER")</f>
        <v>UNDER</v>
      </c>
      <c r="AI213" s="26">
        <f>Table2[[#This Row],[SRS/Real]]-Table2[[#This Row],[Spread/V]]</f>
        <v>-4</v>
      </c>
      <c r="AJ213" s="2">
        <f>Table2[[#This Row],[EV/Real]]-Table2[[#This Row],[Spread/V]]</f>
        <v>-4.0999999999999996</v>
      </c>
      <c r="AK213" s="2">
        <f>Table2[[#This Row],[SRS/Diff]]-Table2[[#This Row],[EV/Diff]]</f>
        <v>9.9999999999999645E-2</v>
      </c>
      <c r="AL213" s="18">
        <f>Table2[[#This Row],[SRS]]-Table2[[#This Row],[Spread]]</f>
        <v>-12.518688524590166</v>
      </c>
      <c r="AM213" s="21">
        <f>Table2[[#This Row],[(A) Err]]^2</f>
        <v>156.71756237570551</v>
      </c>
      <c r="AN213" s="6">
        <f>Table2[[#This Row],[EV]]-Table2[[#This Row],[Spread]]</f>
        <v>-12.041106994383014</v>
      </c>
      <c r="AO213" s="1">
        <f>Table2[[#This Row],[EV Err]]^2</f>
        <v>144.98825765017955</v>
      </c>
      <c r="AP213" s="1"/>
    </row>
    <row r="214" spans="1:42" x14ac:dyDescent="0.25">
      <c r="A214" s="103">
        <v>42697</v>
      </c>
      <c r="B214" s="58" t="s">
        <v>112</v>
      </c>
      <c r="C214" s="58" t="s">
        <v>134</v>
      </c>
      <c r="D214" s="58">
        <f>IF((Table2[[#This Row],[Spread]]-Table2[[#This Row],[Spread/V]])=0,1,IF(Table2[[#This Row],[Spread]]&lt;Table2[[#This Row],[Spread/V]],1,0))</f>
        <v>1</v>
      </c>
      <c r="E214" s="58">
        <v>114</v>
      </c>
      <c r="F214" s="58">
        <f>IF((Table2[[#This Row],[Spread]]-Table2[[#This Row],[Spread/V]])=0,1,IF(Table2[[#This Row],[Spread]]&gt;Table2[[#This Row],[Spread/V]],1,0))</f>
        <v>1</v>
      </c>
      <c r="G214" s="58">
        <v>119</v>
      </c>
      <c r="H214" s="59">
        <f>Table2[[#This Row],[H/Pts]]+Table2[[#This Row],[A/Pts]]</f>
        <v>233</v>
      </c>
      <c r="I214" s="58">
        <f>IF(Table2[[#This Row],[Total/V]]&lt;=Table2[[#This Row],[Total]],1,0)</f>
        <v>1</v>
      </c>
      <c r="J214" s="58">
        <v>200.5</v>
      </c>
      <c r="K214" s="58">
        <v>101</v>
      </c>
      <c r="L214" s="60">
        <f>(Table2[[#This Row],[H/Pace]]/100)*(VLOOKUP(Table2[[#This Row],[Home/Neutral]],home_lookup,8,FALSE)+VLOOKUP(Table2[[#This Row],[Home/Neutral]],OFR_lookup,2,FALSE)+VLOOKUP(Table2[[#This Row],[Visitor/Neutral]],def_diff_lookup,6,FALSE))</f>
        <v>102.85512195313484</v>
      </c>
      <c r="M214" s="60">
        <v>102</v>
      </c>
      <c r="N214" s="60">
        <f>(Table2[[#This Row],[A/Pace]]/100)*(VLOOKUP(Table2[[#This Row],[Visitor/Neutral]],OFR_lookup,2,FALSE)+VLOOKUP(Table2[[#This Row],[Home/Neutral]],def_diff_lookup,6,FALSE))</f>
        <v>104.37979266666666</v>
      </c>
      <c r="O214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4" s="61">
        <f>Table2[[#This Row],[H/EV/Real]]+Table2[[#This Row],[A/EV/Real]]</f>
        <v>203</v>
      </c>
      <c r="Q214" s="58">
        <f>VLOOKUP(Table2[[#This Row],[Home/Neutral]],pace_lookup,7,FALSE)</f>
        <v>97.4</v>
      </c>
      <c r="R214" s="61">
        <f>VLOOKUP(Table2[[#This Row],[Visitor/Neutral]],pace_lookup,7,FALSE)</f>
        <v>93.4</v>
      </c>
      <c r="S214" s="59">
        <f>Table2[[#This Row],[A/Pts]]-Table2[[#This Row],[H/Pts]]</f>
        <v>5</v>
      </c>
      <c r="T214" s="58">
        <v>5</v>
      </c>
      <c r="U214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4" s="58">
        <v>1.8</v>
      </c>
      <c r="W214" s="62">
        <f>-home-VLOOKUP(Table2[[#This Row],[Home/Neutral]],rtg_vlookup,4,FALSE)+VLOOKUP(Table2[[#This Row],[Visitor/Neutral]],rtg_vlookup,4,FALSE)</f>
        <v>2.5713114754098338</v>
      </c>
      <c r="X214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4" s="62">
        <v>0.5</v>
      </c>
      <c r="Z214" s="62">
        <f>Table2[[#This Row],[A/EV]]-Table2[[#This Row],[H/EV]]</f>
        <v>1.5246707135318189</v>
      </c>
      <c r="AA214" s="29" t="str">
        <f>IF(Table2[[#This Row],[Spread/V]]&gt;=Table2[[#This Row],[SRS/Real]],"HOME","AWAY")</f>
        <v>HOME</v>
      </c>
      <c r="AB214" s="33" t="str">
        <f>IF(Table2[[#This Row],[Spread/V]]&gt;=Table2[[#This Row],[EV/Real]],"HOME","AWAY")</f>
        <v>HOME</v>
      </c>
      <c r="AC214" s="33"/>
      <c r="AD214" s="33">
        <v>1</v>
      </c>
      <c r="AE214" s="33"/>
      <c r="AF214" s="7" t="b">
        <f>IF(VLOOKUP(Table2[[#This Row],[Home/Neutral]],division_lookup,9,FALSE)=VLOOKUP(Table2[[#This Row],[Visitor/Neutral]],division_lookup,9,FALSE),TRUE,FALSE)</f>
        <v>0</v>
      </c>
      <c r="AG214" s="15" t="str">
        <f>VLOOKUP(Table2[[#This Row],[Home/Neutral]],division_lookup,9,FALSE)</f>
        <v>SE</v>
      </c>
      <c r="AH214" s="15" t="str">
        <f>IF(Table2[[#This Row],[Total/EV]]&lt;Table2[[#This Row],[Total/V]],"UNDER","OVER")</f>
        <v>OVER</v>
      </c>
      <c r="AI214" s="26">
        <f>Table2[[#This Row],[SRS/Real]]-Table2[[#This Row],[Spread/V]]</f>
        <v>-3.2</v>
      </c>
      <c r="AJ214" s="2">
        <f>Table2[[#This Row],[EV/Real]]-Table2[[#This Row],[Spread/V]]</f>
        <v>-4.5</v>
      </c>
      <c r="AK214" s="2">
        <f>Table2[[#This Row],[SRS/Diff]]-Table2[[#This Row],[EV/Diff]]</f>
        <v>1.2999999999999998</v>
      </c>
      <c r="AL214" s="18">
        <f>Table2[[#This Row],[SRS]]-Table2[[#This Row],[Spread]]</f>
        <v>-2.4286885245901662</v>
      </c>
      <c r="AM214" s="21">
        <f>Table2[[#This Row],[(A) Err]]^2</f>
        <v>5.8985279494759579</v>
      </c>
      <c r="AN214" s="6">
        <f>Table2[[#This Row],[EV]]-Table2[[#This Row],[Spread]]</f>
        <v>-3.4753292864681811</v>
      </c>
      <c r="AO214" s="1">
        <f>Table2[[#This Row],[EV Err]]^2</f>
        <v>12.077913649383436</v>
      </c>
      <c r="AP214" s="1"/>
    </row>
    <row r="215" spans="1:42" x14ac:dyDescent="0.25">
      <c r="A215" s="77">
        <v>42697</v>
      </c>
      <c r="B215" s="49" t="s">
        <v>114</v>
      </c>
      <c r="C215" s="28" t="s">
        <v>132</v>
      </c>
      <c r="D215" s="49">
        <f>IF((Table2[[#This Row],[Spread]]-Table2[[#This Row],[Spread/V]])=0,1,IF(Table2[[#This Row],[Spread]]&lt;Table2[[#This Row],[Spread/V]],1,0))</f>
        <v>1</v>
      </c>
      <c r="E215" s="49">
        <v>137</v>
      </c>
      <c r="F215" s="49">
        <f>IF((Table2[[#This Row],[Spread]]-Table2[[#This Row],[Spread/V]])=0,1,IF(Table2[[#This Row],[Spread]]&gt;Table2[[#This Row],[Spread/V]],1,0))</f>
        <v>1</v>
      </c>
      <c r="G215" s="49">
        <v>125</v>
      </c>
      <c r="H215" s="50">
        <f>Table2[[#This Row],[H/Pts]]+Table2[[#This Row],[A/Pts]]</f>
        <v>262</v>
      </c>
      <c r="I215" s="49">
        <f>IF(Table2[[#This Row],[Total/V]]&lt;=Table2[[#This Row],[Total]],1,0)</f>
        <v>1</v>
      </c>
      <c r="J215" s="49">
        <v>216.5</v>
      </c>
      <c r="K215" s="49">
        <v>114</v>
      </c>
      <c r="L215" s="51">
        <f>(Table2[[#This Row],[H/Pace]]/100)*(VLOOKUP(Table2[[#This Row],[Home/Neutral]],home_lookup,8,FALSE)+VLOOKUP(Table2[[#This Row],[Home/Neutral]],OFR_lookup,2,FALSE)+VLOOKUP(Table2[[#This Row],[Visitor/Neutral]],def_diff_lookup,6,FALSE))</f>
        <v>119.65157276756466</v>
      </c>
      <c r="M215" s="51">
        <v>105</v>
      </c>
      <c r="N215" s="51">
        <f>(Table2[[#This Row],[A/Pace]]/100)*(VLOOKUP(Table2[[#This Row],[Visitor/Neutral]],OFR_lookup,2,FALSE)+VLOOKUP(Table2[[#This Row],[Home/Neutral]],def_diff_lookup,6,FALSE))</f>
        <v>107.89519866666667</v>
      </c>
      <c r="O215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5" s="49">
        <f>Table2[[#This Row],[H/EV/Real]]+Table2[[#This Row],[A/EV/Real]]</f>
        <v>219</v>
      </c>
      <c r="Q215" s="49">
        <f>VLOOKUP(Table2[[#This Row],[Home/Neutral]],pace_lookup,7,FALSE)</f>
        <v>97.3</v>
      </c>
      <c r="R215" s="52">
        <f>VLOOKUP(Table2[[#This Row],[Visitor/Neutral]],pace_lookup,7,FALSE)</f>
        <v>98.8</v>
      </c>
      <c r="S215" s="50">
        <f>Table2[[#This Row],[A/Pts]]-Table2[[#This Row],[H/Pts]]</f>
        <v>-12</v>
      </c>
      <c r="T215" s="49">
        <v>-12</v>
      </c>
      <c r="U215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5" s="49">
        <v>-12.2</v>
      </c>
      <c r="W215" s="53">
        <f>-home-VLOOKUP(Table2[[#This Row],[Home/Neutral]],rtg_vlookup,4,FALSE)+VLOOKUP(Table2[[#This Row],[Visitor/Neutral]],rtg_vlookup,4,FALSE)</f>
        <v>-13.868688524590166</v>
      </c>
      <c r="X215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5" s="53">
        <v>-9.4</v>
      </c>
      <c r="Z215" s="53">
        <f>Table2[[#This Row],[A/EV]]-Table2[[#This Row],[H/EV]]</f>
        <v>-11.756374100897986</v>
      </c>
      <c r="AA215" s="29" t="str">
        <f>IF(Table2[[#This Row],[Spread/V]]&gt;=Table2[[#This Row],[SRS/Real]],"HOME","AWAY")</f>
        <v>HOME</v>
      </c>
      <c r="AB215" s="33" t="str">
        <f>IF(Table2[[#This Row],[Spread/V]]&gt;=Table2[[#This Row],[EV/Real]],"HOME","AWAY")</f>
        <v>AWAY</v>
      </c>
      <c r="AC215" s="33">
        <v>0</v>
      </c>
      <c r="AD215" s="33"/>
      <c r="AE215" s="33">
        <v>1</v>
      </c>
      <c r="AF215" s="7" t="b">
        <f>IF(VLOOKUP(Table2[[#This Row],[Home/Neutral]],division_lookup,9,FALSE)=VLOOKUP(Table2[[#This Row],[Visitor/Neutral]],division_lookup,9,FALSE),TRUE,FALSE)</f>
        <v>0</v>
      </c>
      <c r="AG215" s="15" t="str">
        <f>VLOOKUP(Table2[[#This Row],[Home/Neutral]],division_lookup,9,FALSE)</f>
        <v>C</v>
      </c>
      <c r="AH215" s="15" t="str">
        <f>IF(Table2[[#This Row],[Total/EV]]&lt;Table2[[#This Row],[Total/V]],"UNDER","OVER")</f>
        <v>OVER</v>
      </c>
      <c r="AI215" s="26">
        <f>Table2[[#This Row],[SRS/Real]]-Table2[[#This Row],[Spread/V]]</f>
        <v>-0.19999999999999929</v>
      </c>
      <c r="AJ215" s="2">
        <f>Table2[[#This Row],[EV/Real]]-Table2[[#This Row],[Spread/V]]</f>
        <v>2.5999999999999996</v>
      </c>
      <c r="AK215" s="2">
        <f>Table2[[#This Row],[SRS/Diff]]-Table2[[#This Row],[EV/Diff]]</f>
        <v>-2.7999999999999989</v>
      </c>
      <c r="AL215" s="18">
        <f>Table2[[#This Row],[SRS]]-Table2[[#This Row],[Spread]]</f>
        <v>-1.8686885245901657</v>
      </c>
      <c r="AM215" s="21">
        <f>Table2[[#This Row],[(A) Err]]^2</f>
        <v>3.4919968019349703</v>
      </c>
      <c r="AN215" s="6">
        <f>Table2[[#This Row],[EV]]-Table2[[#This Row],[Spread]]</f>
        <v>0.24362589910201393</v>
      </c>
      <c r="AO215" s="1">
        <f>Table2[[#This Row],[EV Err]]^2</f>
        <v>5.9353578713264674E-2</v>
      </c>
      <c r="AP215" s="1"/>
    </row>
    <row r="216" spans="1:42" x14ac:dyDescent="0.25">
      <c r="A216" s="103">
        <v>42697</v>
      </c>
      <c r="B216" s="58" t="s">
        <v>115</v>
      </c>
      <c r="C216" s="58" t="s">
        <v>121</v>
      </c>
      <c r="D216" s="58">
        <f>IF((Table2[[#This Row],[Spread]]-Table2[[#This Row],[Spread/V]])=0,1,IF(Table2[[#This Row],[Spread]]&lt;Table2[[#This Row],[Spread/V]],1,0))</f>
        <v>0</v>
      </c>
      <c r="E216" s="58">
        <v>104</v>
      </c>
      <c r="F216" s="58">
        <f>IF((Table2[[#This Row],[Spread]]-Table2[[#This Row],[Spread/V]])=0,1,IF(Table2[[#This Row],[Spread]]&gt;Table2[[#This Row],[Spread/V]],1,0))</f>
        <v>1</v>
      </c>
      <c r="G216" s="58">
        <v>124</v>
      </c>
      <c r="H216" s="59">
        <f>Table2[[#This Row],[H/Pts]]+Table2[[#This Row],[A/Pts]]</f>
        <v>228</v>
      </c>
      <c r="I216" s="58">
        <f>IF(Table2[[#This Row],[Total/V]]&lt;=Table2[[#This Row],[Total]],1,0)</f>
        <v>1</v>
      </c>
      <c r="J216" s="58">
        <v>192.5</v>
      </c>
      <c r="K216" s="58">
        <v>92</v>
      </c>
      <c r="L216" s="60">
        <f>(Table2[[#This Row],[H/Pace]]/100)*(VLOOKUP(Table2[[#This Row],[Home/Neutral]],home_lookup,8,FALSE)+VLOOKUP(Table2[[#This Row],[Home/Neutral]],OFR_lookup,2,FALSE)+VLOOKUP(Table2[[#This Row],[Visitor/Neutral]],def_diff_lookup,6,FALSE))</f>
        <v>91.429553115967764</v>
      </c>
      <c r="M216" s="60">
        <v>108</v>
      </c>
      <c r="N216" s="60">
        <f>(Table2[[#This Row],[A/Pace]]/100)*(VLOOKUP(Table2[[#This Row],[Visitor/Neutral]],OFR_lookup,2,FALSE)+VLOOKUP(Table2[[#This Row],[Home/Neutral]],def_diff_lookup,6,FALSE))</f>
        <v>110.28706266666667</v>
      </c>
      <c r="O216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6" s="58">
        <f>Table2[[#This Row],[H/EV/Real]]+Table2[[#This Row],[A/EV/Real]]</f>
        <v>200</v>
      </c>
      <c r="Q216" s="58">
        <f>VLOOKUP(Table2[[#This Row],[Home/Neutral]],pace_lookup,7,FALSE)</f>
        <v>92.9</v>
      </c>
      <c r="R216" s="61">
        <f>VLOOKUP(Table2[[#This Row],[Visitor/Neutral]],pace_lookup,7,FALSE)</f>
        <v>96.4</v>
      </c>
      <c r="S216" s="59">
        <f>Table2[[#This Row],[A/Pts]]-Table2[[#This Row],[H/Pts]]</f>
        <v>20</v>
      </c>
      <c r="T216" s="58">
        <v>10</v>
      </c>
      <c r="U216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16" s="58">
        <v>19.3</v>
      </c>
      <c r="W216" s="62">
        <f>-home-VLOOKUP(Table2[[#This Row],[Home/Neutral]],rtg_vlookup,4,FALSE)+VLOOKUP(Table2[[#This Row],[Visitor/Neutral]],rtg_vlookup,4,FALSE)</f>
        <v>18.811311475409834</v>
      </c>
      <c r="X216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6" s="62">
        <v>15.7</v>
      </c>
      <c r="Z216" s="62">
        <f>Table2[[#This Row],[A/EV]]-Table2[[#This Row],[H/EV]]</f>
        <v>18.857509550698907</v>
      </c>
      <c r="AA216" s="29" t="str">
        <f>IF(Table2[[#This Row],[Spread/V]]&gt;=Table2[[#This Row],[SRS/Real]],"HOME","AWAY")</f>
        <v>AWAY</v>
      </c>
      <c r="AB216" s="33" t="str">
        <f>IF(Table2[[#This Row],[Spread/V]]&gt;=Table2[[#This Row],[EV/Real]],"HOME","AWAY")</f>
        <v>AWAY</v>
      </c>
      <c r="AC216" s="33"/>
      <c r="AD216" s="33">
        <v>1</v>
      </c>
      <c r="AE216" s="33"/>
      <c r="AF216" s="7" t="b">
        <f>IF(VLOOKUP(Table2[[#This Row],[Home/Neutral]],division_lookup,9,FALSE)=VLOOKUP(Table2[[#This Row],[Visitor/Neutral]],division_lookup,9,FALSE),TRUE,FALSE)</f>
        <v>0</v>
      </c>
      <c r="AG216" s="15" t="str">
        <f>VLOOKUP(Table2[[#This Row],[Home/Neutral]],division_lookup,9,FALSE)</f>
        <v>SW</v>
      </c>
      <c r="AH216" s="15" t="str">
        <f>IF(Table2[[#This Row],[Total/EV]]&lt;Table2[[#This Row],[Total/V]],"UNDER","OVER")</f>
        <v>OVER</v>
      </c>
      <c r="AI216" s="26">
        <f>Table2[[#This Row],[SRS/Real]]-Table2[[#This Row],[Spread/V]]</f>
        <v>9.3000000000000007</v>
      </c>
      <c r="AJ216" s="2">
        <f>Table2[[#This Row],[EV/Real]]-Table2[[#This Row],[Spread/V]]</f>
        <v>5.6999999999999993</v>
      </c>
      <c r="AK216" s="2">
        <f>Table2[[#This Row],[SRS/Diff]]-Table2[[#This Row],[EV/Diff]]</f>
        <v>3.6000000000000014</v>
      </c>
      <c r="AL216" s="18">
        <f>Table2[[#This Row],[SRS]]-Table2[[#This Row],[Spread]]</f>
        <v>-1.1886885245901659</v>
      </c>
      <c r="AM216" s="21">
        <f>Table2[[#This Row],[(A) Err]]^2</f>
        <v>1.4129804084923456</v>
      </c>
      <c r="AN216" s="6">
        <f>Table2[[#This Row],[EV]]-Table2[[#This Row],[Spread]]</f>
        <v>-1.1424904493010928</v>
      </c>
      <c r="AO216" s="1">
        <f>Table2[[#This Row],[EV Err]]^2</f>
        <v>1.3052844267442127</v>
      </c>
      <c r="AP216" s="1"/>
    </row>
    <row r="217" spans="1:42" x14ac:dyDescent="0.25">
      <c r="A217" s="77">
        <v>42697</v>
      </c>
      <c r="B217" s="49" t="s">
        <v>117</v>
      </c>
      <c r="C217" s="49" t="s">
        <v>124</v>
      </c>
      <c r="D217" s="49">
        <f>IF((Table2[[#This Row],[Spread]]-Table2[[#This Row],[Spread/V]])=0,1,IF(Table2[[#This Row],[Spread]]&lt;Table2[[#This Row],[Spread/V]],1,0))</f>
        <v>1</v>
      </c>
      <c r="E217" s="49">
        <v>107</v>
      </c>
      <c r="F217" s="49">
        <f>IF((Table2[[#This Row],[Spread]]-Table2[[#This Row],[Spread/V]])=0,1,IF(Table2[[#This Row],[Spread]]&gt;Table2[[#This Row],[Spread/V]],1,0))</f>
        <v>0</v>
      </c>
      <c r="G217" s="49">
        <v>84</v>
      </c>
      <c r="H217" s="50">
        <f>Table2[[#This Row],[H/Pts]]+Table2[[#This Row],[A/Pts]]</f>
        <v>191</v>
      </c>
      <c r="I217" s="49">
        <f>IF(Table2[[#This Row],[Total/V]]&lt;=Table2[[#This Row],[Total]],1,0)</f>
        <v>1</v>
      </c>
      <c r="J217" s="49">
        <v>189</v>
      </c>
      <c r="K217" s="49">
        <v>105</v>
      </c>
      <c r="L217" s="51">
        <f>(Table2[[#This Row],[H/Pace]]/100)*(VLOOKUP(Table2[[#This Row],[Home/Neutral]],home_lookup,8,FALSE)+VLOOKUP(Table2[[#This Row],[Home/Neutral]],OFR_lookup,2,FALSE)+VLOOKUP(Table2[[#This Row],[Visitor/Neutral]],def_diff_lookup,6,FALSE))</f>
        <v>110.15919591446429</v>
      </c>
      <c r="M217" s="51">
        <v>93</v>
      </c>
      <c r="N217" s="51">
        <f>(Table2[[#This Row],[A/Pace]]/100)*(VLOOKUP(Table2[[#This Row],[Visitor/Neutral]],OFR_lookup,2,FALSE)+VLOOKUP(Table2[[#This Row],[Home/Neutral]],def_diff_lookup,6,FALSE))</f>
        <v>93.086889666666664</v>
      </c>
      <c r="O217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7" s="49">
        <f>Table2[[#This Row],[H/EV/Real]]+Table2[[#This Row],[A/EV/Real]]</f>
        <v>198</v>
      </c>
      <c r="Q217" s="49">
        <f>VLOOKUP(Table2[[#This Row],[Home/Neutral]],pace_lookup,7,FALSE)</f>
        <v>94</v>
      </c>
      <c r="R217" s="52">
        <f>VLOOKUP(Table2[[#This Row],[Visitor/Neutral]],pace_lookup,7,FALSE)</f>
        <v>93.7</v>
      </c>
      <c r="S217" s="50">
        <f>Table2[[#This Row],[A/Pts]]-Table2[[#This Row],[H/Pts]]</f>
        <v>-23</v>
      </c>
      <c r="T217" s="49">
        <v>-4.5</v>
      </c>
      <c r="U217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7" s="49">
        <v>-3.2</v>
      </c>
      <c r="W217" s="53">
        <f>-home-VLOOKUP(Table2[[#This Row],[Home/Neutral]],rtg_vlookup,4,FALSE)+VLOOKUP(Table2[[#This Row],[Visitor/Neutral]],rtg_vlookup,4,FALSE)</f>
        <v>-5.5486885245901663</v>
      </c>
      <c r="X217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7" s="53">
        <v>-11.8</v>
      </c>
      <c r="Z217" s="53">
        <f>Table2[[#This Row],[A/EV]]-Table2[[#This Row],[H/EV]]</f>
        <v>-17.072306247797627</v>
      </c>
      <c r="AA217" s="29" t="str">
        <f>IF(Table2[[#This Row],[Spread/V]]&gt;=Table2[[#This Row],[SRS/Real]],"HOME","AWAY")</f>
        <v>AWAY</v>
      </c>
      <c r="AB217" s="33" t="str">
        <f>IF(Table2[[#This Row],[Spread/V]]&gt;=Table2[[#This Row],[EV/Real]],"HOME","AWAY")</f>
        <v>HOME</v>
      </c>
      <c r="AC217" s="33">
        <v>0</v>
      </c>
      <c r="AD217" s="33"/>
      <c r="AE217" s="33">
        <v>1</v>
      </c>
      <c r="AF217" s="7" t="b">
        <f>IF(VLOOKUP(Table2[[#This Row],[Home/Neutral]],division_lookup,9,FALSE)=VLOOKUP(Table2[[#This Row],[Visitor/Neutral]],division_lookup,9,FALSE),TRUE,FALSE)</f>
        <v>0</v>
      </c>
      <c r="AG217" s="15" t="str">
        <f>VLOOKUP(Table2[[#This Row],[Home/Neutral]],division_lookup,9,FALSE)</f>
        <v>C</v>
      </c>
      <c r="AH217" s="15" t="str">
        <f>IF(Table2[[#This Row],[Total/EV]]&lt;Table2[[#This Row],[Total/V]],"UNDER","OVER")</f>
        <v>OVER</v>
      </c>
      <c r="AI217" s="26">
        <f>Table2[[#This Row],[SRS/Real]]-Table2[[#This Row],[Spread/V]]</f>
        <v>1.2999999999999998</v>
      </c>
      <c r="AJ217" s="2">
        <f>Table2[[#This Row],[EV/Real]]-Table2[[#This Row],[Spread/V]]</f>
        <v>-7.3000000000000007</v>
      </c>
      <c r="AK217" s="2">
        <f>Table2[[#This Row],[SRS/Diff]]-Table2[[#This Row],[EV/Diff]]</f>
        <v>8.6000000000000014</v>
      </c>
      <c r="AL217" s="18">
        <f>Table2[[#This Row],[SRS]]-Table2[[#This Row],[Spread]]</f>
        <v>17.451311475409835</v>
      </c>
      <c r="AM217" s="21">
        <f>Table2[[#This Row],[(A) Err]]^2</f>
        <v>304.54827221177101</v>
      </c>
      <c r="AN217" s="6">
        <f>Table2[[#This Row],[EV]]-Table2[[#This Row],[Spread]]</f>
        <v>5.9276937522023729</v>
      </c>
      <c r="AO217" s="1">
        <f>Table2[[#This Row],[EV Err]]^2</f>
        <v>35.137553219899047</v>
      </c>
      <c r="AP217" s="1"/>
    </row>
    <row r="218" spans="1:42" x14ac:dyDescent="0.25">
      <c r="A218" s="77">
        <v>42697</v>
      </c>
      <c r="B218" s="49" t="s">
        <v>118</v>
      </c>
      <c r="C218" s="28" t="s">
        <v>122</v>
      </c>
      <c r="D218" s="49">
        <f>IF((Table2[[#This Row],[Spread]]-Table2[[#This Row],[Spread/V]])=0,1,IF(Table2[[#This Row],[Spread]]&lt;Table2[[#This Row],[Spread/V]],1,0))</f>
        <v>1</v>
      </c>
      <c r="E218" s="49">
        <v>149</v>
      </c>
      <c r="F218" s="49">
        <f>IF((Table2[[#This Row],[Spread]]-Table2[[#This Row],[Spread/V]])=0,1,IF(Table2[[#This Row],[Spread]]&gt;Table2[[#This Row],[Spread/V]],1,0))</f>
        <v>0</v>
      </c>
      <c r="G218" s="49">
        <v>106</v>
      </c>
      <c r="H218" s="50">
        <f>Table2[[#This Row],[H/Pts]]+Table2[[#This Row],[A/Pts]]</f>
        <v>255</v>
      </c>
      <c r="I218" s="49">
        <f>IF(Table2[[#This Row],[Total/V]]&lt;=Table2[[#This Row],[Total]],1,0)</f>
        <v>1</v>
      </c>
      <c r="J218" s="49">
        <v>228.5</v>
      </c>
      <c r="K218" s="49">
        <v>115</v>
      </c>
      <c r="L218" s="51">
        <f>(Table2[[#This Row],[H/Pace]]/100)*(VLOOKUP(Table2[[#This Row],[Home/Neutral]],home_lookup,8,FALSE)+VLOOKUP(Table2[[#This Row],[Home/Neutral]],OFR_lookup,2,FALSE)+VLOOKUP(Table2[[#This Row],[Visitor/Neutral]],def_diff_lookup,6,FALSE))</f>
        <v>119.33075838078237</v>
      </c>
      <c r="M218" s="51">
        <v>112</v>
      </c>
      <c r="N218" s="51">
        <f>(Table2[[#This Row],[A/Pace]]/100)*(VLOOKUP(Table2[[#This Row],[Visitor/Neutral]],OFR_lookup,2,FALSE)+VLOOKUP(Table2[[#This Row],[Home/Neutral]],def_diff_lookup,6,FALSE))</f>
        <v>108.04131799999999</v>
      </c>
      <c r="O218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18" s="49">
        <f>Table2[[#This Row],[H/EV/Real]]+Table2[[#This Row],[A/EV/Real]]</f>
        <v>227</v>
      </c>
      <c r="Q218" s="49">
        <f>VLOOKUP(Table2[[#This Row],[Home/Neutral]],pace_lookup,7,FALSE)</f>
        <v>100.4</v>
      </c>
      <c r="R218" s="52">
        <f>VLOOKUP(Table2[[#This Row],[Visitor/Neutral]],pace_lookup,7,FALSE)</f>
        <v>100.2</v>
      </c>
      <c r="S218" s="50">
        <f>Table2[[#This Row],[A/Pts]]-Table2[[#This Row],[H/Pts]]</f>
        <v>-43</v>
      </c>
      <c r="T218" s="49">
        <v>-18</v>
      </c>
      <c r="U218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18" s="49">
        <v>-11.1</v>
      </c>
      <c r="W218" s="53">
        <f>-home-VLOOKUP(Table2[[#This Row],[Home/Neutral]],rtg_vlookup,4,FALSE)+VLOOKUP(Table2[[#This Row],[Visitor/Neutral]],rtg_vlookup,4,FALSE)</f>
        <v>-16.448688524590168</v>
      </c>
      <c r="X218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18" s="53">
        <v>-3</v>
      </c>
      <c r="Z218" s="53">
        <f>Table2[[#This Row],[A/EV]]-Table2[[#This Row],[H/EV]]</f>
        <v>-11.289440380782381</v>
      </c>
      <c r="AA218" s="29" t="str">
        <f>IF(Table2[[#This Row],[Spread/V]]&gt;=Table2[[#This Row],[SRS/Real]],"HOME","AWAY")</f>
        <v>AWAY</v>
      </c>
      <c r="AB218" s="33" t="str">
        <f>IF(Table2[[#This Row],[Spread/V]]&gt;=Table2[[#This Row],[EV/Real]],"HOME","AWAY")</f>
        <v>AWAY</v>
      </c>
      <c r="AC218" s="33"/>
      <c r="AD218" s="33">
        <v>0</v>
      </c>
      <c r="AE218" s="33"/>
      <c r="AF218" s="7" t="b">
        <f>IF(VLOOKUP(Table2[[#This Row],[Home/Neutral]],division_lookup,9,FALSE)=VLOOKUP(Table2[[#This Row],[Visitor/Neutral]],division_lookup,9,FALSE),TRUE,FALSE)</f>
        <v>1</v>
      </c>
      <c r="AG218" s="15" t="str">
        <f>VLOOKUP(Table2[[#This Row],[Home/Neutral]],division_lookup,9,FALSE)</f>
        <v>P</v>
      </c>
      <c r="AH218" s="15" t="str">
        <f>IF(Table2[[#This Row],[Total/EV]]&lt;Table2[[#This Row],[Total/V]],"UNDER","OVER")</f>
        <v>UNDER</v>
      </c>
      <c r="AI218" s="26">
        <f>Table2[[#This Row],[SRS/Real]]-Table2[[#This Row],[Spread/V]]</f>
        <v>6.9</v>
      </c>
      <c r="AJ218" s="2">
        <f>Table2[[#This Row],[EV/Real]]-Table2[[#This Row],[Spread/V]]</f>
        <v>15</v>
      </c>
      <c r="AK218" s="2">
        <f>Table2[[#This Row],[SRS/Diff]]-Table2[[#This Row],[EV/Diff]]</f>
        <v>-8.1</v>
      </c>
      <c r="AL218" s="18">
        <f>Table2[[#This Row],[SRS]]-Table2[[#This Row],[Spread]]</f>
        <v>26.551311475409832</v>
      </c>
      <c r="AM218" s="21">
        <f>Table2[[#This Row],[(A) Err]]^2</f>
        <v>704.97214106422985</v>
      </c>
      <c r="AN218" s="6">
        <f>Table2[[#This Row],[EV]]-Table2[[#This Row],[Spread]]</f>
        <v>31.710559619217619</v>
      </c>
      <c r="AO218" s="1">
        <f>Table2[[#This Row],[EV Err]]^2</f>
        <v>1005.5595913639551</v>
      </c>
      <c r="AP218" s="1"/>
    </row>
    <row r="219" spans="1:42" x14ac:dyDescent="0.25">
      <c r="A219" s="103">
        <v>42697</v>
      </c>
      <c r="B219" s="58" t="s">
        <v>119</v>
      </c>
      <c r="C219" s="58" t="s">
        <v>135</v>
      </c>
      <c r="D219" s="58">
        <f>IF((Table2[[#This Row],[Spread]]-Table2[[#This Row],[Spread/V]])=0,1,IF(Table2[[#This Row],[Spread]]&lt;Table2[[#This Row],[Spread/V]],1,0))</f>
        <v>0</v>
      </c>
      <c r="E219" s="58">
        <v>102</v>
      </c>
      <c r="F219" s="58">
        <f>IF((Table2[[#This Row],[Spread]]-Table2[[#This Row],[Spread/V]])=0,1,IF(Table2[[#This Row],[Spread]]&gt;Table2[[#This Row],[Spread/V]],1,0))</f>
        <v>1</v>
      </c>
      <c r="G219" s="58">
        <v>115</v>
      </c>
      <c r="H219" s="59">
        <f>Table2[[#This Row],[H/Pts]]+Table2[[#This Row],[A/Pts]]</f>
        <v>217</v>
      </c>
      <c r="I219" s="58">
        <f>IF(Table2[[#This Row],[Total/V]]&lt;=Table2[[#This Row],[Total]],1,0)</f>
        <v>1</v>
      </c>
      <c r="J219" s="58">
        <v>216.5</v>
      </c>
      <c r="K219" s="58">
        <v>113</v>
      </c>
      <c r="L219" s="60">
        <f>(Table2[[#This Row],[H/Pace]]/100)*(VLOOKUP(Table2[[#This Row],[Home/Neutral]],home_lookup,8,FALSE)+VLOOKUP(Table2[[#This Row],[Home/Neutral]],OFR_lookup,2,FALSE)+VLOOKUP(Table2[[#This Row],[Visitor/Neutral]],def_diff_lookup,6,FALSE))</f>
        <v>109.78191376977628</v>
      </c>
      <c r="M219" s="60">
        <v>112</v>
      </c>
      <c r="N219" s="60">
        <f>(Table2[[#This Row],[A/Pace]]/100)*(VLOOKUP(Table2[[#This Row],[Visitor/Neutral]],OFR_lookup,2,FALSE)+VLOOKUP(Table2[[#This Row],[Home/Neutral]],def_diff_lookup,6,FALSE))</f>
        <v>110.86974600000001</v>
      </c>
      <c r="O219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19" s="58">
        <f>Table2[[#This Row],[H/EV/Real]]+Table2[[#This Row],[A/EV/Real]]</f>
        <v>225</v>
      </c>
      <c r="Q219" s="58">
        <f>VLOOKUP(Table2[[#This Row],[Home/Neutral]],pace_lookup,7,FALSE)</f>
        <v>96.9</v>
      </c>
      <c r="R219" s="61">
        <f>VLOOKUP(Table2[[#This Row],[Visitor/Neutral]],pace_lookup,7,FALSE)</f>
        <v>95.4</v>
      </c>
      <c r="S219" s="59">
        <f>Table2[[#This Row],[A/Pts]]-Table2[[#This Row],[H/Pts]]</f>
        <v>13</v>
      </c>
      <c r="T219" s="58">
        <v>-3.5</v>
      </c>
      <c r="U219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19" s="58">
        <v>-1.7</v>
      </c>
      <c r="W219" s="62">
        <f>-home-VLOOKUP(Table2[[#This Row],[Home/Neutral]],rtg_vlookup,4,FALSE)+VLOOKUP(Table2[[#This Row],[Visitor/Neutral]],rtg_vlookup,4,FALSE)</f>
        <v>-0.51868852459016512</v>
      </c>
      <c r="X219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19" s="62">
        <v>-1</v>
      </c>
      <c r="Z219" s="62">
        <f>Table2[[#This Row],[A/EV]]-Table2[[#This Row],[H/EV]]</f>
        <v>1.0878322302237251</v>
      </c>
      <c r="AA219" s="29" t="str">
        <f>IF(Table2[[#This Row],[Spread/V]]&gt;=Table2[[#This Row],[SRS/Real]],"HOME","AWAY")</f>
        <v>AWAY</v>
      </c>
      <c r="AB219" s="33" t="str">
        <f>IF(Table2[[#This Row],[Spread/V]]&gt;=Table2[[#This Row],[EV/Real]],"HOME","AWAY")</f>
        <v>AWAY</v>
      </c>
      <c r="AC219" s="33"/>
      <c r="AD219" s="33">
        <v>1</v>
      </c>
      <c r="AE219" s="33"/>
      <c r="AF219" s="7" t="b">
        <f>IF(VLOOKUP(Table2[[#This Row],[Home/Neutral]],division_lookup,9,FALSE)=VLOOKUP(Table2[[#This Row],[Visitor/Neutral]],division_lookup,9,FALSE),TRUE,FALSE)</f>
        <v>0</v>
      </c>
      <c r="AG219" s="15" t="str">
        <f>VLOOKUP(Table2[[#This Row],[Home/Neutral]],division_lookup,9,FALSE)</f>
        <v>SW</v>
      </c>
      <c r="AH219" s="15" t="str">
        <f>IF(Table2[[#This Row],[Total/EV]]&lt;Table2[[#This Row],[Total/V]],"UNDER","OVER")</f>
        <v>OVER</v>
      </c>
      <c r="AI219" s="26">
        <f>Table2[[#This Row],[SRS/Real]]-Table2[[#This Row],[Spread/V]]</f>
        <v>1.8</v>
      </c>
      <c r="AJ219" s="2">
        <f>Table2[[#This Row],[EV/Real]]-Table2[[#This Row],[Spread/V]]</f>
        <v>2.5</v>
      </c>
      <c r="AK219" s="2">
        <f>Table2[[#This Row],[SRS/Diff]]-Table2[[#This Row],[EV/Diff]]</f>
        <v>-0.7</v>
      </c>
      <c r="AL219" s="18">
        <f>Table2[[#This Row],[SRS]]-Table2[[#This Row],[Spread]]</f>
        <v>-13.518688524590164</v>
      </c>
      <c r="AM219" s="21">
        <f>Table2[[#This Row],[(A) Err]]^2</f>
        <v>182.75493942488581</v>
      </c>
      <c r="AN219" s="6">
        <f>Table2[[#This Row],[EV]]-Table2[[#This Row],[Spread]]</f>
        <v>-11.912167769776275</v>
      </c>
      <c r="AO219" s="1">
        <f>Table2[[#This Row],[EV Err]]^2</f>
        <v>141.89974097529668</v>
      </c>
      <c r="AP219" s="1"/>
    </row>
    <row r="220" spans="1:42" x14ac:dyDescent="0.25">
      <c r="A220" s="103">
        <v>42697</v>
      </c>
      <c r="B220" s="58" t="s">
        <v>120</v>
      </c>
      <c r="C220" s="58" t="s">
        <v>109</v>
      </c>
      <c r="D220" s="58">
        <f>IF((Table2[[#This Row],[Spread]]-Table2[[#This Row],[Spread/V]])=0,1,IF(Table2[[#This Row],[Spread]]&lt;Table2[[#This Row],[Spread/V]],1,0))</f>
        <v>0</v>
      </c>
      <c r="E220" s="58">
        <v>85</v>
      </c>
      <c r="F220" s="58">
        <f>IF((Table2[[#This Row],[Spread]]-Table2[[#This Row],[Spread/V]])=0,1,IF(Table2[[#This Row],[Spread]]&gt;Table2[[#This Row],[Spread/V]],1,0))</f>
        <v>1</v>
      </c>
      <c r="G220" s="58">
        <v>96</v>
      </c>
      <c r="H220" s="59">
        <f>Table2[[#This Row],[H/Pts]]+Table2[[#This Row],[A/Pts]]</f>
        <v>181</v>
      </c>
      <c r="I220" s="58">
        <f>IF(Table2[[#This Row],[Total/V]]&lt;=Table2[[#This Row],[Total]],1,0)</f>
        <v>0</v>
      </c>
      <c r="J220" s="58">
        <v>206</v>
      </c>
      <c r="K220" s="58">
        <v>100</v>
      </c>
      <c r="L220" s="60">
        <f>(Table2[[#This Row],[H/Pace]]/100)*(VLOOKUP(Table2[[#This Row],[Home/Neutral]],home_lookup,8,FALSE)+VLOOKUP(Table2[[#This Row],[Home/Neutral]],OFR_lookup,2,FALSE)+VLOOKUP(Table2[[#This Row],[Visitor/Neutral]],def_diff_lookup,6,FALSE))</f>
        <v>99.232525429308609</v>
      </c>
      <c r="M220" s="60">
        <v>106</v>
      </c>
      <c r="N220" s="60">
        <f>(Table2[[#This Row],[A/Pace]]/100)*(VLOOKUP(Table2[[#This Row],[Visitor/Neutral]],OFR_lookup,2,FALSE)+VLOOKUP(Table2[[#This Row],[Home/Neutral]],def_diff_lookup,6,FALSE))</f>
        <v>103.00498133333332</v>
      </c>
      <c r="O220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0" s="58">
        <f>Table2[[#This Row],[H/EV/Real]]+Table2[[#This Row],[A/EV/Real]]</f>
        <v>206</v>
      </c>
      <c r="Q220" s="58">
        <f>VLOOKUP(Table2[[#This Row],[Home/Neutral]],pace_lookup,7,FALSE)</f>
        <v>98.3</v>
      </c>
      <c r="R220" s="61">
        <f>VLOOKUP(Table2[[#This Row],[Visitor/Neutral]],pace_lookup,7,FALSE)</f>
        <v>99.2</v>
      </c>
      <c r="S220" s="59">
        <f>Table2[[#This Row],[A/Pts]]-Table2[[#This Row],[H/Pts]]</f>
        <v>11</v>
      </c>
      <c r="T220" s="58">
        <v>1.5</v>
      </c>
      <c r="U220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20" s="58">
        <v>6.7</v>
      </c>
      <c r="W220" s="62">
        <f>-home-VLOOKUP(Table2[[#This Row],[Home/Neutral]],rtg_vlookup,4,FALSE)+VLOOKUP(Table2[[#This Row],[Visitor/Neutral]],rtg_vlookup,4,FALSE)</f>
        <v>4.2013114754098346</v>
      </c>
      <c r="X220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0" s="62">
        <v>6.4</v>
      </c>
      <c r="Z220" s="62">
        <f>Table2[[#This Row],[A/EV]]-Table2[[#This Row],[H/EV]]</f>
        <v>3.7724559040247101</v>
      </c>
      <c r="AA220" s="29" t="str">
        <f>IF(Table2[[#This Row],[Spread/V]]&gt;=Table2[[#This Row],[SRS/Real]],"HOME","AWAY")</f>
        <v>AWAY</v>
      </c>
      <c r="AB220" s="33" t="str">
        <f>IF(Table2[[#This Row],[Spread/V]]&gt;=Table2[[#This Row],[EV/Real]],"HOME","AWAY")</f>
        <v>AWAY</v>
      </c>
      <c r="AC220" s="33"/>
      <c r="AD220" s="33">
        <v>1</v>
      </c>
      <c r="AE220" s="33"/>
      <c r="AF220" s="7" t="b">
        <f>IF(VLOOKUP(Table2[[#This Row],[Home/Neutral]],division_lookup,9,FALSE)=VLOOKUP(Table2[[#This Row],[Visitor/Neutral]],division_lookup,9,FALSE),TRUE,FALSE)</f>
        <v>0</v>
      </c>
      <c r="AG220" s="15" t="str">
        <f>VLOOKUP(Table2[[#This Row],[Home/Neutral]],division_lookup,9,FALSE)</f>
        <v>C</v>
      </c>
      <c r="AH220" s="15" t="str">
        <f>IF(Table2[[#This Row],[Total/EV]]&lt;Table2[[#This Row],[Total/V]],"UNDER","OVER")</f>
        <v>OVER</v>
      </c>
      <c r="AI220" s="26">
        <f>Table2[[#This Row],[SRS/Real]]-Table2[[#This Row],[Spread/V]]</f>
        <v>5.2</v>
      </c>
      <c r="AJ220" s="2">
        <f>Table2[[#This Row],[EV/Real]]-Table2[[#This Row],[Spread/V]]</f>
        <v>4.9000000000000004</v>
      </c>
      <c r="AK220" s="2">
        <f>Table2[[#This Row],[SRS/Diff]]-Table2[[#This Row],[EV/Diff]]</f>
        <v>0.29999999999999982</v>
      </c>
      <c r="AL220" s="18">
        <f>Table2[[#This Row],[SRS]]-Table2[[#This Row],[Spread]]</f>
        <v>-6.7986885245901654</v>
      </c>
      <c r="AM220" s="21">
        <f>Table2[[#This Row],[(A) Err]]^2</f>
        <v>46.222165654393997</v>
      </c>
      <c r="AN220" s="6">
        <f>Table2[[#This Row],[EV]]-Table2[[#This Row],[Spread]]</f>
        <v>-7.2275440959752899</v>
      </c>
      <c r="AO220" s="1">
        <f>Table2[[#This Row],[EV Err]]^2</f>
        <v>52.237393659267269</v>
      </c>
      <c r="AP220" s="1"/>
    </row>
    <row r="221" spans="1:42" x14ac:dyDescent="0.25">
      <c r="A221" s="103">
        <v>42697</v>
      </c>
      <c r="B221" s="28" t="s">
        <v>127</v>
      </c>
      <c r="C221" s="58" t="s">
        <v>126</v>
      </c>
      <c r="D221" s="58">
        <f>IF((Table2[[#This Row],[Spread]]-Table2[[#This Row],[Spread/V]])=0,1,IF(Table2[[#This Row],[Spread]]&lt;Table2[[#This Row],[Spread/V]],1,0))</f>
        <v>1</v>
      </c>
      <c r="E221" s="58">
        <v>117</v>
      </c>
      <c r="F221" s="58">
        <f>IF((Table2[[#This Row],[Spread]]-Table2[[#This Row],[Spread/V]])=0,1,IF(Table2[[#This Row],[Spread]]&gt;Table2[[#This Row],[Spread/V]],1,0))</f>
        <v>0</v>
      </c>
      <c r="G221" s="60">
        <v>96</v>
      </c>
      <c r="H221" s="59">
        <f>Table2[[#This Row],[H/Pts]]+Table2[[#This Row],[A/Pts]]</f>
        <v>213</v>
      </c>
      <c r="I221" s="60">
        <f>IF(Table2[[#This Row],[Total/V]]&lt;=Table2[[#This Row],[Total]],1,0)</f>
        <v>1</v>
      </c>
      <c r="J221" s="58">
        <v>210.5</v>
      </c>
      <c r="K221" s="58">
        <v>105</v>
      </c>
      <c r="L221" s="60">
        <f>(Table2[[#This Row],[H/Pace]]/100)*(VLOOKUP(Table2[[#This Row],[Home/Neutral]],home_lookup,8,FALSE)+VLOOKUP(Table2[[#This Row],[Home/Neutral]],OFR_lookup,2,FALSE)+VLOOKUP(Table2[[#This Row],[Visitor/Neutral]],def_diff_lookup,6,FALSE))</f>
        <v>105.86703493743047</v>
      </c>
      <c r="M221" s="60">
        <v>105</v>
      </c>
      <c r="N221" s="60">
        <f>(Table2[[#This Row],[A/Pace]]/100)*(VLOOKUP(Table2[[#This Row],[Visitor/Neutral]],OFR_lookup,2,FALSE)+VLOOKUP(Table2[[#This Row],[Home/Neutral]],def_diff_lookup,6,FALSE))</f>
        <v>102.75851300000001</v>
      </c>
      <c r="O221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1" s="58">
        <f>Table2[[#This Row],[H/EV/Real]]+Table2[[#This Row],[A/EV/Real]]</f>
        <v>210</v>
      </c>
      <c r="Q221" s="58">
        <f>VLOOKUP(Table2[[#This Row],[Home/Neutral]],pace_lookup,7,FALSE)</f>
        <v>99.3</v>
      </c>
      <c r="R221" s="61">
        <f>VLOOKUP(Table2[[#This Row],[Visitor/Neutral]],pace_lookup,7,FALSE)</f>
        <v>95.7</v>
      </c>
      <c r="S221" s="59">
        <f>Table2[[#This Row],[A/Pts]]-Table2[[#This Row],[H/Pts]]</f>
        <v>-21</v>
      </c>
      <c r="T221" s="58">
        <v>1.5</v>
      </c>
      <c r="U221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21" s="58">
        <v>1.2</v>
      </c>
      <c r="W221" s="62">
        <f>-home-VLOOKUP(Table2[[#This Row],[Home/Neutral]],rtg_vlookup,4,FALSE)+VLOOKUP(Table2[[#This Row],[Visitor/Neutral]],rtg_vlookup,4,FALSE)</f>
        <v>-1.2986885245901656</v>
      </c>
      <c r="X221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1" s="62">
        <v>-0.2</v>
      </c>
      <c r="Z221" s="62">
        <f>Table2[[#This Row],[A/EV]]-Table2[[#This Row],[H/EV]]</f>
        <v>-3.1085219374304671</v>
      </c>
      <c r="AA221" s="29" t="str">
        <f>IF(Table2[[#This Row],[Spread/V]]&gt;=Table2[[#This Row],[SRS/Real]],"HOME","AWAY")</f>
        <v>HOME</v>
      </c>
      <c r="AB221" s="33" t="str">
        <f>IF(Table2[[#This Row],[Spread/V]]&gt;=Table2[[#This Row],[EV/Real]],"HOME","AWAY")</f>
        <v>HOME</v>
      </c>
      <c r="AC221" s="33"/>
      <c r="AD221" s="33">
        <v>1</v>
      </c>
      <c r="AE221" s="33"/>
      <c r="AF221" s="7" t="b">
        <f>IF(VLOOKUP(Table2[[#This Row],[Home/Neutral]],division_lookup,9,FALSE)=VLOOKUP(Table2[[#This Row],[Visitor/Neutral]],division_lookup,9,FALSE),TRUE,FALSE)</f>
        <v>0</v>
      </c>
      <c r="AG221" s="15" t="str">
        <f>VLOOKUP(Table2[[#This Row],[Home/Neutral]],division_lookup,9,FALSE)</f>
        <v>SW</v>
      </c>
      <c r="AH221" s="15" t="str">
        <f>IF(Table2[[#This Row],[Total/EV]]&lt;Table2[[#This Row],[Total/V]],"UNDER","OVER")</f>
        <v>UNDER</v>
      </c>
      <c r="AI221" s="26">
        <f>Table2[[#This Row],[SRS/Real]]-Table2[[#This Row],[Spread/V]]</f>
        <v>-0.30000000000000004</v>
      </c>
      <c r="AJ221" s="2">
        <f>Table2[[#This Row],[EV/Real]]-Table2[[#This Row],[Spread/V]]</f>
        <v>-1.7</v>
      </c>
      <c r="AK221" s="2">
        <f>Table2[[#This Row],[SRS/Diff]]-Table2[[#This Row],[EV/Diff]]</f>
        <v>1.4</v>
      </c>
      <c r="AL221" s="18">
        <f>Table2[[#This Row],[SRS]]-Table2[[#This Row],[Spread]]</f>
        <v>19.701311475409835</v>
      </c>
      <c r="AM221" s="21">
        <f>Table2[[#This Row],[(A) Err]]^2</f>
        <v>388.14167385111523</v>
      </c>
      <c r="AN221" s="6">
        <f>Table2[[#This Row],[EV]]-Table2[[#This Row],[Spread]]</f>
        <v>17.891478062569533</v>
      </c>
      <c r="AO221" s="1">
        <f>Table2[[#This Row],[EV Err]]^2</f>
        <v>320.10498726340683</v>
      </c>
      <c r="AP221" s="1"/>
    </row>
    <row r="222" spans="1:42" x14ac:dyDescent="0.25">
      <c r="A222" s="103">
        <v>42697</v>
      </c>
      <c r="B222" s="58" t="s">
        <v>130</v>
      </c>
      <c r="C222" s="58" t="s">
        <v>131</v>
      </c>
      <c r="D222" s="58">
        <f>IF((Table2[[#This Row],[Spread]]-Table2[[#This Row],[Spread/V]])=0,1,IF(Table2[[#This Row],[Spread]]&lt;Table2[[#This Row],[Spread/V]],1,0))</f>
        <v>0</v>
      </c>
      <c r="E222" s="60">
        <v>87</v>
      </c>
      <c r="F222" s="58">
        <f>IF((Table2[[#This Row],[Spread]]-Table2[[#This Row],[Spread/V]])=0,1,IF(Table2[[#This Row],[Spread]]&gt;Table2[[#This Row],[Spread/V]],1,0))</f>
        <v>1</v>
      </c>
      <c r="G222" s="60">
        <v>92</v>
      </c>
      <c r="H222" s="59">
        <f>Table2[[#This Row],[H/Pts]]+Table2[[#This Row],[A/Pts]]</f>
        <v>179</v>
      </c>
      <c r="I222" s="60">
        <f>IF(Table2[[#This Row],[Total/V]]&lt;=Table2[[#This Row],[Total]],1,0)</f>
        <v>0</v>
      </c>
      <c r="J222" s="58">
        <v>208.5</v>
      </c>
      <c r="K222" s="58">
        <v>101</v>
      </c>
      <c r="L222" s="60">
        <f>(Table2[[#This Row],[H/Pace]]/100)*(VLOOKUP(Table2[[#This Row],[Home/Neutral]],home_lookup,8,FALSE)+VLOOKUP(Table2[[#This Row],[Home/Neutral]],OFR_lookup,2,FALSE)+VLOOKUP(Table2[[#This Row],[Visitor/Neutral]],def_diff_lookup,6,FALSE))</f>
        <v>97.552244967109402</v>
      </c>
      <c r="M222" s="60">
        <v>106</v>
      </c>
      <c r="N222" s="60">
        <f>(Table2[[#This Row],[A/Pace]]/100)*(VLOOKUP(Table2[[#This Row],[Visitor/Neutral]],OFR_lookup,2,FALSE)+VLOOKUP(Table2[[#This Row],[Home/Neutral]],def_diff_lookup,6,FALSE))</f>
        <v>102.93633299999999</v>
      </c>
      <c r="O222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22" s="58">
        <f>Table2[[#This Row],[H/EV/Real]]+Table2[[#This Row],[A/EV/Real]]</f>
        <v>207</v>
      </c>
      <c r="Q222" s="58">
        <f>VLOOKUP(Table2[[#This Row],[Home/Neutral]],pace_lookup,7,FALSE)</f>
        <v>94.2</v>
      </c>
      <c r="R222" s="61">
        <f>VLOOKUP(Table2[[#This Row],[Visitor/Neutral]],pace_lookup,7,FALSE)</f>
        <v>101.7</v>
      </c>
      <c r="S222" s="59">
        <f>Table2[[#This Row],[A/Pts]]-Table2[[#This Row],[H/Pts]]</f>
        <v>5</v>
      </c>
      <c r="T222" s="58">
        <v>-4</v>
      </c>
      <c r="U222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22" s="58">
        <v>0</v>
      </c>
      <c r="W222" s="62">
        <f>-home-VLOOKUP(Table2[[#This Row],[Home/Neutral]],rtg_vlookup,4,FALSE)+VLOOKUP(Table2[[#This Row],[Visitor/Neutral]],rtg_vlookup,4,FALSE)</f>
        <v>-0.52868852459016491</v>
      </c>
      <c r="X222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2" s="62">
        <v>5.3</v>
      </c>
      <c r="Z222" s="62">
        <f>Table2[[#This Row],[A/EV]]-Table2[[#This Row],[H/EV]]</f>
        <v>5.3840880328905882</v>
      </c>
      <c r="AA222" s="29" t="str">
        <f>IF(Table2[[#This Row],[Spread/V]]&gt;=Table2[[#This Row],[SRS/Real]],"HOME","AWAY")</f>
        <v>AWAY</v>
      </c>
      <c r="AB222" s="33" t="str">
        <f>IF(Table2[[#This Row],[Spread/V]]&gt;=Table2[[#This Row],[EV/Real]],"HOME","AWAY")</f>
        <v>AWAY</v>
      </c>
      <c r="AC222" s="33"/>
      <c r="AD222" s="33">
        <v>1</v>
      </c>
      <c r="AE222" s="33"/>
      <c r="AF222" s="7" t="b">
        <f>IF(VLOOKUP(Table2[[#This Row],[Home/Neutral]],division_lookup,9,FALSE)=VLOOKUP(Table2[[#This Row],[Visitor/Neutral]],division_lookup,9,FALSE),TRUE,FALSE)</f>
        <v>0</v>
      </c>
      <c r="AG222" s="15" t="str">
        <f>VLOOKUP(Table2[[#This Row],[Home/Neutral]],division_lookup,9,FALSE)</f>
        <v>SE</v>
      </c>
      <c r="AH222" s="15" t="str">
        <f>IF(Table2[[#This Row],[Total/EV]]&lt;Table2[[#This Row],[Total/V]],"UNDER","OVER")</f>
        <v>UNDER</v>
      </c>
      <c r="AI222" s="26">
        <f>Table2[[#This Row],[SRS/Real]]-Table2[[#This Row],[Spread/V]]</f>
        <v>4</v>
      </c>
      <c r="AJ222" s="2">
        <f>Table2[[#This Row],[EV/Real]]-Table2[[#This Row],[Spread/V]]</f>
        <v>9.3000000000000007</v>
      </c>
      <c r="AK222" s="2">
        <f>Table2[[#This Row],[SRS/Diff]]-Table2[[#This Row],[EV/Diff]]</f>
        <v>-5.3000000000000007</v>
      </c>
      <c r="AL222" s="18">
        <f>Table2[[#This Row],[SRS]]-Table2[[#This Row],[Spread]]</f>
        <v>-5.5286885245901649</v>
      </c>
      <c r="AM222" s="21">
        <f>Table2[[#This Row],[(A) Err]]^2</f>
        <v>30.566396801934975</v>
      </c>
      <c r="AN222" s="6">
        <f>Table2[[#This Row],[EV]]-Table2[[#This Row],[Spread]]</f>
        <v>0.38408803289058824</v>
      </c>
      <c r="AO222" s="1">
        <f>Table2[[#This Row],[EV Err]]^2</f>
        <v>0.1475236170097616</v>
      </c>
      <c r="AP222" s="1"/>
    </row>
    <row r="223" spans="1:42" x14ac:dyDescent="0.25">
      <c r="A223" s="77">
        <v>42697</v>
      </c>
      <c r="B223" s="49" t="s">
        <v>138</v>
      </c>
      <c r="C223" s="49" t="s">
        <v>123</v>
      </c>
      <c r="D223" s="49">
        <f>IF((Table2[[#This Row],[Spread]]-Table2[[#This Row],[Spread/V]])=0,1,IF(Table2[[#This Row],[Spread]]&lt;Table2[[#This Row],[Spread/V]],1,0))</f>
        <v>1</v>
      </c>
      <c r="E223" s="51">
        <v>99</v>
      </c>
      <c r="F223" s="49">
        <f>IF((Table2[[#This Row],[Spread]]-Table2[[#This Row],[Spread/V]])=0,1,IF(Table2[[#This Row],[Spread]]&gt;Table2[[#This Row],[Spread/V]],1,0))</f>
        <v>0</v>
      </c>
      <c r="G223" s="51">
        <v>104</v>
      </c>
      <c r="H223" s="50">
        <f>Table2[[#This Row],[H/Pts]]+Table2[[#This Row],[A/Pts]]</f>
        <v>203</v>
      </c>
      <c r="I223" s="51">
        <f>IF(Table2[[#This Row],[Total/V]]&lt;=Table2[[#This Row],[Total]],1,0)</f>
        <v>1</v>
      </c>
      <c r="J223" s="49">
        <v>196</v>
      </c>
      <c r="K223" s="49">
        <v>97</v>
      </c>
      <c r="L223" s="51">
        <f>(Table2[[#This Row],[H/Pace]]/100)*(VLOOKUP(Table2[[#This Row],[Home/Neutral]],home_lookup,8,FALSE)+VLOOKUP(Table2[[#This Row],[Home/Neutral]],OFR_lookup,2,FALSE)+VLOOKUP(Table2[[#This Row],[Visitor/Neutral]],def_diff_lookup,6,FALSE))</f>
        <v>95.643783531240089</v>
      </c>
      <c r="M223" s="51">
        <v>100</v>
      </c>
      <c r="N223" s="51">
        <f>(Table2[[#This Row],[A/Pace]]/100)*(VLOOKUP(Table2[[#This Row],[Visitor/Neutral]],OFR_lookup,2,FALSE)+VLOOKUP(Table2[[#This Row],[Home/Neutral]],def_diff_lookup,6,FALSE))</f>
        <v>97.601991666666663</v>
      </c>
      <c r="O223" s="52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23" s="49">
        <f>Table2[[#This Row],[H/EV/Real]]+Table2[[#This Row],[A/EV/Real]]</f>
        <v>197</v>
      </c>
      <c r="Q223" s="49">
        <f>VLOOKUP(Table2[[#This Row],[Home/Neutral]],pace_lookup,7,FALSE)</f>
        <v>97.5</v>
      </c>
      <c r="R223" s="52">
        <f>VLOOKUP(Table2[[#This Row],[Visitor/Neutral]],pace_lookup,7,FALSE)</f>
        <v>92.5</v>
      </c>
      <c r="S223" s="50">
        <f>Table2[[#This Row],[A/Pts]]-Table2[[#This Row],[H/Pts]]</f>
        <v>5</v>
      </c>
      <c r="T223" s="49">
        <v>6</v>
      </c>
      <c r="U223" s="7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3" s="49">
        <v>9.6</v>
      </c>
      <c r="W223" s="53">
        <f>-home-VLOOKUP(Table2[[#This Row],[Home/Neutral]],rtg_vlookup,4,FALSE)+VLOOKUP(Table2[[#This Row],[Visitor/Neutral]],rtg_vlookup,4,FALSE)</f>
        <v>7.5313114754098347</v>
      </c>
      <c r="X223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3" s="53">
        <v>2.1</v>
      </c>
      <c r="Z223" s="53">
        <f>Table2[[#This Row],[A/EV]]-Table2[[#This Row],[H/EV]]</f>
        <v>1.9582081354265739</v>
      </c>
      <c r="AA223" s="29" t="str">
        <f>IF(Table2[[#This Row],[Spread/V]]&gt;=Table2[[#This Row],[SRS/Real]],"HOME","AWAY")</f>
        <v>AWAY</v>
      </c>
      <c r="AB223" s="33" t="str">
        <f>IF(Table2[[#This Row],[Spread/V]]&gt;=Table2[[#This Row],[EV/Real]],"HOME","AWAY")</f>
        <v>HOME</v>
      </c>
      <c r="AC223" s="33">
        <v>0</v>
      </c>
      <c r="AD223" s="33"/>
      <c r="AE223" s="33">
        <v>1</v>
      </c>
      <c r="AF223" s="7" t="b">
        <f>IF(VLOOKUP(Table2[[#This Row],[Home/Neutral]],division_lookup,9,FALSE)=VLOOKUP(Table2[[#This Row],[Visitor/Neutral]],division_lookup,9,FALSE),TRUE,FALSE)</f>
        <v>0</v>
      </c>
      <c r="AG223" s="15" t="str">
        <f>VLOOKUP(Table2[[#This Row],[Home/Neutral]],division_lookup,9,FALSE)</f>
        <v>A</v>
      </c>
      <c r="AH223" s="15" t="str">
        <f>IF(Table2[[#This Row],[Total/EV]]&lt;Table2[[#This Row],[Total/V]],"UNDER","OVER")</f>
        <v>OVER</v>
      </c>
      <c r="AI223" s="26">
        <f>Table2[[#This Row],[SRS/Real]]-Table2[[#This Row],[Spread/V]]</f>
        <v>3.5999999999999996</v>
      </c>
      <c r="AJ223" s="2">
        <f>Table2[[#This Row],[EV/Real]]-Table2[[#This Row],[Spread/V]]</f>
        <v>-3.9</v>
      </c>
      <c r="AK223" s="2">
        <f>Table2[[#This Row],[SRS/Diff]]-Table2[[#This Row],[EV/Diff]]</f>
        <v>7.5</v>
      </c>
      <c r="AL223" s="18">
        <f>Table2[[#This Row],[SRS]]-Table2[[#This Row],[Spread]]</f>
        <v>2.5313114754098347</v>
      </c>
      <c r="AM223" s="21">
        <f>Table2[[#This Row],[(A) Err]]^2</f>
        <v>6.4075377855415141</v>
      </c>
      <c r="AN223" s="6">
        <f>Table2[[#This Row],[EV]]-Table2[[#This Row],[Spread]]</f>
        <v>-3.0417918645734261</v>
      </c>
      <c r="AO223" s="1">
        <f>Table2[[#This Row],[EV Err]]^2</f>
        <v>9.25249774738508</v>
      </c>
      <c r="AP223" s="1"/>
    </row>
    <row r="224" spans="1:42" x14ac:dyDescent="0.25">
      <c r="A224" s="103">
        <v>42697</v>
      </c>
      <c r="B224" s="58" t="s">
        <v>133</v>
      </c>
      <c r="C224" s="28" t="s">
        <v>129</v>
      </c>
      <c r="D224" s="58">
        <f>IF((Table2[[#This Row],[Spread]]-Table2[[#This Row],[Spread/V]])=0,1,IF(Table2[[#This Row],[Spread]]&lt;Table2[[#This Row],[Spread/V]],1,0))</f>
        <v>1</v>
      </c>
      <c r="E224" s="60">
        <v>116</v>
      </c>
      <c r="F224" s="58">
        <f>IF((Table2[[#This Row],[Spread]]-Table2[[#This Row],[Spread/V]])=0,1,IF(Table2[[#This Row],[Spread]]&gt;Table2[[#This Row],[Spread/V]],1,0))</f>
        <v>0</v>
      </c>
      <c r="G224" s="60">
        <v>101</v>
      </c>
      <c r="H224" s="59">
        <f>Table2[[#This Row],[H/Pts]]+Table2[[#This Row],[A/Pts]]</f>
        <v>217</v>
      </c>
      <c r="I224" s="60">
        <f>IF(Table2[[#This Row],[Total/V]]&lt;=Table2[[#This Row],[Total]],1,0)</f>
        <v>1</v>
      </c>
      <c r="J224" s="58">
        <v>214</v>
      </c>
      <c r="K224" s="58">
        <v>104</v>
      </c>
      <c r="L224" s="60">
        <f>(Table2[[#This Row],[H/Pace]]/100)*(VLOOKUP(Table2[[#This Row],[Home/Neutral]],home_lookup,8,FALSE)+VLOOKUP(Table2[[#This Row],[Home/Neutral]],OFR_lookup,2,FALSE)+VLOOKUP(Table2[[#This Row],[Visitor/Neutral]],def_diff_lookup,6,FALSE))</f>
        <v>106.2333474827998</v>
      </c>
      <c r="M224" s="60">
        <v>107</v>
      </c>
      <c r="N224" s="60">
        <f>(Table2[[#This Row],[A/Pace]]/100)*(VLOOKUP(Table2[[#This Row],[Visitor/Neutral]],OFR_lookup,2,FALSE)+VLOOKUP(Table2[[#This Row],[Home/Neutral]],def_diff_lookup,6,FALSE))</f>
        <v>108.39080999999999</v>
      </c>
      <c r="O224" s="6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4" s="58">
        <f>Table2[[#This Row],[H/EV/Real]]+Table2[[#This Row],[A/EV/Real]]</f>
        <v>211</v>
      </c>
      <c r="Q224" s="58">
        <f>VLOOKUP(Table2[[#This Row],[Home/Neutral]],pace_lookup,7,FALSE)</f>
        <v>94.2</v>
      </c>
      <c r="R224" s="61">
        <f>VLOOKUP(Table2[[#This Row],[Visitor/Neutral]],pace_lookup,7,FALSE)</f>
        <v>99</v>
      </c>
      <c r="S224" s="59">
        <f>Table2[[#This Row],[A/Pts]]-Table2[[#This Row],[H/Pts]]</f>
        <v>-15</v>
      </c>
      <c r="T224" s="58">
        <v>-2.5</v>
      </c>
      <c r="U224" s="74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4" s="58">
        <v>1.6</v>
      </c>
      <c r="W224" s="62">
        <f>-home-VLOOKUP(Table2[[#This Row],[Home/Neutral]],rtg_vlookup,4,FALSE)+VLOOKUP(Table2[[#This Row],[Visitor/Neutral]],rtg_vlookup,4,FALSE)</f>
        <v>0.65131147540983414</v>
      </c>
      <c r="X224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24" s="62">
        <v>3</v>
      </c>
      <c r="Z224" s="62">
        <f>Table2[[#This Row],[A/EV]]-Table2[[#This Row],[H/EV]]</f>
        <v>2.1574625172001873</v>
      </c>
      <c r="AA224" s="29" t="str">
        <f>IF(Table2[[#This Row],[Spread/V]]&gt;=Table2[[#This Row],[SRS/Real]],"HOME","AWAY")</f>
        <v>AWAY</v>
      </c>
      <c r="AB224" s="33" t="str">
        <f>IF(Table2[[#This Row],[Spread/V]]&gt;=Table2[[#This Row],[EV/Real]],"HOME","AWAY")</f>
        <v>AWAY</v>
      </c>
      <c r="AC224" s="33"/>
      <c r="AD224" s="33">
        <v>0</v>
      </c>
      <c r="AE224" s="33"/>
      <c r="AF224" s="7" t="b">
        <f>IF(VLOOKUP(Table2[[#This Row],[Home/Neutral]],division_lookup,9,FALSE)=VLOOKUP(Table2[[#This Row],[Visitor/Neutral]],division_lookup,9,FALSE),TRUE,FALSE)</f>
        <v>0</v>
      </c>
      <c r="AG224" s="15" t="str">
        <f>VLOOKUP(Table2[[#This Row],[Home/Neutral]],division_lookup,9,FALSE)</f>
        <v>P</v>
      </c>
      <c r="AH224" s="15" t="str">
        <f>IF(Table2[[#This Row],[Total/EV]]&lt;Table2[[#This Row],[Total/V]],"UNDER","OVER")</f>
        <v>UNDER</v>
      </c>
      <c r="AI224" s="26">
        <f>Table2[[#This Row],[SRS/Real]]-Table2[[#This Row],[Spread/V]]</f>
        <v>4.0999999999999996</v>
      </c>
      <c r="AJ224" s="2">
        <f>Table2[[#This Row],[EV/Real]]-Table2[[#This Row],[Spread/V]]</f>
        <v>5.5</v>
      </c>
      <c r="AK224" s="2">
        <f>Table2[[#This Row],[SRS/Diff]]-Table2[[#This Row],[EV/Diff]]</f>
        <v>-1.4000000000000004</v>
      </c>
      <c r="AL224" s="18">
        <f>Table2[[#This Row],[SRS]]-Table2[[#This Row],[Spread]]</f>
        <v>15.651311475409834</v>
      </c>
      <c r="AM224" s="21">
        <f>Table2[[#This Row],[(A) Err]]^2</f>
        <v>244.96355090029556</v>
      </c>
      <c r="AN224" s="6">
        <f>Table2[[#This Row],[EV]]-Table2[[#This Row],[Spread]]</f>
        <v>17.157462517200187</v>
      </c>
      <c r="AO224" s="1">
        <f>Table2[[#This Row],[EV Err]]^2</f>
        <v>294.37852002912939</v>
      </c>
      <c r="AP224" s="1"/>
    </row>
    <row r="225" spans="1:42" ht="15.75" thickBot="1" x14ac:dyDescent="0.3">
      <c r="A225" s="102">
        <v>42697</v>
      </c>
      <c r="B225" s="54" t="s">
        <v>136</v>
      </c>
      <c r="C225" s="36" t="s">
        <v>116</v>
      </c>
      <c r="D225" s="54">
        <f>IF((Table2[[#This Row],[Spread]]-Table2[[#This Row],[Spread/V]])=0,1,IF(Table2[[#This Row],[Spread]]&lt;Table2[[#This Row],[Spread/V]],1,0))</f>
        <v>1</v>
      </c>
      <c r="E225" s="56">
        <v>108</v>
      </c>
      <c r="F225" s="54">
        <f>IF((Table2[[#This Row],[Spread]]-Table2[[#This Row],[Spread/V]])=0,1,IF(Table2[[#This Row],[Spread]]&gt;Table2[[#This Row],[Spread/V]],1,0))</f>
        <v>0</v>
      </c>
      <c r="G225" s="56">
        <v>83</v>
      </c>
      <c r="H225" s="55">
        <f>Table2[[#This Row],[H/Pts]]+Table2[[#This Row],[A/Pts]]</f>
        <v>191</v>
      </c>
      <c r="I225" s="56">
        <f>IF(Table2[[#This Row],[Total/V]]&lt;=Table2[[#This Row],[Total]],1,0)</f>
        <v>0</v>
      </c>
      <c r="J225" s="54">
        <v>199</v>
      </c>
      <c r="K225" s="54">
        <v>100</v>
      </c>
      <c r="L225" s="56">
        <f>(Table2[[#This Row],[H/Pace]]/100)*(VLOOKUP(Table2[[#This Row],[Home/Neutral]],home_lookup,8,FALSE)+VLOOKUP(Table2[[#This Row],[Home/Neutral]],OFR_lookup,2,FALSE)+VLOOKUP(Table2[[#This Row],[Visitor/Neutral]],def_diff_lookup,6,FALSE))</f>
        <v>105.29503534991899</v>
      </c>
      <c r="M225" s="56">
        <v>103</v>
      </c>
      <c r="N225" s="56">
        <f>(Table2[[#This Row],[A/Pace]]/100)*(VLOOKUP(Table2[[#This Row],[Visitor/Neutral]],OFR_lookup,2,FALSE)+VLOOKUP(Table2[[#This Row],[Home/Neutral]],def_diff_lookup,6,FALSE))</f>
        <v>100.77049566666666</v>
      </c>
      <c r="O225" s="54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5" s="54">
        <f>Table2[[#This Row],[H/EV/Real]]+Table2[[#This Row],[A/EV/Real]]</f>
        <v>203</v>
      </c>
      <c r="Q225" s="54">
        <f>VLOOKUP(Table2[[#This Row],[Home/Neutral]],pace_lookup,7,FALSE)</f>
        <v>91.5</v>
      </c>
      <c r="R225" s="54">
        <f>VLOOKUP(Table2[[#This Row],[Visitor/Neutral]],pace_lookup,7,FALSE)</f>
        <v>99.1</v>
      </c>
      <c r="S225" s="55">
        <f>Table2[[#This Row],[A/Pts]]-Table2[[#This Row],[H/Pts]]</f>
        <v>-25</v>
      </c>
      <c r="T225" s="54">
        <v>-7</v>
      </c>
      <c r="U225" s="73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5" s="54">
        <v>-4.2</v>
      </c>
      <c r="W225" s="57">
        <f>-home-VLOOKUP(Table2[[#This Row],[Home/Neutral]],rtg_vlookup,4,FALSE)+VLOOKUP(Table2[[#This Row],[Visitor/Neutral]],rtg_vlookup,4,FALSE)</f>
        <v>-7.768688524590166</v>
      </c>
      <c r="X225" s="73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25" s="57">
        <v>3.6</v>
      </c>
      <c r="Z225" s="57">
        <f>Table2[[#This Row],[A/EV]]-Table2[[#This Row],[H/EV]]</f>
        <v>-4.5245396832523284</v>
      </c>
      <c r="AA225" s="31" t="str">
        <f>IF(Table2[[#This Row],[Spread/V]]&gt;=Table2[[#This Row],[SRS/Real]],"HOME","AWAY")</f>
        <v>AWAY</v>
      </c>
      <c r="AB225" s="32" t="str">
        <f>IF(Table2[[#This Row],[Spread/V]]&gt;=Table2[[#This Row],[EV/Real]],"HOME","AWAY")</f>
        <v>AWAY</v>
      </c>
      <c r="AC225" s="32"/>
      <c r="AD225" s="32">
        <v>0</v>
      </c>
      <c r="AE225" s="32"/>
      <c r="AF225" s="8" t="b">
        <f>IF(VLOOKUP(Table2[[#This Row],[Home/Neutral]],division_lookup,9,FALSE)=VLOOKUP(Table2[[#This Row],[Visitor/Neutral]],division_lookup,9,FALSE),TRUE,FALSE)</f>
        <v>1</v>
      </c>
      <c r="AG225" s="16" t="str">
        <f>VLOOKUP(Table2[[#This Row],[Home/Neutral]],division_lookup,9,FALSE)</f>
        <v>NW</v>
      </c>
      <c r="AH225" s="16" t="str">
        <f>IF(Table2[[#This Row],[Total/EV]]&lt;Table2[[#This Row],[Total/V]],"UNDER","OVER")</f>
        <v>OVER</v>
      </c>
      <c r="AI225" s="16">
        <f>Table2[[#This Row],[SRS/Real]]-Table2[[#This Row],[Spread/V]]</f>
        <v>2.8</v>
      </c>
      <c r="AJ225" s="9">
        <f>Table2[[#This Row],[EV/Real]]-Table2[[#This Row],[Spread/V]]</f>
        <v>10.6</v>
      </c>
      <c r="AK225" s="9">
        <f>Table2[[#This Row],[SRS/Diff]]-Table2[[#This Row],[EV/Diff]]</f>
        <v>-7.8</v>
      </c>
      <c r="AL225" s="19">
        <f>Table2[[#This Row],[SRS]]-Table2[[#This Row],[Spread]]</f>
        <v>17.231311475409832</v>
      </c>
      <c r="AM225" s="22">
        <f>Table2[[#This Row],[(A) Err]]^2</f>
        <v>296.91809516259059</v>
      </c>
      <c r="AN225" s="4">
        <f>Table2[[#This Row],[EV]]-Table2[[#This Row],[Spread]]</f>
        <v>20.475460316747672</v>
      </c>
      <c r="AO225" s="4">
        <f>Table2[[#This Row],[EV Err]]^2</f>
        <v>419.24447518270864</v>
      </c>
      <c r="AP225" s="1"/>
    </row>
    <row r="226" spans="1:42" x14ac:dyDescent="0.25">
      <c r="A226" s="77">
        <v>42699</v>
      </c>
      <c r="B226" s="49" t="s">
        <v>110</v>
      </c>
      <c r="C226" s="49" t="s">
        <v>134</v>
      </c>
      <c r="D226" s="49">
        <f>IF((Table2[[#This Row],[Spread]]-Table2[[#This Row],[Spread/V]])=0,1,IF(Table2[[#This Row],[Spread]]&lt;Table2[[#This Row],[Spread/V]],1,0))</f>
        <v>0</v>
      </c>
      <c r="E226" s="51">
        <v>103</v>
      </c>
      <c r="F226" s="49">
        <f>IF((Table2[[#This Row],[Spread]]-Table2[[#This Row],[Spread/V]])=0,1,IF(Table2[[#This Row],[Spread]]&gt;Table2[[#This Row],[Spread/V]],1,0))</f>
        <v>1</v>
      </c>
      <c r="G226" s="51">
        <v>109</v>
      </c>
      <c r="H226" s="50">
        <f>Table2[[#This Row],[H/Pts]]+Table2[[#This Row],[A/Pts]]</f>
        <v>212</v>
      </c>
      <c r="I226" s="51">
        <f>IF(Table2[[#This Row],[Total/V]]&lt;=Table2[[#This Row],[Total]],1,0)</f>
        <v>1</v>
      </c>
      <c r="J226" s="49">
        <v>201</v>
      </c>
      <c r="K226" s="49">
        <v>105</v>
      </c>
      <c r="L226" s="51">
        <f>(Table2[[#This Row],[H/Pace]]/100)*(VLOOKUP(Table2[[#This Row],[Home/Neutral]],home_lookup,8,FALSE)+VLOOKUP(Table2[[#This Row],[Home/Neutral]],OFR_lookup,2,FALSE)+VLOOKUP(Table2[[#This Row],[Visitor/Neutral]],def_diff_lookup,6,FALSE))</f>
        <v>104.4547511890094</v>
      </c>
      <c r="M226" s="51">
        <v>105</v>
      </c>
      <c r="N226" s="51">
        <f>(Table2[[#This Row],[A/Pace]]/100)*(VLOOKUP(Table2[[#This Row],[Visitor/Neutral]],OFR_lookup,2,FALSE)+VLOOKUP(Table2[[#This Row],[Home/Neutral]],def_diff_lookup,6,FALSE))</f>
        <v>105.92089266666667</v>
      </c>
      <c r="O226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26" s="49">
        <f>Table2[[#This Row],[H/EV/Real]]+Table2[[#This Row],[A/EV/Real]]</f>
        <v>210</v>
      </c>
      <c r="Q226" s="49">
        <f>VLOOKUP(Table2[[#This Row],[Home/Neutral]],pace_lookup,7,FALSE)</f>
        <v>96.2</v>
      </c>
      <c r="R226" s="52">
        <f>VLOOKUP(Table2[[#This Row],[Visitor/Neutral]],pace_lookup,7,FALSE)</f>
        <v>93.4</v>
      </c>
      <c r="S226" s="50">
        <f>Table2[[#This Row],[A/Pts]]-Table2[[#This Row],[H/Pts]]</f>
        <v>6</v>
      </c>
      <c r="T226" s="49">
        <v>4</v>
      </c>
      <c r="U226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6" s="49">
        <v>3.8</v>
      </c>
      <c r="W226" s="53">
        <f>-home-VLOOKUP(Table2[[#This Row],[Home/Neutral]],rtg_vlookup,4,FALSE)+VLOOKUP(Table2[[#This Row],[Visitor/Neutral]],rtg_vlookup,4,FALSE)</f>
        <v>4.1313114754098343</v>
      </c>
      <c r="X226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26" s="53">
        <v>0.1</v>
      </c>
      <c r="Z226" s="53">
        <f>Table2[[#This Row],[A/EV]]-Table2[[#This Row],[H/EV]]</f>
        <v>1.4661414776572741</v>
      </c>
      <c r="AA226" s="29" t="str">
        <f>IF(Table2[[#This Row],[Spread/V]]&gt;=Table2[[#This Row],[SRS/Real]],"HOME","AWAY")</f>
        <v>HOME</v>
      </c>
      <c r="AB226" s="33" t="str">
        <f>IF(Table2[[#This Row],[Spread/V]]&gt;=Table2[[#This Row],[EV/Real]],"HOME","AWAY")</f>
        <v>HOME</v>
      </c>
      <c r="AC226" s="47"/>
      <c r="AD226" s="33">
        <v>0</v>
      </c>
      <c r="AE226" s="33"/>
      <c r="AF226" s="7" t="b">
        <f>IF(VLOOKUP(Table2[[#This Row],[Home/Neutral]],division_lookup,9,FALSE)=VLOOKUP(Table2[[#This Row],[Visitor/Neutral]],division_lookup,9,FALSE),TRUE,FALSE)</f>
        <v>0</v>
      </c>
      <c r="AG226" s="15" t="str">
        <f>VLOOKUP(Table2[[#This Row],[Home/Neutral]],division_lookup,9,FALSE)</f>
        <v>A</v>
      </c>
      <c r="AH226" s="15" t="str">
        <f>IF(Table2[[#This Row],[Total/EV]]&lt;Table2[[#This Row],[Total/V]],"UNDER","OVER")</f>
        <v>OVER</v>
      </c>
      <c r="AI226" s="26">
        <f>Table2[[#This Row],[SRS/Real]]-Table2[[#This Row],[Spread/V]]</f>
        <v>-0.20000000000000018</v>
      </c>
      <c r="AJ226" s="2">
        <f>Table2[[#This Row],[EV/Real]]-Table2[[#This Row],[Spread/V]]</f>
        <v>-3.9</v>
      </c>
      <c r="AK226" s="2">
        <f>Table2[[#This Row],[SRS/Diff]]-Table2[[#This Row],[EV/Diff]]</f>
        <v>3.6999999999999997</v>
      </c>
      <c r="AL226" s="18">
        <f>Table2[[#This Row],[SRS]]-Table2[[#This Row],[Spread]]</f>
        <v>-1.8686885245901657</v>
      </c>
      <c r="AM226" s="21">
        <f>Table2[[#This Row],[(A) Err]]^2</f>
        <v>3.4919968019349703</v>
      </c>
      <c r="AN226" s="6">
        <f>Table2[[#This Row],[EV]]-Table2[[#This Row],[Spread]]</f>
        <v>-4.5338585223427259</v>
      </c>
      <c r="AO226" s="1">
        <f>Table2[[#This Row],[EV Err]]^2</f>
        <v>20.555873100619767</v>
      </c>
      <c r="AP226" s="1"/>
    </row>
    <row r="227" spans="1:42" x14ac:dyDescent="0.25">
      <c r="A227" s="77">
        <v>42699</v>
      </c>
      <c r="B227" s="53" t="s">
        <v>114</v>
      </c>
      <c r="C227" s="53" t="s">
        <v>115</v>
      </c>
      <c r="D227" s="51">
        <f>IF((Table2[[#This Row],[Spread]]-Table2[[#This Row],[Spread/V]])=0,1,IF(Table2[[#This Row],[Spread]]&lt;Table2[[#This Row],[Spread/V]],1,0))</f>
        <v>1</v>
      </c>
      <c r="E227" s="51">
        <v>128</v>
      </c>
      <c r="F227" s="49">
        <f>IF((Table2[[#This Row],[Spread]]-Table2[[#This Row],[Spread/V]])=0,1,IF(Table2[[#This Row],[Spread]]&gt;Table2[[#This Row],[Spread/V]],1,0))</f>
        <v>0</v>
      </c>
      <c r="G227" s="51">
        <v>90</v>
      </c>
      <c r="H227" s="120">
        <f>Table2[[#This Row],[H/Pts]]+Table2[[#This Row],[A/Pts]]</f>
        <v>218</v>
      </c>
      <c r="I227" s="51">
        <f>IF(Table2[[#This Row],[Total/V]]&lt;=Table2[[#This Row],[Total]],1,0)</f>
        <v>1</v>
      </c>
      <c r="J227" s="51">
        <v>201</v>
      </c>
      <c r="K227" s="51">
        <v>111</v>
      </c>
      <c r="L227" s="51">
        <f>(Table2[[#This Row],[H/Pace]]/100)*(VLOOKUP(Table2[[#This Row],[Home/Neutral]],home_lookup,8,FALSE)+VLOOKUP(Table2[[#This Row],[Home/Neutral]],OFR_lookup,2,FALSE)+VLOOKUP(Table2[[#This Row],[Visitor/Neutral]],def_diff_lookup,6,FALSE))</f>
        <v>113.59951276756466</v>
      </c>
      <c r="M227" s="51">
        <v>90</v>
      </c>
      <c r="N227" s="51">
        <f>(Table2[[#This Row],[A/Pace]]/100)*(VLOOKUP(Table2[[#This Row],[Visitor/Neutral]],OFR_lookup,2,FALSE)+VLOOKUP(Table2[[#This Row],[Home/Neutral]],def_diff_lookup,6,FALSE))</f>
        <v>89.709504333333342</v>
      </c>
      <c r="O227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7" s="51">
        <f>Table2[[#This Row],[H/EV/Real]]+Table2[[#This Row],[A/EV/Real]]</f>
        <v>201</v>
      </c>
      <c r="Q227" s="53">
        <f>VLOOKUP(Table2[[#This Row],[Home/Neutral]],pace_lookup,7,FALSE)</f>
        <v>97.3</v>
      </c>
      <c r="R227" s="53">
        <f>VLOOKUP(Table2[[#This Row],[Visitor/Neutral]],pace_lookup,7,FALSE)</f>
        <v>92.9</v>
      </c>
      <c r="S227" s="120">
        <f>Table2[[#This Row],[A/Pts]]-Table2[[#This Row],[H/Pts]]</f>
        <v>-38</v>
      </c>
      <c r="T227" s="51">
        <v>-14</v>
      </c>
      <c r="U227" s="51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27" s="53">
        <v>-17.2</v>
      </c>
      <c r="W227" s="53">
        <f>-home-VLOOKUP(Table2[[#This Row],[Home/Neutral]],rtg_vlookup,4,FALSE)+VLOOKUP(Table2[[#This Row],[Visitor/Neutral]],rtg_vlookup,4,FALSE)</f>
        <v>-20.288688524590164</v>
      </c>
      <c r="X227" s="51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7" s="53">
        <v>-21.4</v>
      </c>
      <c r="Z227" s="53">
        <f>Table2[[#This Row],[A/EV]]-Table2[[#This Row],[H/EV]]</f>
        <v>-23.890008434231319</v>
      </c>
      <c r="AA227" s="29" t="str">
        <f>IF(Table2[[#This Row],[Spread/V]]&gt;=Table2[[#This Row],[SRS/Real]],"HOME","AWAY")</f>
        <v>HOME</v>
      </c>
      <c r="AB227" s="33" t="str">
        <f>IF(Table2[[#This Row],[Spread/V]]&gt;=Table2[[#This Row],[EV/Real]],"HOME","AWAY")</f>
        <v>HOME</v>
      </c>
      <c r="AC227" s="29"/>
      <c r="AD227" s="33">
        <v>1</v>
      </c>
      <c r="AE227" s="33"/>
      <c r="AF227" s="7" t="b">
        <f>IF(VLOOKUP(Table2[[#This Row],[Home/Neutral]],division_lookup,9,FALSE)=VLOOKUP(Table2[[#This Row],[Visitor/Neutral]],division_lookup,9,FALSE),TRUE,FALSE)</f>
        <v>0</v>
      </c>
      <c r="AG227" t="str">
        <f>VLOOKUP(Table2[[#This Row],[Home/Neutral]],division_lookup,9,FALSE)</f>
        <v>C</v>
      </c>
      <c r="AH227" s="15" t="str">
        <f>IF(Table2[[#This Row],[Total/EV]]&lt;Table2[[#This Row],[Total/V]],"UNDER","OVER")</f>
        <v>OVER</v>
      </c>
      <c r="AI227" s="26">
        <f>Table2[[#This Row],[SRS/Real]]-Table2[[#This Row],[Spread/V]]</f>
        <v>-3.1999999999999993</v>
      </c>
      <c r="AJ227" s="2">
        <f>Table2[[#This Row],[EV/Real]]-Table2[[#This Row],[Spread/V]]</f>
        <v>-7.3999999999999986</v>
      </c>
      <c r="AK227" s="2">
        <f>Table2[[#This Row],[SRS/Diff]]-Table2[[#This Row],[EV/Diff]]</f>
        <v>4.1999999999999993</v>
      </c>
      <c r="AL227" s="18">
        <f>Table2[[#This Row],[SRS]]-Table2[[#This Row],[Spread]]</f>
        <v>17.711311475409836</v>
      </c>
      <c r="AM227" s="21">
        <f>Table2[[#This Row],[(A) Err]]^2</f>
        <v>313.69055417898414</v>
      </c>
      <c r="AN227" s="6">
        <f>Table2[[#This Row],[EV]]-Table2[[#This Row],[Spread]]</f>
        <v>14.109991565768681</v>
      </c>
      <c r="AO227" s="1">
        <f>Table2[[#This Row],[EV Err]]^2</f>
        <v>199.09186198606329</v>
      </c>
      <c r="AP227" s="1"/>
    </row>
    <row r="228" spans="1:42" x14ac:dyDescent="0.25">
      <c r="A228" s="77">
        <v>42699</v>
      </c>
      <c r="B228" s="49" t="s">
        <v>116</v>
      </c>
      <c r="C228" s="49" t="s">
        <v>129</v>
      </c>
      <c r="D228" s="49">
        <f>IF((Table2[[#This Row],[Spread]]-Table2[[#This Row],[Spread/V]])=0,1,IF(Table2[[#This Row],[Spread]]&lt;Table2[[#This Row],[Spread/V]],1,0))</f>
        <v>0</v>
      </c>
      <c r="E228" s="51">
        <v>129</v>
      </c>
      <c r="F228" s="49">
        <f>IF((Table2[[#This Row],[Spread]]-Table2[[#This Row],[Spread/V]])=0,1,IF(Table2[[#This Row],[Spread]]&gt;Table2[[#This Row],[Spread/V]],1,0))</f>
        <v>1</v>
      </c>
      <c r="G228" s="51">
        <v>132</v>
      </c>
      <c r="H228" s="50">
        <f>Table2[[#This Row],[H/Pts]]+Table2[[#This Row],[A/Pts]]</f>
        <v>261</v>
      </c>
      <c r="I228" s="51">
        <f>IF(Table2[[#This Row],[Total/V]]&lt;=Table2[[#This Row],[Total]],1,0)</f>
        <v>1</v>
      </c>
      <c r="J228" s="49">
        <v>213.5</v>
      </c>
      <c r="K228" s="49">
        <v>101</v>
      </c>
      <c r="L228" s="51">
        <f>(Table2[[#This Row],[H/Pace]]/100)*(VLOOKUP(Table2[[#This Row],[Home/Neutral]],home_lookup,8,FALSE)+VLOOKUP(Table2[[#This Row],[Home/Neutral]],OFR_lookup,2,FALSE)+VLOOKUP(Table2[[#This Row],[Visitor/Neutral]],def_diff_lookup,6,FALSE))</f>
        <v>103.01297470161865</v>
      </c>
      <c r="M228" s="51">
        <v>103</v>
      </c>
      <c r="N228" s="51">
        <f>(Table2[[#This Row],[A/Pace]]/100)*(VLOOKUP(Table2[[#This Row],[Visitor/Neutral]],OFR_lookup,2,FALSE)+VLOOKUP(Table2[[#This Row],[Home/Neutral]],def_diff_lookup,6,FALSE))</f>
        <v>105.44060999999999</v>
      </c>
      <c r="O228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28" s="49">
        <f>Table2[[#This Row],[H/EV/Real]]+Table2[[#This Row],[A/EV/Real]]</f>
        <v>204</v>
      </c>
      <c r="Q228" s="49">
        <f>VLOOKUP(Table2[[#This Row],[Home/Neutral]],pace_lookup,7,FALSE)</f>
        <v>99.1</v>
      </c>
      <c r="R228" s="52">
        <f>VLOOKUP(Table2[[#This Row],[Visitor/Neutral]],pace_lookup,7,FALSE)</f>
        <v>99</v>
      </c>
      <c r="S228" s="50">
        <f>Table2[[#This Row],[A/Pts]]-Table2[[#This Row],[H/Pts]]</f>
        <v>3</v>
      </c>
      <c r="T228" s="49">
        <v>2.5</v>
      </c>
      <c r="U228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8" s="49">
        <v>-1.5</v>
      </c>
      <c r="W228" s="53">
        <f>-home-VLOOKUP(Table2[[#This Row],[Home/Neutral]],rtg_vlookup,4,FALSE)+VLOOKUP(Table2[[#This Row],[Visitor/Neutral]],rtg_vlookup,4,FALSE)</f>
        <v>-0.52868852459016602</v>
      </c>
      <c r="X228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28" s="53">
        <v>2</v>
      </c>
      <c r="Z228" s="53">
        <f>Table2[[#This Row],[A/EV]]-Table2[[#This Row],[H/EV]]</f>
        <v>2.4276352983813467</v>
      </c>
      <c r="AA228" s="29" t="str">
        <f>IF(Table2[[#This Row],[Spread/V]]&gt;=Table2[[#This Row],[SRS/Real]],"HOME","AWAY")</f>
        <v>HOME</v>
      </c>
      <c r="AB228" s="33" t="str">
        <f>IF(Table2[[#This Row],[Spread/V]]&gt;=Table2[[#This Row],[EV/Real]],"HOME","AWAY")</f>
        <v>HOME</v>
      </c>
      <c r="AC228" s="29"/>
      <c r="AD228" s="33">
        <v>0</v>
      </c>
      <c r="AE228" s="33"/>
      <c r="AF228" s="7" t="b">
        <f>IF(VLOOKUP(Table2[[#This Row],[Home/Neutral]],division_lookup,9,FALSE)=VLOOKUP(Table2[[#This Row],[Visitor/Neutral]],division_lookup,9,FALSE),TRUE,FALSE)</f>
        <v>1</v>
      </c>
      <c r="AG228" t="str">
        <f>VLOOKUP(Table2[[#This Row],[Home/Neutral]],division_lookup,9,FALSE)</f>
        <v>NW</v>
      </c>
      <c r="AH228" s="15" t="str">
        <f>IF(Table2[[#This Row],[Total/EV]]&lt;Table2[[#This Row],[Total/V]],"UNDER","OVER")</f>
        <v>UNDER</v>
      </c>
      <c r="AI228" s="26">
        <f>Table2[[#This Row],[SRS/Real]]-Table2[[#This Row],[Spread/V]]</f>
        <v>-4</v>
      </c>
      <c r="AJ228" s="2">
        <f>Table2[[#This Row],[EV/Real]]-Table2[[#This Row],[Spread/V]]</f>
        <v>-0.5</v>
      </c>
      <c r="AK228" s="2">
        <f>Table2[[#This Row],[SRS/Diff]]-Table2[[#This Row],[EV/Diff]]</f>
        <v>-3.5</v>
      </c>
      <c r="AL228" s="18">
        <f>Table2[[#This Row],[SRS]]-Table2[[#This Row],[Spread]]</f>
        <v>-3.5286885245901658</v>
      </c>
      <c r="AM228" s="21">
        <f>Table2[[#This Row],[(A) Err]]^2</f>
        <v>12.451642703574322</v>
      </c>
      <c r="AN228" s="6">
        <f>Table2[[#This Row],[EV]]-Table2[[#This Row],[Spread]]</f>
        <v>-0.57236470161865327</v>
      </c>
      <c r="AO228" s="1">
        <f>Table2[[#This Row],[EV Err]]^2</f>
        <v>0.32760135165901</v>
      </c>
      <c r="AP228" s="1"/>
    </row>
    <row r="229" spans="1:42" x14ac:dyDescent="0.25">
      <c r="A229" s="77">
        <v>42699</v>
      </c>
      <c r="B229" s="49" t="s">
        <v>117</v>
      </c>
      <c r="C229" s="49" t="s">
        <v>121</v>
      </c>
      <c r="D229" s="49">
        <f>IF((Table2[[#This Row],[Spread]]-Table2[[#This Row],[Spread/V]])=0,1,IF(Table2[[#This Row],[Spread]]&lt;Table2[[#This Row],[Spread/V]],1,0))</f>
        <v>1</v>
      </c>
      <c r="E229" s="51">
        <v>108</v>
      </c>
      <c r="F229" s="49">
        <f>IF((Table2[[#This Row],[Spread]]-Table2[[#This Row],[Spread/V]])=0,1,IF(Table2[[#This Row],[Spread]]&gt;Table2[[#This Row],[Spread/V]],1,0))</f>
        <v>0</v>
      </c>
      <c r="G229" s="51">
        <v>97</v>
      </c>
      <c r="H229" s="50">
        <f>Table2[[#This Row],[H/Pts]]+Table2[[#This Row],[A/Pts]]</f>
        <v>205</v>
      </c>
      <c r="I229" s="51">
        <f>IF(Table2[[#This Row],[Total/V]]&lt;=Table2[[#This Row],[Total]],1,0)</f>
        <v>1</v>
      </c>
      <c r="J229" s="49">
        <v>200</v>
      </c>
      <c r="K229" s="49">
        <v>106</v>
      </c>
      <c r="L229" s="51">
        <f>(Table2[[#This Row],[H/Pace]]/100)*(VLOOKUP(Table2[[#This Row],[Home/Neutral]],home_lookup,8,FALSE)+VLOOKUP(Table2[[#This Row],[Home/Neutral]],OFR_lookup,2,FALSE)+VLOOKUP(Table2[[#This Row],[Visitor/Neutral]],def_diff_lookup,6,FALSE))</f>
        <v>108.21339591446429</v>
      </c>
      <c r="M229" s="51">
        <v>108</v>
      </c>
      <c r="N229" s="51">
        <f>(Table2[[#This Row],[A/Pace]]/100)*(VLOOKUP(Table2[[#This Row],[Visitor/Neutral]],OFR_lookup,2,FALSE)+VLOOKUP(Table2[[#This Row],[Home/Neutral]],def_diff_lookup,6,FALSE))</f>
        <v>107.20226266666667</v>
      </c>
      <c r="O229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29" s="49">
        <f>Table2[[#This Row],[H/EV/Real]]+Table2[[#This Row],[A/EV/Real]]</f>
        <v>214</v>
      </c>
      <c r="Q229" s="49">
        <f>VLOOKUP(Table2[[#This Row],[Home/Neutral]],pace_lookup,7,FALSE)</f>
        <v>94</v>
      </c>
      <c r="R229" s="52">
        <f>VLOOKUP(Table2[[#This Row],[Visitor/Neutral]],pace_lookup,7,FALSE)</f>
        <v>96.4</v>
      </c>
      <c r="S229" s="50">
        <f>Table2[[#This Row],[A/Pts]]-Table2[[#This Row],[H/Pts]]</f>
        <v>-11</v>
      </c>
      <c r="T229" s="49">
        <v>6.5</v>
      </c>
      <c r="U229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29" s="49">
        <v>10.1</v>
      </c>
      <c r="W229" s="53">
        <f>-home-VLOOKUP(Table2[[#This Row],[Home/Neutral]],rtg_vlookup,4,FALSE)+VLOOKUP(Table2[[#This Row],[Visitor/Neutral]],rtg_vlookup,4,FALSE)</f>
        <v>8.3813114754098343</v>
      </c>
      <c r="X229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29" s="53">
        <v>2</v>
      </c>
      <c r="Z229" s="53">
        <f>Table2[[#This Row],[A/EV]]-Table2[[#This Row],[H/EV]]</f>
        <v>-1.0111332477976163</v>
      </c>
      <c r="AA229" s="29" t="str">
        <f>IF(Table2[[#This Row],[Spread/V]]&gt;=Table2[[#This Row],[SRS/Real]],"HOME","AWAY")</f>
        <v>AWAY</v>
      </c>
      <c r="AB229" s="33" t="str">
        <f>IF(Table2[[#This Row],[Spread/V]]&gt;=Table2[[#This Row],[EV/Real]],"HOME","AWAY")</f>
        <v>HOME</v>
      </c>
      <c r="AC229" s="29">
        <v>0</v>
      </c>
      <c r="AD229" s="33"/>
      <c r="AE229" s="33">
        <v>1</v>
      </c>
      <c r="AF229" s="7" t="b">
        <f>IF(VLOOKUP(Table2[[#This Row],[Home/Neutral]],division_lookup,9,FALSE)=VLOOKUP(Table2[[#This Row],[Visitor/Neutral]],division_lookup,9,FALSE),TRUE,FALSE)</f>
        <v>0</v>
      </c>
      <c r="AG229" t="str">
        <f>VLOOKUP(Table2[[#This Row],[Home/Neutral]],division_lookup,9,FALSE)</f>
        <v>C</v>
      </c>
      <c r="AH229" s="15" t="str">
        <f>IF(Table2[[#This Row],[Total/EV]]&lt;Table2[[#This Row],[Total/V]],"UNDER","OVER")</f>
        <v>OVER</v>
      </c>
      <c r="AI229" s="26">
        <f>Table2[[#This Row],[SRS/Real]]-Table2[[#This Row],[Spread/V]]</f>
        <v>3.5999999999999996</v>
      </c>
      <c r="AJ229" s="2">
        <f>Table2[[#This Row],[EV/Real]]-Table2[[#This Row],[Spread/V]]</f>
        <v>-4.5</v>
      </c>
      <c r="AK229" s="2">
        <f>Table2[[#This Row],[SRS/Diff]]-Table2[[#This Row],[EV/Diff]]</f>
        <v>8.1</v>
      </c>
      <c r="AL229" s="18">
        <f>Table2[[#This Row],[SRS]]-Table2[[#This Row],[Spread]]</f>
        <v>19.381311475409834</v>
      </c>
      <c r="AM229" s="21">
        <f>Table2[[#This Row],[(A) Err]]^2</f>
        <v>375.63523450685295</v>
      </c>
      <c r="AN229" s="6">
        <f>Table2[[#This Row],[EV]]-Table2[[#This Row],[Spread]]</f>
        <v>9.9888667522023837</v>
      </c>
      <c r="AO229" s="1">
        <f>Table2[[#This Row],[EV Err]]^2</f>
        <v>99.7774589932542</v>
      </c>
      <c r="AP229" s="1"/>
    </row>
    <row r="230" spans="1:42" x14ac:dyDescent="0.25">
      <c r="A230" s="103">
        <v>42699</v>
      </c>
      <c r="B230" s="58" t="s">
        <v>120</v>
      </c>
      <c r="C230" s="58" t="s">
        <v>111</v>
      </c>
      <c r="D230" s="58">
        <f>IF((Table2[[#This Row],[Spread]]-Table2[[#This Row],[Spread/V]])=0,1,IF(Table2[[#This Row],[Spread]]&lt;Table2[[#This Row],[Spread/V]],1,0))</f>
        <v>1</v>
      </c>
      <c r="E230" s="60">
        <v>118</v>
      </c>
      <c r="F230" s="58">
        <f>IF((Table2[[#This Row],[Spread]]-Table2[[#This Row],[Spread/V]])=0,1,IF(Table2[[#This Row],[Spread]]&gt;Table2[[#This Row],[Spread/V]],1,0))</f>
        <v>0</v>
      </c>
      <c r="G230" s="60">
        <v>97</v>
      </c>
      <c r="H230" s="59">
        <f>Table2[[#This Row],[H/Pts]]+Table2[[#This Row],[A/Pts]]</f>
        <v>215</v>
      </c>
      <c r="I230" s="60">
        <f>IF(Table2[[#This Row],[Total/V]]&lt;=Table2[[#This Row],[Total]],1,0)</f>
        <v>0</v>
      </c>
      <c r="J230" s="58">
        <v>216</v>
      </c>
      <c r="K230" s="58">
        <v>108</v>
      </c>
      <c r="L230" s="60">
        <f>(Table2[[#This Row],[H/Pace]]/100)*(VLOOKUP(Table2[[#This Row],[Home/Neutral]],home_lookup,8,FALSE)+VLOOKUP(Table2[[#This Row],[Home/Neutral]],OFR_lookup,2,FALSE)+VLOOKUP(Table2[[#This Row],[Visitor/Neutral]],def_diff_lookup,6,FALSE))</f>
        <v>110.20280542930861</v>
      </c>
      <c r="M230" s="60">
        <v>106</v>
      </c>
      <c r="N230" s="60">
        <f>(Table2[[#This Row],[A/Pace]]/100)*(VLOOKUP(Table2[[#This Row],[Visitor/Neutral]],OFR_lookup,2,FALSE)+VLOOKUP(Table2[[#This Row],[Home/Neutral]],def_diff_lookup,6,FALSE))</f>
        <v>106.00417999999999</v>
      </c>
      <c r="O230" s="60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30" s="58">
        <f>Table2[[#This Row],[H/EV/Real]]+Table2[[#This Row],[A/EV/Real]]</f>
        <v>214</v>
      </c>
      <c r="Q230" s="58">
        <f>VLOOKUP(Table2[[#This Row],[Home/Neutral]],pace_lookup,7,FALSE)</f>
        <v>98.3</v>
      </c>
      <c r="R230" s="61">
        <f>VLOOKUP(Table2[[#This Row],[Visitor/Neutral]],pace_lookup,7,FALSE)</f>
        <v>102</v>
      </c>
      <c r="S230" s="59">
        <f>Table2[[#This Row],[A/Pts]]-Table2[[#This Row],[H/Pts]]</f>
        <v>-21</v>
      </c>
      <c r="T230" s="58">
        <v>-8</v>
      </c>
      <c r="U230" s="76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0" s="58">
        <v>-4.7</v>
      </c>
      <c r="W230" s="62">
        <f>-home-VLOOKUP(Table2[[#This Row],[Home/Neutral]],rtg_vlookup,4,FALSE)+VLOOKUP(Table2[[#This Row],[Visitor/Neutral]],rtg_vlookup,4,FALSE)</f>
        <v>-6.858688524590165</v>
      </c>
      <c r="X230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0" s="62">
        <v>-1.3</v>
      </c>
      <c r="Z230" s="62">
        <f>Table2[[#This Row],[A/EV]]-Table2[[#This Row],[H/EV]]</f>
        <v>-4.1986254293086205</v>
      </c>
      <c r="AA230" s="29" t="str">
        <f>IF(Table2[[#This Row],[Spread/V]]&gt;=Table2[[#This Row],[SRS/Real]],"HOME","AWAY")</f>
        <v>AWAY</v>
      </c>
      <c r="AB230" s="33" t="str">
        <f>IF(Table2[[#This Row],[Spread/V]]&gt;=Table2[[#This Row],[EV/Real]],"HOME","AWAY")</f>
        <v>AWAY</v>
      </c>
      <c r="AC230" s="29"/>
      <c r="AD230" s="33">
        <v>0</v>
      </c>
      <c r="AE230" s="33"/>
      <c r="AF230" s="7" t="b">
        <f>IF(VLOOKUP(Table2[[#This Row],[Home/Neutral]],division_lookup,9,FALSE)=VLOOKUP(Table2[[#This Row],[Visitor/Neutral]],division_lookup,9,FALSE),TRUE,FALSE)</f>
        <v>0</v>
      </c>
      <c r="AG230" t="str">
        <f>VLOOKUP(Table2[[#This Row],[Home/Neutral]],division_lookup,9,FALSE)</f>
        <v>C</v>
      </c>
      <c r="AH230" s="15" t="str">
        <f>IF(Table2[[#This Row],[Total/EV]]&lt;Table2[[#This Row],[Total/V]],"UNDER","OVER")</f>
        <v>UNDER</v>
      </c>
      <c r="AI230" s="26">
        <f>Table2[[#This Row],[SRS/Real]]-Table2[[#This Row],[Spread/V]]</f>
        <v>3.3</v>
      </c>
      <c r="AJ230" s="2">
        <f>Table2[[#This Row],[EV/Real]]-Table2[[#This Row],[Spread/V]]</f>
        <v>6.7</v>
      </c>
      <c r="AK230" s="2">
        <f>Table2[[#This Row],[SRS/Diff]]-Table2[[#This Row],[EV/Diff]]</f>
        <v>-3.4000000000000004</v>
      </c>
      <c r="AL230" s="18">
        <f>Table2[[#This Row],[SRS]]-Table2[[#This Row],[Spread]]</f>
        <v>14.141311475409836</v>
      </c>
      <c r="AM230" s="21">
        <f>Table2[[#This Row],[(A) Err]]^2</f>
        <v>199.97669024455791</v>
      </c>
      <c r="AN230" s="6">
        <f>Table2[[#This Row],[EV]]-Table2[[#This Row],[Spread]]</f>
        <v>16.80137457069138</v>
      </c>
      <c r="AO230" s="1">
        <f>Table2[[#This Row],[EV Err]]^2</f>
        <v>282.28618746467492</v>
      </c>
      <c r="AP230" s="1"/>
    </row>
    <row r="231" spans="1:42" x14ac:dyDescent="0.25">
      <c r="A231" s="77">
        <v>42699</v>
      </c>
      <c r="B231" s="49" t="s">
        <v>122</v>
      </c>
      <c r="C231" s="49" t="s">
        <v>118</v>
      </c>
      <c r="D231" s="49">
        <f>IF((Table2[[#This Row],[Spread]]-Table2[[#This Row],[Spread/V]])=0,1,IF(Table2[[#This Row],[Spread]]&lt;Table2[[#This Row],[Spread/V]],1,0))</f>
        <v>0</v>
      </c>
      <c r="E231" s="51">
        <v>85</v>
      </c>
      <c r="F231" s="49">
        <f>IF((Table2[[#This Row],[Spread]]-Table2[[#This Row],[Spread/V]])=0,1,IF(Table2[[#This Row],[Spread]]&gt;Table2[[#This Row],[Spread/V]],1,0))</f>
        <v>1</v>
      </c>
      <c r="G231" s="51">
        <v>109</v>
      </c>
      <c r="H231" s="50">
        <f>Table2[[#This Row],[H/Pts]]+Table2[[#This Row],[A/Pts]]</f>
        <v>194</v>
      </c>
      <c r="I231" s="51">
        <f>IF(Table2[[#This Row],[Total/V]]&lt;=Table2[[#This Row],[Total]],1,0)</f>
        <v>0</v>
      </c>
      <c r="J231" s="49">
        <v>230</v>
      </c>
      <c r="K231" s="49">
        <v>112</v>
      </c>
      <c r="L231" s="51">
        <f>(Table2[[#This Row],[H/Pace]]/100)*(VLOOKUP(Table2[[#This Row],[Home/Neutral]],home_lookup,8,FALSE)+VLOOKUP(Table2[[#This Row],[Home/Neutral]],OFR_lookup,2,FALSE)+VLOOKUP(Table2[[#This Row],[Visitor/Neutral]],def_diff_lookup,6,FALSE))</f>
        <v>108.66570832744732</v>
      </c>
      <c r="M231" s="51">
        <v>124</v>
      </c>
      <c r="N231" s="51">
        <f>(Table2[[#This Row],[A/Pace]]/100)*(VLOOKUP(Table2[[#This Row],[Visitor/Neutral]],OFR_lookup,2,FALSE)+VLOOKUP(Table2[[#This Row],[Home/Neutral]],def_diff_lookup,6,FALSE))</f>
        <v>121.98164933333332</v>
      </c>
      <c r="O231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1" s="49">
        <f>Table2[[#This Row],[H/EV/Real]]+Table2[[#This Row],[A/EV/Real]]</f>
        <v>236</v>
      </c>
      <c r="Q231" s="49">
        <f>VLOOKUP(Table2[[#This Row],[Home/Neutral]],pace_lookup,7,FALSE)</f>
        <v>100.2</v>
      </c>
      <c r="R231" s="52">
        <f>VLOOKUP(Table2[[#This Row],[Visitor/Neutral]],pace_lookup,7,FALSE)</f>
        <v>100.4</v>
      </c>
      <c r="S231" s="50">
        <f>Table2[[#This Row],[A/Pts]]-Table2[[#This Row],[H/Pts]]</f>
        <v>24</v>
      </c>
      <c r="T231" s="49">
        <v>13.5</v>
      </c>
      <c r="U231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1" s="49">
        <v>9.6999999999999993</v>
      </c>
      <c r="W231" s="53">
        <f>-home-VLOOKUP(Table2[[#This Row],[Home/Neutral]],rtg_vlookup,4,FALSE)+VLOOKUP(Table2[[#This Row],[Visitor/Neutral]],rtg_vlookup,4,FALSE)</f>
        <v>10.891311475409834</v>
      </c>
      <c r="X231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1" s="53">
        <v>11.7</v>
      </c>
      <c r="Z231" s="53">
        <f>Table2[[#This Row],[A/EV]]-Table2[[#This Row],[H/EV]]</f>
        <v>13.315941005886003</v>
      </c>
      <c r="AA231" s="29" t="str">
        <f>IF(Table2[[#This Row],[Spread/V]]&gt;=Table2[[#This Row],[SRS/Real]],"HOME","AWAY")</f>
        <v>HOME</v>
      </c>
      <c r="AB231" s="33" t="str">
        <f>IF(Table2[[#This Row],[Spread/V]]&gt;=Table2[[#This Row],[EV/Real]],"HOME","AWAY")</f>
        <v>HOME</v>
      </c>
      <c r="AC231" s="29"/>
      <c r="AD231" s="33">
        <v>0</v>
      </c>
      <c r="AE231" s="33"/>
      <c r="AF231" s="7" t="b">
        <f>IF(VLOOKUP(Table2[[#This Row],[Home/Neutral]],division_lookup,9,FALSE)=VLOOKUP(Table2[[#This Row],[Visitor/Neutral]],division_lookup,9,FALSE),TRUE,FALSE)</f>
        <v>1</v>
      </c>
      <c r="AG231" t="str">
        <f>VLOOKUP(Table2[[#This Row],[Home/Neutral]],division_lookup,9,FALSE)</f>
        <v>P</v>
      </c>
      <c r="AH231" s="15" t="str">
        <f>IF(Table2[[#This Row],[Total/EV]]&lt;Table2[[#This Row],[Total/V]],"UNDER","OVER")</f>
        <v>OVER</v>
      </c>
      <c r="AI231" s="26">
        <f>Table2[[#This Row],[SRS/Real]]-Table2[[#This Row],[Spread/V]]</f>
        <v>-3.8000000000000007</v>
      </c>
      <c r="AJ231" s="2">
        <f>Table2[[#This Row],[EV/Real]]-Table2[[#This Row],[Spread/V]]</f>
        <v>-1.8000000000000007</v>
      </c>
      <c r="AK231" s="2">
        <f>Table2[[#This Row],[SRS/Diff]]-Table2[[#This Row],[EV/Diff]]</f>
        <v>-2</v>
      </c>
      <c r="AL231" s="18">
        <f>Table2[[#This Row],[SRS]]-Table2[[#This Row],[Spread]]</f>
        <v>-13.108688524590166</v>
      </c>
      <c r="AM231" s="21">
        <f>Table2[[#This Row],[(A) Err]]^2</f>
        <v>171.83771483472191</v>
      </c>
      <c r="AN231" s="6">
        <f>Table2[[#This Row],[EV]]-Table2[[#This Row],[Spread]]</f>
        <v>-10.684058994113997</v>
      </c>
      <c r="AO231" s="1">
        <f>Table2[[#This Row],[EV Err]]^2</f>
        <v>114.14911658970819</v>
      </c>
      <c r="AP231" s="1"/>
    </row>
    <row r="232" spans="1:42" x14ac:dyDescent="0.25">
      <c r="A232" s="77">
        <v>42699</v>
      </c>
      <c r="B232" s="49" t="s">
        <v>123</v>
      </c>
      <c r="C232" s="49" t="s">
        <v>124</v>
      </c>
      <c r="D232" s="49">
        <f>IF((Table2[[#This Row],[Spread]]-Table2[[#This Row],[Spread/V]])=0,1,IF(Table2[[#This Row],[Spread]]&lt;Table2[[#This Row],[Spread/V]],1,0))</f>
        <v>0</v>
      </c>
      <c r="E232" s="51">
        <v>81</v>
      </c>
      <c r="F232" s="49">
        <f>IF((Table2[[#This Row],[Spread]]-Table2[[#This Row],[Spread/V]])=0,1,IF(Table2[[#This Row],[Spread]]&gt;Table2[[#This Row],[Spread/V]],1,0))</f>
        <v>1</v>
      </c>
      <c r="G232" s="51">
        <v>90</v>
      </c>
      <c r="H232" s="50">
        <f>Table2[[#This Row],[H/Pts]]+Table2[[#This Row],[A/Pts]]</f>
        <v>171</v>
      </c>
      <c r="I232" s="51">
        <f>IF(Table2[[#This Row],[Total/V]]&lt;=Table2[[#This Row],[Total]],1,0)</f>
        <v>0</v>
      </c>
      <c r="J232" s="49">
        <v>188</v>
      </c>
      <c r="K232" s="49">
        <v>99</v>
      </c>
      <c r="L232" s="51">
        <f>(Table2[[#This Row],[H/Pace]]/100)*(VLOOKUP(Table2[[#This Row],[Home/Neutral]],home_lookup,8,FALSE)+VLOOKUP(Table2[[#This Row],[Home/Neutral]],OFR_lookup,2,FALSE)+VLOOKUP(Table2[[#This Row],[Visitor/Neutral]],def_diff_lookup,6,FALSE))</f>
        <v>99.709677095639179</v>
      </c>
      <c r="M232" s="51">
        <v>91</v>
      </c>
      <c r="N232" s="51">
        <f>(Table2[[#This Row],[A/Pace]]/100)*(VLOOKUP(Table2[[#This Row],[Visitor/Neutral]],OFR_lookup,2,FALSE)+VLOOKUP(Table2[[#This Row],[Home/Neutral]],def_diff_lookup,6,FALSE))</f>
        <v>93.414839666666666</v>
      </c>
      <c r="O232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2" s="49">
        <f>Table2[[#This Row],[H/EV/Real]]+Table2[[#This Row],[A/EV/Real]]</f>
        <v>190</v>
      </c>
      <c r="Q232" s="49">
        <f>VLOOKUP(Table2[[#This Row],[Home/Neutral]],pace_lookup,7,FALSE)</f>
        <v>92.5</v>
      </c>
      <c r="R232" s="52">
        <f>VLOOKUP(Table2[[#This Row],[Visitor/Neutral]],pace_lookup,7,FALSE)</f>
        <v>93.7</v>
      </c>
      <c r="S232" s="50">
        <f>Table2[[#This Row],[A/Pts]]-Table2[[#This Row],[H/Pts]]</f>
        <v>9</v>
      </c>
      <c r="T232" s="49">
        <v>-6.5</v>
      </c>
      <c r="U232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2" s="49">
        <v>-6.5</v>
      </c>
      <c r="W232" s="53">
        <f>-home-VLOOKUP(Table2[[#This Row],[Home/Neutral]],rtg_vlookup,4,FALSE)+VLOOKUP(Table2[[#This Row],[Visitor/Neutral]],rtg_vlookup,4,FALSE)</f>
        <v>-4.6586885245901657</v>
      </c>
      <c r="X232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2" s="53">
        <v>-8.5</v>
      </c>
      <c r="Z232" s="53">
        <f>Table2[[#This Row],[A/EV]]-Table2[[#This Row],[H/EV]]</f>
        <v>-6.2948374289725137</v>
      </c>
      <c r="AA232" s="29" t="str">
        <f>IF(Table2[[#This Row],[Spread/V]]&gt;=Table2[[#This Row],[SRS/Real]],"HOME","AWAY")</f>
        <v>HOME</v>
      </c>
      <c r="AB232" s="33" t="str">
        <f>IF(Table2[[#This Row],[Spread/V]]&gt;=Table2[[#This Row],[EV/Real]],"HOME","AWAY")</f>
        <v>HOME</v>
      </c>
      <c r="AC232" s="29"/>
      <c r="AD232" s="33">
        <v>0</v>
      </c>
      <c r="AE232" s="33"/>
      <c r="AF232" s="7" t="b">
        <f>IF(VLOOKUP(Table2[[#This Row],[Home/Neutral]],division_lookup,9,FALSE)=VLOOKUP(Table2[[#This Row],[Visitor/Neutral]],division_lookup,9,FALSE),TRUE,FALSE)</f>
        <v>0</v>
      </c>
      <c r="AG232" t="str">
        <f>VLOOKUP(Table2[[#This Row],[Home/Neutral]],division_lookup,9,FALSE)</f>
        <v>SW</v>
      </c>
      <c r="AH232" s="15" t="str">
        <f>IF(Table2[[#This Row],[Total/EV]]&lt;Table2[[#This Row],[Total/V]],"UNDER","OVER")</f>
        <v>OVER</v>
      </c>
      <c r="AI232" s="26">
        <f>Table2[[#This Row],[SRS/Real]]-Table2[[#This Row],[Spread/V]]</f>
        <v>0</v>
      </c>
      <c r="AJ232" s="2">
        <f>Table2[[#This Row],[EV/Real]]-Table2[[#This Row],[Spread/V]]</f>
        <v>-2</v>
      </c>
      <c r="AK232" s="2">
        <f>Table2[[#This Row],[SRS/Diff]]-Table2[[#This Row],[EV/Diff]]</f>
        <v>2</v>
      </c>
      <c r="AL232" s="18">
        <f>Table2[[#This Row],[SRS]]-Table2[[#This Row],[Spread]]</f>
        <v>-13.658688524590165</v>
      </c>
      <c r="AM232" s="21">
        <f>Table2[[#This Row],[(A) Err]]^2</f>
        <v>186.55977221177105</v>
      </c>
      <c r="AN232" s="6">
        <f>Table2[[#This Row],[EV]]-Table2[[#This Row],[Spread]]</f>
        <v>-15.294837428972514</v>
      </c>
      <c r="AO232" s="1">
        <f>Table2[[#This Row],[EV Err]]^2</f>
        <v>233.93205197869852</v>
      </c>
      <c r="AP232" s="1"/>
    </row>
    <row r="233" spans="1:42" x14ac:dyDescent="0.25">
      <c r="A233" s="77">
        <v>42699</v>
      </c>
      <c r="B233" s="49" t="s">
        <v>125</v>
      </c>
      <c r="C233" s="49" t="s">
        <v>135</v>
      </c>
      <c r="D233" s="49">
        <f>IF((Table2[[#This Row],[Spread]]-Table2[[#This Row],[Spread/V]])=0,1,IF(Table2[[#This Row],[Spread]]&lt;Table2[[#This Row],[Spread/V]],1,0))</f>
        <v>0</v>
      </c>
      <c r="E233" s="51">
        <v>99</v>
      </c>
      <c r="F233" s="49">
        <f>IF((Table2[[#This Row],[Spread]]-Table2[[#This Row],[Spread/V]])=0,1,IF(Table2[[#This Row],[Spread]]&gt;Table2[[#This Row],[Spread/V]],1,0))</f>
        <v>1</v>
      </c>
      <c r="G233" s="51">
        <v>105</v>
      </c>
      <c r="H233" s="50">
        <f>Table2[[#This Row],[H/Pts]]+Table2[[#This Row],[A/Pts]]</f>
        <v>204</v>
      </c>
      <c r="I233" s="51">
        <f>IF(Table2[[#This Row],[Total/V]]&lt;=Table2[[#This Row],[Total]],1,0)</f>
        <v>0</v>
      </c>
      <c r="J233" s="49">
        <v>210.5</v>
      </c>
      <c r="K233" s="49">
        <v>110</v>
      </c>
      <c r="L233" s="51">
        <f>(Table2[[#This Row],[H/Pace]]/100)*(VLOOKUP(Table2[[#This Row],[Home/Neutral]],home_lookup,8,FALSE)+VLOOKUP(Table2[[#This Row],[Home/Neutral]],OFR_lookup,2,FALSE)+VLOOKUP(Table2[[#This Row],[Visitor/Neutral]],def_diff_lookup,6,FALSE))</f>
        <v>109.36257550061907</v>
      </c>
      <c r="M233" s="51">
        <v>110</v>
      </c>
      <c r="N233" s="51">
        <f>(Table2[[#This Row],[A/Pace]]/100)*(VLOOKUP(Table2[[#This Row],[Visitor/Neutral]],OFR_lookup,2,FALSE)+VLOOKUP(Table2[[#This Row],[Home/Neutral]],def_diff_lookup,6,FALSE))</f>
        <v>110.249646</v>
      </c>
      <c r="O233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3" s="49">
        <f>Table2[[#This Row],[H/EV/Real]]+Table2[[#This Row],[A/EV/Real]]</f>
        <v>220</v>
      </c>
      <c r="Q233" s="49">
        <f>VLOOKUP(Table2[[#This Row],[Home/Neutral]],pace_lookup,7,FALSE)</f>
        <v>96.1</v>
      </c>
      <c r="R233" s="52">
        <f>VLOOKUP(Table2[[#This Row],[Visitor/Neutral]],pace_lookup,7,FALSE)</f>
        <v>95.4</v>
      </c>
      <c r="S233" s="50">
        <f>Table2[[#This Row],[A/Pts]]-Table2[[#This Row],[H/Pts]]</f>
        <v>6</v>
      </c>
      <c r="T233" s="49">
        <v>3.5</v>
      </c>
      <c r="U233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33" s="49">
        <v>5.0999999999999996</v>
      </c>
      <c r="W233" s="53">
        <f>-home-VLOOKUP(Table2[[#This Row],[Home/Neutral]],rtg_vlookup,4,FALSE)+VLOOKUP(Table2[[#This Row],[Visitor/Neutral]],rtg_vlookup,4,FALSE)</f>
        <v>5.6413114754098341</v>
      </c>
      <c r="X233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3" s="53">
        <v>-0.2</v>
      </c>
      <c r="Z233" s="53">
        <f>Table2[[#This Row],[A/EV]]-Table2[[#This Row],[H/EV]]</f>
        <v>0.88707049938092553</v>
      </c>
      <c r="AA233" s="29" t="str">
        <f>IF(Table2[[#This Row],[Spread/V]]&gt;=Table2[[#This Row],[SRS/Real]],"HOME","AWAY")</f>
        <v>AWAY</v>
      </c>
      <c r="AB233" s="33" t="str">
        <f>IF(Table2[[#This Row],[Spread/V]]&gt;=Table2[[#This Row],[EV/Real]],"HOME","AWAY")</f>
        <v>HOME</v>
      </c>
      <c r="AC233" s="29">
        <v>1</v>
      </c>
      <c r="AD233" s="33"/>
      <c r="AE233" s="33">
        <v>0</v>
      </c>
      <c r="AF233" s="7" t="b">
        <f>IF(VLOOKUP(Table2[[#This Row],[Home/Neutral]],division_lookup,9,FALSE)=VLOOKUP(Table2[[#This Row],[Visitor/Neutral]],division_lookup,9,FALSE),TRUE,FALSE)</f>
        <v>0</v>
      </c>
      <c r="AG233" t="str">
        <f>VLOOKUP(Table2[[#This Row],[Home/Neutral]],division_lookup,9,FALSE)</f>
        <v>C</v>
      </c>
      <c r="AH233" s="15" t="str">
        <f>IF(Table2[[#This Row],[Total/EV]]&lt;Table2[[#This Row],[Total/V]],"UNDER","OVER")</f>
        <v>OVER</v>
      </c>
      <c r="AI233" s="26">
        <f>Table2[[#This Row],[SRS/Real]]-Table2[[#This Row],[Spread/V]]</f>
        <v>1.5999999999999996</v>
      </c>
      <c r="AJ233" s="2">
        <f>Table2[[#This Row],[EV/Real]]-Table2[[#This Row],[Spread/V]]</f>
        <v>-3.7</v>
      </c>
      <c r="AK233" s="2">
        <f>Table2[[#This Row],[SRS/Diff]]-Table2[[#This Row],[EV/Diff]]</f>
        <v>5.3</v>
      </c>
      <c r="AL233" s="18">
        <f>Table2[[#This Row],[SRS]]-Table2[[#This Row],[Spread]]</f>
        <v>-0.35868852459016587</v>
      </c>
      <c r="AM233" s="21">
        <f>Table2[[#This Row],[(A) Err]]^2</f>
        <v>0.12865745767267003</v>
      </c>
      <c r="AN233" s="6">
        <f>Table2[[#This Row],[EV]]-Table2[[#This Row],[Spread]]</f>
        <v>-5.1129295006190745</v>
      </c>
      <c r="AO233" s="1">
        <f>Table2[[#This Row],[EV Err]]^2</f>
        <v>26.142048078300817</v>
      </c>
      <c r="AP233" s="1"/>
    </row>
    <row r="234" spans="1:42" x14ac:dyDescent="0.25">
      <c r="A234" s="77">
        <v>42699</v>
      </c>
      <c r="B234" s="49" t="s">
        <v>128</v>
      </c>
      <c r="C234" s="49" t="s">
        <v>112</v>
      </c>
      <c r="D234" s="49">
        <f>IF((Table2[[#This Row],[Spread]]-Table2[[#This Row],[Spread/V]])=0,1,IF(Table2[[#This Row],[Spread]]&lt;Table2[[#This Row],[Spread/V]],1,0))</f>
        <v>1</v>
      </c>
      <c r="E234" s="51">
        <v>113</v>
      </c>
      <c r="F234" s="49">
        <f>IF((Table2[[#This Row],[Spread]]-Table2[[#This Row],[Spread/V]])=0,1,IF(Table2[[#This Row],[Spread]]&gt;Table2[[#This Row],[Spread/V]],1,0))</f>
        <v>0</v>
      </c>
      <c r="G234" s="51">
        <v>111</v>
      </c>
      <c r="H234" s="50">
        <f>Table2[[#This Row],[H/Pts]]+Table2[[#This Row],[A/Pts]]</f>
        <v>224</v>
      </c>
      <c r="I234" s="51">
        <f>IF(Table2[[#This Row],[Total/V]]&lt;=Table2[[#This Row],[Total]],1,0)</f>
        <v>1</v>
      </c>
      <c r="J234" s="49">
        <v>210.5</v>
      </c>
      <c r="K234" s="49">
        <v>109</v>
      </c>
      <c r="L234" s="51">
        <f>(Table2[[#This Row],[H/Pace]]/100)*(VLOOKUP(Table2[[#This Row],[Home/Neutral]],home_lookup,8,FALSE)+VLOOKUP(Table2[[#This Row],[Home/Neutral]],OFR_lookup,2,FALSE)+VLOOKUP(Table2[[#This Row],[Visitor/Neutral]],def_diff_lookup,6,FALSE))</f>
        <v>107.4983298778302</v>
      </c>
      <c r="M234" s="51">
        <v>109</v>
      </c>
      <c r="N234" s="51">
        <f>(Table2[[#This Row],[A/Pace]]/100)*(VLOOKUP(Table2[[#This Row],[Visitor/Neutral]],OFR_lookup,2,FALSE)+VLOOKUP(Table2[[#This Row],[Home/Neutral]],def_diff_lookup,6,FALSE))</f>
        <v>108.03185933333334</v>
      </c>
      <c r="O234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34" s="49">
        <f>Table2[[#This Row],[H/EV/Real]]+Table2[[#This Row],[A/EV/Real]]</f>
        <v>218</v>
      </c>
      <c r="Q234" s="49">
        <f>VLOOKUP(Table2[[#This Row],[Home/Neutral]],pace_lookup,7,FALSE)</f>
        <v>96.3</v>
      </c>
      <c r="R234" s="52">
        <f>VLOOKUP(Table2[[#This Row],[Visitor/Neutral]],pace_lookup,7,FALSE)</f>
        <v>97.4</v>
      </c>
      <c r="S234" s="50">
        <f>Table2[[#This Row],[A/Pts]]-Table2[[#This Row],[H/Pts]]</f>
        <v>-2</v>
      </c>
      <c r="T234" s="49">
        <v>1.5</v>
      </c>
      <c r="U234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4" s="49">
        <v>1.7</v>
      </c>
      <c r="W234" s="53">
        <f>-home-VLOOKUP(Table2[[#This Row],[Home/Neutral]],rtg_vlookup,4,FALSE)+VLOOKUP(Table2[[#This Row],[Visitor/Neutral]],rtg_vlookup,4,FALSE)</f>
        <v>1.1213114754098341</v>
      </c>
      <c r="X234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34" s="53">
        <v>0.8</v>
      </c>
      <c r="Z234" s="53">
        <f>Table2[[#This Row],[A/EV]]-Table2[[#This Row],[H/EV]]</f>
        <v>0.53352945550314246</v>
      </c>
      <c r="AA234" s="29" t="str">
        <f>IF(Table2[[#This Row],[Spread/V]]&gt;=Table2[[#This Row],[SRS/Real]],"HOME","AWAY")</f>
        <v>AWAY</v>
      </c>
      <c r="AB234" s="33" t="str">
        <f>IF(Table2[[#This Row],[Spread/V]]&gt;=Table2[[#This Row],[EV/Real]],"HOME","AWAY")</f>
        <v>HOME</v>
      </c>
      <c r="AC234" s="29">
        <v>0</v>
      </c>
      <c r="AD234" s="33"/>
      <c r="AE234" s="33">
        <v>1</v>
      </c>
      <c r="AF234" s="7" t="b">
        <f>IF(VLOOKUP(Table2[[#This Row],[Home/Neutral]],division_lookup,9,FALSE)=VLOOKUP(Table2[[#This Row],[Visitor/Neutral]],division_lookup,9,FALSE),TRUE,FALSE)</f>
        <v>0</v>
      </c>
      <c r="AG234" t="str">
        <f>VLOOKUP(Table2[[#This Row],[Home/Neutral]],division_lookup,9,FALSE)</f>
        <v>A</v>
      </c>
      <c r="AH234" s="15" t="str">
        <f>IF(Table2[[#This Row],[Total/EV]]&lt;Table2[[#This Row],[Total/V]],"UNDER","OVER")</f>
        <v>OVER</v>
      </c>
      <c r="AI234" s="26">
        <f>Table2[[#This Row],[SRS/Real]]-Table2[[#This Row],[Spread/V]]</f>
        <v>0.19999999999999996</v>
      </c>
      <c r="AJ234" s="2">
        <f>Table2[[#This Row],[EV/Real]]-Table2[[#This Row],[Spread/V]]</f>
        <v>-0.7</v>
      </c>
      <c r="AK234" s="2">
        <f>Table2[[#This Row],[SRS/Diff]]-Table2[[#This Row],[EV/Diff]]</f>
        <v>0.89999999999999991</v>
      </c>
      <c r="AL234" s="18">
        <f>Table2[[#This Row],[SRS]]-Table2[[#This Row],[Spread]]</f>
        <v>3.1213114754098341</v>
      </c>
      <c r="AM234" s="21">
        <f>Table2[[#This Row],[(A) Err]]^2</f>
        <v>9.7425853265251163</v>
      </c>
      <c r="AN234" s="6">
        <f>Table2[[#This Row],[EV]]-Table2[[#This Row],[Spread]]</f>
        <v>2.5335294555031425</v>
      </c>
      <c r="AO234" s="1">
        <f>Table2[[#This Row],[EV Err]]^2</f>
        <v>6.4187715019020493</v>
      </c>
      <c r="AP234" s="1"/>
    </row>
    <row r="235" spans="1:42" x14ac:dyDescent="0.25">
      <c r="A235" s="77">
        <v>42699</v>
      </c>
      <c r="B235" s="49" t="s">
        <v>130</v>
      </c>
      <c r="C235" s="49" t="s">
        <v>137</v>
      </c>
      <c r="D235" s="49">
        <f>IF((Table2[[#This Row],[Spread]]-Table2[[#This Row],[Spread/V]])=0,1,IF(Table2[[#This Row],[Spread]]&lt;Table2[[#This Row],[Spread/V]],1,0))</f>
        <v>0</v>
      </c>
      <c r="E235" s="51">
        <v>91</v>
      </c>
      <c r="F235" s="49">
        <f>IF((Table2[[#This Row],[Spread]]-Table2[[#This Row],[Spread/V]])=0,1,IF(Table2[[#This Row],[Spread]]&gt;Table2[[#This Row],[Spread/V]],1,0))</f>
        <v>1</v>
      </c>
      <c r="G235" s="51">
        <v>94</v>
      </c>
      <c r="H235" s="50">
        <f>Table2[[#This Row],[H/Pts]]+Table2[[#This Row],[A/Pts]]</f>
        <v>185</v>
      </c>
      <c r="I235" s="51">
        <f>IF(Table2[[#This Row],[Total/V]]&lt;=Table2[[#This Row],[Total]],1,0)</f>
        <v>0</v>
      </c>
      <c r="J235" s="49">
        <v>199.5</v>
      </c>
      <c r="K235" s="49">
        <v>100</v>
      </c>
      <c r="L235" s="51">
        <f>(Table2[[#This Row],[H/Pace]]/100)*(VLOOKUP(Table2[[#This Row],[Home/Neutral]],home_lookup,8,FALSE)+VLOOKUP(Table2[[#This Row],[Home/Neutral]],OFR_lookup,2,FALSE)+VLOOKUP(Table2[[#This Row],[Visitor/Neutral]],def_diff_lookup,6,FALSE))</f>
        <v>99.794204967109394</v>
      </c>
      <c r="M235" s="51">
        <v>104</v>
      </c>
      <c r="N235" s="51">
        <f>(Table2[[#This Row],[A/Pace]]/100)*(VLOOKUP(Table2[[#This Row],[Visitor/Neutral]],OFR_lookup,2,FALSE)+VLOOKUP(Table2[[#This Row],[Home/Neutral]],def_diff_lookup,6,FALSE))</f>
        <v>102.70623999999999</v>
      </c>
      <c r="O235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5" s="49">
        <f>Table2[[#This Row],[H/EV/Real]]+Table2[[#This Row],[A/EV/Real]]</f>
        <v>204</v>
      </c>
      <c r="Q235" s="49">
        <f>VLOOKUP(Table2[[#This Row],[Home/Neutral]],pace_lookup,7,FALSE)</f>
        <v>94.2</v>
      </c>
      <c r="R235" s="52">
        <f>VLOOKUP(Table2[[#This Row],[Visitor/Neutral]],pace_lookup,7,FALSE)</f>
        <v>96</v>
      </c>
      <c r="S235" s="50">
        <f>Table2[[#This Row],[A/Pts]]-Table2[[#This Row],[H/Pts]]</f>
        <v>3</v>
      </c>
      <c r="T235" s="49">
        <v>2</v>
      </c>
      <c r="U235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35" s="49">
        <v>3.6</v>
      </c>
      <c r="W235" s="53">
        <f>-home-VLOOKUP(Table2[[#This Row],[Home/Neutral]],rtg_vlookup,4,FALSE)+VLOOKUP(Table2[[#This Row],[Visitor/Neutral]],rtg_vlookup,4,FALSE)</f>
        <v>2.8613114754098352</v>
      </c>
      <c r="X235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35" s="53">
        <v>3.4</v>
      </c>
      <c r="Z235" s="53">
        <f>Table2[[#This Row],[A/EV]]-Table2[[#This Row],[H/EV]]</f>
        <v>2.9120350328906</v>
      </c>
      <c r="AA235" s="29" t="str">
        <f>IF(Table2[[#This Row],[Spread/V]]&gt;=Table2[[#This Row],[SRS/Real]],"HOME","AWAY")</f>
        <v>AWAY</v>
      </c>
      <c r="AB235" s="33" t="str">
        <f>IF(Table2[[#This Row],[Spread/V]]&gt;=Table2[[#This Row],[EV/Real]],"HOME","AWAY")</f>
        <v>AWAY</v>
      </c>
      <c r="AC235" s="29"/>
      <c r="AD235" s="33">
        <v>1</v>
      </c>
      <c r="AE235" s="33"/>
      <c r="AF235" s="7" t="b">
        <f>IF(VLOOKUP(Table2[[#This Row],[Home/Neutral]],division_lookup,9,FALSE)=VLOOKUP(Table2[[#This Row],[Visitor/Neutral]],division_lookup,9,FALSE),TRUE,FALSE)</f>
        <v>1</v>
      </c>
      <c r="AG235" t="str">
        <f>VLOOKUP(Table2[[#This Row],[Home/Neutral]],division_lookup,9,FALSE)</f>
        <v>SE</v>
      </c>
      <c r="AH235" s="15" t="str">
        <f>IF(Table2[[#This Row],[Total/EV]]&lt;Table2[[#This Row],[Total/V]],"UNDER","OVER")</f>
        <v>OVER</v>
      </c>
      <c r="AI235" s="26">
        <f>Table2[[#This Row],[SRS/Real]]-Table2[[#This Row],[Spread/V]]</f>
        <v>1.6</v>
      </c>
      <c r="AJ235" s="2">
        <f>Table2[[#This Row],[EV/Real]]-Table2[[#This Row],[Spread/V]]</f>
        <v>1.4</v>
      </c>
      <c r="AK235" s="2">
        <f>Table2[[#This Row],[SRS/Diff]]-Table2[[#This Row],[EV/Diff]]</f>
        <v>0.20000000000000018</v>
      </c>
      <c r="AL235" s="18">
        <f>Table2[[#This Row],[SRS]]-Table2[[#This Row],[Spread]]</f>
        <v>-0.13868852459016479</v>
      </c>
      <c r="AM235" s="21">
        <f>Table2[[#This Row],[(A) Err]]^2</f>
        <v>1.9234506852996741E-2</v>
      </c>
      <c r="AN235" s="6">
        <f>Table2[[#This Row],[EV]]-Table2[[#This Row],[Spread]]</f>
        <v>-8.796496710940005E-2</v>
      </c>
      <c r="AO235" s="1">
        <f>Table2[[#This Row],[EV Err]]^2</f>
        <v>7.7378354385578326E-3</v>
      </c>
      <c r="AP235" s="1"/>
    </row>
    <row r="236" spans="1:42" x14ac:dyDescent="0.25">
      <c r="A236" s="77">
        <v>42699</v>
      </c>
      <c r="B236" s="49" t="s">
        <v>138</v>
      </c>
      <c r="C236" s="49" t="s">
        <v>113</v>
      </c>
      <c r="D236" s="49">
        <f>IF((Table2[[#This Row],[Spread]]-Table2[[#This Row],[Spread/V]])=0,1,IF(Table2[[#This Row],[Spread]]&lt;Table2[[#This Row],[Spread/V]],1,0))</f>
        <v>0</v>
      </c>
      <c r="E236" s="51">
        <v>89</v>
      </c>
      <c r="F236" s="49">
        <f>IF((Table2[[#This Row],[Spread]]-Table2[[#This Row],[Spread/V]])=0,1,IF(Table2[[#This Row],[Spread]]&gt;Table2[[#This Row],[Spread/V]],1,0))</f>
        <v>1</v>
      </c>
      <c r="G236" s="51">
        <v>105</v>
      </c>
      <c r="H236" s="50">
        <f>Table2[[#This Row],[H/Pts]]+Table2[[#This Row],[A/Pts]]</f>
        <v>194</v>
      </c>
      <c r="I236" s="51">
        <f>IF(Table2[[#This Row],[Total/V]]&lt;=Table2[[#This Row],[Total]],1,0)</f>
        <v>0</v>
      </c>
      <c r="J236" s="49">
        <v>204.5</v>
      </c>
      <c r="K236" s="49">
        <v>101</v>
      </c>
      <c r="L236" s="51">
        <f>(Table2[[#This Row],[H/Pace]]/100)*(VLOOKUP(Table2[[#This Row],[Home/Neutral]],home_lookup,8,FALSE)+VLOOKUP(Table2[[#This Row],[Home/Neutral]],OFR_lookup,2,FALSE)+VLOOKUP(Table2[[#This Row],[Visitor/Neutral]],def_diff_lookup,6,FALSE))</f>
        <v>98.666283531240097</v>
      </c>
      <c r="M236" s="51">
        <v>108</v>
      </c>
      <c r="N236" s="51">
        <f>(Table2[[#This Row],[A/Pace]]/100)*(VLOOKUP(Table2[[#This Row],[Visitor/Neutral]],OFR_lookup,2,FALSE)+VLOOKUP(Table2[[#This Row],[Home/Neutral]],def_diff_lookup,6,FALSE))</f>
        <v>107.049949</v>
      </c>
      <c r="O236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6" s="49">
        <f>Table2[[#This Row],[H/EV/Real]]+Table2[[#This Row],[A/EV/Real]]</f>
        <v>209</v>
      </c>
      <c r="Q236" s="49">
        <f>VLOOKUP(Table2[[#This Row],[Home/Neutral]],pace_lookup,7,FALSE)</f>
        <v>97.5</v>
      </c>
      <c r="R236" s="52">
        <f>VLOOKUP(Table2[[#This Row],[Visitor/Neutral]],pace_lookup,7,FALSE)</f>
        <v>95.1</v>
      </c>
      <c r="S236" s="50">
        <f>Table2[[#This Row],[A/Pts]]-Table2[[#This Row],[H/Pts]]</f>
        <v>16</v>
      </c>
      <c r="T236" s="49">
        <v>9</v>
      </c>
      <c r="U236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36" s="49">
        <v>11.3</v>
      </c>
      <c r="W236" s="53">
        <f>-home-VLOOKUP(Table2[[#This Row],[Home/Neutral]],rtg_vlookup,4,FALSE)+VLOOKUP(Table2[[#This Row],[Visitor/Neutral]],rtg_vlookup,4,FALSE)</f>
        <v>11.501311475409835</v>
      </c>
      <c r="X236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6" s="53">
        <v>7</v>
      </c>
      <c r="Z236" s="53">
        <f>Table2[[#This Row],[A/EV]]-Table2[[#This Row],[H/EV]]</f>
        <v>8.3836654687599008</v>
      </c>
      <c r="AA236" s="29" t="str">
        <f>IF(Table2[[#This Row],[Spread/V]]&gt;=Table2[[#This Row],[SRS/Real]],"HOME","AWAY")</f>
        <v>AWAY</v>
      </c>
      <c r="AB236" s="33" t="str">
        <f>IF(Table2[[#This Row],[Spread/V]]&gt;=Table2[[#This Row],[EV/Real]],"HOME","AWAY")</f>
        <v>HOME</v>
      </c>
      <c r="AC236" s="29">
        <v>1</v>
      </c>
      <c r="AD236" s="33"/>
      <c r="AE236" s="33">
        <v>0</v>
      </c>
      <c r="AF236" s="7" t="b">
        <f>IF(VLOOKUP(Table2[[#This Row],[Home/Neutral]],division_lookup,9,FALSE)=VLOOKUP(Table2[[#This Row],[Visitor/Neutral]],division_lookup,9,FALSE),TRUE,FALSE)</f>
        <v>0</v>
      </c>
      <c r="AG236" s="15" t="str">
        <f>VLOOKUP(Table2[[#This Row],[Home/Neutral]],division_lookup,9,FALSE)</f>
        <v>A</v>
      </c>
      <c r="AH236" s="15" t="str">
        <f>IF(Table2[[#This Row],[Total/EV]]&lt;Table2[[#This Row],[Total/V]],"UNDER","OVER")</f>
        <v>OVER</v>
      </c>
      <c r="AI236" s="26">
        <f>Table2[[#This Row],[SRS/Real]]-Table2[[#This Row],[Spread/V]]</f>
        <v>2.3000000000000007</v>
      </c>
      <c r="AJ236" s="2">
        <f>Table2[[#This Row],[EV/Real]]-Table2[[#This Row],[Spread/V]]</f>
        <v>-2</v>
      </c>
      <c r="AK236" s="2">
        <f>Table2[[#This Row],[SRS/Diff]]-Table2[[#This Row],[EV/Diff]]</f>
        <v>4.3000000000000007</v>
      </c>
      <c r="AL236" s="18">
        <f>Table2[[#This Row],[SRS]]-Table2[[#This Row],[Spread]]</f>
        <v>-4.4986885245901647</v>
      </c>
      <c r="AM236" s="21">
        <f>Table2[[#This Row],[(A) Err]]^2</f>
        <v>20.238198441279234</v>
      </c>
      <c r="AN236" s="6">
        <f>Table2[[#This Row],[EV]]-Table2[[#This Row],[Spread]]</f>
        <v>-7.6163345312400992</v>
      </c>
      <c r="AO236" s="1">
        <f>Table2[[#This Row],[EV Err]]^2</f>
        <v>58.008551691760339</v>
      </c>
      <c r="AP236" s="1"/>
    </row>
    <row r="237" spans="1:42" x14ac:dyDescent="0.25">
      <c r="A237" s="103">
        <v>42699</v>
      </c>
      <c r="B237" s="58" t="s">
        <v>131</v>
      </c>
      <c r="C237" s="58" t="s">
        <v>126</v>
      </c>
      <c r="D237" s="58">
        <f>IF((Table2[[#This Row],[Spread]]-Table2[[#This Row],[Spread/V]])=0,1,IF(Table2[[#This Row],[Spread]]&lt;Table2[[#This Row],[Spread/V]],1,0))</f>
        <v>0</v>
      </c>
      <c r="E237" s="60">
        <v>85</v>
      </c>
      <c r="F237" s="58">
        <f>IF((Table2[[#This Row],[Spread]]-Table2[[#This Row],[Spread/V]])=0,1,IF(Table2[[#This Row],[Spread]]&gt;Table2[[#This Row],[Spread/V]],1,0))</f>
        <v>1</v>
      </c>
      <c r="G237" s="60">
        <v>98</v>
      </c>
      <c r="H237" s="59">
        <f>Table2[[#This Row],[H/Pts]]+Table2[[#This Row],[A/Pts]]</f>
        <v>183</v>
      </c>
      <c r="I237" s="60">
        <f>IF(Table2[[#This Row],[Total/V]]&lt;=Table2[[#This Row],[Total]],1,0)</f>
        <v>0</v>
      </c>
      <c r="J237" s="58">
        <v>214</v>
      </c>
      <c r="K237" s="58">
        <v>104</v>
      </c>
      <c r="L237" s="60">
        <f>(Table2[[#This Row],[H/Pace]]/100)*(VLOOKUP(Table2[[#This Row],[Home/Neutral]],home_lookup,8,FALSE)+VLOOKUP(Table2[[#This Row],[Home/Neutral]],OFR_lookup,2,FALSE)+VLOOKUP(Table2[[#This Row],[Visitor/Neutral]],def_diff_lookup,6,FALSE))</f>
        <v>100.22839979119766</v>
      </c>
      <c r="M237" s="60">
        <v>105</v>
      </c>
      <c r="N237" s="60">
        <f>(Table2[[#This Row],[A/Pace]]/100)*(VLOOKUP(Table2[[#This Row],[Visitor/Neutral]],OFR_lookup,2,FALSE)+VLOOKUP(Table2[[#This Row],[Home/Neutral]],def_diff_lookup,6,FALSE))</f>
        <v>105.084023</v>
      </c>
      <c r="O237" s="60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37" s="58">
        <f>Table2[[#This Row],[H/EV/Real]]+Table2[[#This Row],[A/EV/Real]]</f>
        <v>209</v>
      </c>
      <c r="Q237" s="58">
        <f>VLOOKUP(Table2[[#This Row],[Home/Neutral]],pace_lookup,7,FALSE)</f>
        <v>101.7</v>
      </c>
      <c r="R237" s="61">
        <f>VLOOKUP(Table2[[#This Row],[Visitor/Neutral]],pace_lookup,7,FALSE)</f>
        <v>95.7</v>
      </c>
      <c r="S237" s="59">
        <f>Table2[[#This Row],[A/Pts]]-Table2[[#This Row],[H/Pts]]</f>
        <v>13</v>
      </c>
      <c r="T237" s="58">
        <v>2.5</v>
      </c>
      <c r="U237" s="76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7" s="58">
        <v>1.8</v>
      </c>
      <c r="W237" s="62">
        <f>-home-VLOOKUP(Table2[[#This Row],[Home/Neutral]],rtg_vlookup,4,FALSE)+VLOOKUP(Table2[[#This Row],[Visitor/Neutral]],rtg_vlookup,4,FALSE)</f>
        <v>2.4213114754098344</v>
      </c>
      <c r="X237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7" s="62">
        <v>1</v>
      </c>
      <c r="Z237" s="62">
        <f>Table2[[#This Row],[A/EV]]-Table2[[#This Row],[H/EV]]</f>
        <v>4.8556232088023421</v>
      </c>
      <c r="AA237" s="29" t="str">
        <f>IF(Table2[[#This Row],[Spread/V]]&gt;=Table2[[#This Row],[SRS/Real]],"HOME","AWAY")</f>
        <v>HOME</v>
      </c>
      <c r="AB237" s="33" t="str">
        <f>IF(Table2[[#This Row],[Spread/V]]&gt;=Table2[[#This Row],[EV/Real]],"HOME","AWAY")</f>
        <v>HOME</v>
      </c>
      <c r="AC237" s="29"/>
      <c r="AD237" s="33">
        <v>0</v>
      </c>
      <c r="AE237" s="33"/>
      <c r="AF237" s="7" t="b">
        <f>IF(VLOOKUP(Table2[[#This Row],[Home/Neutral]],division_lookup,9,FALSE)=VLOOKUP(Table2[[#This Row],[Visitor/Neutral]],division_lookup,9,FALSE),TRUE,FALSE)</f>
        <v>0</v>
      </c>
      <c r="AG237" s="15" t="str">
        <f>VLOOKUP(Table2[[#This Row],[Home/Neutral]],division_lookup,9,FALSE)</f>
        <v>P</v>
      </c>
      <c r="AH237" s="15" t="str">
        <f>IF(Table2[[#This Row],[Total/EV]]&lt;Table2[[#This Row],[Total/V]],"UNDER","OVER")</f>
        <v>UNDER</v>
      </c>
      <c r="AI237" s="26">
        <f>Table2[[#This Row],[SRS/Real]]-Table2[[#This Row],[Spread/V]]</f>
        <v>-0.7</v>
      </c>
      <c r="AJ237" s="2">
        <f>Table2[[#This Row],[EV/Real]]-Table2[[#This Row],[Spread/V]]</f>
        <v>-1.5</v>
      </c>
      <c r="AK237" s="2">
        <f>Table2[[#This Row],[SRS/Diff]]-Table2[[#This Row],[EV/Diff]]</f>
        <v>0.8</v>
      </c>
      <c r="AL237" s="18">
        <f>Table2[[#This Row],[SRS]]-Table2[[#This Row],[Spread]]</f>
        <v>-10.578688524590167</v>
      </c>
      <c r="AM237" s="21">
        <f>Table2[[#This Row],[(A) Err]]^2</f>
        <v>111.90865090029567</v>
      </c>
      <c r="AN237" s="6">
        <f>Table2[[#This Row],[EV]]-Table2[[#This Row],[Spread]]</f>
        <v>-8.1443767911976579</v>
      </c>
      <c r="AO237" s="1">
        <f>Table2[[#This Row],[EV Err]]^2</f>
        <v>66.33087331699906</v>
      </c>
      <c r="AP237" s="1"/>
    </row>
    <row r="238" spans="1:42" x14ac:dyDescent="0.25">
      <c r="A238" s="103">
        <v>42699</v>
      </c>
      <c r="B238" s="58" t="s">
        <v>132</v>
      </c>
      <c r="C238" s="58" t="s">
        <v>127</v>
      </c>
      <c r="D238" s="58">
        <f>IF((Table2[[#This Row],[Spread]]-Table2[[#This Row],[Spread/V]])=0,1,IF(Table2[[#This Row],[Spread]]&lt;Table2[[#This Row],[Spread/V]],1,0))</f>
        <v>1</v>
      </c>
      <c r="E238" s="60">
        <v>119</v>
      </c>
      <c r="F238" s="58">
        <f>IF((Table2[[#This Row],[Spread]]-Table2[[#This Row],[Spread/V]])=0,1,IF(Table2[[#This Row],[Spread]]&gt;Table2[[#This Row],[Spread/V]],1,0))</f>
        <v>0</v>
      </c>
      <c r="G238" s="60">
        <v>104</v>
      </c>
      <c r="H238" s="59">
        <f>Table2[[#This Row],[H/Pts]]+Table2[[#This Row],[A/Pts]]</f>
        <v>223</v>
      </c>
      <c r="I238" s="60">
        <f>IF(Table2[[#This Row],[Total/V]]&lt;=Table2[[#This Row],[Total]],1,0)</f>
        <v>1</v>
      </c>
      <c r="J238" s="58">
        <v>218</v>
      </c>
      <c r="K238" s="58">
        <v>105</v>
      </c>
      <c r="L238" s="60">
        <f>(Table2[[#This Row],[H/Pace]]/100)*(VLOOKUP(Table2[[#This Row],[Home/Neutral]],home_lookup,8,FALSE)+VLOOKUP(Table2[[#This Row],[Home/Neutral]],OFR_lookup,2,FALSE)+VLOOKUP(Table2[[#This Row],[Visitor/Neutral]],def_diff_lookup,6,FALSE))</f>
        <v>107.69022144606978</v>
      </c>
      <c r="M238" s="60">
        <v>108</v>
      </c>
      <c r="N238" s="60">
        <f>(Table2[[#This Row],[A/Pace]]/100)*(VLOOKUP(Table2[[#This Row],[Visitor/Neutral]],OFR_lookup,2,FALSE)+VLOOKUP(Table2[[#This Row],[Home/Neutral]],def_diff_lookup,6,FALSE))</f>
        <v>107.458157</v>
      </c>
      <c r="O238" s="60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38" s="58">
        <f>Table2[[#This Row],[H/EV/Real]]+Table2[[#This Row],[A/EV/Real]]</f>
        <v>213</v>
      </c>
      <c r="Q238" s="58">
        <f>VLOOKUP(Table2[[#This Row],[Home/Neutral]],pace_lookup,7,FALSE)</f>
        <v>98.8</v>
      </c>
      <c r="R238" s="61">
        <f>VLOOKUP(Table2[[#This Row],[Visitor/Neutral]],pace_lookup,7,FALSE)</f>
        <v>99.3</v>
      </c>
      <c r="S238" s="59">
        <f>Table2[[#This Row],[A/Pts]]-Table2[[#This Row],[H/Pts]]</f>
        <v>-15</v>
      </c>
      <c r="T238" s="58">
        <v>-4.5</v>
      </c>
      <c r="U238" s="76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8" s="58">
        <v>-1.3</v>
      </c>
      <c r="W238" s="62">
        <f>-home-VLOOKUP(Table2[[#This Row],[Home/Neutral]],rtg_vlookup,4,FALSE)+VLOOKUP(Table2[[#This Row],[Visitor/Neutral]],rtg_vlookup,4,FALSE)</f>
        <v>-2.998688524590166</v>
      </c>
      <c r="X238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8" s="62">
        <v>2.6</v>
      </c>
      <c r="Z238" s="62">
        <f>Table2[[#This Row],[A/EV]]-Table2[[#This Row],[H/EV]]</f>
        <v>-0.23206444606978494</v>
      </c>
      <c r="AA238" s="29" t="str">
        <f>IF(Table2[[#This Row],[Spread/V]]&gt;=Table2[[#This Row],[SRS/Real]],"HOME","AWAY")</f>
        <v>AWAY</v>
      </c>
      <c r="AB238" s="33" t="str">
        <f>IF(Table2[[#This Row],[Spread/V]]&gt;=Table2[[#This Row],[EV/Real]],"HOME","AWAY")</f>
        <v>AWAY</v>
      </c>
      <c r="AC238" s="29"/>
      <c r="AD238" s="33">
        <v>0</v>
      </c>
      <c r="AE238" s="33"/>
      <c r="AF238" s="7" t="b">
        <f>IF(VLOOKUP(Table2[[#This Row],[Home/Neutral]],division_lookup,9,FALSE)=VLOOKUP(Table2[[#This Row],[Visitor/Neutral]],division_lookup,9,FALSE),TRUE,FALSE)</f>
        <v>0</v>
      </c>
      <c r="AG238" s="15" t="str">
        <f>VLOOKUP(Table2[[#This Row],[Home/Neutral]],division_lookup,9,FALSE)</f>
        <v>NW</v>
      </c>
      <c r="AH238" s="15" t="str">
        <f>IF(Table2[[#This Row],[Total/EV]]&lt;Table2[[#This Row],[Total/V]],"UNDER","OVER")</f>
        <v>UNDER</v>
      </c>
      <c r="AI238" s="26">
        <f>Table2[[#This Row],[SRS/Real]]-Table2[[#This Row],[Spread/V]]</f>
        <v>3.2</v>
      </c>
      <c r="AJ238" s="2">
        <f>Table2[[#This Row],[EV/Real]]-Table2[[#This Row],[Spread/V]]</f>
        <v>7.1</v>
      </c>
      <c r="AK238" s="2">
        <f>Table2[[#This Row],[SRS/Diff]]-Table2[[#This Row],[EV/Diff]]</f>
        <v>-3.8999999999999995</v>
      </c>
      <c r="AL238" s="18">
        <f>Table2[[#This Row],[SRS]]-Table2[[#This Row],[Spread]]</f>
        <v>12.001311475409834</v>
      </c>
      <c r="AM238" s="21">
        <f>Table2[[#This Row],[(A) Err]]^2</f>
        <v>144.03147712980376</v>
      </c>
      <c r="AN238" s="6">
        <f>Table2[[#This Row],[EV]]-Table2[[#This Row],[Spread]]</f>
        <v>14.767935553930215</v>
      </c>
      <c r="AO238" s="1">
        <f>Table2[[#This Row],[EV Err]]^2</f>
        <v>218.09192052503613</v>
      </c>
      <c r="AP238" s="1"/>
    </row>
    <row r="239" spans="1:42" x14ac:dyDescent="0.25">
      <c r="A239" s="103">
        <v>42699</v>
      </c>
      <c r="B239" s="58" t="s">
        <v>133</v>
      </c>
      <c r="C239" s="58" t="s">
        <v>119</v>
      </c>
      <c r="D239" s="58">
        <f>IF((Table2[[#This Row],[Spread]]-Table2[[#This Row],[Spread/V]])=0,1,IF(Table2[[#This Row],[Spread]]&lt;Table2[[#This Row],[Spread/V]],1,0))</f>
        <v>0</v>
      </c>
      <c r="E239" s="60">
        <v>104</v>
      </c>
      <c r="F239" s="58">
        <f>IF((Table2[[#This Row],[Spread]]-Table2[[#This Row],[Spread/V]])=0,1,IF(Table2[[#This Row],[Spread]]&gt;Table2[[#This Row],[Spread/V]],1,0))</f>
        <v>1</v>
      </c>
      <c r="G239" s="60">
        <v>117</v>
      </c>
      <c r="H239" s="59">
        <f>Table2[[#This Row],[H/Pts]]+Table2[[#This Row],[A/Pts]]</f>
        <v>221</v>
      </c>
      <c r="I239" s="60">
        <f>IF(Table2[[#This Row],[Total/V]]&lt;=Table2[[#This Row],[Total]],1,0)</f>
        <v>1</v>
      </c>
      <c r="J239" s="58">
        <v>216.5</v>
      </c>
      <c r="K239" s="58">
        <v>112</v>
      </c>
      <c r="L239" s="60">
        <f>(Table2[[#This Row],[H/Pace]]/100)*(VLOOKUP(Table2[[#This Row],[Home/Neutral]],home_lookup,8,FALSE)+VLOOKUP(Table2[[#This Row],[Home/Neutral]],OFR_lookup,2,FALSE)+VLOOKUP(Table2[[#This Row],[Visitor/Neutral]],def_diff_lookup,6,FALSE))</f>
        <v>110.6042274827998</v>
      </c>
      <c r="M239" s="60">
        <v>112</v>
      </c>
      <c r="N239" s="60">
        <f>(Table2[[#This Row],[A/Pace]]/100)*(VLOOKUP(Table2[[#This Row],[Visitor/Neutral]],OFR_lookup,2,FALSE)+VLOOKUP(Table2[[#This Row],[Home/Neutral]],def_diff_lookup,6,FALSE))</f>
        <v>112.69050100000001</v>
      </c>
      <c r="O239" s="60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39" s="58">
        <f>Table2[[#This Row],[H/EV/Real]]+Table2[[#This Row],[A/EV/Real]]</f>
        <v>224</v>
      </c>
      <c r="Q239" s="58">
        <f>VLOOKUP(Table2[[#This Row],[Home/Neutral]],pace_lookup,7,FALSE)</f>
        <v>94.2</v>
      </c>
      <c r="R239" s="61">
        <f>VLOOKUP(Table2[[#This Row],[Visitor/Neutral]],pace_lookup,7,FALSE)</f>
        <v>96.9</v>
      </c>
      <c r="S239" s="59">
        <f>Table2[[#This Row],[A/Pts]]-Table2[[#This Row],[H/Pts]]</f>
        <v>13</v>
      </c>
      <c r="T239" s="58">
        <v>3.5</v>
      </c>
      <c r="U239" s="76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39" s="58">
        <v>1.6</v>
      </c>
      <c r="W239" s="62">
        <f>-home-VLOOKUP(Table2[[#This Row],[Home/Neutral]],rtg_vlookup,4,FALSE)+VLOOKUP(Table2[[#This Row],[Visitor/Neutral]],rtg_vlookup,4,FALSE)</f>
        <v>2.8213114754098343</v>
      </c>
      <c r="X239" s="76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39" s="62">
        <v>-0.2</v>
      </c>
      <c r="Z239" s="62">
        <f>Table2[[#This Row],[A/EV]]-Table2[[#This Row],[H/EV]]</f>
        <v>2.0862735172002118</v>
      </c>
      <c r="AA239" s="29" t="str">
        <f>IF(Table2[[#This Row],[Spread/V]]&gt;=Table2[[#This Row],[SRS/Real]],"HOME","AWAY")</f>
        <v>HOME</v>
      </c>
      <c r="AB239" s="33" t="str">
        <f>IF(Table2[[#This Row],[Spread/V]]&gt;=Table2[[#This Row],[EV/Real]],"HOME","AWAY")</f>
        <v>HOME</v>
      </c>
      <c r="AC239" s="29"/>
      <c r="AD239" s="33">
        <v>0</v>
      </c>
      <c r="AE239" s="33"/>
      <c r="AF239" s="7" t="b">
        <f>IF(VLOOKUP(Table2[[#This Row],[Home/Neutral]],division_lookup,9,FALSE)=VLOOKUP(Table2[[#This Row],[Visitor/Neutral]],division_lookup,9,FALSE),TRUE,FALSE)</f>
        <v>0</v>
      </c>
      <c r="AG239" s="15" t="str">
        <f>VLOOKUP(Table2[[#This Row],[Home/Neutral]],division_lookup,9,FALSE)</f>
        <v>P</v>
      </c>
      <c r="AH239" s="15" t="str">
        <f>IF(Table2[[#This Row],[Total/EV]]&lt;Table2[[#This Row],[Total/V]],"UNDER","OVER")</f>
        <v>OVER</v>
      </c>
      <c r="AI239" s="26">
        <f>Table2[[#This Row],[SRS/Real]]-Table2[[#This Row],[Spread/V]]</f>
        <v>-1.9</v>
      </c>
      <c r="AJ239" s="2">
        <f>Table2[[#This Row],[EV/Real]]-Table2[[#This Row],[Spread/V]]</f>
        <v>-3.7</v>
      </c>
      <c r="AK239" s="2">
        <f>Table2[[#This Row],[SRS/Diff]]-Table2[[#This Row],[EV/Diff]]</f>
        <v>1.8000000000000003</v>
      </c>
      <c r="AL239" s="18">
        <f>Table2[[#This Row],[SRS]]-Table2[[#This Row],[Spread]]</f>
        <v>-10.178688524590166</v>
      </c>
      <c r="AM239" s="21">
        <f>Table2[[#This Row],[(A) Err]]^2</f>
        <v>103.60570008062354</v>
      </c>
      <c r="AN239" s="6">
        <f>Table2[[#This Row],[EV]]-Table2[[#This Row],[Spread]]</f>
        <v>-10.913726482799788</v>
      </c>
      <c r="AO239" s="1">
        <f>Table2[[#This Row],[EV Err]]^2</f>
        <v>119.10942574136544</v>
      </c>
      <c r="AP239" s="1"/>
    </row>
    <row r="240" spans="1:42" ht="15.75" thickBot="1" x14ac:dyDescent="0.3">
      <c r="A240" s="115">
        <v>42699</v>
      </c>
      <c r="B240" s="109" t="s">
        <v>136</v>
      </c>
      <c r="C240" s="109" t="s">
        <v>109</v>
      </c>
      <c r="D240" s="109">
        <f>IF((Table2[[#This Row],[Spread]]-Table2[[#This Row],[Spread/V]])=0,1,IF(Table2[[#This Row],[Spread]]&lt;Table2[[#This Row],[Spread/V]],1,0))</f>
        <v>1</v>
      </c>
      <c r="E240" s="111">
        <v>95</v>
      </c>
      <c r="F240" s="109">
        <f>IF((Table2[[#This Row],[Spread]]-Table2[[#This Row],[Spread/V]])=0,1,IF(Table2[[#This Row],[Spread]]&gt;Table2[[#This Row],[Spread/V]],1,0))</f>
        <v>0</v>
      </c>
      <c r="G240" s="111">
        <v>68</v>
      </c>
      <c r="H240" s="110">
        <f>Table2[[#This Row],[H/Pts]]+Table2[[#This Row],[A/Pts]]</f>
        <v>163</v>
      </c>
      <c r="I240" s="111">
        <f>IF(Table2[[#This Row],[Total/V]]&lt;=Table2[[#This Row],[Total]],1,0)</f>
        <v>0</v>
      </c>
      <c r="J240" s="109">
        <v>194.5</v>
      </c>
      <c r="K240" s="109">
        <v>97</v>
      </c>
      <c r="L240" s="111">
        <f>(Table2[[#This Row],[H/Pace]]/100)*(VLOOKUP(Table2[[#This Row],[Home/Neutral]],home_lookup,8,FALSE)+VLOOKUP(Table2[[#This Row],[Home/Neutral]],OFR_lookup,2,FALSE)+VLOOKUP(Table2[[#This Row],[Visitor/Neutral]],def_diff_lookup,6,FALSE))</f>
        <v>98.771085349918991</v>
      </c>
      <c r="M240" s="111">
        <v>100</v>
      </c>
      <c r="N240" s="111">
        <f>(Table2[[#This Row],[A/Pace]]/100)*(VLOOKUP(Table2[[#This Row],[Visitor/Neutral]],OFR_lookup,2,FALSE)+VLOOKUP(Table2[[#This Row],[Home/Neutral]],def_diff_lookup,6,FALSE))</f>
        <v>96.804981333333316</v>
      </c>
      <c r="O240" s="11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40" s="109">
        <f>Table2[[#This Row],[H/EV/Real]]+Table2[[#This Row],[A/EV/Real]]</f>
        <v>197</v>
      </c>
      <c r="Q240" s="109">
        <f>VLOOKUP(Table2[[#This Row],[Home/Neutral]],pace_lookup,7,FALSE)</f>
        <v>91.5</v>
      </c>
      <c r="R240" s="109">
        <f>VLOOKUP(Table2[[#This Row],[Visitor/Neutral]],pace_lookup,7,FALSE)</f>
        <v>99.2</v>
      </c>
      <c r="S240" s="110">
        <f>Table2[[#This Row],[A/Pts]]-Table2[[#This Row],[H/Pts]]</f>
        <v>-27</v>
      </c>
      <c r="T240" s="109">
        <v>-3.5</v>
      </c>
      <c r="U240" s="112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40" s="109">
        <v>-1.5</v>
      </c>
      <c r="W240" s="113">
        <f>-home-VLOOKUP(Table2[[#This Row],[Home/Neutral]],rtg_vlookup,4,FALSE)+VLOOKUP(Table2[[#This Row],[Visitor/Neutral]],rtg_vlookup,4,FALSE)</f>
        <v>-4.7486885245901655</v>
      </c>
      <c r="X240" s="112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40" s="113">
        <v>3.7</v>
      </c>
      <c r="Z240" s="113">
        <f>Table2[[#This Row],[A/EV]]-Table2[[#This Row],[H/EV]]</f>
        <v>-1.9661040165856747</v>
      </c>
      <c r="AA240" s="31" t="str">
        <f>IF(Table2[[#This Row],[Spread/V]]&gt;=Table2[[#This Row],[SRS/Real]],"HOME","AWAY")</f>
        <v>AWAY</v>
      </c>
      <c r="AB240" s="32" t="str">
        <f>IF(Table2[[#This Row],[Spread/V]]&gt;=Table2[[#This Row],[EV/Real]],"HOME","AWAY")</f>
        <v>AWAY</v>
      </c>
      <c r="AC240" s="31"/>
      <c r="AD240" s="32">
        <v>0</v>
      </c>
      <c r="AE240" s="32"/>
      <c r="AF240" s="8" t="b">
        <f>IF(VLOOKUP(Table2[[#This Row],[Home/Neutral]],division_lookup,9,FALSE)=VLOOKUP(Table2[[#This Row],[Visitor/Neutral]],division_lookup,9,FALSE),TRUE,FALSE)</f>
        <v>0</v>
      </c>
      <c r="AG240" s="16" t="str">
        <f>VLOOKUP(Table2[[#This Row],[Home/Neutral]],division_lookup,9,FALSE)</f>
        <v>NW</v>
      </c>
      <c r="AH240" s="16" t="str">
        <f>IF(Table2[[#This Row],[Total/EV]]&lt;Table2[[#This Row],[Total/V]],"UNDER","OVER")</f>
        <v>OVER</v>
      </c>
      <c r="AI240" s="16">
        <f>Table2[[#This Row],[SRS/Real]]-Table2[[#This Row],[Spread/V]]</f>
        <v>2</v>
      </c>
      <c r="AJ240" s="9">
        <f>Table2[[#This Row],[EV/Real]]-Table2[[#This Row],[Spread/V]]</f>
        <v>7.2</v>
      </c>
      <c r="AK240" s="9">
        <f>Table2[[#This Row],[SRS/Diff]]-Table2[[#This Row],[EV/Diff]]</f>
        <v>-5.2</v>
      </c>
      <c r="AL240" s="19">
        <f>Table2[[#This Row],[SRS]]-Table2[[#This Row],[Spread]]</f>
        <v>22.251311475409835</v>
      </c>
      <c r="AM240" s="22">
        <f>Table2[[#This Row],[(A) Err]]^2</f>
        <v>495.12086237570543</v>
      </c>
      <c r="AN240" s="4">
        <f>Table2[[#This Row],[EV]]-Table2[[#This Row],[Spread]]</f>
        <v>25.033895983414325</v>
      </c>
      <c r="AO240" s="4">
        <f>Table2[[#This Row],[EV Err]]^2</f>
        <v>626.69594810840783</v>
      </c>
      <c r="AP240" s="6"/>
    </row>
    <row r="241" spans="1:42" x14ac:dyDescent="0.25">
      <c r="A241" s="77">
        <v>42700</v>
      </c>
      <c r="B241" s="28" t="s">
        <v>112</v>
      </c>
      <c r="C241" s="28" t="s">
        <v>128</v>
      </c>
      <c r="D241" s="49">
        <f>IF((Table2[[#This Row],[Spread]]-Table2[[#This Row],[Spread/V]])=0,1,IF(Table2[[#This Row],[Spread]]&lt;Table2[[#This Row],[Spread/V]],1,0))</f>
        <v>0</v>
      </c>
      <c r="E241" s="51">
        <v>107</v>
      </c>
      <c r="F241" s="49">
        <f>IF((Table2[[#This Row],[Spread]]-Table2[[#This Row],[Spread/V]])=0,1,IF(Table2[[#This Row],[Spread]]&gt;Table2[[#This Row],[Spread/V]],1,0))</f>
        <v>1</v>
      </c>
      <c r="G241" s="51">
        <v>102</v>
      </c>
      <c r="H241" s="50">
        <f>Table2[[#This Row],[H/Pts]]+Table2[[#This Row],[A/Pts]]</f>
        <v>209</v>
      </c>
      <c r="I241" s="51">
        <f>IF(Table2[[#This Row],[Total/V]]&lt;=Table2[[#This Row],[Total]],1,0)</f>
        <v>1</v>
      </c>
      <c r="J241" s="49">
        <v>205.5</v>
      </c>
      <c r="K241" s="49">
        <v>108</v>
      </c>
      <c r="L241" s="51">
        <f>(Table2[[#This Row],[H/Pace]]/100)*(VLOOKUP(Table2[[#This Row],[Home/Neutral]],home_lookup,8,FALSE)+VLOOKUP(Table2[[#This Row],[Home/Neutral]],OFR_lookup,2,FALSE)+VLOOKUP(Table2[[#This Row],[Visitor/Neutral]],def_diff_lookup,6,FALSE))</f>
        <v>107.23812195313485</v>
      </c>
      <c r="M241" s="51">
        <v>104</v>
      </c>
      <c r="N241" s="51">
        <f>(Table2[[#This Row],[A/Pace]]/100)*(VLOOKUP(Table2[[#This Row],[Visitor/Neutral]],OFR_lookup,2,FALSE)+VLOOKUP(Table2[[#This Row],[Home/Neutral]],def_diff_lookup,6,FALSE))</f>
        <v>103.04645699999999</v>
      </c>
      <c r="O241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41" s="51">
        <f>Table2[[#This Row],[H/EV/Real]]+Table2[[#This Row],[A/EV/Real]]</f>
        <v>212</v>
      </c>
      <c r="Q241" s="49">
        <f>VLOOKUP(Table2[[#This Row],[Home/Neutral]],pace_lookup,7,FALSE)</f>
        <v>97.4</v>
      </c>
      <c r="R241" s="52">
        <f>VLOOKUP(Table2[[#This Row],[Visitor/Neutral]],pace_lookup,7,FALSE)</f>
        <v>96.3</v>
      </c>
      <c r="S241" s="50">
        <f>Table2[[#This Row],[A/Pts]]-Table2[[#This Row],[H/Pts]]</f>
        <v>-5</v>
      </c>
      <c r="T241" s="49">
        <v>-6.5</v>
      </c>
      <c r="U241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41" s="49">
        <v>-6.3</v>
      </c>
      <c r="W241" s="53">
        <f>-home-VLOOKUP(Table2[[#This Row],[Home/Neutral]],rtg_vlookup,4,FALSE)+VLOOKUP(Table2[[#This Row],[Visitor/Neutral]],rtg_vlookup,4,FALSE)</f>
        <v>-6.6786885245901662</v>
      </c>
      <c r="X241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41" s="53">
        <v>-4.5999999999999996</v>
      </c>
      <c r="Z241" s="53">
        <f>Table2[[#This Row],[A/EV]]-Table2[[#This Row],[H/EV]]</f>
        <v>-4.1916649531348611</v>
      </c>
      <c r="AA241" s="29" t="str">
        <f>IF(Table2[[#This Row],[Spread/V]]&gt;=Table2[[#This Row],[SRS/Real]],"HOME","AWAY")</f>
        <v>AWAY</v>
      </c>
      <c r="AB241" s="33" t="str">
        <f>IF(Table2[[#This Row],[Spread/V]]&gt;=Table2[[#This Row],[EV/Real]],"HOME","AWAY")</f>
        <v>AWAY</v>
      </c>
      <c r="AC241" s="30"/>
      <c r="AD241" s="30">
        <v>1</v>
      </c>
      <c r="AE241" s="30"/>
      <c r="AF241" s="7" t="b">
        <f>IF(VLOOKUP(Table2[[#This Row],[Home/Neutral]],division_lookup,9,FALSE)=VLOOKUP(Table2[[#This Row],[Visitor/Neutral]],division_lookup,9,FALSE),TRUE,FALSE)</f>
        <v>0</v>
      </c>
      <c r="AG241" s="15" t="str">
        <f>VLOOKUP(Table2[[#This Row],[Home/Neutral]],division_lookup,9,FALSE)</f>
        <v>SE</v>
      </c>
      <c r="AH241" s="15" t="str">
        <f>IF(Table2[[#This Row],[Total/EV]]&lt;Table2[[#This Row],[Total/V]],"UNDER","OVER")</f>
        <v>OVER</v>
      </c>
      <c r="AI241" s="26">
        <f>Table2[[#This Row],[SRS/Real]]-Table2[[#This Row],[Spread/V]]</f>
        <v>0.20000000000000018</v>
      </c>
      <c r="AJ241" s="2">
        <f>Table2[[#This Row],[EV/Real]]-Table2[[#This Row],[Spread/V]]</f>
        <v>1.9000000000000004</v>
      </c>
      <c r="AK241" s="2">
        <f>Table2[[#This Row],[SRS/Diff]]-Table2[[#This Row],[EV/Diff]]</f>
        <v>-1.7000000000000002</v>
      </c>
      <c r="AL241" s="18">
        <f>Table2[[#This Row],[SRS]]-Table2[[#This Row],[Spread]]</f>
        <v>-1.6786885245901662</v>
      </c>
      <c r="AM241" s="21">
        <f>Table2[[#This Row],[(A) Err]]^2</f>
        <v>2.8179951625907087</v>
      </c>
      <c r="AN241" s="6">
        <f>Table2[[#This Row],[EV]]-Table2[[#This Row],[Spread]]</f>
        <v>0.80833504686513891</v>
      </c>
      <c r="AO241" s="1">
        <f>Table2[[#This Row],[EV Err]]^2</f>
        <v>0.65340554799046635</v>
      </c>
      <c r="AP241" s="1"/>
    </row>
    <row r="242" spans="1:42" x14ac:dyDescent="0.25">
      <c r="A242" s="77">
        <v>42700</v>
      </c>
      <c r="B242" s="122" t="s">
        <v>118</v>
      </c>
      <c r="C242" s="49" t="s">
        <v>126</v>
      </c>
      <c r="D242" s="49">
        <f>IF((Table2[[#This Row],[Spread]]-Table2[[#This Row],[Spread/V]])=0,1,IF(Table2[[#This Row],[Spread]]&lt;Table2[[#This Row],[Spread/V]],1,0))</f>
        <v>0</v>
      </c>
      <c r="E242" s="51">
        <v>115</v>
      </c>
      <c r="F242" s="49">
        <f>IF((Table2[[#This Row],[Spread]]-Table2[[#This Row],[Spread/V]])=0,1,IF(Table2[[#This Row],[Spread]]&gt;Table2[[#This Row],[Spread/V]],1,0))</f>
        <v>1</v>
      </c>
      <c r="G242" s="51">
        <v>102</v>
      </c>
      <c r="H242" s="50">
        <f>Table2[[#This Row],[H/Pts]]+Table2[[#This Row],[A/Pts]]</f>
        <v>217</v>
      </c>
      <c r="I242" s="51">
        <f>IF(Table2[[#This Row],[Total/V]]&lt;=Table2[[#This Row],[Total]],1,0)</f>
        <v>0</v>
      </c>
      <c r="J242" s="49">
        <v>220</v>
      </c>
      <c r="K242" s="49">
        <v>118</v>
      </c>
      <c r="L242" s="51">
        <f>(Table2[[#This Row],[H/Pace]]/100)*(VLOOKUP(Table2[[#This Row],[Home/Neutral]],home_lookup,8,FALSE)+VLOOKUP(Table2[[#This Row],[Home/Neutral]],OFR_lookup,2,FALSE)+VLOOKUP(Table2[[#This Row],[Visitor/Neutral]],def_diff_lookup,6,FALSE))</f>
        <v>117.97535838078237</v>
      </c>
      <c r="M242" s="51">
        <v>103</v>
      </c>
      <c r="N242" s="51">
        <f>(Table2[[#This Row],[A/Pace]]/100)*(VLOOKUP(Table2[[#This Row],[Visitor/Neutral]],OFR_lookup,2,FALSE)+VLOOKUP(Table2[[#This Row],[Home/Neutral]],def_diff_lookup,6,FALSE))</f>
        <v>102.91163300000001</v>
      </c>
      <c r="O242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0</v>
      </c>
      <c r="P242" s="51">
        <f>Table2[[#This Row],[H/EV/Real]]+Table2[[#This Row],[A/EV/Real]]</f>
        <v>221</v>
      </c>
      <c r="Q242" s="49">
        <f>VLOOKUP(Table2[[#This Row],[Home/Neutral]],pace_lookup,7,FALSE)</f>
        <v>100.4</v>
      </c>
      <c r="R242" s="52">
        <f>VLOOKUP(Table2[[#This Row],[Visitor/Neutral]],pace_lookup,7,FALSE)</f>
        <v>95.7</v>
      </c>
      <c r="S242" s="50">
        <f>Table2[[#This Row],[A/Pts]]-Table2[[#This Row],[H/Pts]]</f>
        <v>-13</v>
      </c>
      <c r="T242" s="49">
        <v>-14</v>
      </c>
      <c r="U242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42" s="49">
        <v>-15.2</v>
      </c>
      <c r="W242" s="53">
        <f>-home-VLOOKUP(Table2[[#This Row],[Home/Neutral]],rtg_vlookup,4,FALSE)+VLOOKUP(Table2[[#This Row],[Visitor/Neutral]],rtg_vlookup,4,FALSE)</f>
        <v>-15.378688524590165</v>
      </c>
      <c r="X242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42" s="53">
        <v>-15</v>
      </c>
      <c r="Z242" s="53">
        <f>Table2[[#This Row],[A/EV]]-Table2[[#This Row],[H/EV]]</f>
        <v>-15.063725380782358</v>
      </c>
      <c r="AA242" s="29" t="str">
        <f>IF(Table2[[#This Row],[Spread/V]]&gt;=Table2[[#This Row],[SRS/Real]],"HOME","AWAY")</f>
        <v>HOME</v>
      </c>
      <c r="AB242" s="33" t="str">
        <f>IF(Table2[[#This Row],[Spread/V]]&gt;=Table2[[#This Row],[EV/Real]],"HOME","AWAY")</f>
        <v>HOME</v>
      </c>
      <c r="AC242" s="30"/>
      <c r="AD242" s="30">
        <v>0</v>
      </c>
      <c r="AE242" s="30"/>
      <c r="AF242" s="7" t="b">
        <f>IF(VLOOKUP(Table2[[#This Row],[Home/Neutral]],division_lookup,9,FALSE)=VLOOKUP(Table2[[#This Row],[Visitor/Neutral]],division_lookup,9,FALSE),TRUE,FALSE)</f>
        <v>0</v>
      </c>
      <c r="AG242" s="15" t="str">
        <f>VLOOKUP(Table2[[#This Row],[Home/Neutral]],division_lookup,9,FALSE)</f>
        <v>P</v>
      </c>
      <c r="AH242" s="15" t="str">
        <f>IF(Table2[[#This Row],[Total/EV]]&lt;Table2[[#This Row],[Total/V]],"UNDER","OVER")</f>
        <v>OVER</v>
      </c>
      <c r="AI242" s="26">
        <f>Table2[[#This Row],[SRS/Real]]-Table2[[#This Row],[Spread/V]]</f>
        <v>-1.1999999999999993</v>
      </c>
      <c r="AJ242" s="2">
        <f>Table2[[#This Row],[EV/Real]]-Table2[[#This Row],[Spread/V]]</f>
        <v>-1</v>
      </c>
      <c r="AK242" s="2">
        <f>Table2[[#This Row],[SRS/Diff]]-Table2[[#This Row],[EV/Diff]]</f>
        <v>-0.19999999999999929</v>
      </c>
      <c r="AL242" s="18">
        <f>Table2[[#This Row],[SRS]]-Table2[[#This Row],[Spread]]</f>
        <v>-2.3786885245901654</v>
      </c>
      <c r="AM242" s="21">
        <f>Table2[[#This Row],[(A) Err]]^2</f>
        <v>5.658159097016938</v>
      </c>
      <c r="AN242" s="6">
        <f>Table2[[#This Row],[EV]]-Table2[[#This Row],[Spread]]</f>
        <v>-2.0637253807823583</v>
      </c>
      <c r="AO242" s="1">
        <f>Table2[[#This Row],[EV Err]]^2</f>
        <v>4.2589624472852901</v>
      </c>
      <c r="AP242" s="1"/>
    </row>
    <row r="243" spans="1:42" x14ac:dyDescent="0.25">
      <c r="A243" s="77">
        <v>42700</v>
      </c>
      <c r="B243" s="49" t="s">
        <v>124</v>
      </c>
      <c r="C243" s="49" t="s">
        <v>123</v>
      </c>
      <c r="D243" s="49">
        <f>IF((Table2[[#This Row],[Spread]]-Table2[[#This Row],[Spread/V]])=0,1,IF(Table2[[#This Row],[Spread]]&lt;Table2[[#This Row],[Spread/V]],1,0))</f>
        <v>0</v>
      </c>
      <c r="E243" s="51">
        <v>107</v>
      </c>
      <c r="F243" s="49">
        <f>IF((Table2[[#This Row],[Spread]]-Table2[[#This Row],[Spread/V]])=0,1,IF(Table2[[#This Row],[Spread]]&gt;Table2[[#This Row],[Spread/V]],1,0))</f>
        <v>1</v>
      </c>
      <c r="G243" s="51">
        <v>110</v>
      </c>
      <c r="H243" s="50">
        <f>Table2[[#This Row],[H/Pts]]+Table2[[#This Row],[A/Pts]]</f>
        <v>217</v>
      </c>
      <c r="I243" s="51">
        <f>IF(Table2[[#This Row],[Total/V]]&lt;=Table2[[#This Row],[Total]],1,0)</f>
        <v>1</v>
      </c>
      <c r="J243" s="49">
        <v>183.5</v>
      </c>
      <c r="K243" s="49">
        <v>96</v>
      </c>
      <c r="L243" s="51">
        <f>(Table2[[#This Row],[H/Pace]]/100)*(VLOOKUP(Table2[[#This Row],[Home/Neutral]],home_lookup,8,FALSE)+VLOOKUP(Table2[[#This Row],[Home/Neutral]],OFR_lookup,2,FALSE)+VLOOKUP(Table2[[#This Row],[Visitor/Neutral]],def_diff_lookup,6,FALSE))</f>
        <v>97.865585177235559</v>
      </c>
      <c r="M243" s="51">
        <v>95</v>
      </c>
      <c r="N243" s="51">
        <f>(Table2[[#This Row],[A/Pace]]/100)*(VLOOKUP(Table2[[#This Row],[Visitor/Neutral]],OFR_lookup,2,FALSE)+VLOOKUP(Table2[[#This Row],[Home/Neutral]],def_diff_lookup,6,FALSE))</f>
        <v>93.966741666666664</v>
      </c>
      <c r="O243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43" s="51">
        <f>Table2[[#This Row],[H/EV/Real]]+Table2[[#This Row],[A/EV/Real]]</f>
        <v>191</v>
      </c>
      <c r="Q243" s="49">
        <f>VLOOKUP(Table2[[#This Row],[Home/Neutral]],pace_lookup,7,FALSE)</f>
        <v>93.7</v>
      </c>
      <c r="R243" s="52">
        <f>VLOOKUP(Table2[[#This Row],[Visitor/Neutral]],pace_lookup,7,FALSE)</f>
        <v>92.5</v>
      </c>
      <c r="S243" s="50">
        <f>Table2[[#This Row],[A/Pts]]-Table2[[#This Row],[H/Pts]]</f>
        <v>3</v>
      </c>
      <c r="T243" s="49">
        <v>-1.5</v>
      </c>
      <c r="U243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43" s="49">
        <v>-1</v>
      </c>
      <c r="W243" s="53">
        <f>-home-VLOOKUP(Table2[[#This Row],[Home/Neutral]],rtg_vlookup,4,FALSE)+VLOOKUP(Table2[[#This Row],[Visitor/Neutral]],rtg_vlookup,4,FALSE)</f>
        <v>-0.89868852459016579</v>
      </c>
      <c r="X243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43" s="53">
        <v>-0.9</v>
      </c>
      <c r="Z243" s="53">
        <f>Table2[[#This Row],[A/EV]]-Table2[[#This Row],[H/EV]]</f>
        <v>-3.898843510568895</v>
      </c>
      <c r="AA243" s="29" t="str">
        <f>IF(Table2[[#This Row],[Spread/V]]&gt;=Table2[[#This Row],[SRS/Real]],"HOME","AWAY")</f>
        <v>AWAY</v>
      </c>
      <c r="AB243" s="33" t="str">
        <f>IF(Table2[[#This Row],[Spread/V]]&gt;=Table2[[#This Row],[EV/Real]],"HOME","AWAY")</f>
        <v>AWAY</v>
      </c>
      <c r="AC243" s="30"/>
      <c r="AD243" s="30">
        <v>1</v>
      </c>
      <c r="AE243" s="30"/>
      <c r="AF243" s="7" t="b">
        <f>IF(VLOOKUP(Table2[[#This Row],[Home/Neutral]],division_lookup,9,FALSE)=VLOOKUP(Table2[[#This Row],[Visitor/Neutral]],division_lookup,9,FALSE),TRUE,FALSE)</f>
        <v>0</v>
      </c>
      <c r="AG243" s="15" t="str">
        <f>VLOOKUP(Table2[[#This Row],[Home/Neutral]],division_lookup,9,FALSE)</f>
        <v>SE</v>
      </c>
      <c r="AH243" s="15" t="str">
        <f>IF(Table2[[#This Row],[Total/EV]]&lt;Table2[[#This Row],[Total/V]],"UNDER","OVER")</f>
        <v>OVER</v>
      </c>
      <c r="AI243" s="26">
        <f>Table2[[#This Row],[SRS/Real]]-Table2[[#This Row],[Spread/V]]</f>
        <v>0.5</v>
      </c>
      <c r="AJ243" s="2">
        <f>Table2[[#This Row],[EV/Real]]-Table2[[#This Row],[Spread/V]]</f>
        <v>0.6</v>
      </c>
      <c r="AK243" s="2">
        <f>Table2[[#This Row],[SRS/Diff]]-Table2[[#This Row],[EV/Diff]]</f>
        <v>-9.9999999999999978E-2</v>
      </c>
      <c r="AL243" s="18">
        <f>Table2[[#This Row],[SRS]]-Table2[[#This Row],[Spread]]</f>
        <v>-3.8986885245901659</v>
      </c>
      <c r="AM243" s="21">
        <f>Table2[[#This Row],[(A) Err]]^2</f>
        <v>15.199772211771045</v>
      </c>
      <c r="AN243" s="6">
        <f>Table2[[#This Row],[EV]]-Table2[[#This Row],[Spread]]</f>
        <v>-6.898843510568895</v>
      </c>
      <c r="AO243" s="1">
        <f>Table2[[#This Row],[EV Err]]^2</f>
        <v>47.594041783318552</v>
      </c>
      <c r="AP243" s="1"/>
    </row>
    <row r="244" spans="1:42" x14ac:dyDescent="0.25">
      <c r="A244" s="77">
        <v>42700</v>
      </c>
      <c r="B244" s="28" t="s">
        <v>129</v>
      </c>
      <c r="C244" s="28" t="s">
        <v>117</v>
      </c>
      <c r="D244" s="49">
        <f>IF((Table2[[#This Row],[Spread]]-Table2[[#This Row],[Spread/V]])=0,1,IF(Table2[[#This Row],[Spread]]&lt;Table2[[#This Row],[Spread/V]],1,0))</f>
        <v>1</v>
      </c>
      <c r="E244" s="51">
        <v>106</v>
      </c>
      <c r="F244" s="49">
        <f>IF((Table2[[#This Row],[Spread]]-Table2[[#This Row],[Spread/V]])=0,1,IF(Table2[[#This Row],[Spread]]&gt;Table2[[#This Row],[Spread/V]],1,0))</f>
        <v>0</v>
      </c>
      <c r="G244" s="51">
        <v>88</v>
      </c>
      <c r="H244" s="50">
        <f>Table2[[#This Row],[H/Pts]]+Table2[[#This Row],[A/Pts]]</f>
        <v>194</v>
      </c>
      <c r="I244" s="51">
        <f>IF(Table2[[#This Row],[Total/V]]&lt;=Table2[[#This Row],[Total]],1,0)</f>
        <v>0</v>
      </c>
      <c r="J244" s="49">
        <v>205.5</v>
      </c>
      <c r="K244" s="49">
        <v>101</v>
      </c>
      <c r="L244" s="51">
        <f>(Table2[[#This Row],[H/Pace]]/100)*(VLOOKUP(Table2[[#This Row],[Home/Neutral]],home_lookup,8,FALSE)+VLOOKUP(Table2[[#This Row],[Home/Neutral]],OFR_lookup,2,FALSE)+VLOOKUP(Table2[[#This Row],[Visitor/Neutral]],def_diff_lookup,6,FALSE))</f>
        <v>103.55030376890107</v>
      </c>
      <c r="M244" s="51">
        <v>97</v>
      </c>
      <c r="N244" s="51">
        <f>(Table2[[#This Row],[A/Pace]]/100)*(VLOOKUP(Table2[[#This Row],[Visitor/Neutral]],OFR_lookup,2,FALSE)+VLOOKUP(Table2[[#This Row],[Home/Neutral]],def_diff_lookup,6,FALSE))</f>
        <v>96.261326666666662</v>
      </c>
      <c r="O244" s="51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44" s="51">
        <f>Table2[[#This Row],[H/EV/Real]]+Table2[[#This Row],[A/EV/Real]]</f>
        <v>198</v>
      </c>
      <c r="Q244" s="49">
        <f>VLOOKUP(Table2[[#This Row],[Home/Neutral]],pace_lookup,7,FALSE)</f>
        <v>99</v>
      </c>
      <c r="R244" s="52">
        <f>VLOOKUP(Table2[[#This Row],[Visitor/Neutral]],pace_lookup,7,FALSE)</f>
        <v>94</v>
      </c>
      <c r="S244" s="50">
        <f>Table2[[#This Row],[A/Pts]]-Table2[[#This Row],[H/Pts]]</f>
        <v>-18</v>
      </c>
      <c r="T244" s="49">
        <v>-4</v>
      </c>
      <c r="U244" s="75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0</v>
      </c>
      <c r="V244" s="49">
        <v>-0.4</v>
      </c>
      <c r="W244" s="53">
        <f>-home-VLOOKUP(Table2[[#This Row],[Home/Neutral]],rtg_vlookup,4,FALSE)+VLOOKUP(Table2[[#This Row],[Visitor/Neutral]],rtg_vlookup,4,FALSE)</f>
        <v>-2.7186885245901653</v>
      </c>
      <c r="X244" s="75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1</v>
      </c>
      <c r="Y244" s="53">
        <v>-4.2</v>
      </c>
      <c r="Z244" s="53">
        <f>Table2[[#This Row],[A/EV]]-Table2[[#This Row],[H/EV]]</f>
        <v>-7.2889771022344121</v>
      </c>
      <c r="AA244" s="29" t="str">
        <f>IF(Table2[[#This Row],[Spread/V]]&gt;=Table2[[#This Row],[SRS/Real]],"HOME","AWAY")</f>
        <v>AWAY</v>
      </c>
      <c r="AB244" s="33" t="str">
        <f>IF(Table2[[#This Row],[Spread/V]]&gt;=Table2[[#This Row],[EV/Real]],"HOME","AWAY")</f>
        <v>HOME</v>
      </c>
      <c r="AC244" s="30">
        <v>0</v>
      </c>
      <c r="AD244" s="30"/>
      <c r="AE244" s="30">
        <v>1</v>
      </c>
      <c r="AF244" s="7" t="b">
        <f>IF(VLOOKUP(Table2[[#This Row],[Home/Neutral]],division_lookup,9,FALSE)=VLOOKUP(Table2[[#This Row],[Visitor/Neutral]],division_lookup,9,FALSE),TRUE,FALSE)</f>
        <v>0</v>
      </c>
      <c r="AG244" s="15" t="str">
        <f>VLOOKUP(Table2[[#This Row],[Home/Neutral]],division_lookup,9,FALSE)</f>
        <v>NW</v>
      </c>
      <c r="AH244" s="15" t="str">
        <f>IF(Table2[[#This Row],[Total/EV]]&lt;Table2[[#This Row],[Total/V]],"UNDER","OVER")</f>
        <v>UNDER</v>
      </c>
      <c r="AI244" s="26">
        <f>Table2[[#This Row],[SRS/Real]]-Table2[[#This Row],[Spread/V]]</f>
        <v>3.6</v>
      </c>
      <c r="AJ244" s="2">
        <f>Table2[[#This Row],[EV/Real]]-Table2[[#This Row],[Spread/V]]</f>
        <v>-0.20000000000000018</v>
      </c>
      <c r="AK244" s="2">
        <f>Table2[[#This Row],[SRS/Diff]]-Table2[[#This Row],[EV/Diff]]</f>
        <v>3.8000000000000003</v>
      </c>
      <c r="AL244" s="18">
        <f>Table2[[#This Row],[SRS]]-Table2[[#This Row],[Spread]]</f>
        <v>15.281311475409835</v>
      </c>
      <c r="AM244" s="21">
        <f>Table2[[#This Row],[(A) Err]]^2</f>
        <v>233.51848040849231</v>
      </c>
      <c r="AN244" s="6">
        <f>Table2[[#This Row],[EV]]-Table2[[#This Row],[Spread]]</f>
        <v>10.711022897765588</v>
      </c>
      <c r="AO244" s="1">
        <f>Table2[[#This Row],[EV Err]]^2</f>
        <v>114.72601151645873</v>
      </c>
      <c r="AP244" s="1"/>
    </row>
    <row r="245" spans="1:42" ht="15.75" thickBot="1" x14ac:dyDescent="0.3">
      <c r="A245" s="102">
        <v>42700</v>
      </c>
      <c r="B245" s="54" t="s">
        <v>137</v>
      </c>
      <c r="C245" s="54" t="s">
        <v>134</v>
      </c>
      <c r="D245" s="54">
        <f>IF((Table2[[#This Row],[Spread]]-Table2[[#This Row],[Spread/V]])=0,1,IF(Table2[[#This Row],[Spread]]&lt;Table2[[#This Row],[Spread/V]],1,0))</f>
        <v>0</v>
      </c>
      <c r="E245" s="56">
        <v>100</v>
      </c>
      <c r="F245" s="54">
        <f>IF((Table2[[#This Row],[Spread]]-Table2[[#This Row],[Spread/V]])=0,1,IF(Table2[[#This Row],[Spread]]&gt;Table2[[#This Row],[Spread/V]],1,0))</f>
        <v>1</v>
      </c>
      <c r="G245" s="56">
        <v>112</v>
      </c>
      <c r="H245" s="55">
        <f>Table2[[#This Row],[H/Pts]]+Table2[[#This Row],[A/Pts]]</f>
        <v>212</v>
      </c>
      <c r="I245" s="56">
        <f>IF(Table2[[#This Row],[Total/V]]&lt;=Table2[[#This Row],[Total]],1,0)</f>
        <v>1</v>
      </c>
      <c r="J245" s="54">
        <v>204</v>
      </c>
      <c r="K245" s="54">
        <v>108</v>
      </c>
      <c r="L245" s="56">
        <f>(Table2[[#This Row],[H/Pace]]/100)*(VLOOKUP(Table2[[#This Row],[Home/Neutral]],home_lookup,8,FALSE)+VLOOKUP(Table2[[#This Row],[Home/Neutral]],OFR_lookup,2,FALSE)+VLOOKUP(Table2[[#This Row],[Visitor/Neutral]],def_diff_lookup,6,FALSE))</f>
        <v>106.59133255421871</v>
      </c>
      <c r="M245" s="56">
        <v>108</v>
      </c>
      <c r="N245" s="56">
        <f>(Table2[[#This Row],[A/Pace]]/100)*(VLOOKUP(Table2[[#This Row],[Visitor/Neutral]],OFR_lookup,2,FALSE)+VLOOKUP(Table2[[#This Row],[Home/Neutral]],def_diff_lookup,6,FALSE))</f>
        <v>108.52675266666667</v>
      </c>
      <c r="O245" s="56">
        <f>IF(OR(OR(AND(Table2[[#This Row],[Total/EV]]&gt;Table2[[#This Row],[Total/V]],Table2[[#This Row],[Total]]&gt;Table2[[#This Row],[Total/V]]),AND(Table2[[#This Row],[Total/EV]]&lt;Table2[[#This Row],[Total/V]],Table2[[#This Row],[Total]]&lt;Table2[[#This Row],[Total/V]])),Table2[[#This Row],[Total/V]]=Table2[[#This Row],[Total]]),1,0)</f>
        <v>1</v>
      </c>
      <c r="P245" s="56">
        <f>Table2[[#This Row],[H/EV/Real]]+Table2[[#This Row],[A/EV/Real]]</f>
        <v>216</v>
      </c>
      <c r="Q245" s="54">
        <f>VLOOKUP(Table2[[#This Row],[Home/Neutral]],pace_lookup,7,FALSE)</f>
        <v>96</v>
      </c>
      <c r="R245" s="54">
        <f>VLOOKUP(Table2[[#This Row],[Visitor/Neutral]],pace_lookup,7,FALSE)</f>
        <v>93.4</v>
      </c>
      <c r="S245" s="55">
        <f>Table2[[#This Row],[A/Pts]]-Table2[[#This Row],[H/Pts]]</f>
        <v>12</v>
      </c>
      <c r="T245" s="54">
        <v>6</v>
      </c>
      <c r="U245" s="73">
        <f>IF(OR(AND(Table2[[#This Row],[SRS/Real]]&gt;Table2[[#This Row],[Spread/V]],Table2[[#This Row],[Spread]]&gt;Table2[[#This Row],[Spread/V]]),AND(Table2[[#This Row],[SRS/Real]]&lt;Table2[[#This Row],[Spread/V]],Table2[[#This Row],[Spread]]&lt;Table2[[#This Row],[Spread/V]])),1,0)</f>
        <v>1</v>
      </c>
      <c r="V245" s="54">
        <v>7.3</v>
      </c>
      <c r="W245" s="57">
        <f>-home-VLOOKUP(Table2[[#This Row],[Home/Neutral]],rtg_vlookup,4,FALSE)+VLOOKUP(Table2[[#This Row],[Visitor/Neutral]],rtg_vlookup,4,FALSE)</f>
        <v>7.6013114754098332</v>
      </c>
      <c r="X245" s="73">
        <f>IF(OR(OR(AND(Table2[[#This Row],[EV/Real]]&gt;Table2[[#This Row],[Spread/V]],Table2[[#This Row],[Spread]]&gt;Table2[[#This Row],[Spread/V]]),AND(Table2[[#This Row],[EV/Real]]&lt;Table2[[#This Row],[Spread/V]],Table2[[#This Row],[Spread]]&lt;Table2[[#This Row],[Spread/V]])),Table2[[#This Row],[Spread/V]]=Table2[[#This Row],[Spread]]),1,0)</f>
        <v>0</v>
      </c>
      <c r="Y245" s="57">
        <v>0.2</v>
      </c>
      <c r="Z245" s="57">
        <f>Table2[[#This Row],[A/EV]]-Table2[[#This Row],[H/EV]]</f>
        <v>1.9354201124479573</v>
      </c>
      <c r="AA245" s="31" t="str">
        <f>IF(Table2[[#This Row],[Spread/V]]&gt;=Table2[[#This Row],[SRS/Real]],"HOME","AWAY")</f>
        <v>AWAY</v>
      </c>
      <c r="AB245" s="32" t="str">
        <f>IF(Table2[[#This Row],[Spread/V]]&gt;=Table2[[#This Row],[EV/Real]],"HOME","AWAY")</f>
        <v>HOME</v>
      </c>
      <c r="AC245" s="32">
        <v>1</v>
      </c>
      <c r="AD245" s="32"/>
      <c r="AE245" s="32">
        <v>0</v>
      </c>
      <c r="AF245" s="8" t="b">
        <f>IF(VLOOKUP(Table2[[#This Row],[Home/Neutral]],division_lookup,9,FALSE)=VLOOKUP(Table2[[#This Row],[Visitor/Neutral]],division_lookup,9,FALSE),TRUE,FALSE)</f>
        <v>0</v>
      </c>
      <c r="AG245" s="16" t="str">
        <f>VLOOKUP(Table2[[#This Row],[Home/Neutral]],division_lookup,9,FALSE)</f>
        <v>SE</v>
      </c>
      <c r="AH245" s="16" t="str">
        <f>IF(Table2[[#This Row],[Total/EV]]&lt;Table2[[#This Row],[Total/V]],"UNDER","OVER")</f>
        <v>OVER</v>
      </c>
      <c r="AI245" s="16">
        <f>Table2[[#This Row],[SRS/Real]]-Table2[[#This Row],[Spread/V]]</f>
        <v>1.2999999999999998</v>
      </c>
      <c r="AJ245" s="9">
        <f>Table2[[#This Row],[EV/Real]]-Table2[[#This Row],[Spread/V]]</f>
        <v>-5.8</v>
      </c>
      <c r="AK245" s="9">
        <f>Table2[[#This Row],[SRS/Diff]]-Table2[[#This Row],[EV/Diff]]</f>
        <v>7.1</v>
      </c>
      <c r="AL245" s="19">
        <f>Table2[[#This Row],[SRS]]-Table2[[#This Row],[Spread]]</f>
        <v>-4.3986885245901668</v>
      </c>
      <c r="AM245" s="22">
        <f>Table2[[#This Row],[(A) Err]]^2</f>
        <v>19.348460736361218</v>
      </c>
      <c r="AN245" s="4">
        <f>Table2[[#This Row],[EV]]-Table2[[#This Row],[Spread]]</f>
        <v>-10.064579887552043</v>
      </c>
      <c r="AO245" s="4">
        <f>Table2[[#This Row],[EV Err]]^2</f>
        <v>101.29576831291709</v>
      </c>
      <c r="AP245" s="6"/>
    </row>
    <row r="246" spans="1:42" x14ac:dyDescent="0.25">
      <c r="A246" s="77">
        <v>42701</v>
      </c>
      <c r="B246" s="125" t="s">
        <v>111</v>
      </c>
      <c r="C246" s="49" t="s">
        <v>133</v>
      </c>
      <c r="E246" s="51"/>
      <c r="F246" s="49"/>
      <c r="G246" s="51"/>
      <c r="H246" s="50"/>
      <c r="I246" s="51"/>
      <c r="J246" s="49">
        <v>218</v>
      </c>
      <c r="K246" s="49">
        <v>103</v>
      </c>
      <c r="L246" s="51">
        <f>(Table2[[#This Row],[H/Pace]]/100)*(VLOOKUP(Table2[[#This Row],[Home/Neutral]],home_lookup,8,FALSE)+VLOOKUP(Table2[[#This Row],[Home/Neutral]],OFR_lookup,2,FALSE)+VLOOKUP(Table2[[#This Row],[Visitor/Neutral]],def_diff_lookup,6,FALSE))</f>
        <v>103.48601832771635</v>
      </c>
      <c r="M246" s="51">
        <v>106</v>
      </c>
      <c r="N246" s="51">
        <f>(Table2[[#This Row],[A/Pace]]/100)*(VLOOKUP(Table2[[#This Row],[Visitor/Neutral]],OFR_lookup,2,FALSE)+VLOOKUP(Table2[[#This Row],[Home/Neutral]],def_diff_lookup,6,FALSE))</f>
        <v>105.75425800000001</v>
      </c>
      <c r="O246" s="51"/>
      <c r="P246" s="51">
        <f>Table2[[#This Row],[H/EV/Real]]+Table2[[#This Row],[A/EV/Real]]</f>
        <v>209</v>
      </c>
      <c r="Q246" s="49">
        <f>VLOOKUP(Table2[[#This Row],[Home/Neutral]],pace_lookup,7,FALSE)</f>
        <v>102</v>
      </c>
      <c r="R246" s="52">
        <f>VLOOKUP(Table2[[#This Row],[Visitor/Neutral]],pace_lookup,7,FALSE)</f>
        <v>94.2</v>
      </c>
      <c r="S246" s="50"/>
      <c r="T246" s="49">
        <v>4.5</v>
      </c>
      <c r="U246" s="75"/>
      <c r="V246" s="49">
        <v>4.0999999999999996</v>
      </c>
      <c r="W246" s="53">
        <f>-home-VLOOKUP(Table2[[#This Row],[Home/Neutral]],rtg_vlookup,4,FALSE)+VLOOKUP(Table2[[#This Row],[Visitor/Neutral]],rtg_vlookup,4,FALSE)</f>
        <v>4.0813114754098336</v>
      </c>
      <c r="X246" s="75"/>
      <c r="Y246" s="53">
        <v>2.2999999999999998</v>
      </c>
      <c r="Z246" s="2">
        <f>Table2[[#This Row],[A/EV]]-Table2[[#This Row],[H/EV]]</f>
        <v>2.2682396722836558</v>
      </c>
      <c r="AA246" s="29" t="str">
        <f>IF(Table2[[#This Row],[Spread/V]]&gt;=Table2[[#This Row],[SRS/Real]],"HOME","AWAY")</f>
        <v>HOME</v>
      </c>
      <c r="AB246" s="30" t="str">
        <f>IF(Table2[[#This Row],[Spread/V]]&gt;=Table2[[#This Row],[EV/Real]],"HOME","AWAY")</f>
        <v>HOME</v>
      </c>
      <c r="AC246" s="30"/>
      <c r="AD246" s="30"/>
      <c r="AE246" s="30"/>
      <c r="AF246" s="7" t="b">
        <f>IF(VLOOKUP(Table2[[#This Row],[Home/Neutral]],division_lookup,9,FALSE)=VLOOKUP(Table2[[#This Row],[Visitor/Neutral]],division_lookup,9,FALSE),TRUE,FALSE)</f>
        <v>0</v>
      </c>
      <c r="AG246" s="15" t="str">
        <f>VLOOKUP(Table2[[#This Row],[Home/Neutral]],division_lookup,9,FALSE)</f>
        <v>A</v>
      </c>
      <c r="AH246" s="15" t="str">
        <f>IF(Table2[[#This Row],[Total/EV]]&lt;Table2[[#This Row],[Total/V]],"UNDER","OVER")</f>
        <v>UNDER</v>
      </c>
      <c r="AI246" s="26">
        <f>Table2[[#This Row],[SRS/Real]]-Table2[[#This Row],[Spread/V]]</f>
        <v>-0.40000000000000036</v>
      </c>
      <c r="AJ246" s="2">
        <f>Table2[[#This Row],[EV/Real]]-Table2[[#This Row],[Spread/V]]</f>
        <v>-2.2000000000000002</v>
      </c>
      <c r="AK246" s="2">
        <f>Table2[[#This Row],[SRS/Diff]]-Table2[[#This Row],[EV/Diff]]</f>
        <v>1.7999999999999998</v>
      </c>
      <c r="AL246" s="18">
        <f>Table2[[#This Row],[SRS]]-Table2[[#This Row],[Spread]]</f>
        <v>4.0813114754098336</v>
      </c>
      <c r="AM246" s="21">
        <f>Table2[[#This Row],[(A) Err]]^2</f>
        <v>16.657103359311993</v>
      </c>
      <c r="AN246" s="6">
        <f>Table2[[#This Row],[EV]]-Table2[[#This Row],[Spread]]</f>
        <v>2.2682396722836558</v>
      </c>
      <c r="AO246" s="1">
        <f>Table2[[#This Row],[EV Err]]^2</f>
        <v>5.1449112109214656</v>
      </c>
      <c r="AP246" s="1"/>
    </row>
    <row r="247" spans="1:42" x14ac:dyDescent="0.25">
      <c r="A247" s="77">
        <v>42701</v>
      </c>
      <c r="B247" s="49" t="s">
        <v>115</v>
      </c>
      <c r="C247" s="49" t="s">
        <v>127</v>
      </c>
      <c r="D247" s="49"/>
      <c r="E247" s="51"/>
      <c r="F247" s="49"/>
      <c r="G247" s="51"/>
      <c r="H247" s="50"/>
      <c r="I247" s="51"/>
      <c r="J247" s="49">
        <v>199</v>
      </c>
      <c r="K247" s="49">
        <v>94</v>
      </c>
      <c r="L247" s="51">
        <f>(Table2[[#This Row],[H/Pace]]/100)*(VLOOKUP(Table2[[#This Row],[Home/Neutral]],home_lookup,8,FALSE)+VLOOKUP(Table2[[#This Row],[Home/Neutral]],OFR_lookup,2,FALSE)+VLOOKUP(Table2[[#This Row],[Visitor/Neutral]],def_diff_lookup,6,FALSE))</f>
        <v>94.197973115967756</v>
      </c>
      <c r="M247" s="51">
        <v>101</v>
      </c>
      <c r="N247" s="51">
        <f>(Table2[[#This Row],[A/Pace]]/100)*(VLOOKUP(Table2[[#This Row],[Visitor/Neutral]],OFR_lookup,2,FALSE)+VLOOKUP(Table2[[#This Row],[Home/Neutral]],def_diff_lookup,6,FALSE))</f>
        <v>101.28169699999999</v>
      </c>
      <c r="O247" s="51"/>
      <c r="P247" s="51">
        <f>Table2[[#This Row],[H/EV/Real]]+Table2[[#This Row],[A/EV/Real]]</f>
        <v>195</v>
      </c>
      <c r="Q247" s="49">
        <f>VLOOKUP(Table2[[#This Row],[Home/Neutral]],pace_lookup,7,FALSE)</f>
        <v>92.9</v>
      </c>
      <c r="R247" s="52">
        <f>VLOOKUP(Table2[[#This Row],[Visitor/Neutral]],pace_lookup,7,FALSE)</f>
        <v>99.3</v>
      </c>
      <c r="S247" s="50"/>
      <c r="T247" s="49">
        <v>4.5</v>
      </c>
      <c r="U247" s="75"/>
      <c r="V247" s="49">
        <v>3.4</v>
      </c>
      <c r="W247" s="53">
        <f>-home-VLOOKUP(Table2[[#This Row],[Home/Neutral]],rtg_vlookup,4,FALSE)+VLOOKUP(Table2[[#This Row],[Visitor/Neutral]],rtg_vlookup,4,FALSE)</f>
        <v>3.4213114754098335</v>
      </c>
      <c r="X247" s="75"/>
      <c r="Y247" s="53">
        <v>7.1</v>
      </c>
      <c r="Z247" s="53">
        <f>Table2[[#This Row],[A/EV]]-Table2[[#This Row],[H/EV]]</f>
        <v>7.0837238840322385</v>
      </c>
      <c r="AA247" s="29" t="str">
        <f>IF(Table2[[#This Row],[Spread/V]]&gt;=Table2[[#This Row],[SRS/Real]],"HOME","AWAY")</f>
        <v>HOME</v>
      </c>
      <c r="AB247" s="30" t="str">
        <f>IF(Table2[[#This Row],[Spread/V]]&gt;=Table2[[#This Row],[EV/Real]],"HOME","AWAY")</f>
        <v>AWAY</v>
      </c>
      <c r="AC247" s="30"/>
      <c r="AD247" s="30"/>
      <c r="AE247" s="30"/>
      <c r="AF247" s="7" t="b">
        <f>IF(VLOOKUP(Table2[[#This Row],[Home/Neutral]],division_lookup,9,FALSE)=VLOOKUP(Table2[[#This Row],[Visitor/Neutral]],division_lookup,9,FALSE),TRUE,FALSE)</f>
        <v>1</v>
      </c>
      <c r="AG247" s="15" t="str">
        <f>VLOOKUP(Table2[[#This Row],[Home/Neutral]],division_lookup,9,FALSE)</f>
        <v>SW</v>
      </c>
      <c r="AH247" s="15" t="str">
        <f>IF(Table2[[#This Row],[Total/EV]]&lt;Table2[[#This Row],[Total/V]],"UNDER","OVER")</f>
        <v>UNDER</v>
      </c>
      <c r="AI247" s="26">
        <f>Table2[[#This Row],[SRS/Real]]-Table2[[#This Row],[Spread/V]]</f>
        <v>-1.1000000000000001</v>
      </c>
      <c r="AJ247" s="2">
        <f>Table2[[#This Row],[EV/Real]]-Table2[[#This Row],[Spread/V]]</f>
        <v>2.5999999999999996</v>
      </c>
      <c r="AK247" s="2">
        <f>Table2[[#This Row],[SRS/Diff]]-Table2[[#This Row],[EV/Diff]]</f>
        <v>-3.6999999999999997</v>
      </c>
      <c r="AL247" s="18">
        <f>Table2[[#This Row],[SRS]]-Table2[[#This Row],[Spread]]</f>
        <v>3.4213114754098335</v>
      </c>
      <c r="AM247" s="21">
        <f>Table2[[#This Row],[(A) Err]]^2</f>
        <v>11.705372211771012</v>
      </c>
      <c r="AN247" s="6">
        <f>Table2[[#This Row],[EV]]-Table2[[#This Row],[Spread]]</f>
        <v>7.0837238840322385</v>
      </c>
      <c r="AO247" s="1">
        <f>Table2[[#This Row],[EV Err]]^2</f>
        <v>50.179144065208781</v>
      </c>
      <c r="AP247" s="1"/>
    </row>
    <row r="248" spans="1:42" x14ac:dyDescent="0.25">
      <c r="A248" s="77">
        <v>42701</v>
      </c>
      <c r="B248" s="125" t="s">
        <v>120</v>
      </c>
      <c r="C248" s="49" t="s">
        <v>121</v>
      </c>
      <c r="E248" s="51"/>
      <c r="F248" s="49"/>
      <c r="G248" s="51"/>
      <c r="H248" s="50"/>
      <c r="I248" s="51"/>
      <c r="J248" s="49">
        <v>209.5</v>
      </c>
      <c r="K248" s="49">
        <v>102</v>
      </c>
      <c r="L248" s="51">
        <f>(Table2[[#This Row],[H/Pace]]/100)*(VLOOKUP(Table2[[#This Row],[Home/Neutral]],home_lookup,8,FALSE)+VLOOKUP(Table2[[#This Row],[Home/Neutral]],OFR_lookup,2,FALSE)+VLOOKUP(Table2[[#This Row],[Visitor/Neutral]],def_diff_lookup,6,FALSE))</f>
        <v>101.77849542930861</v>
      </c>
      <c r="M248" s="51">
        <v>113</v>
      </c>
      <c r="N248" s="51">
        <f>(Table2[[#This Row],[A/Pace]]/100)*(VLOOKUP(Table2[[#This Row],[Visitor/Neutral]],OFR_lookup,2,FALSE)+VLOOKUP(Table2[[#This Row],[Home/Neutral]],def_diff_lookup,6,FALSE))</f>
        <v>112.65850266666666</v>
      </c>
      <c r="O248" s="51"/>
      <c r="P248" s="51">
        <f>Table2[[#This Row],[H/EV/Real]]+Table2[[#This Row],[A/EV/Real]]</f>
        <v>215</v>
      </c>
      <c r="Q248" s="49">
        <f>VLOOKUP(Table2[[#This Row],[Home/Neutral]],pace_lookup,7,FALSE)</f>
        <v>98.3</v>
      </c>
      <c r="R248" s="52">
        <f>VLOOKUP(Table2[[#This Row],[Visitor/Neutral]],pace_lookup,7,FALSE)</f>
        <v>96.4</v>
      </c>
      <c r="S248" s="50"/>
      <c r="T248" s="49">
        <v>10.5</v>
      </c>
      <c r="U248" s="75"/>
      <c r="V248" s="49">
        <v>14.7</v>
      </c>
      <c r="W248" s="53">
        <f>-home-VLOOKUP(Table2[[#This Row],[Home/Neutral]],rtg_vlookup,4,FALSE)+VLOOKUP(Table2[[#This Row],[Visitor/Neutral]],rtg_vlookup,4,FALSE)</f>
        <v>14.651311475409834</v>
      </c>
      <c r="X248" s="75"/>
      <c r="Y248" s="53">
        <v>10.9</v>
      </c>
      <c r="Z248" s="2">
        <f>Table2[[#This Row],[A/EV]]-Table2[[#This Row],[H/EV]]</f>
        <v>10.880007237358058</v>
      </c>
      <c r="AA248" s="29" t="str">
        <f>IF(Table2[[#This Row],[Spread/V]]&gt;=Table2[[#This Row],[SRS/Real]],"HOME","AWAY")</f>
        <v>AWAY</v>
      </c>
      <c r="AB248" s="30" t="str">
        <f>IF(Table2[[#This Row],[Spread/V]]&gt;=Table2[[#This Row],[EV/Real]],"HOME","AWAY")</f>
        <v>AWAY</v>
      </c>
      <c r="AC248" s="30"/>
      <c r="AD248" s="30"/>
      <c r="AE248" s="30"/>
      <c r="AF248" s="7" t="b">
        <f>IF(VLOOKUP(Table2[[#This Row],[Home/Neutral]],division_lookup,9,FALSE)=VLOOKUP(Table2[[#This Row],[Visitor/Neutral]],division_lookup,9,FALSE),TRUE,FALSE)</f>
        <v>0</v>
      </c>
      <c r="AG248" s="15" t="str">
        <f>VLOOKUP(Table2[[#This Row],[Home/Neutral]],division_lookup,9,FALSE)</f>
        <v>C</v>
      </c>
      <c r="AH248" s="15" t="str">
        <f>IF(Table2[[#This Row],[Total/EV]]&lt;Table2[[#This Row],[Total/V]],"UNDER","OVER")</f>
        <v>OVER</v>
      </c>
      <c r="AI248" s="26">
        <f>Table2[[#This Row],[SRS/Real]]-Table2[[#This Row],[Spread/V]]</f>
        <v>4.1999999999999993</v>
      </c>
      <c r="AJ248" s="2">
        <f>Table2[[#This Row],[EV/Real]]-Table2[[#This Row],[Spread/V]]</f>
        <v>0.40000000000000036</v>
      </c>
      <c r="AK248" s="2">
        <f>Table2[[#This Row],[SRS/Diff]]-Table2[[#This Row],[EV/Diff]]</f>
        <v>3.7999999999999989</v>
      </c>
      <c r="AL248" s="18">
        <f>Table2[[#This Row],[SRS]]-Table2[[#This Row],[Spread]]</f>
        <v>14.651311475409834</v>
      </c>
      <c r="AM248" s="21">
        <f>Table2[[#This Row],[(A) Err]]^2</f>
        <v>214.66092794947588</v>
      </c>
      <c r="AN248" s="6">
        <f>Table2[[#This Row],[EV]]-Table2[[#This Row],[Spread]]</f>
        <v>10.880007237358058</v>
      </c>
      <c r="AO248" s="1">
        <f>Table2[[#This Row],[EV Err]]^2</f>
        <v>118.37455748496372</v>
      </c>
      <c r="AP248" s="1"/>
    </row>
    <row r="249" spans="1:42" x14ac:dyDescent="0.25">
      <c r="A249" s="77">
        <v>42701</v>
      </c>
      <c r="B249" s="125" t="s">
        <v>122</v>
      </c>
      <c r="C249" s="49" t="s">
        <v>109</v>
      </c>
      <c r="E249" s="51"/>
      <c r="F249" s="49"/>
      <c r="G249" s="51"/>
      <c r="H249" s="50"/>
      <c r="I249" s="51"/>
      <c r="J249" s="49">
        <v>212</v>
      </c>
      <c r="K249" s="49">
        <v>103</v>
      </c>
      <c r="L249" s="51">
        <f>(Table2[[#This Row],[H/Pace]]/100)*(VLOOKUP(Table2[[#This Row],[Home/Neutral]],home_lookup,8,FALSE)+VLOOKUP(Table2[[#This Row],[Home/Neutral]],OFR_lookup,2,FALSE)+VLOOKUP(Table2[[#This Row],[Visitor/Neutral]],def_diff_lookup,6,FALSE))</f>
        <v>102.92424832744732</v>
      </c>
      <c r="M249" s="51">
        <v>106</v>
      </c>
      <c r="N249" s="51">
        <f>(Table2[[#This Row],[A/Pace]]/100)*(VLOOKUP(Table2[[#This Row],[Visitor/Neutral]],OFR_lookup,2,FALSE)+VLOOKUP(Table2[[#This Row],[Home/Neutral]],def_diff_lookup,6,FALSE))</f>
        <v>105.78258133333331</v>
      </c>
      <c r="O249" s="51"/>
      <c r="P249" s="51">
        <f>Table2[[#This Row],[H/EV/Real]]+Table2[[#This Row],[A/EV/Real]]</f>
        <v>209</v>
      </c>
      <c r="Q249" s="49">
        <f>VLOOKUP(Table2[[#This Row],[Home/Neutral]],pace_lookup,7,FALSE)</f>
        <v>100.2</v>
      </c>
      <c r="R249" s="52">
        <f>VLOOKUP(Table2[[#This Row],[Visitor/Neutral]],pace_lookup,7,FALSE)</f>
        <v>99.2</v>
      </c>
      <c r="S249" s="50"/>
      <c r="T249" s="49">
        <v>4</v>
      </c>
      <c r="U249" s="75"/>
      <c r="V249" s="49">
        <v>1.8</v>
      </c>
      <c r="W249" s="53">
        <f>-home-VLOOKUP(Table2[[#This Row],[Home/Neutral]],rtg_vlookup,4,FALSE)+VLOOKUP(Table2[[#This Row],[Visitor/Neutral]],rtg_vlookup,4,FALSE)</f>
        <v>1.7513114754098345</v>
      </c>
      <c r="X249" s="75"/>
      <c r="Y249" s="53">
        <v>2.9</v>
      </c>
      <c r="Z249" s="2">
        <f>Table2[[#This Row],[A/EV]]-Table2[[#This Row],[H/EV]]</f>
        <v>2.8583330058859957</v>
      </c>
      <c r="AA249" s="29" t="str">
        <f>IF(Table2[[#This Row],[Spread/V]]&gt;=Table2[[#This Row],[SRS/Real]],"HOME","AWAY")</f>
        <v>HOME</v>
      </c>
      <c r="AB249" s="30" t="str">
        <f>IF(Table2[[#This Row],[Spread/V]]&gt;=Table2[[#This Row],[EV/Real]],"HOME","AWAY")</f>
        <v>HOME</v>
      </c>
      <c r="AC249" s="30"/>
      <c r="AD249" s="30"/>
      <c r="AE249" s="30"/>
      <c r="AF249" s="7" t="b">
        <f>IF(VLOOKUP(Table2[[#This Row],[Home/Neutral]],division_lookup,9,FALSE)=VLOOKUP(Table2[[#This Row],[Visitor/Neutral]],division_lookup,9,FALSE),TRUE,FALSE)</f>
        <v>0</v>
      </c>
      <c r="AG249" s="15" t="str">
        <f>VLOOKUP(Table2[[#This Row],[Home/Neutral]],division_lookup,9,FALSE)</f>
        <v>P</v>
      </c>
      <c r="AH249" s="15" t="str">
        <f>IF(Table2[[#This Row],[Total/EV]]&lt;Table2[[#This Row],[Total/V]],"UNDER","OVER")</f>
        <v>UNDER</v>
      </c>
      <c r="AI249" s="26">
        <f>Table2[[#This Row],[SRS/Real]]-Table2[[#This Row],[Spread/V]]</f>
        <v>-2.2000000000000002</v>
      </c>
      <c r="AJ249" s="2">
        <f>Table2[[#This Row],[EV/Real]]-Table2[[#This Row],[Spread/V]]</f>
        <v>-1.1000000000000001</v>
      </c>
      <c r="AK249" s="2">
        <f>Table2[[#This Row],[SRS/Diff]]-Table2[[#This Row],[EV/Diff]]</f>
        <v>-1.1000000000000001</v>
      </c>
      <c r="AL249" s="18">
        <f>Table2[[#This Row],[SRS]]-Table2[[#This Row],[Spread]]</f>
        <v>1.7513114754098345</v>
      </c>
      <c r="AM249" s="21">
        <f>Table2[[#This Row],[(A) Err]]^2</f>
        <v>3.067091883902171</v>
      </c>
      <c r="AN249" s="6">
        <f>Table2[[#This Row],[EV]]-Table2[[#This Row],[Spread]]</f>
        <v>2.8583330058859957</v>
      </c>
      <c r="AO249" s="1">
        <f>Table2[[#This Row],[EV Err]]^2</f>
        <v>8.1700675725372722</v>
      </c>
      <c r="AP249" s="1"/>
    </row>
    <row r="250" spans="1:42" x14ac:dyDescent="0.25">
      <c r="A250" s="77">
        <v>42701</v>
      </c>
      <c r="B250" s="49" t="s">
        <v>130</v>
      </c>
      <c r="C250" s="49" t="s">
        <v>125</v>
      </c>
      <c r="E250" s="51"/>
      <c r="F250" s="49"/>
      <c r="G250" s="51"/>
      <c r="H250" s="50"/>
      <c r="I250" s="51"/>
      <c r="J250" s="49">
        <v>197</v>
      </c>
      <c r="K250" s="49">
        <v>98</v>
      </c>
      <c r="L250" s="51">
        <f>(Table2[[#This Row],[H/Pace]]/100)*(VLOOKUP(Table2[[#This Row],[Home/Neutral]],home_lookup,8,FALSE)+VLOOKUP(Table2[[#This Row],[Home/Neutral]],OFR_lookup,2,FALSE)+VLOOKUP(Table2[[#This Row],[Visitor/Neutral]],def_diff_lookup,6,FALSE))</f>
        <v>98.437724967109403</v>
      </c>
      <c r="M250" s="51">
        <v>102</v>
      </c>
      <c r="N250" s="51">
        <f>(Table2[[#This Row],[A/Pace]]/100)*(VLOOKUP(Table2[[#This Row],[Visitor/Neutral]],OFR_lookup,2,FALSE)+VLOOKUP(Table2[[#This Row],[Home/Neutral]],def_diff_lookup,6,FALSE))</f>
        <v>101.91949566666665</v>
      </c>
      <c r="O250" s="51"/>
      <c r="P250" s="51">
        <f>Table2[[#This Row],[H/EV/Real]]+Table2[[#This Row],[A/EV/Real]]</f>
        <v>200</v>
      </c>
      <c r="Q250" s="49">
        <f>VLOOKUP(Table2[[#This Row],[Home/Neutral]],pace_lookup,7,FALSE)</f>
        <v>94.2</v>
      </c>
      <c r="R250" s="52">
        <f>VLOOKUP(Table2[[#This Row],[Visitor/Neutral]],pace_lookup,7,FALSE)</f>
        <v>96.1</v>
      </c>
      <c r="S250" s="50"/>
      <c r="T250" s="49">
        <v>0</v>
      </c>
      <c r="U250" s="75"/>
      <c r="V250" s="49">
        <v>3.4</v>
      </c>
      <c r="W250" s="53">
        <f>-home-VLOOKUP(Table2[[#This Row],[Home/Neutral]],rtg_vlookup,4,FALSE)+VLOOKUP(Table2[[#This Row],[Visitor/Neutral]],rtg_vlookup,4,FALSE)</f>
        <v>3.371311475409835</v>
      </c>
      <c r="X250" s="75"/>
      <c r="Y250" s="53">
        <v>3.5</v>
      </c>
      <c r="Z250" s="2">
        <f>Table2[[#This Row],[A/EV]]-Table2[[#This Row],[H/EV]]</f>
        <v>3.4817706995572451</v>
      </c>
      <c r="AA250" s="29" t="str">
        <f>IF(Table2[[#This Row],[Spread/V]]&gt;=Table2[[#This Row],[SRS/Real]],"HOME","AWAY")</f>
        <v>AWAY</v>
      </c>
      <c r="AB250" s="30" t="str">
        <f>IF(Table2[[#This Row],[Spread/V]]&gt;=Table2[[#This Row],[EV/Real]],"HOME","AWAY")</f>
        <v>AWAY</v>
      </c>
      <c r="AC250" s="30"/>
      <c r="AD250" s="30"/>
      <c r="AE250" s="30"/>
      <c r="AF250" s="7" t="b">
        <f>IF(VLOOKUP(Table2[[#This Row],[Home/Neutral]],division_lookup,9,FALSE)=VLOOKUP(Table2[[#This Row],[Visitor/Neutral]],division_lookup,9,FALSE),TRUE,FALSE)</f>
        <v>0</v>
      </c>
      <c r="AG250" s="15" t="str">
        <f>VLOOKUP(Table2[[#This Row],[Home/Neutral]],division_lookup,9,FALSE)</f>
        <v>SE</v>
      </c>
      <c r="AH250" s="15" t="str">
        <f>IF(Table2[[#This Row],[Total/EV]]&lt;Table2[[#This Row],[Total/V]],"UNDER","OVER")</f>
        <v>OVER</v>
      </c>
      <c r="AI250" s="26">
        <f>Table2[[#This Row],[SRS/Real]]-Table2[[#This Row],[Spread/V]]</f>
        <v>3.4</v>
      </c>
      <c r="AJ250" s="2">
        <f>Table2[[#This Row],[EV/Real]]-Table2[[#This Row],[Spread/V]]</f>
        <v>3.5</v>
      </c>
      <c r="AK250" s="2">
        <f>Table2[[#This Row],[SRS/Diff]]-Table2[[#This Row],[EV/Diff]]</f>
        <v>-0.10000000000000009</v>
      </c>
      <c r="AL250" s="18">
        <f>Table2[[#This Row],[SRS]]-Table2[[#This Row],[Spread]]</f>
        <v>3.371311475409835</v>
      </c>
      <c r="AM250" s="21">
        <f>Table2[[#This Row],[(A) Err]]^2</f>
        <v>11.365741064230038</v>
      </c>
      <c r="AN250" s="6">
        <f>Table2[[#This Row],[EV]]-Table2[[#This Row],[Spread]]</f>
        <v>3.4817706995572451</v>
      </c>
      <c r="AO250" s="1">
        <f>Table2[[#This Row],[EV Err]]^2</f>
        <v>12.122727204295348</v>
      </c>
      <c r="AP250" s="1"/>
    </row>
    <row r="251" spans="1:42" x14ac:dyDescent="0.25">
      <c r="A251" s="77">
        <v>42701</v>
      </c>
      <c r="B251" s="49" t="s">
        <v>138</v>
      </c>
      <c r="C251" s="49" t="s">
        <v>114</v>
      </c>
      <c r="E251" s="51"/>
      <c r="F251" s="49"/>
      <c r="G251" s="51"/>
      <c r="H251" s="50"/>
      <c r="I251" s="51"/>
      <c r="J251" s="49">
        <v>208.5</v>
      </c>
      <c r="K251" s="49">
        <v>99</v>
      </c>
      <c r="L251" s="51">
        <f>(Table2[[#This Row],[H/Pace]]/100)*(VLOOKUP(Table2[[#This Row],[Home/Neutral]],home_lookup,8,FALSE)+VLOOKUP(Table2[[#This Row],[Home/Neutral]],OFR_lookup,2,FALSE)+VLOOKUP(Table2[[#This Row],[Visitor/Neutral]],def_diff_lookup,6,FALSE))</f>
        <v>98.588283531240108</v>
      </c>
      <c r="M251" s="51">
        <v>113</v>
      </c>
      <c r="N251" s="51">
        <f>(Table2[[#This Row],[A/Pace]]/100)*(VLOOKUP(Table2[[#This Row],[Visitor/Neutral]],OFR_lookup,2,FALSE)+VLOOKUP(Table2[[#This Row],[Home/Neutral]],def_diff_lookup,6,FALSE))</f>
        <v>113.35028366666666</v>
      </c>
      <c r="O251" s="51"/>
      <c r="P251" s="51">
        <f>Table2[[#This Row],[H/EV/Real]]+Table2[[#This Row],[A/EV/Real]]</f>
        <v>212</v>
      </c>
      <c r="Q251" s="49">
        <f>VLOOKUP(Table2[[#This Row],[Home/Neutral]],pace_lookup,7,FALSE)</f>
        <v>97.5</v>
      </c>
      <c r="R251" s="52">
        <f>VLOOKUP(Table2[[#This Row],[Visitor/Neutral]],pace_lookup,7,FALSE)</f>
        <v>97.3</v>
      </c>
      <c r="S251" s="50"/>
      <c r="T251" s="49">
        <v>12</v>
      </c>
      <c r="U251" s="75"/>
      <c r="V251" s="49">
        <v>15.7</v>
      </c>
      <c r="W251" s="53">
        <f>-home-VLOOKUP(Table2[[#This Row],[Home/Neutral]],rtg_vlookup,4,FALSE)+VLOOKUP(Table2[[#This Row],[Visitor/Neutral]],rtg_vlookup,4,FALSE)</f>
        <v>15.501311475409835</v>
      </c>
      <c r="X251" s="75"/>
      <c r="Y251" s="53">
        <v>14.8</v>
      </c>
      <c r="Z251" s="2">
        <f>Table2[[#This Row],[A/EV]]-Table2[[#This Row],[H/EV]]</f>
        <v>14.762000135426547</v>
      </c>
      <c r="AA251" s="29" t="str">
        <f>IF(Table2[[#This Row],[Spread/V]]&gt;=Table2[[#This Row],[SRS/Real]],"HOME","AWAY")</f>
        <v>AWAY</v>
      </c>
      <c r="AB251" s="30" t="str">
        <f>IF(Table2[[#This Row],[Spread/V]]&gt;=Table2[[#This Row],[EV/Real]],"HOME","AWAY")</f>
        <v>AWAY</v>
      </c>
      <c r="AC251" s="30"/>
      <c r="AD251" s="30"/>
      <c r="AE251" s="30"/>
      <c r="AF251" s="7" t="b">
        <f>IF(VLOOKUP(Table2[[#This Row],[Home/Neutral]],division_lookup,9,FALSE)=VLOOKUP(Table2[[#This Row],[Visitor/Neutral]],division_lookup,9,FALSE),TRUE,FALSE)</f>
        <v>0</v>
      </c>
      <c r="AG251" s="15" t="str">
        <f>VLOOKUP(Table2[[#This Row],[Home/Neutral]],division_lookup,9,FALSE)</f>
        <v>A</v>
      </c>
      <c r="AH251" s="15" t="str">
        <f>IF(Table2[[#This Row],[Total/EV]]&lt;Table2[[#This Row],[Total/V]],"UNDER","OVER")</f>
        <v>OVER</v>
      </c>
      <c r="AI251" s="26">
        <f>Table2[[#This Row],[SRS/Real]]-Table2[[#This Row],[Spread/V]]</f>
        <v>3.6999999999999993</v>
      </c>
      <c r="AJ251" s="2">
        <f>Table2[[#This Row],[EV/Real]]-Table2[[#This Row],[Spread/V]]</f>
        <v>2.8000000000000007</v>
      </c>
      <c r="AK251" s="2">
        <f>Table2[[#This Row],[SRS/Diff]]-Table2[[#This Row],[EV/Diff]]</f>
        <v>0.89999999999999858</v>
      </c>
      <c r="AL251" s="18">
        <f>Table2[[#This Row],[SRS]]-Table2[[#This Row],[Spread]]</f>
        <v>15.501311475409835</v>
      </c>
      <c r="AM251" s="21">
        <f>Table2[[#This Row],[(A) Err]]^2</f>
        <v>240.29065745767264</v>
      </c>
      <c r="AN251" s="6">
        <f>Table2[[#This Row],[EV]]-Table2[[#This Row],[Spread]]</f>
        <v>14.762000135426547</v>
      </c>
      <c r="AO251" s="1">
        <f>Table2[[#This Row],[EV Err]]^2</f>
        <v>217.91664799833339</v>
      </c>
      <c r="AP251" s="1"/>
    </row>
    <row r="252" spans="1:42" x14ac:dyDescent="0.25">
      <c r="A252" s="77">
        <v>42701</v>
      </c>
      <c r="B252" s="125" t="s">
        <v>131</v>
      </c>
      <c r="C252" s="125" t="s">
        <v>116</v>
      </c>
      <c r="E252" s="51"/>
      <c r="F252" s="49"/>
      <c r="G252" s="51"/>
      <c r="H252" s="50"/>
      <c r="I252" s="51"/>
      <c r="J252" s="49">
        <v>214.5</v>
      </c>
      <c r="K252" s="49">
        <v>97</v>
      </c>
      <c r="L252" s="51">
        <f>(Table2[[#This Row],[H/Pace]]/100)*(VLOOKUP(Table2[[#This Row],[Home/Neutral]],home_lookup,8,FALSE)+VLOOKUP(Table2[[#This Row],[Home/Neutral]],OFR_lookup,2,FALSE)+VLOOKUP(Table2[[#This Row],[Visitor/Neutral]],def_diff_lookup,6,FALSE))</f>
        <v>97.228249791197655</v>
      </c>
      <c r="M252" s="51">
        <v>106</v>
      </c>
      <c r="N252" s="51">
        <f>(Table2[[#This Row],[A/Pace]]/100)*(VLOOKUP(Table2[[#This Row],[Visitor/Neutral]],OFR_lookup,2,FALSE)+VLOOKUP(Table2[[#This Row],[Home/Neutral]],def_diff_lookup,6,FALSE))</f>
        <v>106.33991566666667</v>
      </c>
      <c r="O252" s="51"/>
      <c r="P252" s="51">
        <f>Table2[[#This Row],[H/EV/Real]]+Table2[[#This Row],[A/EV/Real]]</f>
        <v>203</v>
      </c>
      <c r="Q252" s="49">
        <f>VLOOKUP(Table2[[#This Row],[Home/Neutral]],pace_lookup,7,FALSE)</f>
        <v>101.7</v>
      </c>
      <c r="R252" s="52">
        <f>VLOOKUP(Table2[[#This Row],[Visitor/Neutral]],pace_lookup,7,FALSE)</f>
        <v>99.1</v>
      </c>
      <c r="S252" s="50"/>
      <c r="T252" s="49">
        <v>-1.5</v>
      </c>
      <c r="U252" s="75"/>
      <c r="V252" s="49">
        <v>2.9</v>
      </c>
      <c r="W252" s="53">
        <f>-home-VLOOKUP(Table2[[#This Row],[Home/Neutral]],rtg_vlookup,4,FALSE)+VLOOKUP(Table2[[#This Row],[Visitor/Neutral]],rtg_vlookup,4,FALSE)</f>
        <v>2.8613114754098343</v>
      </c>
      <c r="X252" s="75"/>
      <c r="Y252" s="53">
        <v>9.1</v>
      </c>
      <c r="Z252" s="2">
        <f>Table2[[#This Row],[A/EV]]-Table2[[#This Row],[H/EV]]</f>
        <v>9.111665875469015</v>
      </c>
      <c r="AA252" s="29" t="str">
        <f>IF(Table2[[#This Row],[Spread/V]]&gt;=Table2[[#This Row],[SRS/Real]],"HOME","AWAY")</f>
        <v>AWAY</v>
      </c>
      <c r="AB252" s="30" t="str">
        <f>IF(Table2[[#This Row],[Spread/V]]&gt;=Table2[[#This Row],[EV/Real]],"HOME","AWAY")</f>
        <v>AWAY</v>
      </c>
      <c r="AC252" s="30"/>
      <c r="AD252" s="30"/>
      <c r="AE252" s="30"/>
      <c r="AF252" s="7" t="b">
        <f>IF(VLOOKUP(Table2[[#This Row],[Home/Neutral]],division_lookup,9,FALSE)=VLOOKUP(Table2[[#This Row],[Visitor/Neutral]],division_lookup,9,FALSE),TRUE,FALSE)</f>
        <v>0</v>
      </c>
      <c r="AG252" s="15" t="str">
        <f>VLOOKUP(Table2[[#This Row],[Home/Neutral]],division_lookup,9,FALSE)</f>
        <v>P</v>
      </c>
      <c r="AH252" s="15" t="str">
        <f>IF(Table2[[#This Row],[Total/EV]]&lt;Table2[[#This Row],[Total/V]],"UNDER","OVER")</f>
        <v>UNDER</v>
      </c>
      <c r="AI252" s="26">
        <f>Table2[[#This Row],[SRS/Real]]-Table2[[#This Row],[Spread/V]]</f>
        <v>4.4000000000000004</v>
      </c>
      <c r="AJ252" s="2">
        <f>Table2[[#This Row],[EV/Real]]-Table2[[#This Row],[Spread/V]]</f>
        <v>10.6</v>
      </c>
      <c r="AK252" s="2">
        <f>Table2[[#This Row],[SRS/Diff]]-Table2[[#This Row],[EV/Diff]]</f>
        <v>-6.1999999999999993</v>
      </c>
      <c r="AL252" s="18">
        <f>Table2[[#This Row],[SRS]]-Table2[[#This Row],[Spread]]</f>
        <v>2.8613114754098343</v>
      </c>
      <c r="AM252" s="21">
        <f>Table2[[#This Row],[(A) Err]]^2</f>
        <v>8.1871033593120028</v>
      </c>
      <c r="AN252" s="6">
        <f>Table2[[#This Row],[EV]]-Table2[[#This Row],[Spread]]</f>
        <v>9.111665875469015</v>
      </c>
      <c r="AO252" s="1">
        <f>Table2[[#This Row],[EV Err]]^2</f>
        <v>83.022455026186535</v>
      </c>
      <c r="AP252" s="1"/>
    </row>
    <row r="253" spans="1:42" ht="15.75" thickBot="1" x14ac:dyDescent="0.3">
      <c r="A253" s="102">
        <v>42701</v>
      </c>
      <c r="B253" s="54" t="s">
        <v>132</v>
      </c>
      <c r="C253" s="54" t="s">
        <v>119</v>
      </c>
      <c r="D253" s="3"/>
      <c r="E253" s="56"/>
      <c r="F253" s="54"/>
      <c r="G253" s="56"/>
      <c r="H253" s="55"/>
      <c r="I253" s="56"/>
      <c r="J253" s="54">
        <v>223.5</v>
      </c>
      <c r="K253" s="54">
        <v>112</v>
      </c>
      <c r="L253" s="56">
        <f>(Table2[[#This Row],[H/Pace]]/100)*(VLOOKUP(Table2[[#This Row],[Home/Neutral]],home_lookup,8,FALSE)+VLOOKUP(Table2[[#This Row],[Home/Neutral]],OFR_lookup,2,FALSE)+VLOOKUP(Table2[[#This Row],[Visitor/Neutral]],def_diff_lookup,6,FALSE))</f>
        <v>111.66198144606979</v>
      </c>
      <c r="M253" s="56">
        <v>115</v>
      </c>
      <c r="N253" s="56">
        <f>(Table2[[#This Row],[A/Pace]]/100)*(VLOOKUP(Table2[[#This Row],[Visitor/Neutral]],OFR_lookup,2,FALSE)+VLOOKUP(Table2[[#This Row],[Home/Neutral]],def_diff_lookup,6,FALSE))</f>
        <v>114.899821</v>
      </c>
      <c r="O253" s="56"/>
      <c r="P253" s="56">
        <f>Table2[[#This Row],[H/EV/Real]]+Table2[[#This Row],[A/EV/Real]]</f>
        <v>227</v>
      </c>
      <c r="Q253" s="54">
        <f>VLOOKUP(Table2[[#This Row],[Home/Neutral]],pace_lookup,7,FALSE)</f>
        <v>98.8</v>
      </c>
      <c r="R253" s="54">
        <f>VLOOKUP(Table2[[#This Row],[Visitor/Neutral]],pace_lookup,7,FALSE)</f>
        <v>96.9</v>
      </c>
      <c r="S253" s="55"/>
      <c r="T253" s="54">
        <v>2.5</v>
      </c>
      <c r="U253" s="73"/>
      <c r="V253" s="54">
        <v>3.3</v>
      </c>
      <c r="W253" s="57">
        <f>-home-VLOOKUP(Table2[[#This Row],[Home/Neutral]],rtg_vlookup,4,FALSE)+VLOOKUP(Table2[[#This Row],[Visitor/Neutral]],rtg_vlookup,4,FALSE)</f>
        <v>3.3413114754098343</v>
      </c>
      <c r="X253" s="73"/>
      <c r="Y253" s="57">
        <v>3.2</v>
      </c>
      <c r="Z253" s="9">
        <f>Table2[[#This Row],[A/EV]]-Table2[[#This Row],[H/EV]]</f>
        <v>3.2378395539302147</v>
      </c>
      <c r="AA253" s="31" t="str">
        <f>IF(Table2[[#This Row],[Spread/V]]&gt;=Table2[[#This Row],[SRS/Real]],"HOME","AWAY")</f>
        <v>AWAY</v>
      </c>
      <c r="AB253" s="32" t="str">
        <f>IF(Table2[[#This Row],[Spread/V]]&gt;=Table2[[#This Row],[EV/Real]],"HOME","AWAY")</f>
        <v>AWAY</v>
      </c>
      <c r="AC253" s="32"/>
      <c r="AD253" s="32"/>
      <c r="AE253" s="32"/>
      <c r="AF253" s="8" t="b">
        <f>IF(VLOOKUP(Table2[[#This Row],[Home/Neutral]],division_lookup,9,FALSE)=VLOOKUP(Table2[[#This Row],[Visitor/Neutral]],division_lookup,9,FALSE),TRUE,FALSE)</f>
        <v>0</v>
      </c>
      <c r="AG253" s="16" t="str">
        <f>VLOOKUP(Table2[[#This Row],[Home/Neutral]],division_lookup,9,FALSE)</f>
        <v>NW</v>
      </c>
      <c r="AH253" s="16" t="str">
        <f>IF(Table2[[#This Row],[Total/EV]]&lt;Table2[[#This Row],[Total/V]],"UNDER","OVER")</f>
        <v>OVER</v>
      </c>
      <c r="AI253" s="16">
        <f>Table2[[#This Row],[SRS/Real]]-Table2[[#This Row],[Spread/V]]</f>
        <v>0.79999999999999982</v>
      </c>
      <c r="AJ253" s="9">
        <f>Table2[[#This Row],[EV/Real]]-Table2[[#This Row],[Spread/V]]</f>
        <v>0.70000000000000018</v>
      </c>
      <c r="AK253" s="9">
        <f>Table2[[#This Row],[SRS/Diff]]-Table2[[#This Row],[EV/Diff]]</f>
        <v>9.9999999999999645E-2</v>
      </c>
      <c r="AL253" s="19">
        <f>Table2[[#This Row],[SRS]]-Table2[[#This Row],[Spread]]</f>
        <v>3.3413114754098343</v>
      </c>
      <c r="AM253" s="22">
        <f>Table2[[#This Row],[(A) Err]]^2</f>
        <v>11.164362375705444</v>
      </c>
      <c r="AN253" s="4">
        <f>Table2[[#This Row],[EV]]-Table2[[#This Row],[Spread]]</f>
        <v>3.2378395539302147</v>
      </c>
      <c r="AO253" s="4">
        <f>Table2[[#This Row],[EV Err]]^2</f>
        <v>10.483604976995013</v>
      </c>
      <c r="AP253" s="6"/>
    </row>
    <row r="254" spans="1:42" x14ac:dyDescent="0.25">
      <c r="A254" s="34">
        <v>42702</v>
      </c>
      <c r="B254" t="s">
        <v>118</v>
      </c>
      <c r="C254" t="s">
        <v>109</v>
      </c>
      <c r="E254" s="21"/>
      <c r="G254" s="21"/>
      <c r="H254" s="7"/>
      <c r="I254" s="21"/>
      <c r="K254"/>
      <c r="L254" s="21">
        <f>(Table2[[#This Row],[H/Pace]]/100)*(VLOOKUP(Table2[[#This Row],[Home/Neutral]],home_lookup,8,FALSE)+VLOOKUP(Table2[[#This Row],[Home/Neutral]],OFR_lookup,2,FALSE)+VLOOKUP(Table2[[#This Row],[Visitor/Neutral]],def_diff_lookup,6,FALSE))</f>
        <v>107.85503838078237</v>
      </c>
      <c r="M254" s="21"/>
      <c r="N254" s="21">
        <f>(Table2[[#This Row],[A/Pace]]/100)*(VLOOKUP(Table2[[#This Row],[Visitor/Neutral]],OFR_lookup,2,FALSE)+VLOOKUP(Table2[[#This Row],[Home/Neutral]],def_diff_lookup,6,FALSE))</f>
        <v>100.12818133333333</v>
      </c>
      <c r="O254" s="21"/>
      <c r="P254" s="21"/>
      <c r="Q254">
        <f>VLOOKUP(Table2[[#This Row],[Home/Neutral]],pace_lookup,7,FALSE)</f>
        <v>100.4</v>
      </c>
      <c r="R254" s="5">
        <f>VLOOKUP(Table2[[#This Row],[Visitor/Neutral]],pace_lookup,7,FALSE)</f>
        <v>99.2</v>
      </c>
      <c r="S254" s="7"/>
      <c r="U254" s="15"/>
      <c r="W254" s="2">
        <f>-home-VLOOKUP(Table2[[#This Row],[Home/Neutral]],rtg_vlookup,4,FALSE)+VLOOKUP(Table2[[#This Row],[Visitor/Neutral]],rtg_vlookup,4,FALSE)</f>
        <v>-11.918688524590166</v>
      </c>
      <c r="X254" s="15"/>
      <c r="Y254" s="2"/>
      <c r="Z254" s="2">
        <f>Table2[[#This Row],[A/EV]]-Table2[[#This Row],[H/EV]]</f>
        <v>-7.7268570474490446</v>
      </c>
      <c r="AA254" s="29"/>
      <c r="AB254" s="30"/>
      <c r="AC254" s="30"/>
      <c r="AD254" s="30"/>
      <c r="AE254" s="30"/>
      <c r="AF254" s="7" t="b">
        <f>IF(VLOOKUP(Table2[[#This Row],[Home/Neutral]],division_lookup,9,FALSE)=VLOOKUP(Table2[[#This Row],[Visitor/Neutral]],division_lookup,9,FALSE),TRUE,FALSE)</f>
        <v>0</v>
      </c>
      <c r="AG254" s="15" t="str">
        <f>VLOOKUP(Table2[[#This Row],[Home/Neutral]],division_lookup,9,FALSE)</f>
        <v>P</v>
      </c>
      <c r="AH254" s="15" t="str">
        <f>IF(Table2[[#This Row],[Total/EV]]&lt;Table2[[#This Row],[Total/V]],"UNDER","OVER")</f>
        <v>OVER</v>
      </c>
      <c r="AI254" s="26">
        <f>Table2[[#This Row],[SRS/Real]]-Table2[[#This Row],[Spread/V]]</f>
        <v>0</v>
      </c>
      <c r="AJ254" s="2">
        <f>Table2[[#This Row],[EV/Real]]-Table2[[#This Row],[Spread/V]]</f>
        <v>0</v>
      </c>
      <c r="AK254" s="2">
        <f>Table2[[#This Row],[SRS/Diff]]-Table2[[#This Row],[EV/Diff]]</f>
        <v>0</v>
      </c>
      <c r="AL254" s="18">
        <f>Table2[[#This Row],[SRS]]-Table2[[#This Row],[Spread]]</f>
        <v>-11.918688524590166</v>
      </c>
      <c r="AM254" s="21">
        <f>Table2[[#This Row],[(A) Err]]^2</f>
        <v>142.05513614619733</v>
      </c>
      <c r="AN254" s="6">
        <f>Table2[[#This Row],[EV]]-Table2[[#This Row],[Spread]]</f>
        <v>-7.7268570474490446</v>
      </c>
      <c r="AO254" s="1">
        <f>Table2[[#This Row],[EV Err]]^2</f>
        <v>59.704319831712965</v>
      </c>
      <c r="AP254" s="1"/>
    </row>
    <row r="255" spans="1:42" x14ac:dyDescent="0.25">
      <c r="A255" s="34">
        <v>42702</v>
      </c>
      <c r="B255" t="s">
        <v>123</v>
      </c>
      <c r="C255" t="s">
        <v>112</v>
      </c>
      <c r="E255" s="21"/>
      <c r="G255" s="21"/>
      <c r="H255" s="7"/>
      <c r="I255" s="21"/>
      <c r="K255"/>
      <c r="L255" s="21">
        <f>(Table2[[#This Row],[H/Pace]]/100)*(VLOOKUP(Table2[[#This Row],[Home/Neutral]],home_lookup,8,FALSE)+VLOOKUP(Table2[[#This Row],[Home/Neutral]],OFR_lookup,2,FALSE)+VLOOKUP(Table2[[#This Row],[Visitor/Neutral]],def_diff_lookup,6,FALSE))</f>
        <v>100.89367709563918</v>
      </c>
      <c r="M255" s="21"/>
      <c r="N255" s="21">
        <f>(Table2[[#This Row],[A/Pace]]/100)*(VLOOKUP(Table2[[#This Row],[Visitor/Neutral]],OFR_lookup,2,FALSE)+VLOOKUP(Table2[[#This Row],[Home/Neutral]],def_diff_lookup,6,FALSE))</f>
        <v>101.51579933333333</v>
      </c>
      <c r="O255" s="21"/>
      <c r="P255" s="21"/>
      <c r="Q255">
        <f>VLOOKUP(Table2[[#This Row],[Home/Neutral]],pace_lookup,7,FALSE)</f>
        <v>92.5</v>
      </c>
      <c r="R255" s="5">
        <f>VLOOKUP(Table2[[#This Row],[Visitor/Neutral]],pace_lookup,7,FALSE)</f>
        <v>97.4</v>
      </c>
      <c r="S255" s="7"/>
      <c r="U255" s="15"/>
      <c r="W255" s="2">
        <f>-home-VLOOKUP(Table2[[#This Row],[Home/Neutral]],rtg_vlookup,4,FALSE)+VLOOKUP(Table2[[#This Row],[Visitor/Neutral]],rtg_vlookup,4,FALSE)</f>
        <v>-1.4186885245901659</v>
      </c>
      <c r="X255" s="15"/>
      <c r="Y255" s="2"/>
      <c r="Z255" s="2">
        <f>Table2[[#This Row],[A/EV]]-Table2[[#This Row],[H/EV]]</f>
        <v>0.62212223769415687</v>
      </c>
      <c r="AA255" s="29"/>
      <c r="AB255" s="30"/>
      <c r="AC255" s="30"/>
      <c r="AD255" s="30"/>
      <c r="AE255" s="30"/>
      <c r="AF255" s="7" t="b">
        <f>IF(VLOOKUP(Table2[[#This Row],[Home/Neutral]],division_lookup,9,FALSE)=VLOOKUP(Table2[[#This Row],[Visitor/Neutral]],division_lookup,9,FALSE),TRUE,FALSE)</f>
        <v>0</v>
      </c>
      <c r="AG255" s="15" t="str">
        <f>VLOOKUP(Table2[[#This Row],[Home/Neutral]],division_lookup,9,FALSE)</f>
        <v>SW</v>
      </c>
      <c r="AH255" s="15" t="str">
        <f>IF(Table2[[#This Row],[Total/EV]]&lt;Table2[[#This Row],[Total/V]],"UNDER","OVER")</f>
        <v>OVER</v>
      </c>
      <c r="AI255" s="26">
        <f>Table2[[#This Row],[SRS/Real]]-Table2[[#This Row],[Spread/V]]</f>
        <v>0</v>
      </c>
      <c r="AJ255" s="2">
        <f>Table2[[#This Row],[EV/Real]]-Table2[[#This Row],[Spread/V]]</f>
        <v>0</v>
      </c>
      <c r="AK255" s="2">
        <f>Table2[[#This Row],[SRS/Diff]]-Table2[[#This Row],[EV/Diff]]</f>
        <v>0</v>
      </c>
      <c r="AL255" s="18">
        <f>Table2[[#This Row],[SRS]]-Table2[[#This Row],[Spread]]</f>
        <v>-1.4186885245901659</v>
      </c>
      <c r="AM255" s="21">
        <f>Table2[[#This Row],[(A) Err]]^2</f>
        <v>2.012677129803822</v>
      </c>
      <c r="AN255" s="6">
        <f>Table2[[#This Row],[EV]]-Table2[[#This Row],[Spread]]</f>
        <v>0.62212223769415687</v>
      </c>
      <c r="AO255" s="1">
        <f>Table2[[#This Row],[EV Err]]^2</f>
        <v>0.38703607863358502</v>
      </c>
      <c r="AP255" s="1"/>
    </row>
    <row r="256" spans="1:42" x14ac:dyDescent="0.25">
      <c r="A256" s="34">
        <v>42702</v>
      </c>
      <c r="B256" t="s">
        <v>124</v>
      </c>
      <c r="C256" t="s">
        <v>110</v>
      </c>
      <c r="E256" s="21"/>
      <c r="G256" s="21"/>
      <c r="H256" s="7"/>
      <c r="I256" s="21"/>
      <c r="K256"/>
      <c r="L256" s="21">
        <f>(Table2[[#This Row],[H/Pace]]/100)*(VLOOKUP(Table2[[#This Row],[Home/Neutral]],home_lookup,8,FALSE)+VLOOKUP(Table2[[#This Row],[Home/Neutral]],OFR_lookup,2,FALSE)+VLOOKUP(Table2[[#This Row],[Visitor/Neutral]],def_diff_lookup,6,FALSE))</f>
        <v>101.86657517723557</v>
      </c>
      <c r="M256" s="21"/>
      <c r="N256" s="21">
        <f>(Table2[[#This Row],[A/Pace]]/100)*(VLOOKUP(Table2[[#This Row],[Visitor/Neutral]],OFR_lookup,2,FALSE)+VLOOKUP(Table2[[#This Row],[Home/Neutral]],def_diff_lookup,6,FALSE))</f>
        <v>101.62151133333334</v>
      </c>
      <c r="O256" s="21"/>
      <c r="P256" s="21"/>
      <c r="Q256">
        <f>VLOOKUP(Table2[[#This Row],[Home/Neutral]],pace_lookup,7,FALSE)</f>
        <v>93.7</v>
      </c>
      <c r="R256" s="5">
        <f>VLOOKUP(Table2[[#This Row],[Visitor/Neutral]],pace_lookup,7,FALSE)</f>
        <v>96.2</v>
      </c>
      <c r="S256" s="7"/>
      <c r="U256" s="15"/>
      <c r="W256" s="2">
        <f>-home-VLOOKUP(Table2[[#This Row],[Home/Neutral]],rtg_vlookup,4,FALSE)+VLOOKUP(Table2[[#This Row],[Visitor/Neutral]],rtg_vlookup,4,FALSE)</f>
        <v>-1.0986885245901656</v>
      </c>
      <c r="X256" s="15"/>
      <c r="Y256" s="2"/>
      <c r="Z256" s="2">
        <f>Table2[[#This Row],[A/EV]]-Table2[[#This Row],[H/EV]]</f>
        <v>-0.24506384390222991</v>
      </c>
      <c r="AA256" s="29"/>
      <c r="AB256" s="30"/>
      <c r="AC256" s="30"/>
      <c r="AD256" s="30"/>
      <c r="AE256" s="30"/>
      <c r="AF256" s="7" t="b">
        <f>IF(VLOOKUP(Table2[[#This Row],[Home/Neutral]],division_lookup,9,FALSE)=VLOOKUP(Table2[[#This Row],[Visitor/Neutral]],division_lookup,9,FALSE),TRUE,FALSE)</f>
        <v>0</v>
      </c>
      <c r="AG256" s="15" t="str">
        <f>VLOOKUP(Table2[[#This Row],[Home/Neutral]],division_lookup,9,FALSE)</f>
        <v>SE</v>
      </c>
      <c r="AH256" s="15" t="str">
        <f>IF(Table2[[#This Row],[Total/EV]]&lt;Table2[[#This Row],[Total/V]],"UNDER","OVER")</f>
        <v>OVER</v>
      </c>
      <c r="AI256" s="26">
        <f>Table2[[#This Row],[SRS/Real]]-Table2[[#This Row],[Spread/V]]</f>
        <v>0</v>
      </c>
      <c r="AJ256" s="2">
        <f>Table2[[#This Row],[EV/Real]]-Table2[[#This Row],[Spread/V]]</f>
        <v>0</v>
      </c>
      <c r="AK256" s="2">
        <f>Table2[[#This Row],[SRS/Diff]]-Table2[[#This Row],[EV/Diff]]</f>
        <v>0</v>
      </c>
      <c r="AL256" s="18">
        <f>Table2[[#This Row],[SRS]]-Table2[[#This Row],[Spread]]</f>
        <v>-1.0986885245901656</v>
      </c>
      <c r="AM256" s="21">
        <f>Table2[[#This Row],[(A) Err]]^2</f>
        <v>1.2071164740661151</v>
      </c>
      <c r="AN256" s="6">
        <f>Table2[[#This Row],[EV]]-Table2[[#This Row],[Spread]]</f>
        <v>-0.24506384390222991</v>
      </c>
      <c r="AO256" s="1">
        <f>Table2[[#This Row],[EV Err]]^2</f>
        <v>6.0056287588136505E-2</v>
      </c>
      <c r="AP256" s="1"/>
    </row>
    <row r="257" spans="1:42" x14ac:dyDescent="0.25">
      <c r="A257" s="77">
        <v>42702</v>
      </c>
      <c r="B257" s="49" t="s">
        <v>126</v>
      </c>
      <c r="C257" s="49" t="s">
        <v>136</v>
      </c>
      <c r="D257" s="49"/>
      <c r="E257" s="51"/>
      <c r="F257" s="49"/>
      <c r="G257" s="51"/>
      <c r="H257" s="50"/>
      <c r="I257" s="51"/>
      <c r="J257" s="49"/>
      <c r="K257" s="49"/>
      <c r="L257" s="51">
        <f>(Table2[[#This Row],[H/Pace]]/100)*(VLOOKUP(Table2[[#This Row],[Home/Neutral]],home_lookup,8,FALSE)+VLOOKUP(Table2[[#This Row],[Home/Neutral]],OFR_lookup,2,FALSE)+VLOOKUP(Table2[[#This Row],[Visitor/Neutral]],def_diff_lookup,6,FALSE))</f>
        <v>110.60552777050785</v>
      </c>
      <c r="M257" s="51"/>
      <c r="N257" s="51">
        <f>(Table2[[#This Row],[A/Pace]]/100)*(VLOOKUP(Table2[[#This Row],[Visitor/Neutral]],OFR_lookup,2,FALSE)+VLOOKUP(Table2[[#This Row],[Home/Neutral]],def_diff_lookup,6,FALSE))</f>
        <v>100.307485</v>
      </c>
      <c r="O257" s="51"/>
      <c r="P257" s="51"/>
      <c r="Q257" s="49">
        <f>VLOOKUP(Table2[[#This Row],[Home/Neutral]],pace_lookup,7,FALSE)</f>
        <v>95.7</v>
      </c>
      <c r="R257" s="52">
        <f>VLOOKUP(Table2[[#This Row],[Visitor/Neutral]],pace_lookup,7,FALSE)</f>
        <v>91.5</v>
      </c>
      <c r="S257" s="50"/>
      <c r="T257" s="49"/>
      <c r="U257" s="75"/>
      <c r="V257" s="49"/>
      <c r="W257" s="53">
        <f>-home-VLOOKUP(Table2[[#This Row],[Home/Neutral]],rtg_vlookup,4,FALSE)+VLOOKUP(Table2[[#This Row],[Visitor/Neutral]],rtg_vlookup,4,FALSE)</f>
        <v>2.6513114754098339</v>
      </c>
      <c r="X257" s="75"/>
      <c r="Y257" s="53"/>
      <c r="Z257" s="53">
        <f>Table2[[#This Row],[A/EV]]-Table2[[#This Row],[H/EV]]</f>
        <v>-10.298042770507848</v>
      </c>
      <c r="AA257" s="29"/>
      <c r="AB257" s="30"/>
      <c r="AC257" s="30"/>
      <c r="AD257" s="30"/>
      <c r="AE257" s="30"/>
      <c r="AF257" s="7" t="b">
        <f>IF(VLOOKUP(Table2[[#This Row],[Home/Neutral]],division_lookup,9,FALSE)=VLOOKUP(Table2[[#This Row],[Visitor/Neutral]],division_lookup,9,FALSE),TRUE,FALSE)</f>
        <v>1</v>
      </c>
      <c r="AG257" s="15" t="str">
        <f>VLOOKUP(Table2[[#This Row],[Home/Neutral]],division_lookup,9,FALSE)</f>
        <v>NW</v>
      </c>
      <c r="AH257" s="15" t="str">
        <f>IF(Table2[[#This Row],[Total/EV]]&lt;Table2[[#This Row],[Total/V]],"UNDER","OVER")</f>
        <v>OVER</v>
      </c>
      <c r="AI257" s="26">
        <f>Table2[[#This Row],[SRS/Real]]-Table2[[#This Row],[Spread/V]]</f>
        <v>0</v>
      </c>
      <c r="AJ257" s="2">
        <f>Table2[[#This Row],[EV/Real]]-Table2[[#This Row],[Spread/V]]</f>
        <v>0</v>
      </c>
      <c r="AK257" s="2">
        <f>Table2[[#This Row],[SRS/Diff]]-Table2[[#This Row],[EV/Diff]]</f>
        <v>0</v>
      </c>
      <c r="AL257" s="18">
        <f>Table2[[#This Row],[SRS]]-Table2[[#This Row],[Spread]]</f>
        <v>2.6513114754098339</v>
      </c>
      <c r="AM257" s="21">
        <f>Table2[[#This Row],[(A) Err]]^2</f>
        <v>7.0294525396398706</v>
      </c>
      <c r="AN257" s="6">
        <f>Table2[[#This Row],[EV]]-Table2[[#This Row],[Spread]]</f>
        <v>-10.298042770507848</v>
      </c>
      <c r="AO257" s="1">
        <f>Table2[[#This Row],[EV Err]]^2</f>
        <v>106.04968490320896</v>
      </c>
      <c r="AP257" s="1"/>
    </row>
    <row r="258" spans="1:42" x14ac:dyDescent="0.25">
      <c r="A258" s="34">
        <v>42702</v>
      </c>
      <c r="B258" t="s">
        <v>128</v>
      </c>
      <c r="C258" t="s">
        <v>129</v>
      </c>
      <c r="E258" s="21"/>
      <c r="G258" s="21"/>
      <c r="H258" s="7"/>
      <c r="I258" s="21"/>
      <c r="K258"/>
      <c r="L258" s="21">
        <f>(Table2[[#This Row],[H/Pace]]/100)*(VLOOKUP(Table2[[#This Row],[Home/Neutral]],home_lookup,8,FALSE)+VLOOKUP(Table2[[#This Row],[Home/Neutral]],OFR_lookup,2,FALSE)+VLOOKUP(Table2[[#This Row],[Visitor/Neutral]],def_diff_lookup,6,FALSE))</f>
        <v>106.54495987783021</v>
      </c>
      <c r="M258" s="21"/>
      <c r="N258" s="21">
        <f>(Table2[[#This Row],[A/Pace]]/100)*(VLOOKUP(Table2[[#This Row],[Visitor/Neutral]],OFR_lookup,2,FALSE)+VLOOKUP(Table2[[#This Row],[Home/Neutral]],def_diff_lookup,6,FALSE))</f>
        <v>108.29181</v>
      </c>
      <c r="O258" s="21"/>
      <c r="P258" s="21"/>
      <c r="Q258">
        <f>VLOOKUP(Table2[[#This Row],[Home/Neutral]],pace_lookup,7,FALSE)</f>
        <v>96.3</v>
      </c>
      <c r="R258" s="5">
        <f>VLOOKUP(Table2[[#This Row],[Visitor/Neutral]],pace_lookup,7,FALSE)</f>
        <v>99</v>
      </c>
      <c r="S258" s="7"/>
      <c r="U258" s="15"/>
      <c r="W258" s="2">
        <f>-home-VLOOKUP(Table2[[#This Row],[Home/Neutral]],rtg_vlookup,4,FALSE)+VLOOKUP(Table2[[#This Row],[Visitor/Neutral]],rtg_vlookup,4,FALSE)</f>
        <v>0.59131147540983409</v>
      </c>
      <c r="X258" s="15"/>
      <c r="Y258" s="2"/>
      <c r="Z258" s="2">
        <f>Table2[[#This Row],[A/EV]]-Table2[[#This Row],[H/EV]]</f>
        <v>1.7468501221697892</v>
      </c>
      <c r="AA258" s="29"/>
      <c r="AB258" s="30"/>
      <c r="AC258" s="30"/>
      <c r="AD258" s="30"/>
      <c r="AE258" s="30"/>
      <c r="AF258" s="7" t="b">
        <f>IF(VLOOKUP(Table2[[#This Row],[Home/Neutral]],division_lookup,9,FALSE)=VLOOKUP(Table2[[#This Row],[Visitor/Neutral]],division_lookup,9,FALSE),TRUE,FALSE)</f>
        <v>0</v>
      </c>
      <c r="AG258" s="15" t="str">
        <f>VLOOKUP(Table2[[#This Row],[Home/Neutral]],division_lookup,9,FALSE)</f>
        <v>A</v>
      </c>
      <c r="AH258" s="15" t="str">
        <f>IF(Table2[[#This Row],[Total/EV]]&lt;Table2[[#This Row],[Total/V]],"UNDER","OVER")</f>
        <v>OVER</v>
      </c>
      <c r="AI258" s="26">
        <f>Table2[[#This Row],[SRS/Real]]-Table2[[#This Row],[Spread/V]]</f>
        <v>0</v>
      </c>
      <c r="AJ258" s="2">
        <f>Table2[[#This Row],[EV/Real]]-Table2[[#This Row],[Spread/V]]</f>
        <v>0</v>
      </c>
      <c r="AK258" s="2">
        <f>Table2[[#This Row],[SRS/Diff]]-Table2[[#This Row],[EV/Diff]]</f>
        <v>0</v>
      </c>
      <c r="AL258" s="18">
        <f>Table2[[#This Row],[SRS]]-Table2[[#This Row],[Spread]]</f>
        <v>0.59131147540983409</v>
      </c>
      <c r="AM258" s="21">
        <f>Table2[[#This Row],[(A) Err]]^2</f>
        <v>0.34964926095135485</v>
      </c>
      <c r="AN258" s="6">
        <f>Table2[[#This Row],[EV]]-Table2[[#This Row],[Spread]]</f>
        <v>1.7468501221697892</v>
      </c>
      <c r="AO258" s="1">
        <f>Table2[[#This Row],[EV Err]]^2</f>
        <v>3.0514853493246075</v>
      </c>
      <c r="AP258" s="1"/>
    </row>
    <row r="259" spans="1:42" x14ac:dyDescent="0.25">
      <c r="A259" s="77">
        <v>42702</v>
      </c>
      <c r="B259" s="49" t="s">
        <v>135</v>
      </c>
      <c r="C259" s="49" t="s">
        <v>138</v>
      </c>
      <c r="D259" s="49"/>
      <c r="E259" s="51"/>
      <c r="F259" s="49"/>
      <c r="G259" s="51"/>
      <c r="H259" s="50"/>
      <c r="I259" s="51"/>
      <c r="J259" s="49"/>
      <c r="K259" s="49"/>
      <c r="L259" s="51">
        <f>(Table2[[#This Row],[H/Pace]]/100)*(VLOOKUP(Table2[[#This Row],[Home/Neutral]],home_lookup,8,FALSE)+VLOOKUP(Table2[[#This Row],[Home/Neutral]],OFR_lookup,2,FALSE)+VLOOKUP(Table2[[#This Row],[Visitor/Neutral]],def_diff_lookup,6,FALSE))</f>
        <v>111.29988035324615</v>
      </c>
      <c r="M259" s="51"/>
      <c r="N259" s="51">
        <f>(Table2[[#This Row],[A/Pace]]/100)*(VLOOKUP(Table2[[#This Row],[Visitor/Neutral]],OFR_lookup,2,FALSE)+VLOOKUP(Table2[[#This Row],[Home/Neutral]],def_diff_lookup,6,FALSE))</f>
        <v>97.164274999999989</v>
      </c>
      <c r="O259" s="51"/>
      <c r="P259" s="51"/>
      <c r="Q259" s="49">
        <f>VLOOKUP(Table2[[#This Row],[Home/Neutral]],pace_lookup,7,FALSE)</f>
        <v>95.4</v>
      </c>
      <c r="R259" s="52">
        <f>VLOOKUP(Table2[[#This Row],[Visitor/Neutral]],pace_lookup,7,FALSE)</f>
        <v>97.5</v>
      </c>
      <c r="S259" s="50"/>
      <c r="T259" s="49"/>
      <c r="U259" s="75"/>
      <c r="V259" s="49"/>
      <c r="W259" s="53">
        <f>-home-VLOOKUP(Table2[[#This Row],[Home/Neutral]],rtg_vlookup,4,FALSE)+VLOOKUP(Table2[[#This Row],[Visitor/Neutral]],rtg_vlookup,4,FALSE)</f>
        <v>-18.348688524590166</v>
      </c>
      <c r="X259" s="75"/>
      <c r="Y259" s="53"/>
      <c r="Z259" s="53">
        <f>Table2[[#This Row],[A/EV]]-Table2[[#This Row],[H/EV]]</f>
        <v>-14.135605353246163</v>
      </c>
      <c r="AA259" s="29"/>
      <c r="AB259" s="30"/>
      <c r="AC259" s="30"/>
      <c r="AD259" s="30"/>
      <c r="AE259" s="30"/>
      <c r="AF259" s="7" t="b">
        <f>IF(VLOOKUP(Table2[[#This Row],[Home/Neutral]],division_lookup,9,FALSE)=VLOOKUP(Table2[[#This Row],[Visitor/Neutral]],division_lookup,9,FALSE),TRUE,FALSE)</f>
        <v>1</v>
      </c>
      <c r="AG259" s="15" t="str">
        <f>VLOOKUP(Table2[[#This Row],[Home/Neutral]],division_lookup,9,FALSE)</f>
        <v>A</v>
      </c>
      <c r="AH259" s="15" t="str">
        <f>IF(Table2[[#This Row],[Total/EV]]&lt;Table2[[#This Row],[Total/V]],"UNDER","OVER")</f>
        <v>OVER</v>
      </c>
      <c r="AI259" s="26">
        <f>Table2[[#This Row],[SRS/Real]]-Table2[[#This Row],[Spread/V]]</f>
        <v>0</v>
      </c>
      <c r="AJ259" s="2">
        <f>Table2[[#This Row],[EV/Real]]-Table2[[#This Row],[Spread/V]]</f>
        <v>0</v>
      </c>
      <c r="AK259" s="2">
        <f>Table2[[#This Row],[SRS/Diff]]-Table2[[#This Row],[EV/Diff]]</f>
        <v>0</v>
      </c>
      <c r="AL259" s="18">
        <f>Table2[[#This Row],[SRS]]-Table2[[#This Row],[Spread]]</f>
        <v>-18.348688524590166</v>
      </c>
      <c r="AM259" s="21">
        <f>Table2[[#This Row],[(A) Err]]^2</f>
        <v>336.67437057242682</v>
      </c>
      <c r="AN259" s="6">
        <f>Table2[[#This Row],[EV]]-Table2[[#This Row],[Spread]]</f>
        <v>-14.135605353246163</v>
      </c>
      <c r="AO259" s="1">
        <f>Table2[[#This Row],[EV Err]]^2</f>
        <v>199.81533870272159</v>
      </c>
      <c r="AP259" s="1"/>
    </row>
    <row r="260" spans="1:42" ht="15.75" thickBot="1" x14ac:dyDescent="0.3">
      <c r="A260" s="100">
        <v>42702</v>
      </c>
      <c r="B260" s="3" t="s">
        <v>137</v>
      </c>
      <c r="C260" s="3" t="s">
        <v>133</v>
      </c>
      <c r="D260" s="3"/>
      <c r="E260" s="22"/>
      <c r="F260" s="3"/>
      <c r="G260" s="22"/>
      <c r="H260" s="8"/>
      <c r="I260" s="22"/>
      <c r="J260" s="3"/>
      <c r="K260" s="3"/>
      <c r="L260" s="22">
        <f>(Table2[[#This Row],[H/Pace]]/100)*(VLOOKUP(Table2[[#This Row],[Home/Neutral]],home_lookup,8,FALSE)+VLOOKUP(Table2[[#This Row],[Home/Neutral]],OFR_lookup,2,FALSE)+VLOOKUP(Table2[[#This Row],[Visitor/Neutral]],def_diff_lookup,6,FALSE))</f>
        <v>111.00733255421871</v>
      </c>
      <c r="M260" s="22"/>
      <c r="N260" s="22">
        <f>(Table2[[#This Row],[A/Pace]]/100)*(VLOOKUP(Table2[[#This Row],[Visitor/Neutral]],OFR_lookup,2,FALSE)+VLOOKUP(Table2[[#This Row],[Home/Neutral]],def_diff_lookup,6,FALSE))</f>
        <v>105.019498</v>
      </c>
      <c r="O260" s="22"/>
      <c r="P260" s="22"/>
      <c r="Q260" s="3">
        <f>VLOOKUP(Table2[[#This Row],[Home/Neutral]],pace_lookup,7,FALSE)</f>
        <v>96</v>
      </c>
      <c r="R260" s="3">
        <f>VLOOKUP(Table2[[#This Row],[Visitor/Neutral]],pace_lookup,7,FALSE)</f>
        <v>94.2</v>
      </c>
      <c r="S260" s="8"/>
      <c r="T260" s="3"/>
      <c r="U260" s="16"/>
      <c r="V260" s="3"/>
      <c r="W260" s="9">
        <f>-home-VLOOKUP(Table2[[#This Row],[Home/Neutral]],rtg_vlookup,4,FALSE)+VLOOKUP(Table2[[#This Row],[Visitor/Neutral]],rtg_vlookup,4,FALSE)</f>
        <v>-1.708688524590166</v>
      </c>
      <c r="X260" s="16"/>
      <c r="Y260" s="9"/>
      <c r="Z260" s="9">
        <f>Table2[[#This Row],[A/EV]]-Table2[[#This Row],[H/EV]]</f>
        <v>-5.9878345542187077</v>
      </c>
      <c r="AA260" s="31"/>
      <c r="AB260" s="32"/>
      <c r="AC260" s="32"/>
      <c r="AD260" s="32"/>
      <c r="AE260" s="32"/>
      <c r="AF260" s="8" t="b">
        <f>IF(VLOOKUP(Table2[[#This Row],[Home/Neutral]],division_lookup,9,FALSE)=VLOOKUP(Table2[[#This Row],[Visitor/Neutral]],division_lookup,9,FALSE),TRUE,FALSE)</f>
        <v>0</v>
      </c>
      <c r="AG260" s="16" t="str">
        <f>VLOOKUP(Table2[[#This Row],[Home/Neutral]],division_lookup,9,FALSE)</f>
        <v>SE</v>
      </c>
      <c r="AH260" s="16" t="str">
        <f>IF(Table2[[#This Row],[Total/EV]]&lt;Table2[[#This Row],[Total/V]],"UNDER","OVER")</f>
        <v>OVER</v>
      </c>
      <c r="AI260" s="16">
        <f>Table2[[#This Row],[SRS/Real]]-Table2[[#This Row],[Spread/V]]</f>
        <v>0</v>
      </c>
      <c r="AJ260" s="9">
        <f>Table2[[#This Row],[EV/Real]]-Table2[[#This Row],[Spread/V]]</f>
        <v>0</v>
      </c>
      <c r="AK260" s="9">
        <f>Table2[[#This Row],[SRS/Diff]]-Table2[[#This Row],[EV/Diff]]</f>
        <v>0</v>
      </c>
      <c r="AL260" s="19">
        <f>Table2[[#This Row],[SRS]]-Table2[[#This Row],[Spread]]</f>
        <v>-1.708688524590166</v>
      </c>
      <c r="AM260" s="22">
        <f>Table2[[#This Row],[(A) Err]]^2</f>
        <v>2.9196164740661184</v>
      </c>
      <c r="AN260" s="4">
        <f>Table2[[#This Row],[EV]]-Table2[[#This Row],[Spread]]</f>
        <v>-5.9878345542187077</v>
      </c>
      <c r="AO260" s="4">
        <f>Table2[[#This Row],[EV Err]]^2</f>
        <v>35.854162648695549</v>
      </c>
      <c r="AP260" s="1"/>
    </row>
    <row r="261" spans="1:42" x14ac:dyDescent="0.25">
      <c r="A261" s="34">
        <v>42703</v>
      </c>
      <c r="B261" t="s">
        <v>111</v>
      </c>
      <c r="C261" t="s">
        <v>121</v>
      </c>
      <c r="E261" s="21"/>
      <c r="G261" s="21"/>
      <c r="H261" s="7"/>
      <c r="I261" s="21"/>
      <c r="K261"/>
      <c r="L261" s="21">
        <f>(Table2[[#This Row],[H/Pace]]/100)*(VLOOKUP(Table2[[#This Row],[Home/Neutral]],home_lookup,8,FALSE)+VLOOKUP(Table2[[#This Row],[Home/Neutral]],OFR_lookup,2,FALSE)+VLOOKUP(Table2[[#This Row],[Visitor/Neutral]],def_diff_lookup,6,FALSE))</f>
        <v>95.815618327716365</v>
      </c>
      <c r="M261" s="21"/>
      <c r="N261" s="21">
        <f>(Table2[[#This Row],[A/Pace]]/100)*(VLOOKUP(Table2[[#This Row],[Visitor/Neutral]],OFR_lookup,2,FALSE)+VLOOKUP(Table2[[#This Row],[Home/Neutral]],def_diff_lookup,6,FALSE))</f>
        <v>115.09742266666666</v>
      </c>
      <c r="O261" s="21"/>
      <c r="P261" s="21"/>
      <c r="Q261">
        <f>VLOOKUP(Table2[[#This Row],[Home/Neutral]],pace_lookup,7,FALSE)</f>
        <v>102</v>
      </c>
      <c r="R261" s="5">
        <f>VLOOKUP(Table2[[#This Row],[Visitor/Neutral]],pace_lookup,7,FALSE)</f>
        <v>96.4</v>
      </c>
      <c r="S261" s="7"/>
      <c r="U261" s="15"/>
      <c r="W261" s="2">
        <f>-home-VLOOKUP(Table2[[#This Row],[Home/Neutral]],rtg_vlookup,4,FALSE)+VLOOKUP(Table2[[#This Row],[Visitor/Neutral]],rtg_vlookup,4,FALSE)</f>
        <v>18.731311475409832</v>
      </c>
      <c r="X261" s="15"/>
      <c r="Y261" s="2"/>
      <c r="Z261" s="2">
        <f>Table2[[#This Row],[A/EV]]-Table2[[#This Row],[H/EV]]</f>
        <v>19.281804338950295</v>
      </c>
      <c r="AA261" s="29"/>
      <c r="AB261" s="30"/>
      <c r="AC261" s="30"/>
      <c r="AD261" s="30"/>
      <c r="AE261" s="30"/>
      <c r="AF261" s="7" t="b">
        <f>IF(VLOOKUP(Table2[[#This Row],[Home/Neutral]],division_lookup,9,FALSE)=VLOOKUP(Table2[[#This Row],[Visitor/Neutral]],division_lookup,9,FALSE),TRUE,FALSE)</f>
        <v>0</v>
      </c>
      <c r="AG261" s="15" t="str">
        <f>VLOOKUP(Table2[[#This Row],[Home/Neutral]],division_lookup,9,FALSE)</f>
        <v>A</v>
      </c>
      <c r="AH261" s="15" t="str">
        <f>IF(Table2[[#This Row],[Total/EV]]&lt;Table2[[#This Row],[Total/V]],"UNDER","OVER")</f>
        <v>OVER</v>
      </c>
      <c r="AI261" s="26">
        <f>Table2[[#This Row],[SRS/Real]]-Table2[[#This Row],[Spread/V]]</f>
        <v>0</v>
      </c>
      <c r="AJ261" s="2">
        <f>Table2[[#This Row],[EV/Real]]-Table2[[#This Row],[Spread/V]]</f>
        <v>0</v>
      </c>
      <c r="AK261" s="2">
        <f>Table2[[#This Row],[SRS/Diff]]-Table2[[#This Row],[EV/Diff]]</f>
        <v>0</v>
      </c>
      <c r="AL261" s="18">
        <f>Table2[[#This Row],[SRS]]-Table2[[#This Row],[Spread]]</f>
        <v>18.731311475409832</v>
      </c>
      <c r="AM261" s="21">
        <f>Table2[[#This Row],[(A) Err]]^2</f>
        <v>350.86202958882006</v>
      </c>
      <c r="AN261" s="6">
        <f>Table2[[#This Row],[EV]]-Table2[[#This Row],[Spread]]</f>
        <v>19.281804338950295</v>
      </c>
      <c r="AO261" s="1">
        <f>Table2[[#This Row],[EV Err]]^2</f>
        <v>371.78797856556241</v>
      </c>
      <c r="AP261" s="1"/>
    </row>
    <row r="262" spans="1:42" x14ac:dyDescent="0.25">
      <c r="A262" s="34">
        <v>42703</v>
      </c>
      <c r="B262" t="s">
        <v>112</v>
      </c>
      <c r="C262" t="s">
        <v>117</v>
      </c>
      <c r="E262" s="21"/>
      <c r="G262" s="21"/>
      <c r="H262" s="7"/>
      <c r="I262" s="21"/>
      <c r="K262"/>
      <c r="L262" s="21">
        <f>(Table2[[#This Row],[H/Pace]]/100)*(VLOOKUP(Table2[[#This Row],[Home/Neutral]],home_lookup,8,FALSE)+VLOOKUP(Table2[[#This Row],[Home/Neutral]],OFR_lookup,2,FALSE)+VLOOKUP(Table2[[#This Row],[Visitor/Neutral]],def_diff_lookup,6,FALSE))</f>
        <v>100.38116195313484</v>
      </c>
      <c r="M262" s="21"/>
      <c r="N262" s="21">
        <f>(Table2[[#This Row],[A/Pace]]/100)*(VLOOKUP(Table2[[#This Row],[Visitor/Neutral]],OFR_lookup,2,FALSE)+VLOOKUP(Table2[[#This Row],[Home/Neutral]],def_diff_lookup,6,FALSE))</f>
        <v>97.191926666666646</v>
      </c>
      <c r="O262" s="21"/>
      <c r="P262" s="21"/>
      <c r="Q262">
        <f>VLOOKUP(Table2[[#This Row],[Home/Neutral]],pace_lookup,7,FALSE)</f>
        <v>97.4</v>
      </c>
      <c r="R262" s="5">
        <f>VLOOKUP(Table2[[#This Row],[Visitor/Neutral]],pace_lookup,7,FALSE)</f>
        <v>94</v>
      </c>
      <c r="S262" s="7"/>
      <c r="U262" s="15"/>
      <c r="W262" s="2">
        <f>-home-VLOOKUP(Table2[[#This Row],[Home/Neutral]],rtg_vlookup,4,FALSE)+VLOOKUP(Table2[[#This Row],[Visitor/Neutral]],rtg_vlookup,4,FALSE)</f>
        <v>-3.2486885245901655</v>
      </c>
      <c r="X262" s="15"/>
      <c r="Y262" s="2"/>
      <c r="Z262" s="2">
        <f>Table2[[#This Row],[A/EV]]-Table2[[#This Row],[H/EV]]</f>
        <v>-3.1892352864681897</v>
      </c>
      <c r="AA262" s="29"/>
      <c r="AB262" s="30"/>
      <c r="AC262" s="30"/>
      <c r="AD262" s="30"/>
      <c r="AE262" s="30"/>
      <c r="AF262" s="7" t="b">
        <f>IF(VLOOKUP(Table2[[#This Row],[Home/Neutral]],division_lookup,9,FALSE)=VLOOKUP(Table2[[#This Row],[Visitor/Neutral]],division_lookup,9,FALSE),TRUE,FALSE)</f>
        <v>0</v>
      </c>
      <c r="AG262" s="15" t="str">
        <f>VLOOKUP(Table2[[#This Row],[Home/Neutral]],division_lookup,9,FALSE)</f>
        <v>SE</v>
      </c>
      <c r="AH262" s="15" t="str">
        <f>IF(Table2[[#This Row],[Total/EV]]&lt;Table2[[#This Row],[Total/V]],"UNDER","OVER")</f>
        <v>OVER</v>
      </c>
      <c r="AI262" s="26">
        <f>Table2[[#This Row],[SRS/Real]]-Table2[[#This Row],[Spread/V]]</f>
        <v>0</v>
      </c>
      <c r="AJ262" s="2">
        <f>Table2[[#This Row],[EV/Real]]-Table2[[#This Row],[Spread/V]]</f>
        <v>0</v>
      </c>
      <c r="AK262" s="2">
        <f>Table2[[#This Row],[SRS/Diff]]-Table2[[#This Row],[EV/Diff]]</f>
        <v>0</v>
      </c>
      <c r="AL262" s="18">
        <f>Table2[[#This Row],[SRS]]-Table2[[#This Row],[Spread]]</f>
        <v>-3.2486885245901655</v>
      </c>
      <c r="AM262" s="21">
        <f>Table2[[#This Row],[(A) Err]]^2</f>
        <v>10.553977129803826</v>
      </c>
      <c r="AN262" s="6">
        <f>Table2[[#This Row],[EV]]-Table2[[#This Row],[Spread]]</f>
        <v>-3.1892352864681897</v>
      </c>
      <c r="AO262" s="1">
        <f>Table2[[#This Row],[EV Err]]^2</f>
        <v>10.171221712453836</v>
      </c>
      <c r="AP262" s="1"/>
    </row>
    <row r="263" spans="1:42" x14ac:dyDescent="0.25">
      <c r="A263" s="77">
        <v>42703</v>
      </c>
      <c r="B263" s="49" t="s">
        <v>125</v>
      </c>
      <c r="C263" s="49" t="s">
        <v>114</v>
      </c>
      <c r="D263" s="49"/>
      <c r="E263" s="51"/>
      <c r="F263" s="49"/>
      <c r="G263" s="51"/>
      <c r="H263" s="50"/>
      <c r="I263" s="51"/>
      <c r="J263" s="49"/>
      <c r="K263" s="49"/>
      <c r="L263" s="51">
        <f>(Table2[[#This Row],[H/Pace]]/100)*(VLOOKUP(Table2[[#This Row],[Home/Neutral]],home_lookup,8,FALSE)+VLOOKUP(Table2[[#This Row],[Home/Neutral]],OFR_lookup,2,FALSE)+VLOOKUP(Table2[[#This Row],[Visitor/Neutral]],def_diff_lookup,6,FALSE))</f>
        <v>107.98834550061909</v>
      </c>
      <c r="M263" s="51"/>
      <c r="N263" s="51">
        <f>(Table2[[#This Row],[A/Pace]]/100)*(VLOOKUP(Table2[[#This Row],[Visitor/Neutral]],OFR_lookup,2,FALSE)+VLOOKUP(Table2[[#This Row],[Home/Neutral]],def_diff_lookup,6,FALSE))</f>
        <v>113.69083366666666</v>
      </c>
      <c r="O263" s="51"/>
      <c r="P263" s="51"/>
      <c r="Q263" s="49">
        <f>VLOOKUP(Table2[[#This Row],[Home/Neutral]],pace_lookup,7,FALSE)</f>
        <v>96.1</v>
      </c>
      <c r="R263" s="52">
        <f>VLOOKUP(Table2[[#This Row],[Visitor/Neutral]],pace_lookup,7,FALSE)</f>
        <v>97.3</v>
      </c>
      <c r="S263" s="50"/>
      <c r="T263" s="49"/>
      <c r="U263" s="75"/>
      <c r="V263" s="49"/>
      <c r="W263" s="53">
        <f>-home-VLOOKUP(Table2[[#This Row],[Home/Neutral]],rtg_vlookup,4,FALSE)+VLOOKUP(Table2[[#This Row],[Visitor/Neutral]],rtg_vlookup,4,FALSE)</f>
        <v>8.351311475409835</v>
      </c>
      <c r="X263" s="75"/>
      <c r="Y263" s="53"/>
      <c r="Z263" s="53">
        <f>Table2[[#This Row],[A/EV]]-Table2[[#This Row],[H/EV]]</f>
        <v>5.7024881660475728</v>
      </c>
      <c r="AA263" s="29"/>
      <c r="AB263" s="30"/>
      <c r="AC263" s="30"/>
      <c r="AD263" s="30"/>
      <c r="AE263" s="30"/>
      <c r="AF263" s="7" t="b">
        <f>IF(VLOOKUP(Table2[[#This Row],[Home/Neutral]],division_lookup,9,FALSE)=VLOOKUP(Table2[[#This Row],[Visitor/Neutral]],division_lookup,9,FALSE),TRUE,FALSE)</f>
        <v>1</v>
      </c>
      <c r="AG263" s="15" t="str">
        <f>VLOOKUP(Table2[[#This Row],[Home/Neutral]],division_lookup,9,FALSE)</f>
        <v>C</v>
      </c>
      <c r="AH263" s="15" t="str">
        <f>IF(Table2[[#This Row],[Total/EV]]&lt;Table2[[#This Row],[Total/V]],"UNDER","OVER")</f>
        <v>OVER</v>
      </c>
      <c r="AI263" s="26">
        <f>Table2[[#This Row],[SRS/Real]]-Table2[[#This Row],[Spread/V]]</f>
        <v>0</v>
      </c>
      <c r="AJ263" s="2">
        <f>Table2[[#This Row],[EV/Real]]-Table2[[#This Row],[Spread/V]]</f>
        <v>0</v>
      </c>
      <c r="AK263" s="2">
        <f>Table2[[#This Row],[SRS/Diff]]-Table2[[#This Row],[EV/Diff]]</f>
        <v>0</v>
      </c>
      <c r="AL263" s="18">
        <f>Table2[[#This Row],[SRS]]-Table2[[#This Row],[Spread]]</f>
        <v>8.351311475409835</v>
      </c>
      <c r="AM263" s="21">
        <f>Table2[[#This Row],[(A) Err]]^2</f>
        <v>69.744403359311988</v>
      </c>
      <c r="AN263" s="6">
        <f>Table2[[#This Row],[EV]]-Table2[[#This Row],[Spread]]</f>
        <v>5.7024881660475728</v>
      </c>
      <c r="AO263" s="1">
        <f>Table2[[#This Row],[EV Err]]^2</f>
        <v>32.518371283912607</v>
      </c>
      <c r="AP263" s="1"/>
    </row>
    <row r="264" spans="1:42" x14ac:dyDescent="0.25">
      <c r="A264" s="34">
        <v>42703</v>
      </c>
      <c r="B264" t="s">
        <v>127</v>
      </c>
      <c r="C264" t="s">
        <v>122</v>
      </c>
      <c r="E264" s="21"/>
      <c r="G264" s="21"/>
      <c r="H264" s="7"/>
      <c r="I264" s="21"/>
      <c r="K264"/>
      <c r="L264" s="21">
        <f>(Table2[[#This Row],[H/Pace]]/100)*(VLOOKUP(Table2[[#This Row],[Home/Neutral]],home_lookup,8,FALSE)+VLOOKUP(Table2[[#This Row],[Home/Neutral]],OFR_lookup,2,FALSE)+VLOOKUP(Table2[[#This Row],[Visitor/Neutral]],def_diff_lookup,6,FALSE))</f>
        <v>107.20758493743047</v>
      </c>
      <c r="M264" s="21"/>
      <c r="N264" s="21">
        <f>(Table2[[#This Row],[A/Pace]]/100)*(VLOOKUP(Table2[[#This Row],[Visitor/Neutral]],OFR_lookup,2,FALSE)+VLOOKUP(Table2[[#This Row],[Home/Neutral]],def_diff_lookup,6,FALSE))</f>
        <v>107.88099799999999</v>
      </c>
      <c r="O264" s="21"/>
      <c r="P264" s="21"/>
      <c r="Q264">
        <f>VLOOKUP(Table2[[#This Row],[Home/Neutral]],pace_lookup,7,FALSE)</f>
        <v>99.3</v>
      </c>
      <c r="R264" s="5">
        <f>VLOOKUP(Table2[[#This Row],[Visitor/Neutral]],pace_lookup,7,FALSE)</f>
        <v>100.2</v>
      </c>
      <c r="S264" s="7"/>
      <c r="U264" s="15"/>
      <c r="W264" s="2">
        <f>-home-VLOOKUP(Table2[[#This Row],[Home/Neutral]],rtg_vlookup,4,FALSE)+VLOOKUP(Table2[[#This Row],[Visitor/Neutral]],rtg_vlookup,4,FALSE)</f>
        <v>-2.3686885245901657</v>
      </c>
      <c r="X264" s="15"/>
      <c r="Y264" s="2"/>
      <c r="Z264" s="2">
        <f>Table2[[#This Row],[A/EV]]-Table2[[#This Row],[H/EV]]</f>
        <v>0.67341306256952294</v>
      </c>
      <c r="AA264" s="29"/>
      <c r="AB264" s="30"/>
      <c r="AC264" s="30"/>
      <c r="AD264" s="30"/>
      <c r="AE264" s="30"/>
      <c r="AF264" s="7" t="b">
        <f>IF(VLOOKUP(Table2[[#This Row],[Home/Neutral]],division_lookup,9,FALSE)=VLOOKUP(Table2[[#This Row],[Visitor/Neutral]],division_lookup,9,FALSE),TRUE,FALSE)</f>
        <v>0</v>
      </c>
      <c r="AG264" s="15" t="str">
        <f>VLOOKUP(Table2[[#This Row],[Home/Neutral]],division_lookup,9,FALSE)</f>
        <v>SW</v>
      </c>
      <c r="AH264" s="15" t="str">
        <f>IF(Table2[[#This Row],[Total/EV]]&lt;Table2[[#This Row],[Total/V]],"UNDER","OVER")</f>
        <v>OVER</v>
      </c>
      <c r="AI264" s="26">
        <f>Table2[[#This Row],[SRS/Real]]-Table2[[#This Row],[Spread/V]]</f>
        <v>0</v>
      </c>
      <c r="AJ264" s="2">
        <f>Table2[[#This Row],[EV/Real]]-Table2[[#This Row],[Spread/V]]</f>
        <v>0</v>
      </c>
      <c r="AK264" s="2">
        <f>Table2[[#This Row],[SRS/Diff]]-Table2[[#This Row],[EV/Diff]]</f>
        <v>0</v>
      </c>
      <c r="AL264" s="18">
        <f>Table2[[#This Row],[SRS]]-Table2[[#This Row],[Spread]]</f>
        <v>-2.3686885245901657</v>
      </c>
      <c r="AM264" s="21">
        <f>Table2[[#This Row],[(A) Err]]^2</f>
        <v>5.610685326525136</v>
      </c>
      <c r="AN264" s="6">
        <f>Table2[[#This Row],[EV]]-Table2[[#This Row],[Spread]]</f>
        <v>0.67341306256952294</v>
      </c>
      <c r="AO264" s="1">
        <f>Table2[[#This Row],[EV Err]]^2</f>
        <v>0.45348515283926422</v>
      </c>
      <c r="AP264" s="1"/>
    </row>
    <row r="265" spans="1:42" x14ac:dyDescent="0.25">
      <c r="A265" s="34">
        <v>42703</v>
      </c>
      <c r="B265" t="s">
        <v>134</v>
      </c>
      <c r="C265" t="s">
        <v>130</v>
      </c>
      <c r="E265" s="21"/>
      <c r="G265" s="21"/>
      <c r="H265" s="7"/>
      <c r="I265" s="21"/>
      <c r="K265"/>
      <c r="L265" s="21">
        <f>(Table2[[#This Row],[H/Pace]]/100)*(VLOOKUP(Table2[[#This Row],[Home/Neutral]],home_lookup,8,FALSE)+VLOOKUP(Table2[[#This Row],[Home/Neutral]],OFR_lookup,2,FALSE)+VLOOKUP(Table2[[#This Row],[Visitor/Neutral]],def_diff_lookup,6,FALSE))</f>
        <v>100.49601343638193</v>
      </c>
      <c r="M265" s="21"/>
      <c r="N265" s="21">
        <f>(Table2[[#This Row],[A/Pace]]/100)*(VLOOKUP(Table2[[#This Row],[Visitor/Neutral]],OFR_lookup,2,FALSE)+VLOOKUP(Table2[[#This Row],[Home/Neutral]],def_diff_lookup,6,FALSE))</f>
        <v>90.870658000000006</v>
      </c>
      <c r="O265" s="21"/>
      <c r="P265" s="21"/>
      <c r="Q265">
        <f>VLOOKUP(Table2[[#This Row],[Home/Neutral]],pace_lookup,7,FALSE)</f>
        <v>93.4</v>
      </c>
      <c r="R265" s="5">
        <f>VLOOKUP(Table2[[#This Row],[Visitor/Neutral]],pace_lookup,7,FALSE)</f>
        <v>94.2</v>
      </c>
      <c r="S265" s="7"/>
      <c r="U265" s="15"/>
      <c r="W265" s="2">
        <f>-home-VLOOKUP(Table2[[#This Row],[Home/Neutral]],rtg_vlookup,4,FALSE)+VLOOKUP(Table2[[#This Row],[Visitor/Neutral]],rtg_vlookup,4,FALSE)</f>
        <v>-18.798688524590165</v>
      </c>
      <c r="X265" s="15"/>
      <c r="Y265" s="2"/>
      <c r="Z265" s="2">
        <f>Table2[[#This Row],[A/EV]]-Table2[[#This Row],[H/EV]]</f>
        <v>-9.6253554363819234</v>
      </c>
      <c r="AA265" s="29"/>
      <c r="AB265" s="30"/>
      <c r="AC265" s="30"/>
      <c r="AD265" s="30"/>
      <c r="AE265" s="30"/>
      <c r="AF265" s="7" t="b">
        <f>IF(VLOOKUP(Table2[[#This Row],[Home/Neutral]],division_lookup,9,FALSE)=VLOOKUP(Table2[[#This Row],[Visitor/Neutral]],division_lookup,9,FALSE),TRUE,FALSE)</f>
        <v>0</v>
      </c>
      <c r="AG265" s="15" t="str">
        <f>VLOOKUP(Table2[[#This Row],[Home/Neutral]],division_lookup,9,FALSE)</f>
        <v>SW</v>
      </c>
      <c r="AH265" s="15" t="str">
        <f>IF(Table2[[#This Row],[Total/EV]]&lt;Table2[[#This Row],[Total/V]],"UNDER","OVER")</f>
        <v>OVER</v>
      </c>
      <c r="AI265" s="26">
        <f>Table2[[#This Row],[SRS/Real]]-Table2[[#This Row],[Spread/V]]</f>
        <v>0</v>
      </c>
      <c r="AJ265" s="2">
        <f>Table2[[#This Row],[EV/Real]]-Table2[[#This Row],[Spread/V]]</f>
        <v>0</v>
      </c>
      <c r="AK265" s="2">
        <f>Table2[[#This Row],[SRS/Diff]]-Table2[[#This Row],[EV/Diff]]</f>
        <v>0</v>
      </c>
      <c r="AL265" s="18">
        <f>Table2[[#This Row],[SRS]]-Table2[[#This Row],[Spread]]</f>
        <v>-18.798688524590165</v>
      </c>
      <c r="AM265" s="21">
        <f>Table2[[#This Row],[(A) Err]]^2</f>
        <v>353.39069024455796</v>
      </c>
      <c r="AN265" s="6">
        <f>Table2[[#This Row],[EV]]-Table2[[#This Row],[Spread]]</f>
        <v>-9.6253554363819234</v>
      </c>
      <c r="AO265" s="1">
        <f>Table2[[#This Row],[EV Err]]^2</f>
        <v>92.647467276687053</v>
      </c>
      <c r="AP265" s="1"/>
    </row>
    <row r="266" spans="1:42" ht="15.75" thickBot="1" x14ac:dyDescent="0.3">
      <c r="A266" s="100">
        <v>42703</v>
      </c>
      <c r="B266" s="3" t="s">
        <v>136</v>
      </c>
      <c r="C266" s="3" t="s">
        <v>119</v>
      </c>
      <c r="D266" s="3"/>
      <c r="E266" s="22"/>
      <c r="F266" s="3"/>
      <c r="G266" s="22"/>
      <c r="H266" s="8"/>
      <c r="I266" s="22"/>
      <c r="J266" s="3"/>
      <c r="K266" s="3"/>
      <c r="L266" s="22">
        <f>(Table2[[#This Row],[H/Pace]]/100)*(VLOOKUP(Table2[[#This Row],[Home/Neutral]],home_lookup,8,FALSE)+VLOOKUP(Table2[[#This Row],[Home/Neutral]],OFR_lookup,2,FALSE)+VLOOKUP(Table2[[#This Row],[Visitor/Neutral]],def_diff_lookup,6,FALSE))</f>
        <v>107.54593534991899</v>
      </c>
      <c r="M266" s="22"/>
      <c r="N266" s="22">
        <f>(Table2[[#This Row],[A/Pace]]/100)*(VLOOKUP(Table2[[#This Row],[Visitor/Neutral]],OFR_lookup,2,FALSE)+VLOOKUP(Table2[[#This Row],[Home/Neutral]],def_diff_lookup,6,FALSE))</f>
        <v>105.200131</v>
      </c>
      <c r="O266" s="22"/>
      <c r="P266" s="22"/>
      <c r="Q266" s="3">
        <f>VLOOKUP(Table2[[#This Row],[Home/Neutral]],pace_lookup,7,FALSE)</f>
        <v>91.5</v>
      </c>
      <c r="R266" s="3">
        <f>VLOOKUP(Table2[[#This Row],[Visitor/Neutral]],pace_lookup,7,FALSE)</f>
        <v>96.9</v>
      </c>
      <c r="S266" s="8"/>
      <c r="T266" s="3"/>
      <c r="U266" s="16"/>
      <c r="V266" s="3"/>
      <c r="W266" s="9">
        <f>-home-VLOOKUP(Table2[[#This Row],[Home/Neutral]],rtg_vlookup,4,FALSE)+VLOOKUP(Table2[[#This Row],[Visitor/Neutral]],rtg_vlookup,4,FALSE)</f>
        <v>-3.3486885245901656</v>
      </c>
      <c r="X266" s="16"/>
      <c r="Y266" s="9"/>
      <c r="Z266" s="9">
        <f>Table2[[#This Row],[A/EV]]-Table2[[#This Row],[H/EV]]</f>
        <v>-2.3458043499189927</v>
      </c>
      <c r="AA266" s="31"/>
      <c r="AB266" s="32"/>
      <c r="AC266" s="32"/>
      <c r="AD266" s="32"/>
      <c r="AE266" s="32"/>
      <c r="AF266" s="8" t="b">
        <f>IF(VLOOKUP(Table2[[#This Row],[Home/Neutral]],division_lookup,9,FALSE)=VLOOKUP(Table2[[#This Row],[Visitor/Neutral]],division_lookup,9,FALSE),TRUE,FALSE)</f>
        <v>0</v>
      </c>
      <c r="AG266" s="16" t="str">
        <f>VLOOKUP(Table2[[#This Row],[Home/Neutral]],division_lookup,9,FALSE)</f>
        <v>NW</v>
      </c>
      <c r="AH266" s="16" t="str">
        <f>IF(Table2[[#This Row],[Total/EV]]&lt;Table2[[#This Row],[Total/V]],"UNDER","OVER")</f>
        <v>OVER</v>
      </c>
      <c r="AI266" s="16">
        <f>Table2[[#This Row],[SRS/Real]]-Table2[[#This Row],[Spread/V]]</f>
        <v>0</v>
      </c>
      <c r="AJ266" s="9">
        <f>Table2[[#This Row],[EV/Real]]-Table2[[#This Row],[Spread/V]]</f>
        <v>0</v>
      </c>
      <c r="AK266" s="9">
        <f>Table2[[#This Row],[SRS/Diff]]-Table2[[#This Row],[EV/Diff]]</f>
        <v>0</v>
      </c>
      <c r="AL266" s="19">
        <f>Table2[[#This Row],[SRS]]-Table2[[#This Row],[Spread]]</f>
        <v>-3.3486885245901656</v>
      </c>
      <c r="AM266" s="22">
        <f>Table2[[#This Row],[(A) Err]]^2</f>
        <v>11.213714834721861</v>
      </c>
      <c r="AN266" s="4">
        <f>Table2[[#This Row],[EV]]-Table2[[#This Row],[Spread]]</f>
        <v>-2.3458043499189927</v>
      </c>
      <c r="AO266" s="4">
        <f>Table2[[#This Row],[EV Err]]^2</f>
        <v>5.5027980480988674</v>
      </c>
      <c r="AP266" s="1"/>
    </row>
    <row r="267" spans="1:42" x14ac:dyDescent="0.25">
      <c r="A267" s="34">
        <v>42704</v>
      </c>
      <c r="B267" t="s">
        <v>110</v>
      </c>
      <c r="C267" t="s">
        <v>117</v>
      </c>
      <c r="E267" s="21"/>
      <c r="G267" s="21"/>
      <c r="H267" s="7"/>
      <c r="I267" s="21"/>
      <c r="K267"/>
      <c r="L267" s="21">
        <f>(Table2[[#This Row],[H/Pace]]/100)*(VLOOKUP(Table2[[#This Row],[Home/Neutral]],home_lookup,8,FALSE)+VLOOKUP(Table2[[#This Row],[Home/Neutral]],OFR_lookup,2,FALSE)+VLOOKUP(Table2[[#This Row],[Visitor/Neutral]],def_diff_lookup,6,FALSE))</f>
        <v>102.01127118900939</v>
      </c>
      <c r="M267" s="21"/>
      <c r="N267" s="21">
        <f>(Table2[[#This Row],[A/Pace]]/100)*(VLOOKUP(Table2[[#This Row],[Visitor/Neutral]],OFR_lookup,2,FALSE)+VLOOKUP(Table2[[#This Row],[Home/Neutral]],def_diff_lookup,6,FALSE))</f>
        <v>98.742926666666662</v>
      </c>
      <c r="O267" s="21"/>
      <c r="P267" s="21"/>
      <c r="Q267">
        <f>VLOOKUP(Table2[[#This Row],[Home/Neutral]],pace_lookup,7,FALSE)</f>
        <v>96.2</v>
      </c>
      <c r="R267" s="5">
        <f>VLOOKUP(Table2[[#This Row],[Visitor/Neutral]],pace_lookup,7,FALSE)</f>
        <v>94</v>
      </c>
      <c r="S267" s="7"/>
      <c r="U267" s="15"/>
      <c r="W267" s="2">
        <f>-home-VLOOKUP(Table2[[#This Row],[Home/Neutral]],rtg_vlookup,4,FALSE)+VLOOKUP(Table2[[#This Row],[Visitor/Neutral]],rtg_vlookup,4,FALSE)</f>
        <v>-1.6886885245901657</v>
      </c>
      <c r="X267" s="15"/>
      <c r="Y267" s="2"/>
      <c r="Z267" s="2">
        <f>Table2[[#This Row],[A/EV]]-Table2[[#This Row],[H/EV]]</f>
        <v>-3.2683445223427299</v>
      </c>
      <c r="AA267" s="29"/>
      <c r="AB267" s="30"/>
      <c r="AC267" s="30"/>
      <c r="AD267" s="30"/>
      <c r="AE267" s="30"/>
      <c r="AF267" s="7" t="b">
        <f>IF(VLOOKUP(Table2[[#This Row],[Home/Neutral]],division_lookup,9,FALSE)=VLOOKUP(Table2[[#This Row],[Visitor/Neutral]],division_lookup,9,FALSE),TRUE,FALSE)</f>
        <v>0</v>
      </c>
      <c r="AG267" s="15" t="str">
        <f>VLOOKUP(Table2[[#This Row],[Home/Neutral]],division_lookup,9,FALSE)</f>
        <v>A</v>
      </c>
      <c r="AH267" s="15" t="str">
        <f>IF(Table2[[#This Row],[Total/EV]]&lt;Table2[[#This Row],[Total/V]],"UNDER","OVER")</f>
        <v>OVER</v>
      </c>
      <c r="AI267" s="26">
        <f>Table2[[#This Row],[SRS/Real]]-Table2[[#This Row],[Spread/V]]</f>
        <v>0</v>
      </c>
      <c r="AJ267" s="2">
        <f>Table2[[#This Row],[EV/Real]]-Table2[[#This Row],[Spread/V]]</f>
        <v>0</v>
      </c>
      <c r="AK267" s="2">
        <f>Table2[[#This Row],[SRS/Diff]]-Table2[[#This Row],[EV/Diff]]</f>
        <v>0</v>
      </c>
      <c r="AL267" s="18">
        <f>Table2[[#This Row],[SRS]]-Table2[[#This Row],[Spread]]</f>
        <v>-1.6886885245901657</v>
      </c>
      <c r="AM267" s="21">
        <f>Table2[[#This Row],[(A) Err]]^2</f>
        <v>2.8516689330825109</v>
      </c>
      <c r="AN267" s="6">
        <f>Table2[[#This Row],[EV]]-Table2[[#This Row],[Spread]]</f>
        <v>-3.2683445223427299</v>
      </c>
      <c r="AO267" s="1">
        <f>Table2[[#This Row],[EV Err]]^2</f>
        <v>10.682075916727728</v>
      </c>
      <c r="AP267" s="1"/>
    </row>
    <row r="268" spans="1:42" x14ac:dyDescent="0.25">
      <c r="A268" s="34">
        <v>42704</v>
      </c>
      <c r="B268" t="s">
        <v>113</v>
      </c>
      <c r="C268" t="s">
        <v>122</v>
      </c>
      <c r="E268" s="21"/>
      <c r="G268" s="21"/>
      <c r="H268" s="7"/>
      <c r="I268" s="21"/>
      <c r="K268"/>
      <c r="L268" s="21">
        <f>(Table2[[#This Row],[H/Pace]]/100)*(VLOOKUP(Table2[[#This Row],[Home/Neutral]],home_lookup,8,FALSE)+VLOOKUP(Table2[[#This Row],[Home/Neutral]],OFR_lookup,2,FALSE)+VLOOKUP(Table2[[#This Row],[Visitor/Neutral]],def_diff_lookup,6,FALSE))</f>
        <v>113.47453388016278</v>
      </c>
      <c r="M268" s="21"/>
      <c r="N268" s="21">
        <f>(Table2[[#This Row],[A/Pace]]/100)*(VLOOKUP(Table2[[#This Row],[Visitor/Neutral]],OFR_lookup,2,FALSE)+VLOOKUP(Table2[[#This Row],[Home/Neutral]],def_diff_lookup,6,FALSE))</f>
        <v>108.732698</v>
      </c>
      <c r="O268" s="21"/>
      <c r="P268" s="21"/>
      <c r="Q268">
        <f>VLOOKUP(Table2[[#This Row],[Home/Neutral]],pace_lookup,7,FALSE)</f>
        <v>95.1</v>
      </c>
      <c r="R268" s="5">
        <f>VLOOKUP(Table2[[#This Row],[Visitor/Neutral]],pace_lookup,7,FALSE)</f>
        <v>100.2</v>
      </c>
      <c r="S268" s="7"/>
      <c r="U268" s="15"/>
      <c r="W268" s="2">
        <f>-home-VLOOKUP(Table2[[#This Row],[Home/Neutral]],rtg_vlookup,4,FALSE)+VLOOKUP(Table2[[#This Row],[Visitor/Neutral]],rtg_vlookup,4,FALSE)</f>
        <v>-9.6786885245901662</v>
      </c>
      <c r="X268" s="15"/>
      <c r="Y268" s="2"/>
      <c r="Z268" s="2">
        <f>Table2[[#This Row],[A/EV]]-Table2[[#This Row],[H/EV]]</f>
        <v>-4.7418358801627818</v>
      </c>
      <c r="AA268" s="29"/>
      <c r="AB268" s="30"/>
      <c r="AC268" s="30"/>
      <c r="AD268" s="30"/>
      <c r="AE268" s="30"/>
      <c r="AF268" s="7" t="b">
        <f>IF(VLOOKUP(Table2[[#This Row],[Home/Neutral]],division_lookup,9,FALSE)=VLOOKUP(Table2[[#This Row],[Visitor/Neutral]],division_lookup,9,FALSE),TRUE,FALSE)</f>
        <v>0</v>
      </c>
      <c r="AG268" s="15" t="str">
        <f>VLOOKUP(Table2[[#This Row],[Home/Neutral]],division_lookup,9,FALSE)</f>
        <v>C</v>
      </c>
      <c r="AH268" s="15" t="str">
        <f>IF(Table2[[#This Row],[Total/EV]]&lt;Table2[[#This Row],[Total/V]],"UNDER","OVER")</f>
        <v>OVER</v>
      </c>
      <c r="AI268" s="26">
        <f>Table2[[#This Row],[SRS/Real]]-Table2[[#This Row],[Spread/V]]</f>
        <v>0</v>
      </c>
      <c r="AJ268" s="2">
        <f>Table2[[#This Row],[EV/Real]]-Table2[[#This Row],[Spread/V]]</f>
        <v>0</v>
      </c>
      <c r="AK268" s="2">
        <f>Table2[[#This Row],[SRS/Diff]]-Table2[[#This Row],[EV/Diff]]</f>
        <v>0</v>
      </c>
      <c r="AL268" s="18">
        <f>Table2[[#This Row],[SRS]]-Table2[[#This Row],[Spread]]</f>
        <v>-9.6786885245901662</v>
      </c>
      <c r="AM268" s="21">
        <f>Table2[[#This Row],[(A) Err]]^2</f>
        <v>93.677011556033364</v>
      </c>
      <c r="AN268" s="6">
        <f>Table2[[#This Row],[EV]]-Table2[[#This Row],[Spread]]</f>
        <v>-4.7418358801627818</v>
      </c>
      <c r="AO268" s="1">
        <f>Table2[[#This Row],[EV Err]]^2</f>
        <v>22.485007514399143</v>
      </c>
      <c r="AP268" s="1"/>
    </row>
    <row r="269" spans="1:42" x14ac:dyDescent="0.25">
      <c r="A269" s="77">
        <v>42704</v>
      </c>
      <c r="B269" s="49" t="s">
        <v>115</v>
      </c>
      <c r="C269" s="49" t="s">
        <v>134</v>
      </c>
      <c r="D269" s="49"/>
      <c r="E269" s="51"/>
      <c r="F269" s="49"/>
      <c r="G269" s="51"/>
      <c r="H269" s="50"/>
      <c r="I269" s="51"/>
      <c r="J269" s="49"/>
      <c r="K269" s="49"/>
      <c r="L269" s="51">
        <f>(Table2[[#This Row],[H/Pace]]/100)*(VLOOKUP(Table2[[#This Row],[Home/Neutral]],home_lookup,8,FALSE)+VLOOKUP(Table2[[#This Row],[Home/Neutral]],OFR_lookup,2,FALSE)+VLOOKUP(Table2[[#This Row],[Visitor/Neutral]],def_diff_lookup,6,FALSE))</f>
        <v>94.14223311596777</v>
      </c>
      <c r="M269" s="51"/>
      <c r="N269" s="51">
        <f>(Table2[[#This Row],[A/Pace]]/100)*(VLOOKUP(Table2[[#This Row],[Visitor/Neutral]],OFR_lookup,2,FALSE)+VLOOKUP(Table2[[#This Row],[Home/Neutral]],def_diff_lookup,6,FALSE))</f>
        <v>104.59461266666666</v>
      </c>
      <c r="O269" s="51"/>
      <c r="P269" s="51"/>
      <c r="Q269" s="49">
        <f>VLOOKUP(Table2[[#This Row],[Home/Neutral]],pace_lookup,7,FALSE)</f>
        <v>92.9</v>
      </c>
      <c r="R269" s="52">
        <f>VLOOKUP(Table2[[#This Row],[Visitor/Neutral]],pace_lookup,7,FALSE)</f>
        <v>93.4</v>
      </c>
      <c r="S269" s="50"/>
      <c r="T269" s="49"/>
      <c r="U269" s="75"/>
      <c r="V269" s="49"/>
      <c r="W269" s="53">
        <f>-home-VLOOKUP(Table2[[#This Row],[Home/Neutral]],rtg_vlookup,4,FALSE)+VLOOKUP(Table2[[#This Row],[Visitor/Neutral]],rtg_vlookup,4,FALSE)</f>
        <v>13.471311475409834</v>
      </c>
      <c r="X269" s="75"/>
      <c r="Y269" s="53"/>
      <c r="Z269" s="53">
        <f>Table2[[#This Row],[A/EV]]-Table2[[#This Row],[H/EV]]</f>
        <v>10.452379550698893</v>
      </c>
      <c r="AA269" s="29"/>
      <c r="AB269" s="30"/>
      <c r="AC269" s="30"/>
      <c r="AD269" s="30"/>
      <c r="AE269" s="30"/>
      <c r="AF269" s="7" t="b">
        <f>IF(VLOOKUP(Table2[[#This Row],[Home/Neutral]],division_lookup,9,FALSE)=VLOOKUP(Table2[[#This Row],[Visitor/Neutral]],division_lookup,9,FALSE),TRUE,FALSE)</f>
        <v>1</v>
      </c>
      <c r="AG269" s="15" t="str">
        <f>VLOOKUP(Table2[[#This Row],[Home/Neutral]],division_lookup,9,FALSE)</f>
        <v>SW</v>
      </c>
      <c r="AH269" s="15" t="str">
        <f>IF(Table2[[#This Row],[Total/EV]]&lt;Table2[[#This Row],[Total/V]],"UNDER","OVER")</f>
        <v>OVER</v>
      </c>
      <c r="AI269" s="26">
        <f>Table2[[#This Row],[SRS/Real]]-Table2[[#This Row],[Spread/V]]</f>
        <v>0</v>
      </c>
      <c r="AJ269" s="2">
        <f>Table2[[#This Row],[EV/Real]]-Table2[[#This Row],[Spread/V]]</f>
        <v>0</v>
      </c>
      <c r="AK269" s="2">
        <f>Table2[[#This Row],[SRS/Diff]]-Table2[[#This Row],[EV/Diff]]</f>
        <v>0</v>
      </c>
      <c r="AL269" s="18">
        <f>Table2[[#This Row],[SRS]]-Table2[[#This Row],[Spread]]</f>
        <v>13.471311475409834</v>
      </c>
      <c r="AM269" s="21">
        <f>Table2[[#This Row],[(A) Err]]^2</f>
        <v>181.47623286750868</v>
      </c>
      <c r="AN269" s="6">
        <f>Table2[[#This Row],[EV]]-Table2[[#This Row],[Spread]]</f>
        <v>10.452379550698893</v>
      </c>
      <c r="AO269" s="1">
        <f>Table2[[#This Row],[EV Err]]^2</f>
        <v>109.25223827186839</v>
      </c>
      <c r="AP269" s="1"/>
    </row>
    <row r="270" spans="1:42" x14ac:dyDescent="0.25">
      <c r="A270" s="34">
        <v>42704</v>
      </c>
      <c r="B270" t="s">
        <v>116</v>
      </c>
      <c r="C270" t="s">
        <v>124</v>
      </c>
      <c r="E270" s="21"/>
      <c r="G270" s="21"/>
      <c r="H270" s="7"/>
      <c r="I270" s="21"/>
      <c r="K270"/>
      <c r="L270" s="21">
        <f>(Table2[[#This Row],[H/Pace]]/100)*(VLOOKUP(Table2[[#This Row],[Home/Neutral]],home_lookup,8,FALSE)+VLOOKUP(Table2[[#This Row],[Home/Neutral]],OFR_lookup,2,FALSE)+VLOOKUP(Table2[[#This Row],[Visitor/Neutral]],def_diff_lookup,6,FALSE))</f>
        <v>102.72558470161863</v>
      </c>
      <c r="M270" s="21"/>
      <c r="N270" s="21">
        <f>(Table2[[#This Row],[A/Pace]]/100)*(VLOOKUP(Table2[[#This Row],[Visitor/Neutral]],OFR_lookup,2,FALSE)+VLOOKUP(Table2[[#This Row],[Home/Neutral]],def_diff_lookup,6,FALSE))</f>
        <v>96.984809666666663</v>
      </c>
      <c r="O270" s="21"/>
      <c r="P270" s="21"/>
      <c r="Q270">
        <f>VLOOKUP(Table2[[#This Row],[Home/Neutral]],pace_lookup,7,FALSE)</f>
        <v>99.1</v>
      </c>
      <c r="R270" s="5">
        <f>VLOOKUP(Table2[[#This Row],[Visitor/Neutral]],pace_lookup,7,FALSE)</f>
        <v>93.7</v>
      </c>
      <c r="S270" s="7"/>
      <c r="U270" s="15"/>
      <c r="W270" s="2">
        <f>-home-VLOOKUP(Table2[[#This Row],[Home/Neutral]],rtg_vlookup,4,FALSE)+VLOOKUP(Table2[[#This Row],[Visitor/Neutral]],rtg_vlookup,4,FALSE)</f>
        <v>-3.2386885245901658</v>
      </c>
      <c r="X270" s="15"/>
      <c r="Y270" s="2"/>
      <c r="Z270" s="2">
        <f>Table2[[#This Row],[A/EV]]-Table2[[#This Row],[H/EV]]</f>
        <v>-5.7407750349519659</v>
      </c>
      <c r="AA270" s="29"/>
      <c r="AB270" s="30"/>
      <c r="AC270" s="30"/>
      <c r="AD270" s="30"/>
      <c r="AE270" s="30"/>
      <c r="AF270" s="7" t="b">
        <f>IF(VLOOKUP(Table2[[#This Row],[Home/Neutral]],division_lookup,9,FALSE)=VLOOKUP(Table2[[#This Row],[Visitor/Neutral]],division_lookup,9,FALSE),TRUE,FALSE)</f>
        <v>0</v>
      </c>
      <c r="AG270" s="15" t="str">
        <f>VLOOKUP(Table2[[#This Row],[Home/Neutral]],division_lookup,9,FALSE)</f>
        <v>NW</v>
      </c>
      <c r="AH270" s="15" t="str">
        <f>IF(Table2[[#This Row],[Total/EV]]&lt;Table2[[#This Row],[Total/V]],"UNDER","OVER")</f>
        <v>OVER</v>
      </c>
      <c r="AI270" s="26">
        <f>Table2[[#This Row],[SRS/Real]]-Table2[[#This Row],[Spread/V]]</f>
        <v>0</v>
      </c>
      <c r="AJ270" s="2">
        <f>Table2[[#This Row],[EV/Real]]-Table2[[#This Row],[Spread/V]]</f>
        <v>0</v>
      </c>
      <c r="AK270" s="2">
        <f>Table2[[#This Row],[SRS/Diff]]-Table2[[#This Row],[EV/Diff]]</f>
        <v>0</v>
      </c>
      <c r="AL270" s="18">
        <f>Table2[[#This Row],[SRS]]-Table2[[#This Row],[Spread]]</f>
        <v>-3.2386885245901658</v>
      </c>
      <c r="AM270" s="21">
        <f>Table2[[#This Row],[(A) Err]]^2</f>
        <v>10.489103359312026</v>
      </c>
      <c r="AN270" s="6">
        <f>Table2[[#This Row],[EV]]-Table2[[#This Row],[Spread]]</f>
        <v>-5.7407750349519659</v>
      </c>
      <c r="AO270" s="1">
        <f>Table2[[#This Row],[EV Err]]^2</f>
        <v>32.956498001927748</v>
      </c>
      <c r="AP270" s="1"/>
    </row>
    <row r="271" spans="1:42" x14ac:dyDescent="0.25">
      <c r="A271" s="34">
        <v>42704</v>
      </c>
      <c r="B271" t="s">
        <v>126</v>
      </c>
      <c r="C271" t="s">
        <v>128</v>
      </c>
      <c r="E271" s="21"/>
      <c r="G271" s="21"/>
      <c r="H271" s="7"/>
      <c r="I271" s="21"/>
      <c r="K271"/>
      <c r="L271" s="21">
        <f>(Table2[[#This Row],[H/Pace]]/100)*(VLOOKUP(Table2[[#This Row],[Home/Neutral]],home_lookup,8,FALSE)+VLOOKUP(Table2[[#This Row],[Home/Neutral]],OFR_lookup,2,FALSE)+VLOOKUP(Table2[[#This Row],[Visitor/Neutral]],def_diff_lookup,6,FALSE))</f>
        <v>117.90743777050787</v>
      </c>
      <c r="M271" s="21"/>
      <c r="N271" s="21">
        <f>(Table2[[#This Row],[A/Pace]]/100)*(VLOOKUP(Table2[[#This Row],[Visitor/Neutral]],OFR_lookup,2,FALSE)+VLOOKUP(Table2[[#This Row],[Home/Neutral]],def_diff_lookup,6,FALSE))</f>
        <v>107.03327699999998</v>
      </c>
      <c r="O271" s="21"/>
      <c r="P271" s="21"/>
      <c r="Q271">
        <f>VLOOKUP(Table2[[#This Row],[Home/Neutral]],pace_lookup,7,FALSE)</f>
        <v>95.7</v>
      </c>
      <c r="R271" s="5">
        <f>VLOOKUP(Table2[[#This Row],[Visitor/Neutral]],pace_lookup,7,FALSE)</f>
        <v>96.3</v>
      </c>
      <c r="S271" s="7"/>
      <c r="U271" s="15"/>
      <c r="W271" s="2">
        <f>-home-VLOOKUP(Table2[[#This Row],[Home/Neutral]],rtg_vlookup,4,FALSE)+VLOOKUP(Table2[[#This Row],[Visitor/Neutral]],rtg_vlookup,4,FALSE)</f>
        <v>-3.4586885245901655</v>
      </c>
      <c r="X271" s="15"/>
      <c r="Y271" s="2"/>
      <c r="Z271" s="2">
        <f>Table2[[#This Row],[A/EV]]-Table2[[#This Row],[H/EV]]</f>
        <v>-10.874160770507885</v>
      </c>
      <c r="AA271" s="29"/>
      <c r="AB271" s="30"/>
      <c r="AC271" s="30"/>
      <c r="AD271" s="30"/>
      <c r="AE271" s="30"/>
      <c r="AF271" s="7" t="b">
        <f>IF(VLOOKUP(Table2[[#This Row],[Home/Neutral]],division_lookup,9,FALSE)=VLOOKUP(Table2[[#This Row],[Visitor/Neutral]],division_lookup,9,FALSE),TRUE,FALSE)</f>
        <v>0</v>
      </c>
      <c r="AG271" s="15" t="str">
        <f>VLOOKUP(Table2[[#This Row],[Home/Neutral]],division_lookup,9,FALSE)</f>
        <v>NW</v>
      </c>
      <c r="AH271" s="15" t="str">
        <f>IF(Table2[[#This Row],[Total/EV]]&lt;Table2[[#This Row],[Total/V]],"UNDER","OVER")</f>
        <v>OVER</v>
      </c>
      <c r="AI271" s="26">
        <f>Table2[[#This Row],[SRS/Real]]-Table2[[#This Row],[Spread/V]]</f>
        <v>0</v>
      </c>
      <c r="AJ271" s="2">
        <f>Table2[[#This Row],[EV/Real]]-Table2[[#This Row],[Spread/V]]</f>
        <v>0</v>
      </c>
      <c r="AK271" s="2">
        <f>Table2[[#This Row],[SRS/Diff]]-Table2[[#This Row],[EV/Diff]]</f>
        <v>0</v>
      </c>
      <c r="AL271" s="18">
        <f>Table2[[#This Row],[SRS]]-Table2[[#This Row],[Spread]]</f>
        <v>-3.4586885245901655</v>
      </c>
      <c r="AM271" s="21">
        <f>Table2[[#This Row],[(A) Err]]^2</f>
        <v>11.962526310131697</v>
      </c>
      <c r="AN271" s="6">
        <f>Table2[[#This Row],[EV]]-Table2[[#This Row],[Spread]]</f>
        <v>-10.874160770507885</v>
      </c>
      <c r="AO271" s="1">
        <f>Table2[[#This Row],[EV Err]]^2</f>
        <v>118.24737246285264</v>
      </c>
      <c r="AP271" s="1"/>
    </row>
    <row r="272" spans="1:42" x14ac:dyDescent="0.25">
      <c r="A272" s="34">
        <v>42704</v>
      </c>
      <c r="B272" t="s">
        <v>129</v>
      </c>
      <c r="C272" t="s">
        <v>137</v>
      </c>
      <c r="E272" s="21"/>
      <c r="G272" s="21"/>
      <c r="H272" s="7"/>
      <c r="I272" s="21"/>
      <c r="K272"/>
      <c r="L272" s="21">
        <f>(Table2[[#This Row],[H/Pace]]/100)*(VLOOKUP(Table2[[#This Row],[Home/Neutral]],home_lookup,8,FALSE)+VLOOKUP(Table2[[#This Row],[Home/Neutral]],OFR_lookup,2,FALSE)+VLOOKUP(Table2[[#This Row],[Visitor/Neutral]],def_diff_lookup,6,FALSE))</f>
        <v>110.88620376890107</v>
      </c>
      <c r="M272" s="21"/>
      <c r="N272" s="21">
        <f>(Table2[[#This Row],[A/Pace]]/100)*(VLOOKUP(Table2[[#This Row],[Visitor/Neutral]],OFR_lookup,2,FALSE)+VLOOKUP(Table2[[#This Row],[Home/Neutral]],def_diff_lookup,6,FALSE))</f>
        <v>101.04544</v>
      </c>
      <c r="O272" s="21"/>
      <c r="P272" s="21"/>
      <c r="Q272">
        <f>VLOOKUP(Table2[[#This Row],[Home/Neutral]],pace_lookup,7,FALSE)</f>
        <v>99</v>
      </c>
      <c r="R272" s="5">
        <f>VLOOKUP(Table2[[#This Row],[Visitor/Neutral]],pace_lookup,7,FALSE)</f>
        <v>96</v>
      </c>
      <c r="S272" s="7"/>
      <c r="U272" s="15"/>
      <c r="W272" s="2">
        <f>-home-VLOOKUP(Table2[[#This Row],[Home/Neutral]],rtg_vlookup,4,FALSE)+VLOOKUP(Table2[[#This Row],[Visitor/Neutral]],rtg_vlookup,4,FALSE)</f>
        <v>-7.2786885245901658</v>
      </c>
      <c r="X272" s="15"/>
      <c r="Y272" s="2"/>
      <c r="Z272" s="2">
        <f>Table2[[#This Row],[A/EV]]-Table2[[#This Row],[H/EV]]</f>
        <v>-9.8407637689010699</v>
      </c>
      <c r="AA272" s="29"/>
      <c r="AB272" s="30"/>
      <c r="AC272" s="30"/>
      <c r="AD272" s="30"/>
      <c r="AE272" s="30"/>
      <c r="AF272" s="7" t="b">
        <f>IF(VLOOKUP(Table2[[#This Row],[Home/Neutral]],division_lookup,9,FALSE)=VLOOKUP(Table2[[#This Row],[Visitor/Neutral]],division_lookup,9,FALSE),TRUE,FALSE)</f>
        <v>0</v>
      </c>
      <c r="AG272" s="15" t="str">
        <f>VLOOKUP(Table2[[#This Row],[Home/Neutral]],division_lookup,9,FALSE)</f>
        <v>NW</v>
      </c>
      <c r="AH272" s="15" t="str">
        <f>IF(Table2[[#This Row],[Total/EV]]&lt;Table2[[#This Row],[Total/V]],"UNDER","OVER")</f>
        <v>OVER</v>
      </c>
      <c r="AI272" s="26">
        <f>Table2[[#This Row],[SRS/Real]]-Table2[[#This Row],[Spread/V]]</f>
        <v>0</v>
      </c>
      <c r="AJ272" s="2">
        <f>Table2[[#This Row],[EV/Real]]-Table2[[#This Row],[Spread/V]]</f>
        <v>0</v>
      </c>
      <c r="AK272" s="2">
        <f>Table2[[#This Row],[SRS/Diff]]-Table2[[#This Row],[EV/Diff]]</f>
        <v>0</v>
      </c>
      <c r="AL272" s="18">
        <f>Table2[[#This Row],[SRS]]-Table2[[#This Row],[Spread]]</f>
        <v>-7.2786885245901658</v>
      </c>
      <c r="AM272" s="21">
        <f>Table2[[#This Row],[(A) Err]]^2</f>
        <v>52.979306638000565</v>
      </c>
      <c r="AN272" s="6">
        <f>Table2[[#This Row],[EV]]-Table2[[#This Row],[Spread]]</f>
        <v>-9.8407637689010699</v>
      </c>
      <c r="AO272" s="1">
        <f>Table2[[#This Row],[EV Err]]^2</f>
        <v>96.840631555315994</v>
      </c>
      <c r="AP272" s="1"/>
    </row>
    <row r="273" spans="1:42" x14ac:dyDescent="0.25">
      <c r="A273" s="34">
        <v>42704</v>
      </c>
      <c r="B273" t="s">
        <v>138</v>
      </c>
      <c r="C273" t="s">
        <v>133</v>
      </c>
      <c r="E273" s="21"/>
      <c r="G273" s="21"/>
      <c r="H273" s="7"/>
      <c r="I273" s="21"/>
      <c r="K273"/>
      <c r="L273" s="21">
        <f>(Table2[[#This Row],[H/Pace]]/100)*(VLOOKUP(Table2[[#This Row],[Home/Neutral]],home_lookup,8,FALSE)+VLOOKUP(Table2[[#This Row],[Home/Neutral]],OFR_lookup,2,FALSE)+VLOOKUP(Table2[[#This Row],[Visitor/Neutral]],def_diff_lookup,6,FALSE))</f>
        <v>102.2640335312401</v>
      </c>
      <c r="M273" s="21"/>
      <c r="N273" s="21">
        <f>(Table2[[#This Row],[A/Pace]]/100)*(VLOOKUP(Table2[[#This Row],[Visitor/Neutral]],OFR_lookup,2,FALSE)+VLOOKUP(Table2[[#This Row],[Home/Neutral]],def_diff_lookup,6,FALSE))</f>
        <v>103.33331800000001</v>
      </c>
      <c r="O273" s="21"/>
      <c r="P273" s="21"/>
      <c r="Q273">
        <f>VLOOKUP(Table2[[#This Row],[Home/Neutral]],pace_lookup,7,FALSE)</f>
        <v>97.5</v>
      </c>
      <c r="R273" s="5">
        <f>VLOOKUP(Table2[[#This Row],[Visitor/Neutral]],pace_lookup,7,FALSE)</f>
        <v>94.2</v>
      </c>
      <c r="S273" s="7"/>
      <c r="U273" s="15"/>
      <c r="W273" s="2">
        <f>-home-VLOOKUP(Table2[[#This Row],[Home/Neutral]],rtg_vlookup,4,FALSE)+VLOOKUP(Table2[[#This Row],[Visitor/Neutral]],rtg_vlookup,4,FALSE)</f>
        <v>4.9313114754098351</v>
      </c>
      <c r="X273" s="15"/>
      <c r="Y273" s="2"/>
      <c r="Z273" s="2">
        <f>Table2[[#This Row],[A/EV]]-Table2[[#This Row],[H/EV]]</f>
        <v>1.0692844687599035</v>
      </c>
      <c r="AA273" s="29"/>
      <c r="AB273" s="30"/>
      <c r="AC273" s="30"/>
      <c r="AD273" s="30"/>
      <c r="AE273" s="30"/>
      <c r="AF273" s="7" t="b">
        <f>IF(VLOOKUP(Table2[[#This Row],[Home/Neutral]],division_lookup,9,FALSE)=VLOOKUP(Table2[[#This Row],[Visitor/Neutral]],division_lookup,9,FALSE),TRUE,FALSE)</f>
        <v>0</v>
      </c>
      <c r="AG273" s="15" t="str">
        <f>VLOOKUP(Table2[[#This Row],[Home/Neutral]],division_lookup,9,FALSE)</f>
        <v>A</v>
      </c>
      <c r="AH273" s="15" t="str">
        <f>IF(Table2[[#This Row],[Total/EV]]&lt;Table2[[#This Row],[Total/V]],"UNDER","OVER")</f>
        <v>OVER</v>
      </c>
      <c r="AI273" s="26">
        <f>Table2[[#This Row],[SRS/Real]]-Table2[[#This Row],[Spread/V]]</f>
        <v>0</v>
      </c>
      <c r="AJ273" s="2">
        <f>Table2[[#This Row],[EV/Real]]-Table2[[#This Row],[Spread/V]]</f>
        <v>0</v>
      </c>
      <c r="AK273" s="2">
        <f>Table2[[#This Row],[SRS/Diff]]-Table2[[#This Row],[EV/Diff]]</f>
        <v>0</v>
      </c>
      <c r="AL273" s="18">
        <f>Table2[[#This Row],[SRS]]-Table2[[#This Row],[Spread]]</f>
        <v>4.9313114754098351</v>
      </c>
      <c r="AM273" s="21">
        <f>Table2[[#This Row],[(A) Err]]^2</f>
        <v>24.317832867508724</v>
      </c>
      <c r="AN273" s="6">
        <f>Table2[[#This Row],[EV]]-Table2[[#This Row],[Spread]]</f>
        <v>1.0692844687599035</v>
      </c>
      <c r="AO273" s="1">
        <f>Table2[[#This Row],[EV Err]]^2</f>
        <v>1.1433692751311491</v>
      </c>
      <c r="AP273" s="1"/>
    </row>
    <row r="274" spans="1:42" x14ac:dyDescent="0.25">
      <c r="A274" s="34">
        <v>42704</v>
      </c>
      <c r="B274" t="s">
        <v>131</v>
      </c>
      <c r="C274" t="s">
        <v>109</v>
      </c>
      <c r="E274" s="21"/>
      <c r="G274" s="21"/>
      <c r="H274" s="7"/>
      <c r="I274" s="21"/>
      <c r="K274"/>
      <c r="L274" s="21">
        <f>(Table2[[#This Row],[H/Pace]]/100)*(VLOOKUP(Table2[[#This Row],[Home/Neutral]],home_lookup,8,FALSE)+VLOOKUP(Table2[[#This Row],[Home/Neutral]],OFR_lookup,2,FALSE)+VLOOKUP(Table2[[#This Row],[Visitor/Neutral]],def_diff_lookup,6,FALSE))</f>
        <v>89.977039791197654</v>
      </c>
      <c r="M274" s="21"/>
      <c r="N274" s="21">
        <f>(Table2[[#This Row],[A/Pace]]/100)*(VLOOKUP(Table2[[#This Row],[Visitor/Neutral]],OFR_lookup,2,FALSE)+VLOOKUP(Table2[[#This Row],[Home/Neutral]],def_diff_lookup,6,FALSE))</f>
        <v>102.38002133333333</v>
      </c>
      <c r="O274" s="21"/>
      <c r="P274" s="21"/>
      <c r="Q274">
        <f>VLOOKUP(Table2[[#This Row],[Home/Neutral]],pace_lookup,7,FALSE)</f>
        <v>101.7</v>
      </c>
      <c r="R274" s="5">
        <f>VLOOKUP(Table2[[#This Row],[Visitor/Neutral]],pace_lookup,7,FALSE)</f>
        <v>99.2</v>
      </c>
      <c r="S274" s="7"/>
      <c r="U274" s="15"/>
      <c r="W274" s="2">
        <f>-home-VLOOKUP(Table2[[#This Row],[Home/Neutral]],rtg_vlookup,4,FALSE)+VLOOKUP(Table2[[#This Row],[Visitor/Neutral]],rtg_vlookup,4,FALSE)</f>
        <v>5.8813114754098343</v>
      </c>
      <c r="X274" s="15"/>
      <c r="Y274" s="2"/>
      <c r="Z274" s="2">
        <f>Table2[[#This Row],[A/EV]]-Table2[[#This Row],[H/EV]]</f>
        <v>12.402981542135677</v>
      </c>
      <c r="AA274" s="29"/>
      <c r="AB274" s="30"/>
      <c r="AC274" s="30"/>
      <c r="AD274" s="30"/>
      <c r="AE274" s="30"/>
      <c r="AF274" s="7" t="b">
        <f>IF(VLOOKUP(Table2[[#This Row],[Home/Neutral]],division_lookup,9,FALSE)=VLOOKUP(Table2[[#This Row],[Visitor/Neutral]],division_lookup,9,FALSE),TRUE,FALSE)</f>
        <v>0</v>
      </c>
      <c r="AG274" s="15" t="str">
        <f>VLOOKUP(Table2[[#This Row],[Home/Neutral]],division_lookup,9,FALSE)</f>
        <v>P</v>
      </c>
      <c r="AH274" s="15" t="str">
        <f>IF(Table2[[#This Row],[Total/EV]]&lt;Table2[[#This Row],[Total/V]],"UNDER","OVER")</f>
        <v>OVER</v>
      </c>
      <c r="AI274" s="26">
        <f>Table2[[#This Row],[SRS/Real]]-Table2[[#This Row],[Spread/V]]</f>
        <v>0</v>
      </c>
      <c r="AJ274" s="2">
        <f>Table2[[#This Row],[EV/Real]]-Table2[[#This Row],[Spread/V]]</f>
        <v>0</v>
      </c>
      <c r="AK274" s="2">
        <f>Table2[[#This Row],[SRS/Diff]]-Table2[[#This Row],[EV/Diff]]</f>
        <v>0</v>
      </c>
      <c r="AL274" s="18">
        <f>Table2[[#This Row],[SRS]]-Table2[[#This Row],[Spread]]</f>
        <v>5.8813114754098343</v>
      </c>
      <c r="AM274" s="21">
        <f>Table2[[#This Row],[(A) Err]]^2</f>
        <v>34.589824670787401</v>
      </c>
      <c r="AN274" s="6">
        <f>Table2[[#This Row],[EV]]-Table2[[#This Row],[Spread]]</f>
        <v>12.402981542135677</v>
      </c>
      <c r="AO274" s="1">
        <f>Table2[[#This Row],[EV Err]]^2</f>
        <v>153.8339511345583</v>
      </c>
      <c r="AP274" s="1"/>
    </row>
    <row r="275" spans="1:42" x14ac:dyDescent="0.25">
      <c r="A275" s="34">
        <v>42704</v>
      </c>
      <c r="B275" t="s">
        <v>132</v>
      </c>
      <c r="C275" t="s">
        <v>120</v>
      </c>
      <c r="E275" s="21"/>
      <c r="G275" s="21"/>
      <c r="H275" s="7"/>
      <c r="I275" s="21"/>
      <c r="K275"/>
      <c r="L275" s="21">
        <f>(Table2[[#This Row],[H/Pace]]/100)*(VLOOKUP(Table2[[#This Row],[Home/Neutral]],home_lookup,8,FALSE)+VLOOKUP(Table2[[#This Row],[Home/Neutral]],OFR_lookup,2,FALSE)+VLOOKUP(Table2[[#This Row],[Visitor/Neutral]],def_diff_lookup,6,FALSE))</f>
        <v>110.71350144606978</v>
      </c>
      <c r="M275" s="21"/>
      <c r="N275" s="21">
        <f>(Table2[[#This Row],[A/Pace]]/100)*(VLOOKUP(Table2[[#This Row],[Visitor/Neutral]],OFR_lookup,2,FALSE)+VLOOKUP(Table2[[#This Row],[Home/Neutral]],def_diff_lookup,6,FALSE))</f>
        <v>107.36883033333334</v>
      </c>
      <c r="O275" s="21"/>
      <c r="P275" s="21"/>
      <c r="Q275">
        <f>VLOOKUP(Table2[[#This Row],[Home/Neutral]],pace_lookup,7,FALSE)</f>
        <v>98.8</v>
      </c>
      <c r="R275" s="5">
        <f>VLOOKUP(Table2[[#This Row],[Visitor/Neutral]],pace_lookup,7,FALSE)</f>
        <v>98.3</v>
      </c>
      <c r="S275" s="7"/>
      <c r="U275" s="15"/>
      <c r="W275" s="2">
        <f>-home-VLOOKUP(Table2[[#This Row],[Home/Neutral]],rtg_vlookup,4,FALSE)+VLOOKUP(Table2[[#This Row],[Visitor/Neutral]],rtg_vlookup,4,FALSE)</f>
        <v>-5.0386885245901656</v>
      </c>
      <c r="X275" s="15"/>
      <c r="Y275" s="2"/>
      <c r="Z275" s="2">
        <f>Table2[[#This Row],[A/EV]]-Table2[[#This Row],[H/EV]]</f>
        <v>-3.3446711127364495</v>
      </c>
      <c r="AA275" s="29"/>
      <c r="AB275" s="30"/>
      <c r="AC275" s="30"/>
      <c r="AD275" s="30"/>
      <c r="AE275" s="30"/>
      <c r="AF275" s="7" t="b">
        <f>IF(VLOOKUP(Table2[[#This Row],[Home/Neutral]],division_lookup,9,FALSE)=VLOOKUP(Table2[[#This Row],[Visitor/Neutral]],division_lookup,9,FALSE),TRUE,FALSE)</f>
        <v>0</v>
      </c>
      <c r="AG275" s="15" t="str">
        <f>VLOOKUP(Table2[[#This Row],[Home/Neutral]],division_lookup,9,FALSE)</f>
        <v>NW</v>
      </c>
      <c r="AH275" s="15" t="str">
        <f>IF(Table2[[#This Row],[Total/EV]]&lt;Table2[[#This Row],[Total/V]],"UNDER","OVER")</f>
        <v>OVER</v>
      </c>
      <c r="AI275" s="26">
        <f>Table2[[#This Row],[SRS/Real]]-Table2[[#This Row],[Spread/V]]</f>
        <v>0</v>
      </c>
      <c r="AJ275" s="2">
        <f>Table2[[#This Row],[EV/Real]]-Table2[[#This Row],[Spread/V]]</f>
        <v>0</v>
      </c>
      <c r="AK275" s="2">
        <f>Table2[[#This Row],[SRS/Diff]]-Table2[[#This Row],[EV/Diff]]</f>
        <v>0</v>
      </c>
      <c r="AL275" s="18">
        <f>Table2[[#This Row],[SRS]]-Table2[[#This Row],[Spread]]</f>
        <v>-5.0386885245901656</v>
      </c>
      <c r="AM275" s="21">
        <f>Table2[[#This Row],[(A) Err]]^2</f>
        <v>25.388382047836618</v>
      </c>
      <c r="AN275" s="6">
        <f>Table2[[#This Row],[EV]]-Table2[[#This Row],[Spread]]</f>
        <v>-3.3446711127364495</v>
      </c>
      <c r="AO275" s="1">
        <f>Table2[[#This Row],[EV Err]]^2</f>
        <v>11.186824852373679</v>
      </c>
      <c r="AP275" s="1"/>
    </row>
    <row r="276" spans="1:42" ht="15.75" thickBot="1" x14ac:dyDescent="0.3">
      <c r="A276" s="100">
        <v>42704</v>
      </c>
      <c r="B276" s="3" t="s">
        <v>135</v>
      </c>
      <c r="C276" s="3" t="s">
        <v>123</v>
      </c>
      <c r="D276" s="3"/>
      <c r="E276" s="22"/>
      <c r="F276" s="3"/>
      <c r="G276" s="22"/>
      <c r="H276" s="8"/>
      <c r="I276" s="22"/>
      <c r="J276" s="3"/>
      <c r="K276" s="3"/>
      <c r="L276" s="22">
        <f>(Table2[[#This Row],[H/Pace]]/100)*(VLOOKUP(Table2[[#This Row],[Home/Neutral]],home_lookup,8,FALSE)+VLOOKUP(Table2[[#This Row],[Home/Neutral]],OFR_lookup,2,FALSE)+VLOOKUP(Table2[[#This Row],[Visitor/Neutral]],def_diff_lookup,6,FALSE))</f>
        <v>106.27230035324614</v>
      </c>
      <c r="M276" s="22"/>
      <c r="N276" s="22">
        <f>(Table2[[#This Row],[A/Pace]]/100)*(VLOOKUP(Table2[[#This Row],[Visitor/Neutral]],OFR_lookup,2,FALSE)+VLOOKUP(Table2[[#This Row],[Home/Neutral]],def_diff_lookup,6,FALSE))</f>
        <v>96.843491666666665</v>
      </c>
      <c r="O276" s="22"/>
      <c r="P276" s="22"/>
      <c r="Q276" s="3">
        <f>VLOOKUP(Table2[[#This Row],[Home/Neutral]],pace_lookup,7,FALSE)</f>
        <v>95.4</v>
      </c>
      <c r="R276" s="3">
        <f>VLOOKUP(Table2[[#This Row],[Visitor/Neutral]],pace_lookup,7,FALSE)</f>
        <v>92.5</v>
      </c>
      <c r="S276" s="8"/>
      <c r="T276" s="3"/>
      <c r="U276" s="16"/>
      <c r="V276" s="3"/>
      <c r="W276" s="9">
        <f>-home-VLOOKUP(Table2[[#This Row],[Home/Neutral]],rtg_vlookup,4,FALSE)+VLOOKUP(Table2[[#This Row],[Visitor/Neutral]],rtg_vlookup,4,FALSE)</f>
        <v>-8.0386885245901656</v>
      </c>
      <c r="X276" s="16"/>
      <c r="Y276" s="9"/>
      <c r="Z276" s="9">
        <f>Table2[[#This Row],[A/EV]]-Table2[[#This Row],[H/EV]]</f>
        <v>-9.4288086865794725</v>
      </c>
      <c r="AA276" s="31"/>
      <c r="AB276" s="32"/>
      <c r="AC276" s="32"/>
      <c r="AD276" s="32"/>
      <c r="AE276" s="32"/>
      <c r="AF276" s="8" t="b">
        <f>IF(VLOOKUP(Table2[[#This Row],[Home/Neutral]],division_lookup,9,FALSE)=VLOOKUP(Table2[[#This Row],[Visitor/Neutral]],division_lookup,9,FALSE),TRUE,FALSE)</f>
        <v>0</v>
      </c>
      <c r="AG276" s="16" t="str">
        <f>VLOOKUP(Table2[[#This Row],[Home/Neutral]],division_lookup,9,FALSE)</f>
        <v>A</v>
      </c>
      <c r="AH276" s="16" t="str">
        <f>IF(Table2[[#This Row],[Total/EV]]&lt;Table2[[#This Row],[Total/V]],"UNDER","OVER")</f>
        <v>OVER</v>
      </c>
      <c r="AI276" s="16">
        <f>Table2[[#This Row],[SRS/Real]]-Table2[[#This Row],[Spread/V]]</f>
        <v>0</v>
      </c>
      <c r="AJ276" s="9">
        <f>Table2[[#This Row],[EV/Real]]-Table2[[#This Row],[Spread/V]]</f>
        <v>0</v>
      </c>
      <c r="AK276" s="9">
        <f>Table2[[#This Row],[SRS/Diff]]-Table2[[#This Row],[EV/Diff]]</f>
        <v>0</v>
      </c>
      <c r="AL276" s="19">
        <f>Table2[[#This Row],[SRS]]-Table2[[#This Row],[Spread]]</f>
        <v>-8.0386885245901656</v>
      </c>
      <c r="AM276" s="22">
        <f>Table2[[#This Row],[(A) Err]]^2</f>
        <v>64.620513195377612</v>
      </c>
      <c r="AN276" s="4">
        <f>Table2[[#This Row],[EV]]-Table2[[#This Row],[Spread]]</f>
        <v>-9.4288086865794725</v>
      </c>
      <c r="AO276" s="4">
        <f>Table2[[#This Row],[EV Err]]^2</f>
        <v>88.902433248116523</v>
      </c>
      <c r="AP276" s="1"/>
    </row>
    <row r="277" spans="1:42" x14ac:dyDescent="0.25">
      <c r="A277" s="34">
        <v>42705</v>
      </c>
      <c r="B277" t="s">
        <v>111</v>
      </c>
      <c r="C277" t="s">
        <v>125</v>
      </c>
      <c r="E277" s="21"/>
      <c r="G277" s="21"/>
      <c r="H277" s="7"/>
      <c r="I277" s="21"/>
      <c r="K277"/>
      <c r="L277" s="21">
        <f>(Table2[[#This Row],[H/Pace]]/100)*(VLOOKUP(Table2[[#This Row],[Home/Neutral]],home_lookup,8,FALSE)+VLOOKUP(Table2[[#This Row],[Home/Neutral]],OFR_lookup,2,FALSE)+VLOOKUP(Table2[[#This Row],[Visitor/Neutral]],def_diff_lookup,6,FALSE))</f>
        <v>102.29261832771635</v>
      </c>
      <c r="M277" s="21"/>
      <c r="N277" s="21">
        <f>(Table2[[#This Row],[A/Pace]]/100)*(VLOOKUP(Table2[[#This Row],[Visitor/Neutral]],OFR_lookup,2,FALSE)+VLOOKUP(Table2[[#This Row],[Home/Neutral]],def_diff_lookup,6,FALSE))</f>
        <v>106.22477566666666</v>
      </c>
      <c r="O277" s="21"/>
      <c r="P277" s="21"/>
      <c r="Q277">
        <f>VLOOKUP(Table2[[#This Row],[Home/Neutral]],pace_lookup,7,FALSE)</f>
        <v>102</v>
      </c>
      <c r="R277" s="5">
        <f>VLOOKUP(Table2[[#This Row],[Visitor/Neutral]],pace_lookup,7,FALSE)</f>
        <v>96.1</v>
      </c>
      <c r="S277" s="7"/>
      <c r="U277" s="15"/>
      <c r="W277" s="2">
        <f>-home-VLOOKUP(Table2[[#This Row],[Home/Neutral]],rtg_vlookup,4,FALSE)+VLOOKUP(Table2[[#This Row],[Visitor/Neutral]],rtg_vlookup,4,FALSE)</f>
        <v>3.5213114754098336</v>
      </c>
      <c r="X277" s="15"/>
      <c r="Y277" s="2"/>
      <c r="Z277" s="2">
        <f>Table2[[#This Row],[A/EV]]-Table2[[#This Row],[H/EV]]</f>
        <v>3.9321573389503044</v>
      </c>
      <c r="AA277" s="29"/>
      <c r="AB277" s="30"/>
      <c r="AC277" s="30"/>
      <c r="AD277" s="30"/>
      <c r="AE277" s="30"/>
      <c r="AF277" s="7" t="b">
        <f>IF(VLOOKUP(Table2[[#This Row],[Home/Neutral]],division_lookup,9,FALSE)=VLOOKUP(Table2[[#This Row],[Visitor/Neutral]],division_lookup,9,FALSE),TRUE,FALSE)</f>
        <v>0</v>
      </c>
      <c r="AG277" s="15" t="str">
        <f>VLOOKUP(Table2[[#This Row],[Home/Neutral]],division_lookup,9,FALSE)</f>
        <v>A</v>
      </c>
      <c r="AH277" s="15" t="str">
        <f>IF(Table2[[#This Row],[Total/EV]]&lt;Table2[[#This Row],[Total/V]],"UNDER","OVER")</f>
        <v>OVER</v>
      </c>
      <c r="AI277" s="26">
        <f>Table2[[#This Row],[SRS/Real]]-Table2[[#This Row],[Spread/V]]</f>
        <v>0</v>
      </c>
      <c r="AJ277" s="2">
        <f>Table2[[#This Row],[EV/Real]]-Table2[[#This Row],[Spread/V]]</f>
        <v>0</v>
      </c>
      <c r="AK277" s="2">
        <f>Table2[[#This Row],[SRS/Diff]]-Table2[[#This Row],[EV/Diff]]</f>
        <v>0</v>
      </c>
      <c r="AL277" s="18">
        <f>Table2[[#This Row],[SRS]]-Table2[[#This Row],[Spread]]</f>
        <v>3.5213114754098336</v>
      </c>
      <c r="AM277" s="21">
        <f>Table2[[#This Row],[(A) Err]]^2</f>
        <v>12.39963450685298</v>
      </c>
      <c r="AN277" s="6">
        <f>Table2[[#This Row],[EV]]-Table2[[#This Row],[Spread]]</f>
        <v>3.9321573389503044</v>
      </c>
      <c r="AO277" s="1">
        <f>Table2[[#This Row],[EV Err]]^2</f>
        <v>15.461861338260739</v>
      </c>
      <c r="AP277" s="1"/>
    </row>
    <row r="278" spans="1:42" x14ac:dyDescent="0.25">
      <c r="A278" s="34">
        <v>42705</v>
      </c>
      <c r="B278" t="s">
        <v>112</v>
      </c>
      <c r="C278" t="s">
        <v>115</v>
      </c>
      <c r="E278" s="21"/>
      <c r="G278" s="21"/>
      <c r="H278" s="7"/>
      <c r="I278" s="21"/>
      <c r="K278"/>
      <c r="L278" s="21">
        <f>(Table2[[#This Row],[H/Pace]]/100)*(VLOOKUP(Table2[[#This Row],[Home/Neutral]],home_lookup,8,FALSE)+VLOOKUP(Table2[[#This Row],[Home/Neutral]],OFR_lookup,2,FALSE)+VLOOKUP(Table2[[#This Row],[Visitor/Neutral]],def_diff_lookup,6,FALSE))</f>
        <v>103.49796195313485</v>
      </c>
      <c r="M278" s="21"/>
      <c r="N278" s="21">
        <f>(Table2[[#This Row],[A/Pace]]/100)*(VLOOKUP(Table2[[#This Row],[Visitor/Neutral]],OFR_lookup,2,FALSE)+VLOOKUP(Table2[[#This Row],[Home/Neutral]],def_diff_lookup,6,FALSE))</f>
        <v>89.337904333333341</v>
      </c>
      <c r="O278" s="21"/>
      <c r="P278" s="21"/>
      <c r="Q278">
        <f>VLOOKUP(Table2[[#This Row],[Home/Neutral]],pace_lookup,7,FALSE)</f>
        <v>97.4</v>
      </c>
      <c r="R278" s="5">
        <f>VLOOKUP(Table2[[#This Row],[Visitor/Neutral]],pace_lookup,7,FALSE)</f>
        <v>92.9</v>
      </c>
      <c r="S278" s="7"/>
      <c r="U278" s="15"/>
      <c r="W278" s="2">
        <f>-home-VLOOKUP(Table2[[#This Row],[Home/Neutral]],rtg_vlookup,4,FALSE)+VLOOKUP(Table2[[#This Row],[Visitor/Neutral]],rtg_vlookup,4,FALSE)</f>
        <v>-13.678688524590164</v>
      </c>
      <c r="X278" s="15"/>
      <c r="Y278" s="2"/>
      <c r="Z278" s="2">
        <f>Table2[[#This Row],[A/EV]]-Table2[[#This Row],[H/EV]]</f>
        <v>-14.160057619801506</v>
      </c>
      <c r="AA278" s="29"/>
      <c r="AB278" s="30"/>
      <c r="AC278" s="30"/>
      <c r="AD278" s="30"/>
      <c r="AE278" s="30"/>
      <c r="AF278" s="7" t="b">
        <f>IF(VLOOKUP(Table2[[#This Row],[Home/Neutral]],division_lookup,9,FALSE)=VLOOKUP(Table2[[#This Row],[Visitor/Neutral]],division_lookup,9,FALSE),TRUE,FALSE)</f>
        <v>0</v>
      </c>
      <c r="AG278" s="15" t="str">
        <f>VLOOKUP(Table2[[#This Row],[Home/Neutral]],division_lookup,9,FALSE)</f>
        <v>SE</v>
      </c>
      <c r="AH278" s="15" t="str">
        <f>IF(Table2[[#This Row],[Total/EV]]&lt;Table2[[#This Row],[Total/V]],"UNDER","OVER")</f>
        <v>OVER</v>
      </c>
      <c r="AI278" s="26">
        <f>Table2[[#This Row],[SRS/Real]]-Table2[[#This Row],[Spread/V]]</f>
        <v>0</v>
      </c>
      <c r="AJ278" s="2">
        <f>Table2[[#This Row],[EV/Real]]-Table2[[#This Row],[Spread/V]]</f>
        <v>0</v>
      </c>
      <c r="AK278" s="2">
        <f>Table2[[#This Row],[SRS/Diff]]-Table2[[#This Row],[EV/Diff]]</f>
        <v>0</v>
      </c>
      <c r="AL278" s="18">
        <f>Table2[[#This Row],[SRS]]-Table2[[#This Row],[Spread]]</f>
        <v>-13.678688524590164</v>
      </c>
      <c r="AM278" s="21">
        <f>Table2[[#This Row],[(A) Err]]^2</f>
        <v>187.10651975275465</v>
      </c>
      <c r="AN278" s="6">
        <f>Table2[[#This Row],[EV]]-Table2[[#This Row],[Spread]]</f>
        <v>-14.160057619801506</v>
      </c>
      <c r="AO278" s="1">
        <f>Table2[[#This Row],[EV Err]]^2</f>
        <v>200.50723179609869</v>
      </c>
      <c r="AP278" s="1"/>
    </row>
    <row r="279" spans="1:42" x14ac:dyDescent="0.25">
      <c r="A279" s="34">
        <v>42705</v>
      </c>
      <c r="B279" t="s">
        <v>114</v>
      </c>
      <c r="C279" t="s">
        <v>121</v>
      </c>
      <c r="E279" s="21"/>
      <c r="G279" s="21"/>
      <c r="H279" s="7"/>
      <c r="I279" s="21"/>
      <c r="K279"/>
      <c r="L279" s="21">
        <f>(Table2[[#This Row],[H/Pace]]/100)*(VLOOKUP(Table2[[#This Row],[Home/Neutral]],home_lookup,8,FALSE)+VLOOKUP(Table2[[#This Row],[Home/Neutral]],OFR_lookup,2,FALSE)+VLOOKUP(Table2[[#This Row],[Visitor/Neutral]],def_diff_lookup,6,FALSE))</f>
        <v>110.11617276756466</v>
      </c>
      <c r="M279" s="21"/>
      <c r="N279" s="21">
        <f>(Table2[[#This Row],[A/Pace]]/100)*(VLOOKUP(Table2[[#This Row],[Visitor/Neutral]],OFR_lookup,2,FALSE)+VLOOKUP(Table2[[#This Row],[Home/Neutral]],def_diff_lookup,6,FALSE))</f>
        <v>110.45094266666668</v>
      </c>
      <c r="O279" s="21"/>
      <c r="P279" s="21"/>
      <c r="Q279">
        <f>VLOOKUP(Table2[[#This Row],[Home/Neutral]],pace_lookup,7,FALSE)</f>
        <v>97.3</v>
      </c>
      <c r="R279" s="5">
        <f>VLOOKUP(Table2[[#This Row],[Visitor/Neutral]],pace_lookup,7,FALSE)</f>
        <v>96.4</v>
      </c>
      <c r="S279" s="7"/>
      <c r="U279" s="15"/>
      <c r="W279" s="2">
        <f>-home-VLOOKUP(Table2[[#This Row],[Home/Neutral]],rtg_vlookup,4,FALSE)+VLOOKUP(Table2[[#This Row],[Visitor/Neutral]],rtg_vlookup,4,FALSE)</f>
        <v>1.3013114754098343</v>
      </c>
      <c r="X279" s="15"/>
      <c r="Y279" s="2"/>
      <c r="Z279" s="2">
        <f>Table2[[#This Row],[A/EV]]-Table2[[#This Row],[H/EV]]</f>
        <v>0.33476989910201382</v>
      </c>
      <c r="AA279" s="29"/>
      <c r="AB279" s="30"/>
      <c r="AC279" s="30"/>
      <c r="AD279" s="30"/>
      <c r="AE279" s="30"/>
      <c r="AF279" s="7" t="b">
        <f>IF(VLOOKUP(Table2[[#This Row],[Home/Neutral]],division_lookup,9,FALSE)=VLOOKUP(Table2[[#This Row],[Visitor/Neutral]],division_lookup,9,FALSE),TRUE,FALSE)</f>
        <v>0</v>
      </c>
      <c r="AG279" s="15" t="str">
        <f>VLOOKUP(Table2[[#This Row],[Home/Neutral]],division_lookup,9,FALSE)</f>
        <v>C</v>
      </c>
      <c r="AH279" s="15" t="str">
        <f>IF(Table2[[#This Row],[Total/EV]]&lt;Table2[[#This Row],[Total/V]],"UNDER","OVER")</f>
        <v>OVER</v>
      </c>
      <c r="AI279" s="26">
        <f>Table2[[#This Row],[SRS/Real]]-Table2[[#This Row],[Spread/V]]</f>
        <v>0</v>
      </c>
      <c r="AJ279" s="2">
        <f>Table2[[#This Row],[EV/Real]]-Table2[[#This Row],[Spread/V]]</f>
        <v>0</v>
      </c>
      <c r="AK279" s="2">
        <f>Table2[[#This Row],[SRS/Diff]]-Table2[[#This Row],[EV/Diff]]</f>
        <v>0</v>
      </c>
      <c r="AL279" s="18">
        <f>Table2[[#This Row],[SRS]]-Table2[[#This Row],[Spread]]</f>
        <v>1.3013114754098343</v>
      </c>
      <c r="AM279" s="21">
        <f>Table2[[#This Row],[(A) Err]]^2</f>
        <v>1.6934115560333196</v>
      </c>
      <c r="AN279" s="6">
        <f>Table2[[#This Row],[EV]]-Table2[[#This Row],[Spread]]</f>
        <v>0.33476989910201382</v>
      </c>
      <c r="AO279" s="1">
        <f>Table2[[#This Row],[EV Err]]^2</f>
        <v>0.11207088534477251</v>
      </c>
      <c r="AP279" s="1"/>
    </row>
    <row r="280" spans="1:42" x14ac:dyDescent="0.25">
      <c r="A280" s="34">
        <v>42705</v>
      </c>
      <c r="B280" t="s">
        <v>118</v>
      </c>
      <c r="C280" t="s">
        <v>119</v>
      </c>
      <c r="E280" s="21"/>
      <c r="G280" s="21"/>
      <c r="H280" s="7"/>
      <c r="I280" s="21"/>
      <c r="K280"/>
      <c r="L280" s="21">
        <f>(Table2[[#This Row],[H/Pace]]/100)*(VLOOKUP(Table2[[#This Row],[Home/Neutral]],home_lookup,8,FALSE)+VLOOKUP(Table2[[#This Row],[Home/Neutral]],OFR_lookup,2,FALSE)+VLOOKUP(Table2[[#This Row],[Visitor/Neutral]],def_diff_lookup,6,FALSE))</f>
        <v>117.48339838078238</v>
      </c>
      <c r="M280" s="21"/>
      <c r="N280" s="21">
        <f>(Table2[[#This Row],[A/Pace]]/100)*(VLOOKUP(Table2[[#This Row],[Visitor/Neutral]],OFR_lookup,2,FALSE)+VLOOKUP(Table2[[#This Row],[Home/Neutral]],def_diff_lookup,6,FALSE))</f>
        <v>108.44628100000001</v>
      </c>
      <c r="O280" s="21"/>
      <c r="P280" s="21"/>
      <c r="Q280">
        <f>VLOOKUP(Table2[[#This Row],[Home/Neutral]],pace_lookup,7,FALSE)</f>
        <v>100.4</v>
      </c>
      <c r="R280" s="5">
        <f>VLOOKUP(Table2[[#This Row],[Visitor/Neutral]],pace_lookup,7,FALSE)</f>
        <v>96.9</v>
      </c>
      <c r="S280" s="7"/>
      <c r="U280" s="15"/>
      <c r="W280" s="2">
        <f>-home-VLOOKUP(Table2[[#This Row],[Home/Neutral]],rtg_vlookup,4,FALSE)+VLOOKUP(Table2[[#This Row],[Visitor/Neutral]],rtg_vlookup,4,FALSE)</f>
        <v>-10.518688524590166</v>
      </c>
      <c r="X280" s="15"/>
      <c r="Y280" s="2"/>
      <c r="Z280" s="2">
        <f>Table2[[#This Row],[A/EV]]-Table2[[#This Row],[H/EV]]</f>
        <v>-9.0371173807823624</v>
      </c>
      <c r="AA280" s="29"/>
      <c r="AB280" s="30"/>
      <c r="AC280" s="30"/>
      <c r="AD280" s="30"/>
      <c r="AE280" s="30"/>
      <c r="AF280" s="7" t="b">
        <f>IF(VLOOKUP(Table2[[#This Row],[Home/Neutral]],division_lookup,9,FALSE)=VLOOKUP(Table2[[#This Row],[Visitor/Neutral]],division_lookup,9,FALSE),TRUE,FALSE)</f>
        <v>0</v>
      </c>
      <c r="AG280" s="15" t="str">
        <f>VLOOKUP(Table2[[#This Row],[Home/Neutral]],division_lookup,9,FALSE)</f>
        <v>P</v>
      </c>
      <c r="AH280" s="15" t="str">
        <f>IF(Table2[[#This Row],[Total/EV]]&lt;Table2[[#This Row],[Total/V]],"UNDER","OVER")</f>
        <v>OVER</v>
      </c>
      <c r="AI280" s="26">
        <f>Table2[[#This Row],[SRS/Real]]-Table2[[#This Row],[Spread/V]]</f>
        <v>0</v>
      </c>
      <c r="AJ280" s="2">
        <f>Table2[[#This Row],[EV/Real]]-Table2[[#This Row],[Spread/V]]</f>
        <v>0</v>
      </c>
      <c r="AK280" s="2">
        <f>Table2[[#This Row],[SRS/Diff]]-Table2[[#This Row],[EV/Diff]]</f>
        <v>0</v>
      </c>
      <c r="AL280" s="18">
        <f>Table2[[#This Row],[SRS]]-Table2[[#This Row],[Spread]]</f>
        <v>-10.518688524590166</v>
      </c>
      <c r="AM280" s="21">
        <f>Table2[[#This Row],[(A) Err]]^2</f>
        <v>110.64280827734484</v>
      </c>
      <c r="AN280" s="6">
        <f>Table2[[#This Row],[EV]]-Table2[[#This Row],[Spread]]</f>
        <v>-9.0371173807823624</v>
      </c>
      <c r="AO280" s="1">
        <f>Table2[[#This Row],[EV Err]]^2</f>
        <v>81.66949055403866</v>
      </c>
      <c r="AP280" s="1"/>
    </row>
    <row r="281" spans="1:42" x14ac:dyDescent="0.25">
      <c r="A281" s="34">
        <v>42705</v>
      </c>
      <c r="B281" t="s">
        <v>123</v>
      </c>
      <c r="C281" t="s">
        <v>130</v>
      </c>
      <c r="E281" s="21"/>
      <c r="G281" s="21"/>
      <c r="H281" s="7"/>
      <c r="I281" s="21"/>
      <c r="K281"/>
      <c r="L281" s="21">
        <f>(Table2[[#This Row],[H/Pace]]/100)*(VLOOKUP(Table2[[#This Row],[Home/Neutral]],home_lookup,8,FALSE)+VLOOKUP(Table2[[#This Row],[Home/Neutral]],OFR_lookup,2,FALSE)+VLOOKUP(Table2[[#This Row],[Visitor/Neutral]],def_diff_lookup,6,FALSE))</f>
        <v>101.57817709563918</v>
      </c>
      <c r="M281" s="21"/>
      <c r="N281" s="21">
        <f>(Table2[[#This Row],[A/Pace]]/100)*(VLOOKUP(Table2[[#This Row],[Visitor/Neutral]],OFR_lookup,2,FALSE)+VLOOKUP(Table2[[#This Row],[Home/Neutral]],def_diff_lookup,6,FALSE))</f>
        <v>88.807677999999996</v>
      </c>
      <c r="O281" s="21"/>
      <c r="P281" s="21"/>
      <c r="Q281">
        <f>VLOOKUP(Table2[[#This Row],[Home/Neutral]],pace_lookup,7,FALSE)</f>
        <v>92.5</v>
      </c>
      <c r="R281" s="5">
        <f>VLOOKUP(Table2[[#This Row],[Visitor/Neutral]],pace_lookup,7,FALSE)</f>
        <v>94.2</v>
      </c>
      <c r="S281" s="7"/>
      <c r="U281" s="15"/>
      <c r="W281" s="2">
        <f>-home-VLOOKUP(Table2[[#This Row],[Home/Neutral]],rtg_vlookup,4,FALSE)+VLOOKUP(Table2[[#This Row],[Visitor/Neutral]],rtg_vlookup,4,FALSE)</f>
        <v>-12.088688524590166</v>
      </c>
      <c r="X281" s="15"/>
      <c r="Y281" s="2"/>
      <c r="Z281" s="2">
        <f>Table2[[#This Row],[A/EV]]-Table2[[#This Row],[H/EV]]</f>
        <v>-12.770499095639181</v>
      </c>
      <c r="AA281" s="29"/>
      <c r="AB281" s="30"/>
      <c r="AC281" s="30"/>
      <c r="AD281" s="30"/>
      <c r="AE281" s="30"/>
      <c r="AF281" s="7" t="b">
        <f>IF(VLOOKUP(Table2[[#This Row],[Home/Neutral]],division_lookup,9,FALSE)=VLOOKUP(Table2[[#This Row],[Visitor/Neutral]],division_lookup,9,FALSE),TRUE,FALSE)</f>
        <v>0</v>
      </c>
      <c r="AG281" s="15" t="str">
        <f>VLOOKUP(Table2[[#This Row],[Home/Neutral]],division_lookup,9,FALSE)</f>
        <v>SW</v>
      </c>
      <c r="AH281" s="15" t="str">
        <f>IF(Table2[[#This Row],[Total/EV]]&lt;Table2[[#This Row],[Total/V]],"UNDER","OVER")</f>
        <v>OVER</v>
      </c>
      <c r="AI281" s="26">
        <f>Table2[[#This Row],[SRS/Real]]-Table2[[#This Row],[Spread/V]]</f>
        <v>0</v>
      </c>
      <c r="AJ281" s="2">
        <f>Table2[[#This Row],[EV/Real]]-Table2[[#This Row],[Spread/V]]</f>
        <v>0</v>
      </c>
      <c r="AK281" s="2">
        <f>Table2[[#This Row],[SRS/Diff]]-Table2[[#This Row],[EV/Diff]]</f>
        <v>0</v>
      </c>
      <c r="AL281" s="18">
        <f>Table2[[#This Row],[SRS]]-Table2[[#This Row],[Spread]]</f>
        <v>-12.088688524590166</v>
      </c>
      <c r="AM281" s="21">
        <f>Table2[[#This Row],[(A) Err]]^2</f>
        <v>146.13639024455796</v>
      </c>
      <c r="AN281" s="6">
        <f>Table2[[#This Row],[EV]]-Table2[[#This Row],[Spread]]</f>
        <v>-12.770499095639181</v>
      </c>
      <c r="AO281" s="1">
        <f>Table2[[#This Row],[EV Err]]^2</f>
        <v>163.08564715172113</v>
      </c>
      <c r="AP281" s="1"/>
    </row>
    <row r="282" spans="1:42" ht="15.75" thickBot="1" x14ac:dyDescent="0.3">
      <c r="A282" s="100">
        <v>42705</v>
      </c>
      <c r="B282" s="3" t="s">
        <v>136</v>
      </c>
      <c r="C282" s="3" t="s">
        <v>124</v>
      </c>
      <c r="D282" s="3"/>
      <c r="E282" s="22"/>
      <c r="F282" s="3"/>
      <c r="G282" s="22"/>
      <c r="H282" s="8"/>
      <c r="I282" s="22"/>
      <c r="J282" s="3"/>
      <c r="K282" s="3"/>
      <c r="L282" s="22">
        <f>(Table2[[#This Row],[H/Pace]]/100)*(VLOOKUP(Table2[[#This Row],[Home/Neutral]],home_lookup,8,FALSE)+VLOOKUP(Table2[[#This Row],[Home/Neutral]],OFR_lookup,2,FALSE)+VLOOKUP(Table2[[#This Row],[Visitor/Neutral]],def_diff_lookup,6,FALSE))</f>
        <v>103.03498534991898</v>
      </c>
      <c r="M282" s="22"/>
      <c r="N282" s="22">
        <f>(Table2[[#This Row],[A/Pace]]/100)*(VLOOKUP(Table2[[#This Row],[Visitor/Neutral]],OFR_lookup,2,FALSE)+VLOOKUP(Table2[[#This Row],[Home/Neutral]],def_diff_lookup,6,FALSE))</f>
        <v>92.534059666666664</v>
      </c>
      <c r="O282" s="22"/>
      <c r="P282" s="22"/>
      <c r="Q282" s="3">
        <f>VLOOKUP(Table2[[#This Row],[Home/Neutral]],pace_lookup,7,FALSE)</f>
        <v>91.5</v>
      </c>
      <c r="R282" s="3">
        <f>VLOOKUP(Table2[[#This Row],[Visitor/Neutral]],pace_lookup,7,FALSE)</f>
        <v>93.7</v>
      </c>
      <c r="S282" s="8"/>
      <c r="T282" s="3"/>
      <c r="U282" s="16"/>
      <c r="V282" s="3"/>
      <c r="W282" s="9">
        <f>-home-VLOOKUP(Table2[[#This Row],[Home/Neutral]],rtg_vlookup,4,FALSE)+VLOOKUP(Table2[[#This Row],[Visitor/Neutral]],rtg_vlookup,4,FALSE)</f>
        <v>-8.2286885245901651</v>
      </c>
      <c r="X282" s="16"/>
      <c r="Y282" s="9"/>
      <c r="Z282" s="9">
        <f>Table2[[#This Row],[A/EV]]-Table2[[#This Row],[H/EV]]</f>
        <v>-10.500925683252319</v>
      </c>
      <c r="AA282" s="31"/>
      <c r="AB282" s="32"/>
      <c r="AC282" s="32"/>
      <c r="AD282" s="32"/>
      <c r="AE282" s="32"/>
      <c r="AF282" s="8" t="b">
        <f>IF(VLOOKUP(Table2[[#This Row],[Home/Neutral]],division_lookup,9,FALSE)=VLOOKUP(Table2[[#This Row],[Visitor/Neutral]],division_lookup,9,FALSE),TRUE,FALSE)</f>
        <v>0</v>
      </c>
      <c r="AG282" s="16" t="str">
        <f>VLOOKUP(Table2[[#This Row],[Home/Neutral]],division_lookup,9,FALSE)</f>
        <v>NW</v>
      </c>
      <c r="AH282" s="16" t="str">
        <f>IF(Table2[[#This Row],[Total/EV]]&lt;Table2[[#This Row],[Total/V]],"UNDER","OVER")</f>
        <v>OVER</v>
      </c>
      <c r="AI282" s="16">
        <f>Table2[[#This Row],[SRS/Real]]-Table2[[#This Row],[Spread/V]]</f>
        <v>0</v>
      </c>
      <c r="AJ282" s="9">
        <f>Table2[[#This Row],[EV/Real]]-Table2[[#This Row],[Spread/V]]</f>
        <v>0</v>
      </c>
      <c r="AK282" s="9">
        <f>Table2[[#This Row],[SRS/Diff]]-Table2[[#This Row],[EV/Diff]]</f>
        <v>0</v>
      </c>
      <c r="AL282" s="19">
        <f>Table2[[#This Row],[SRS]]-Table2[[#This Row],[Spread]]</f>
        <v>-8.2286885245901651</v>
      </c>
      <c r="AM282" s="22">
        <f>Table2[[#This Row],[(A) Err]]^2</f>
        <v>67.711314834721861</v>
      </c>
      <c r="AN282" s="4">
        <f>Table2[[#This Row],[EV]]-Table2[[#This Row],[Spread]]</f>
        <v>-10.500925683252319</v>
      </c>
      <c r="AO282" s="4">
        <f>Table2[[#This Row],[EV Err]]^2</f>
        <v>110.26944020518819</v>
      </c>
      <c r="AP282" s="1"/>
    </row>
    <row r="283" spans="1:42" x14ac:dyDescent="0.25">
      <c r="A283" s="34">
        <v>42706</v>
      </c>
      <c r="B283" t="s">
        <v>109</v>
      </c>
      <c r="C283" t="s">
        <v>117</v>
      </c>
      <c r="E283" s="21"/>
      <c r="G283" s="21"/>
      <c r="H283" s="7"/>
      <c r="I283" s="21"/>
      <c r="K283"/>
      <c r="L283" s="21">
        <f>(Table2[[#This Row],[H/Pace]]/100)*(VLOOKUP(Table2[[#This Row],[Home/Neutral]],home_lookup,8,FALSE)+VLOOKUP(Table2[[#This Row],[Home/Neutral]],OFR_lookup,2,FALSE)+VLOOKUP(Table2[[#This Row],[Visitor/Neutral]],def_diff_lookup,6,FALSE))</f>
        <v>96.536646607286372</v>
      </c>
      <c r="M283" s="21"/>
      <c r="N283" s="21">
        <f>(Table2[[#This Row],[A/Pace]]/100)*(VLOOKUP(Table2[[#This Row],[Visitor/Neutral]],OFR_lookup,2,FALSE)+VLOOKUP(Table2[[#This Row],[Home/Neutral]],def_diff_lookup,6,FALSE))</f>
        <v>91.608326666666656</v>
      </c>
      <c r="O283" s="21"/>
      <c r="P283" s="21"/>
      <c r="Q283">
        <f>VLOOKUP(Table2[[#This Row],[Home/Neutral]],pace_lookup,7,FALSE)</f>
        <v>99.2</v>
      </c>
      <c r="R283" s="5">
        <f>VLOOKUP(Table2[[#This Row],[Visitor/Neutral]],pace_lookup,7,FALSE)</f>
        <v>94</v>
      </c>
      <c r="S283" s="7"/>
      <c r="U283" s="15"/>
      <c r="W283" s="2">
        <f>-home-VLOOKUP(Table2[[#This Row],[Home/Neutral]],rtg_vlookup,4,FALSE)+VLOOKUP(Table2[[#This Row],[Visitor/Neutral]],rtg_vlookup,4,FALSE)</f>
        <v>-3.4886885245901658</v>
      </c>
      <c r="X283" s="15"/>
      <c r="Y283" s="2"/>
      <c r="Z283" s="2">
        <f>Table2[[#This Row],[A/EV]]-Table2[[#This Row],[H/EV]]</f>
        <v>-4.9283199406197156</v>
      </c>
      <c r="AA283" s="29"/>
      <c r="AB283" s="30"/>
      <c r="AC283" s="30"/>
      <c r="AD283" s="30"/>
      <c r="AE283" s="30"/>
      <c r="AF283" s="7" t="b">
        <f>IF(VLOOKUP(Table2[[#This Row],[Home/Neutral]],division_lookup,9,FALSE)=VLOOKUP(Table2[[#This Row],[Visitor/Neutral]],division_lookup,9,FALSE),TRUE,FALSE)</f>
        <v>0</v>
      </c>
      <c r="AG283" s="15" t="str">
        <f>VLOOKUP(Table2[[#This Row],[Home/Neutral]],division_lookup,9,FALSE)</f>
        <v>SE</v>
      </c>
      <c r="AH283" s="15" t="str">
        <f>IF(Table2[[#This Row],[Total/EV]]&lt;Table2[[#This Row],[Total/V]],"UNDER","OVER")</f>
        <v>OVER</v>
      </c>
      <c r="AI283" s="26">
        <f>Table2[[#This Row],[SRS/Real]]-Table2[[#This Row],[Spread/V]]</f>
        <v>0</v>
      </c>
      <c r="AJ283" s="2">
        <f>Table2[[#This Row],[EV/Real]]-Table2[[#This Row],[Spread/V]]</f>
        <v>0</v>
      </c>
      <c r="AK283" s="2">
        <f>Table2[[#This Row],[SRS/Diff]]-Table2[[#This Row],[EV/Diff]]</f>
        <v>0</v>
      </c>
      <c r="AL283" s="18">
        <f>Table2[[#This Row],[SRS]]-Table2[[#This Row],[Spread]]</f>
        <v>-3.4886885245901658</v>
      </c>
      <c r="AM283" s="21">
        <f>Table2[[#This Row],[(A) Err]]^2</f>
        <v>12.170947621607107</v>
      </c>
      <c r="AN283" s="6">
        <f>Table2[[#This Row],[EV]]-Table2[[#This Row],[Spread]]</f>
        <v>-4.9283199406197156</v>
      </c>
      <c r="AO283" s="1">
        <f>Table2[[#This Row],[EV Err]]^2</f>
        <v>24.288337437109917</v>
      </c>
      <c r="AP283" s="1"/>
    </row>
    <row r="284" spans="1:42" x14ac:dyDescent="0.25">
      <c r="A284" s="34">
        <v>42706</v>
      </c>
      <c r="B284" t="s">
        <v>110</v>
      </c>
      <c r="C284" t="s">
        <v>133</v>
      </c>
      <c r="E284" s="21"/>
      <c r="G284" s="21"/>
      <c r="H284" s="7"/>
      <c r="I284" s="21"/>
      <c r="K284"/>
      <c r="L284" s="21">
        <f>(Table2[[#This Row],[H/Pace]]/100)*(VLOOKUP(Table2[[#This Row],[Home/Neutral]],home_lookup,8,FALSE)+VLOOKUP(Table2[[#This Row],[Home/Neutral]],OFR_lookup,2,FALSE)+VLOOKUP(Table2[[#This Row],[Visitor/Neutral]],def_diff_lookup,6,FALSE))</f>
        <v>108.8799511890094</v>
      </c>
      <c r="M284" s="21"/>
      <c r="N284" s="21">
        <f>(Table2[[#This Row],[A/Pace]]/100)*(VLOOKUP(Table2[[#This Row],[Visitor/Neutral]],OFR_lookup,2,FALSE)+VLOOKUP(Table2[[#This Row],[Home/Neutral]],def_diff_lookup,6,FALSE))</f>
        <v>102.39131800000001</v>
      </c>
      <c r="O284" s="21"/>
      <c r="P284" s="21"/>
      <c r="Q284">
        <f>VLOOKUP(Table2[[#This Row],[Home/Neutral]],pace_lookup,7,FALSE)</f>
        <v>96.2</v>
      </c>
      <c r="R284" s="5">
        <f>VLOOKUP(Table2[[#This Row],[Visitor/Neutral]],pace_lookup,7,FALSE)</f>
        <v>94.2</v>
      </c>
      <c r="S284" s="7"/>
      <c r="U284" s="15"/>
      <c r="W284" s="2">
        <f>-home-VLOOKUP(Table2[[#This Row],[Home/Neutral]],rtg_vlookup,4,FALSE)+VLOOKUP(Table2[[#This Row],[Visitor/Neutral]],rtg_vlookup,4,FALSE)</f>
        <v>-5.1786885245901662</v>
      </c>
      <c r="X284" s="15"/>
      <c r="Y284" s="2"/>
      <c r="Z284" s="2">
        <f>Table2[[#This Row],[A/EV]]-Table2[[#This Row],[H/EV]]</f>
        <v>-6.4886331890093913</v>
      </c>
      <c r="AA284" s="29"/>
      <c r="AB284" s="30"/>
      <c r="AC284" s="30"/>
      <c r="AD284" s="30"/>
      <c r="AE284" s="30"/>
      <c r="AF284" s="7" t="b">
        <f>IF(VLOOKUP(Table2[[#This Row],[Home/Neutral]],division_lookup,9,FALSE)=VLOOKUP(Table2[[#This Row],[Visitor/Neutral]],division_lookup,9,FALSE),TRUE,FALSE)</f>
        <v>0</v>
      </c>
      <c r="AG284" s="15" t="str">
        <f>VLOOKUP(Table2[[#This Row],[Home/Neutral]],division_lookup,9,FALSE)</f>
        <v>A</v>
      </c>
      <c r="AH284" s="15" t="str">
        <f>IF(Table2[[#This Row],[Total/EV]]&lt;Table2[[#This Row],[Total/V]],"UNDER","OVER")</f>
        <v>OVER</v>
      </c>
      <c r="AI284" s="26">
        <f>Table2[[#This Row],[SRS/Real]]-Table2[[#This Row],[Spread/V]]</f>
        <v>0</v>
      </c>
      <c r="AJ284" s="2">
        <f>Table2[[#This Row],[EV/Real]]-Table2[[#This Row],[Spread/V]]</f>
        <v>0</v>
      </c>
      <c r="AK284" s="2">
        <f>Table2[[#This Row],[SRS/Diff]]-Table2[[#This Row],[EV/Diff]]</f>
        <v>0</v>
      </c>
      <c r="AL284" s="18">
        <f>Table2[[#This Row],[SRS]]-Table2[[#This Row],[Spread]]</f>
        <v>-5.1786885245901662</v>
      </c>
      <c r="AM284" s="21">
        <f>Table2[[#This Row],[(A) Err]]^2</f>
        <v>26.818814834721874</v>
      </c>
      <c r="AN284" s="6">
        <f>Table2[[#This Row],[EV]]-Table2[[#This Row],[Spread]]</f>
        <v>-6.4886331890093913</v>
      </c>
      <c r="AO284" s="1">
        <f>Table2[[#This Row],[EV Err]]^2</f>
        <v>42.102360661514183</v>
      </c>
      <c r="AP284" s="1"/>
    </row>
    <row r="285" spans="1:42" x14ac:dyDescent="0.25">
      <c r="A285" s="77">
        <v>42706</v>
      </c>
      <c r="B285" s="49" t="s">
        <v>113</v>
      </c>
      <c r="C285" s="49" t="s">
        <v>114</v>
      </c>
      <c r="D285" s="49"/>
      <c r="E285" s="51"/>
      <c r="F285" s="49"/>
      <c r="G285" s="51"/>
      <c r="H285" s="50"/>
      <c r="I285" s="51"/>
      <c r="J285" s="49"/>
      <c r="K285" s="49"/>
      <c r="L285" s="51">
        <f>(Table2[[#This Row],[H/Pace]]/100)*(VLOOKUP(Table2[[#This Row],[Home/Neutral]],home_lookup,8,FALSE)+VLOOKUP(Table2[[#This Row],[Home/Neutral]],OFR_lookup,2,FALSE)+VLOOKUP(Table2[[#This Row],[Visitor/Neutral]],def_diff_lookup,6,FALSE))</f>
        <v>108.63394388016279</v>
      </c>
      <c r="M285" s="51"/>
      <c r="N285" s="51">
        <f>(Table2[[#This Row],[A/Pace]]/100)*(VLOOKUP(Table2[[#This Row],[Visitor/Neutral]],OFR_lookup,2,FALSE)+VLOOKUP(Table2[[#This Row],[Home/Neutral]],def_diff_lookup,6,FALSE))</f>
        <v>111.23887366666666</v>
      </c>
      <c r="O285" s="51"/>
      <c r="P285" s="51"/>
      <c r="Q285" s="49">
        <f>VLOOKUP(Table2[[#This Row],[Home/Neutral]],pace_lookup,7,FALSE)</f>
        <v>95.1</v>
      </c>
      <c r="R285" s="52">
        <f>VLOOKUP(Table2[[#This Row],[Visitor/Neutral]],pace_lookup,7,FALSE)</f>
        <v>97.3</v>
      </c>
      <c r="S285" s="50"/>
      <c r="T285" s="49"/>
      <c r="U285" s="75"/>
      <c r="V285" s="49"/>
      <c r="W285" s="53">
        <f>-home-VLOOKUP(Table2[[#This Row],[Home/Neutral]],rtg_vlookup,4,FALSE)+VLOOKUP(Table2[[#This Row],[Visitor/Neutral]],rtg_vlookup,4,FALSE)</f>
        <v>1.2213114754098342</v>
      </c>
      <c r="X285" s="75"/>
      <c r="Y285" s="53"/>
      <c r="Z285" s="53">
        <f>Table2[[#This Row],[A/EV]]-Table2[[#This Row],[H/EV]]</f>
        <v>2.6049297865038739</v>
      </c>
      <c r="AA285" s="29"/>
      <c r="AB285" s="30"/>
      <c r="AC285" s="30"/>
      <c r="AD285" s="30"/>
      <c r="AE285" s="30"/>
      <c r="AF285" s="7" t="b">
        <f>IF(VLOOKUP(Table2[[#This Row],[Home/Neutral]],division_lookup,9,FALSE)=VLOOKUP(Table2[[#This Row],[Visitor/Neutral]],division_lookup,9,FALSE),TRUE,FALSE)</f>
        <v>1</v>
      </c>
      <c r="AG285" s="15" t="str">
        <f>VLOOKUP(Table2[[#This Row],[Home/Neutral]],division_lookup,9,FALSE)</f>
        <v>C</v>
      </c>
      <c r="AH285" s="15" t="str">
        <f>IF(Table2[[#This Row],[Total/EV]]&lt;Table2[[#This Row],[Total/V]],"UNDER","OVER")</f>
        <v>OVER</v>
      </c>
      <c r="AI285" s="26">
        <f>Table2[[#This Row],[SRS/Real]]-Table2[[#This Row],[Spread/V]]</f>
        <v>0</v>
      </c>
      <c r="AJ285" s="2">
        <f>Table2[[#This Row],[EV/Real]]-Table2[[#This Row],[Spread/V]]</f>
        <v>0</v>
      </c>
      <c r="AK285" s="2">
        <f>Table2[[#This Row],[SRS/Diff]]-Table2[[#This Row],[EV/Diff]]</f>
        <v>0</v>
      </c>
      <c r="AL285" s="18">
        <f>Table2[[#This Row],[SRS]]-Table2[[#This Row],[Spread]]</f>
        <v>1.2213114754098342</v>
      </c>
      <c r="AM285" s="21">
        <f>Table2[[#This Row],[(A) Err]]^2</f>
        <v>1.491601719967746</v>
      </c>
      <c r="AN285" s="6">
        <f>Table2[[#This Row],[EV]]-Table2[[#This Row],[Spread]]</f>
        <v>2.6049297865038739</v>
      </c>
      <c r="AO285" s="1">
        <f>Table2[[#This Row],[EV Err]]^2</f>
        <v>6.7856591926151175</v>
      </c>
      <c r="AP285" s="1"/>
    </row>
    <row r="286" spans="1:42" x14ac:dyDescent="0.25">
      <c r="A286" s="34">
        <v>42706</v>
      </c>
      <c r="B286" t="s">
        <v>116</v>
      </c>
      <c r="C286" t="s">
        <v>119</v>
      </c>
      <c r="E286" s="21"/>
      <c r="G286" s="21"/>
      <c r="H286" s="7"/>
      <c r="I286" s="21"/>
      <c r="K286"/>
      <c r="L286" s="21">
        <f>(Table2[[#This Row],[H/Pace]]/100)*(VLOOKUP(Table2[[#This Row],[Home/Neutral]],home_lookup,8,FALSE)+VLOOKUP(Table2[[#This Row],[Home/Neutral]],OFR_lookup,2,FALSE)+VLOOKUP(Table2[[#This Row],[Visitor/Neutral]],def_diff_lookup,6,FALSE))</f>
        <v>107.61121470161864</v>
      </c>
      <c r="M286" s="21"/>
      <c r="N286" s="21">
        <f>(Table2[[#This Row],[A/Pace]]/100)*(VLOOKUP(Table2[[#This Row],[Visitor/Neutral]],OFR_lookup,2,FALSE)+VLOOKUP(Table2[[#This Row],[Home/Neutral]],def_diff_lookup,6,FALSE))</f>
        <v>109.802881</v>
      </c>
      <c r="O286" s="21"/>
      <c r="P286" s="21"/>
      <c r="Q286">
        <f>VLOOKUP(Table2[[#This Row],[Home/Neutral]],pace_lookup,7,FALSE)</f>
        <v>99.1</v>
      </c>
      <c r="R286" s="5">
        <f>VLOOKUP(Table2[[#This Row],[Visitor/Neutral]],pace_lookup,7,FALSE)</f>
        <v>96.9</v>
      </c>
      <c r="S286" s="7"/>
      <c r="U286" s="15"/>
      <c r="W286" s="2">
        <f>-home-VLOOKUP(Table2[[#This Row],[Home/Neutral]],rtg_vlookup,4,FALSE)+VLOOKUP(Table2[[#This Row],[Visitor/Neutral]],rtg_vlookup,4,FALSE)</f>
        <v>1.6413114754098341</v>
      </c>
      <c r="X286" s="15"/>
      <c r="Y286" s="2"/>
      <c r="Z286" s="2">
        <f>Table2[[#This Row],[A/EV]]-Table2[[#This Row],[H/EV]]</f>
        <v>2.1916662983813637</v>
      </c>
      <c r="AA286" s="29"/>
      <c r="AB286" s="30"/>
      <c r="AC286" s="30"/>
      <c r="AD286" s="30"/>
      <c r="AE286" s="30"/>
      <c r="AF286" s="7" t="b">
        <f>IF(VLOOKUP(Table2[[#This Row],[Home/Neutral]],division_lookup,9,FALSE)=VLOOKUP(Table2[[#This Row],[Visitor/Neutral]],division_lookup,9,FALSE),TRUE,FALSE)</f>
        <v>0</v>
      </c>
      <c r="AG286" s="15" t="str">
        <f>VLOOKUP(Table2[[#This Row],[Home/Neutral]],division_lookup,9,FALSE)</f>
        <v>NW</v>
      </c>
      <c r="AH286" s="15" t="str">
        <f>IF(Table2[[#This Row],[Total/EV]]&lt;Table2[[#This Row],[Total/V]],"UNDER","OVER")</f>
        <v>OVER</v>
      </c>
      <c r="AI286" s="26">
        <f>Table2[[#This Row],[SRS/Real]]-Table2[[#This Row],[Spread/V]]</f>
        <v>0</v>
      </c>
      <c r="AJ286" s="2">
        <f>Table2[[#This Row],[EV/Real]]-Table2[[#This Row],[Spread/V]]</f>
        <v>0</v>
      </c>
      <c r="AK286" s="2">
        <f>Table2[[#This Row],[SRS/Diff]]-Table2[[#This Row],[EV/Diff]]</f>
        <v>0</v>
      </c>
      <c r="AL286" s="18">
        <f>Table2[[#This Row],[SRS]]-Table2[[#This Row],[Spread]]</f>
        <v>1.6413114754098341</v>
      </c>
      <c r="AM286" s="21">
        <f>Table2[[#This Row],[(A) Err]]^2</f>
        <v>2.6939033593120065</v>
      </c>
      <c r="AN286" s="6">
        <f>Table2[[#This Row],[EV]]-Table2[[#This Row],[Spread]]</f>
        <v>2.1916662983813637</v>
      </c>
      <c r="AO286" s="1">
        <f>Table2[[#This Row],[EV Err]]^2</f>
        <v>4.803401163460669</v>
      </c>
      <c r="AP286" s="1"/>
    </row>
    <row r="287" spans="1:42" x14ac:dyDescent="0.25">
      <c r="A287" s="34">
        <v>42706</v>
      </c>
      <c r="B287" t="s">
        <v>127</v>
      </c>
      <c r="C287" t="s">
        <v>121</v>
      </c>
      <c r="E287" s="21"/>
      <c r="G287" s="21"/>
      <c r="H287" s="7"/>
      <c r="I287" s="21"/>
      <c r="K287"/>
      <c r="L287" s="21">
        <f>(Table2[[#This Row],[H/Pace]]/100)*(VLOOKUP(Table2[[#This Row],[Home/Neutral]],home_lookup,8,FALSE)+VLOOKUP(Table2[[#This Row],[Home/Neutral]],OFR_lookup,2,FALSE)+VLOOKUP(Table2[[#This Row],[Visitor/Neutral]],def_diff_lookup,6,FALSE))</f>
        <v>98.429464937430481</v>
      </c>
      <c r="M287" s="21"/>
      <c r="N287" s="21">
        <f>(Table2[[#This Row],[A/Pace]]/100)*(VLOOKUP(Table2[[#This Row],[Visitor/Neutral]],OFR_lookup,2,FALSE)+VLOOKUP(Table2[[#This Row],[Home/Neutral]],def_diff_lookup,6,FALSE))</f>
        <v>109.70866266666667</v>
      </c>
      <c r="O287" s="21"/>
      <c r="P287" s="21"/>
      <c r="Q287">
        <f>VLOOKUP(Table2[[#This Row],[Home/Neutral]],pace_lookup,7,FALSE)</f>
        <v>99.3</v>
      </c>
      <c r="R287" s="5">
        <f>VLOOKUP(Table2[[#This Row],[Visitor/Neutral]],pace_lookup,7,FALSE)</f>
        <v>96.4</v>
      </c>
      <c r="S287" s="7"/>
      <c r="U287" s="15"/>
      <c r="W287" s="2">
        <f>-home-VLOOKUP(Table2[[#This Row],[Home/Neutral]],rtg_vlookup,4,FALSE)+VLOOKUP(Table2[[#This Row],[Visitor/Neutral]],rtg_vlookup,4,FALSE)</f>
        <v>12.611311475409835</v>
      </c>
      <c r="X287" s="15"/>
      <c r="Y287" s="2"/>
      <c r="Z287" s="2">
        <f>Table2[[#This Row],[A/EV]]-Table2[[#This Row],[H/EV]]</f>
        <v>11.279197729236188</v>
      </c>
      <c r="AA287" s="29"/>
      <c r="AB287" s="30"/>
      <c r="AC287" s="30"/>
      <c r="AD287" s="30"/>
      <c r="AE287" s="30"/>
      <c r="AF287" s="7" t="b">
        <f>IF(VLOOKUP(Table2[[#This Row],[Home/Neutral]],division_lookup,9,FALSE)=VLOOKUP(Table2[[#This Row],[Visitor/Neutral]],division_lookup,9,FALSE),TRUE,FALSE)</f>
        <v>0</v>
      </c>
      <c r="AG287" s="15" t="str">
        <f>VLOOKUP(Table2[[#This Row],[Home/Neutral]],division_lookup,9,FALSE)</f>
        <v>SW</v>
      </c>
      <c r="AH287" s="15" t="str">
        <f>IF(Table2[[#This Row],[Total/EV]]&lt;Table2[[#This Row],[Total/V]],"UNDER","OVER")</f>
        <v>OVER</v>
      </c>
      <c r="AI287" s="26">
        <f>Table2[[#This Row],[SRS/Real]]-Table2[[#This Row],[Spread/V]]</f>
        <v>0</v>
      </c>
      <c r="AJ287" s="2">
        <f>Table2[[#This Row],[EV/Real]]-Table2[[#This Row],[Spread/V]]</f>
        <v>0</v>
      </c>
      <c r="AK287" s="2">
        <f>Table2[[#This Row],[SRS/Diff]]-Table2[[#This Row],[EV/Diff]]</f>
        <v>0</v>
      </c>
      <c r="AL287" s="18">
        <f>Table2[[#This Row],[SRS]]-Table2[[#This Row],[Spread]]</f>
        <v>12.611311475409835</v>
      </c>
      <c r="AM287" s="21">
        <f>Table2[[#This Row],[(A) Err]]^2</f>
        <v>159.04517712980379</v>
      </c>
      <c r="AN287" s="6">
        <f>Table2[[#This Row],[EV]]-Table2[[#This Row],[Spread]]</f>
        <v>11.279197729236188</v>
      </c>
      <c r="AO287" s="1">
        <f>Table2[[#This Row],[EV Err]]^2</f>
        <v>127.22030141520678</v>
      </c>
      <c r="AP287" s="1"/>
    </row>
    <row r="288" spans="1:42" x14ac:dyDescent="0.25">
      <c r="A288" s="34">
        <v>42706</v>
      </c>
      <c r="B288" t="s">
        <v>128</v>
      </c>
      <c r="C288" t="s">
        <v>126</v>
      </c>
      <c r="E288" s="21"/>
      <c r="G288" s="21"/>
      <c r="H288" s="7"/>
      <c r="I288" s="21"/>
      <c r="K288"/>
      <c r="L288" s="21">
        <f>(Table2[[#This Row],[H/Pace]]/100)*(VLOOKUP(Table2[[#This Row],[Home/Neutral]],home_lookup,8,FALSE)+VLOOKUP(Table2[[#This Row],[Home/Neutral]],OFR_lookup,2,FALSE)+VLOOKUP(Table2[[#This Row],[Visitor/Neutral]],def_diff_lookup,6,FALSE))</f>
        <v>111.4851498778302</v>
      </c>
      <c r="M288" s="21"/>
      <c r="N288" s="21">
        <f>(Table2[[#This Row],[A/Pace]]/100)*(VLOOKUP(Table2[[#This Row],[Visitor/Neutral]],OFR_lookup,2,FALSE)+VLOOKUP(Table2[[#This Row],[Home/Neutral]],def_diff_lookup,6,FALSE))</f>
        <v>107.00759300000001</v>
      </c>
      <c r="O288" s="21"/>
      <c r="P288" s="21"/>
      <c r="Q288">
        <f>VLOOKUP(Table2[[#This Row],[Home/Neutral]],pace_lookup,7,FALSE)</f>
        <v>96.3</v>
      </c>
      <c r="R288" s="5">
        <f>VLOOKUP(Table2[[#This Row],[Visitor/Neutral]],pace_lookup,7,FALSE)</f>
        <v>95.7</v>
      </c>
      <c r="S288" s="7"/>
      <c r="U288" s="15"/>
      <c r="W288" s="2">
        <f>-home-VLOOKUP(Table2[[#This Row],[Home/Neutral]],rtg_vlookup,4,FALSE)+VLOOKUP(Table2[[#This Row],[Visitor/Neutral]],rtg_vlookup,4,FALSE)</f>
        <v>-2.0986885245901661</v>
      </c>
      <c r="X288" s="15"/>
      <c r="Y288" s="2"/>
      <c r="Z288" s="2">
        <f>Table2[[#This Row],[A/EV]]-Table2[[#This Row],[H/EV]]</f>
        <v>-4.4775568778301817</v>
      </c>
      <c r="AA288" s="29"/>
      <c r="AB288" s="30"/>
      <c r="AC288" s="30"/>
      <c r="AD288" s="30"/>
      <c r="AE288" s="30"/>
      <c r="AF288" s="7" t="b">
        <f>IF(VLOOKUP(Table2[[#This Row],[Home/Neutral]],division_lookup,9,FALSE)=VLOOKUP(Table2[[#This Row],[Visitor/Neutral]],division_lookup,9,FALSE),TRUE,FALSE)</f>
        <v>0</v>
      </c>
      <c r="AG288" s="15" t="str">
        <f>VLOOKUP(Table2[[#This Row],[Home/Neutral]],division_lookup,9,FALSE)</f>
        <v>A</v>
      </c>
      <c r="AH288" s="15" t="str">
        <f>IF(Table2[[#This Row],[Total/EV]]&lt;Table2[[#This Row],[Total/V]],"UNDER","OVER")</f>
        <v>OVER</v>
      </c>
      <c r="AI288" s="26">
        <f>Table2[[#This Row],[SRS/Real]]-Table2[[#This Row],[Spread/V]]</f>
        <v>0</v>
      </c>
      <c r="AJ288" s="2">
        <f>Table2[[#This Row],[EV/Real]]-Table2[[#This Row],[Spread/V]]</f>
        <v>0</v>
      </c>
      <c r="AK288" s="2">
        <f>Table2[[#This Row],[SRS/Diff]]-Table2[[#This Row],[EV/Diff]]</f>
        <v>0</v>
      </c>
      <c r="AL288" s="18">
        <f>Table2[[#This Row],[SRS]]-Table2[[#This Row],[Spread]]</f>
        <v>-2.0986885245901661</v>
      </c>
      <c r="AM288" s="21">
        <f>Table2[[#This Row],[(A) Err]]^2</f>
        <v>4.4044935232464484</v>
      </c>
      <c r="AN288" s="6">
        <f>Table2[[#This Row],[EV]]-Table2[[#This Row],[Spread]]</f>
        <v>-4.4775568778301817</v>
      </c>
      <c r="AO288" s="1">
        <f>Table2[[#This Row],[EV Err]]^2</f>
        <v>20.048515594204364</v>
      </c>
      <c r="AP288" s="1"/>
    </row>
    <row r="289" spans="1:42" x14ac:dyDescent="0.25">
      <c r="A289" s="34">
        <v>42706</v>
      </c>
      <c r="B289" t="s">
        <v>138</v>
      </c>
      <c r="C289" t="s">
        <v>130</v>
      </c>
      <c r="E289" s="21"/>
      <c r="G289" s="21"/>
      <c r="H289" s="7"/>
      <c r="I289" s="21"/>
      <c r="K289"/>
      <c r="L289" s="21">
        <f>(Table2[[#This Row],[H/Pace]]/100)*(VLOOKUP(Table2[[#This Row],[Home/Neutral]],home_lookup,8,FALSE)+VLOOKUP(Table2[[#This Row],[Home/Neutral]],OFR_lookup,2,FALSE)+VLOOKUP(Table2[[#This Row],[Visitor/Neutral]],def_diff_lookup,6,FALSE))</f>
        <v>98.9197835312401</v>
      </c>
      <c r="M289" s="21"/>
      <c r="N289" s="21">
        <f>(Table2[[#This Row],[A/Pace]]/100)*(VLOOKUP(Table2[[#This Row],[Visitor/Neutral]],OFR_lookup,2,FALSE)+VLOOKUP(Table2[[#This Row],[Home/Neutral]],def_diff_lookup,6,FALSE))</f>
        <v>93.772018000000003</v>
      </c>
      <c r="O289" s="21"/>
      <c r="P289" s="21"/>
      <c r="Q289">
        <f>VLOOKUP(Table2[[#This Row],[Home/Neutral]],pace_lookup,7,FALSE)</f>
        <v>97.5</v>
      </c>
      <c r="R289" s="5">
        <f>VLOOKUP(Table2[[#This Row],[Visitor/Neutral]],pace_lookup,7,FALSE)</f>
        <v>94.2</v>
      </c>
      <c r="S289" s="7"/>
      <c r="U289" s="15"/>
      <c r="W289" s="2">
        <f>-home-VLOOKUP(Table2[[#This Row],[Home/Neutral]],rtg_vlookup,4,FALSE)+VLOOKUP(Table2[[#This Row],[Visitor/Neutral]],rtg_vlookup,4,FALSE)</f>
        <v>-1.7786885245901658</v>
      </c>
      <c r="X289" s="15"/>
      <c r="Y289" s="2"/>
      <c r="Z289" s="2">
        <f>Table2[[#This Row],[A/EV]]-Table2[[#This Row],[H/EV]]</f>
        <v>-5.1477655312400969</v>
      </c>
      <c r="AA289" s="29"/>
      <c r="AB289" s="30"/>
      <c r="AC289" s="30"/>
      <c r="AD289" s="30"/>
      <c r="AE289" s="30"/>
      <c r="AF289" s="7" t="b">
        <f>IF(VLOOKUP(Table2[[#This Row],[Home/Neutral]],division_lookup,9,FALSE)=VLOOKUP(Table2[[#This Row],[Visitor/Neutral]],division_lookup,9,FALSE),TRUE,FALSE)</f>
        <v>0</v>
      </c>
      <c r="AG289" s="15" t="str">
        <f>VLOOKUP(Table2[[#This Row],[Home/Neutral]],division_lookup,9,FALSE)</f>
        <v>A</v>
      </c>
      <c r="AH289" s="15" t="str">
        <f>IF(Table2[[#This Row],[Total/EV]]&lt;Table2[[#This Row],[Total/V]],"UNDER","OVER")</f>
        <v>OVER</v>
      </c>
      <c r="AI289" s="26">
        <f>Table2[[#This Row],[SRS/Real]]-Table2[[#This Row],[Spread/V]]</f>
        <v>0</v>
      </c>
      <c r="AJ289" s="2">
        <f>Table2[[#This Row],[EV/Real]]-Table2[[#This Row],[Spread/V]]</f>
        <v>0</v>
      </c>
      <c r="AK289" s="2">
        <f>Table2[[#This Row],[SRS/Diff]]-Table2[[#This Row],[EV/Diff]]</f>
        <v>0</v>
      </c>
      <c r="AL289" s="18">
        <f>Table2[[#This Row],[SRS]]-Table2[[#This Row],[Spread]]</f>
        <v>-1.7786885245901658</v>
      </c>
      <c r="AM289" s="21">
        <f>Table2[[#This Row],[(A) Err]]^2</f>
        <v>3.1637328675087408</v>
      </c>
      <c r="AN289" s="6">
        <f>Table2[[#This Row],[EV]]-Table2[[#This Row],[Spread]]</f>
        <v>-5.1477655312400969</v>
      </c>
      <c r="AO289" s="1">
        <f>Table2[[#This Row],[EV Err]]^2</f>
        <v>26.499489964623638</v>
      </c>
      <c r="AP289" s="1"/>
    </row>
    <row r="290" spans="1:42" x14ac:dyDescent="0.25">
      <c r="A290" s="34">
        <v>42706</v>
      </c>
      <c r="B290" t="s">
        <v>134</v>
      </c>
      <c r="C290" t="s">
        <v>137</v>
      </c>
      <c r="E290" s="21"/>
      <c r="G290" s="21"/>
      <c r="H290" s="7"/>
      <c r="I290" s="21"/>
      <c r="K290"/>
      <c r="L290" s="21">
        <f>(Table2[[#This Row],[H/Pace]]/100)*(VLOOKUP(Table2[[#This Row],[Home/Neutral]],home_lookup,8,FALSE)+VLOOKUP(Table2[[#This Row],[Home/Neutral]],OFR_lookup,2,FALSE)+VLOOKUP(Table2[[#This Row],[Visitor/Neutral]],def_diff_lookup,6,FALSE))</f>
        <v>103.95181343638193</v>
      </c>
      <c r="M290" s="21"/>
      <c r="N290" s="21">
        <f>(Table2[[#This Row],[A/Pace]]/100)*(VLOOKUP(Table2[[#This Row],[Visitor/Neutral]],OFR_lookup,2,FALSE)+VLOOKUP(Table2[[#This Row],[Home/Neutral]],def_diff_lookup,6,FALSE))</f>
        <v>101.58304</v>
      </c>
      <c r="O290" s="21"/>
      <c r="P290" s="21"/>
      <c r="Q290">
        <f>VLOOKUP(Table2[[#This Row],[Home/Neutral]],pace_lookup,7,FALSE)</f>
        <v>93.4</v>
      </c>
      <c r="R290" s="5">
        <f>VLOOKUP(Table2[[#This Row],[Visitor/Neutral]],pace_lookup,7,FALSE)</f>
        <v>96</v>
      </c>
      <c r="S290" s="7"/>
      <c r="U290" s="15"/>
      <c r="W290" s="2">
        <f>-home-VLOOKUP(Table2[[#This Row],[Home/Neutral]],rtg_vlookup,4,FALSE)+VLOOKUP(Table2[[#This Row],[Visitor/Neutral]],rtg_vlookup,4,FALSE)</f>
        <v>-13.158688524590165</v>
      </c>
      <c r="X290" s="15"/>
      <c r="Y290" s="2"/>
      <c r="Z290" s="2">
        <f>Table2[[#This Row],[A/EV]]-Table2[[#This Row],[H/EV]]</f>
        <v>-2.3687734363819288</v>
      </c>
      <c r="AA290" s="29"/>
      <c r="AB290" s="30"/>
      <c r="AC290" s="30"/>
      <c r="AD290" s="30"/>
      <c r="AE290" s="30"/>
      <c r="AF290" s="7" t="b">
        <f>IF(VLOOKUP(Table2[[#This Row],[Home/Neutral]],division_lookup,9,FALSE)=VLOOKUP(Table2[[#This Row],[Visitor/Neutral]],division_lookup,9,FALSE),TRUE,FALSE)</f>
        <v>0</v>
      </c>
      <c r="AG290" s="15" t="str">
        <f>VLOOKUP(Table2[[#This Row],[Home/Neutral]],division_lookup,9,FALSE)</f>
        <v>SW</v>
      </c>
      <c r="AH290" s="15" t="str">
        <f>IF(Table2[[#This Row],[Total/EV]]&lt;Table2[[#This Row],[Total/V]],"UNDER","OVER")</f>
        <v>OVER</v>
      </c>
      <c r="AI290" s="26">
        <f>Table2[[#This Row],[SRS/Real]]-Table2[[#This Row],[Spread/V]]</f>
        <v>0</v>
      </c>
      <c r="AJ290" s="2">
        <f>Table2[[#This Row],[EV/Real]]-Table2[[#This Row],[Spread/V]]</f>
        <v>0</v>
      </c>
      <c r="AK290" s="2">
        <f>Table2[[#This Row],[SRS/Diff]]-Table2[[#This Row],[EV/Diff]]</f>
        <v>0</v>
      </c>
      <c r="AL290" s="18">
        <f>Table2[[#This Row],[SRS]]-Table2[[#This Row],[Spread]]</f>
        <v>-13.158688524590165</v>
      </c>
      <c r="AM290" s="21">
        <f>Table2[[#This Row],[(A) Err]]^2</f>
        <v>173.15108368718089</v>
      </c>
      <c r="AN290" s="6">
        <f>Table2[[#This Row],[EV]]-Table2[[#This Row],[Spread]]</f>
        <v>-2.3687734363819288</v>
      </c>
      <c r="AO290" s="1">
        <f>Table2[[#This Row],[EV Err]]^2</f>
        <v>5.6110875929086514</v>
      </c>
      <c r="AP290" s="1"/>
    </row>
    <row r="291" spans="1:42" ht="15.75" thickBot="1" x14ac:dyDescent="0.3">
      <c r="A291" s="100">
        <v>42706</v>
      </c>
      <c r="B291" s="3" t="s">
        <v>135</v>
      </c>
      <c r="C291" s="3" t="s">
        <v>122</v>
      </c>
      <c r="D291" s="3"/>
      <c r="E291" s="22"/>
      <c r="F291" s="3"/>
      <c r="G291" s="22"/>
      <c r="H291" s="8"/>
      <c r="I291" s="22"/>
      <c r="J291" s="3"/>
      <c r="K291" s="3"/>
      <c r="L291" s="22">
        <f>(Table2[[#This Row],[H/Pace]]/100)*(VLOOKUP(Table2[[#This Row],[Home/Neutral]],home_lookup,8,FALSE)+VLOOKUP(Table2[[#This Row],[Home/Neutral]],OFR_lookup,2,FALSE)+VLOOKUP(Table2[[#This Row],[Visitor/Neutral]],def_diff_lookup,6,FALSE))</f>
        <v>114.00924035324614</v>
      </c>
      <c r="M291" s="22"/>
      <c r="N291" s="22">
        <f>(Table2[[#This Row],[A/Pace]]/100)*(VLOOKUP(Table2[[#This Row],[Visitor/Neutral]],OFR_lookup,2,FALSE)+VLOOKUP(Table2[[#This Row],[Home/Neutral]],def_diff_lookup,6,FALSE))</f>
        <v>110.08539799999998</v>
      </c>
      <c r="O291" s="22"/>
      <c r="P291" s="22"/>
      <c r="Q291" s="3">
        <f>VLOOKUP(Table2[[#This Row],[Home/Neutral]],pace_lookup,7,FALSE)</f>
        <v>95.4</v>
      </c>
      <c r="R291" s="3">
        <f>VLOOKUP(Table2[[#This Row],[Visitor/Neutral]],pace_lookup,7,FALSE)</f>
        <v>100.2</v>
      </c>
      <c r="S291" s="8"/>
      <c r="T291" s="3"/>
      <c r="U291" s="16"/>
      <c r="V291" s="3"/>
      <c r="W291" s="9">
        <f>-home-VLOOKUP(Table2[[#This Row],[Home/Neutral]],rtg_vlookup,4,FALSE)+VLOOKUP(Table2[[#This Row],[Visitor/Neutral]],rtg_vlookup,4,FALSE)</f>
        <v>-10.968688524590165</v>
      </c>
      <c r="X291" s="16"/>
      <c r="Y291" s="9"/>
      <c r="Z291" s="9">
        <f>Table2[[#This Row],[A/EV]]-Table2[[#This Row],[H/EV]]</f>
        <v>-3.9238423532461582</v>
      </c>
      <c r="AA291" s="31"/>
      <c r="AB291" s="32"/>
      <c r="AC291" s="32"/>
      <c r="AD291" s="32"/>
      <c r="AE291" s="32"/>
      <c r="AF291" s="8" t="b">
        <f>IF(VLOOKUP(Table2[[#This Row],[Home/Neutral]],division_lookup,9,FALSE)=VLOOKUP(Table2[[#This Row],[Visitor/Neutral]],division_lookup,9,FALSE),TRUE,FALSE)</f>
        <v>0</v>
      </c>
      <c r="AG291" s="16" t="str">
        <f>VLOOKUP(Table2[[#This Row],[Home/Neutral]],division_lookup,9,FALSE)</f>
        <v>A</v>
      </c>
      <c r="AH291" s="16" t="str">
        <f>IF(Table2[[#This Row],[Total/EV]]&lt;Table2[[#This Row],[Total/V]],"UNDER","OVER")</f>
        <v>OVER</v>
      </c>
      <c r="AI291" s="16">
        <f>Table2[[#This Row],[SRS/Real]]-Table2[[#This Row],[Spread/V]]</f>
        <v>0</v>
      </c>
      <c r="AJ291" s="9">
        <f>Table2[[#This Row],[EV/Real]]-Table2[[#This Row],[Spread/V]]</f>
        <v>0</v>
      </c>
      <c r="AK291" s="9">
        <f>Table2[[#This Row],[SRS/Diff]]-Table2[[#This Row],[EV/Diff]]</f>
        <v>0</v>
      </c>
      <c r="AL291" s="19">
        <f>Table2[[#This Row],[SRS]]-Table2[[#This Row],[Spread]]</f>
        <v>-10.968688524590165</v>
      </c>
      <c r="AM291" s="22">
        <f>Table2[[#This Row],[(A) Err]]^2</f>
        <v>120.31212794947598</v>
      </c>
      <c r="AN291" s="4">
        <f>Table2[[#This Row],[EV]]-Table2[[#This Row],[Spread]]</f>
        <v>-3.9238423532461582</v>
      </c>
      <c r="AO291" s="4">
        <f>Table2[[#This Row],[EV Err]]^2</f>
        <v>15.396538813128348</v>
      </c>
      <c r="AP291" s="1"/>
    </row>
    <row r="292" spans="1:42" x14ac:dyDescent="0.25">
      <c r="A292" s="34">
        <v>42707</v>
      </c>
      <c r="B292" t="s">
        <v>112</v>
      </c>
      <c r="C292" t="s">
        <v>126</v>
      </c>
      <c r="E292" s="21"/>
      <c r="G292" s="21"/>
      <c r="H292" s="7"/>
      <c r="I292" s="21"/>
      <c r="K292"/>
      <c r="L292" s="21">
        <f>(Table2[[#This Row],[H/Pace]]/100)*(VLOOKUP(Table2[[#This Row],[Home/Neutral]],home_lookup,8,FALSE)+VLOOKUP(Table2[[#This Row],[Home/Neutral]],OFR_lookup,2,FALSE)+VLOOKUP(Table2[[#This Row],[Visitor/Neutral]],def_diff_lookup,6,FALSE))</f>
        <v>107.30630195313483</v>
      </c>
      <c r="M292" s="21"/>
      <c r="N292" s="21">
        <f>(Table2[[#This Row],[A/Pace]]/100)*(VLOOKUP(Table2[[#This Row],[Visitor/Neutral]],OFR_lookup,2,FALSE)+VLOOKUP(Table2[[#This Row],[Home/Neutral]],def_diff_lookup,6,FALSE))</f>
        <v>103.11260300000001</v>
      </c>
      <c r="O292" s="21"/>
      <c r="P292" s="21"/>
      <c r="Q292">
        <f>VLOOKUP(Table2[[#This Row],[Home/Neutral]],pace_lookup,7,FALSE)</f>
        <v>97.4</v>
      </c>
      <c r="R292" s="5">
        <f>VLOOKUP(Table2[[#This Row],[Visitor/Neutral]],pace_lookup,7,FALSE)</f>
        <v>95.7</v>
      </c>
      <c r="S292" s="7"/>
      <c r="U292" s="15"/>
      <c r="W292" s="2">
        <f>-home-VLOOKUP(Table2[[#This Row],[Home/Neutral]],rtg_vlookup,4,FALSE)+VLOOKUP(Table2[[#This Row],[Visitor/Neutral]],rtg_vlookup,4,FALSE)</f>
        <v>-5.9986885245901655</v>
      </c>
      <c r="X292" s="15"/>
      <c r="Y292" s="2"/>
      <c r="Z292" s="2">
        <f>Table2[[#This Row],[A/EV]]-Table2[[#This Row],[H/EV]]</f>
        <v>-4.1936989531348274</v>
      </c>
      <c r="AA292" s="29"/>
      <c r="AB292" s="30"/>
      <c r="AC292" s="30"/>
      <c r="AD292" s="30"/>
      <c r="AE292" s="30"/>
      <c r="AF292" s="7" t="b">
        <f>IF(VLOOKUP(Table2[[#This Row],[Home/Neutral]],division_lookup,9,FALSE)=VLOOKUP(Table2[[#This Row],[Visitor/Neutral]],division_lookup,9,FALSE),TRUE,FALSE)</f>
        <v>0</v>
      </c>
      <c r="AG292" s="15" t="str">
        <f>VLOOKUP(Table2[[#This Row],[Home/Neutral]],division_lookup,9,FALSE)</f>
        <v>SE</v>
      </c>
      <c r="AH292" s="15" t="str">
        <f>IF(Table2[[#This Row],[Total/EV]]&lt;Table2[[#This Row],[Total/V]],"UNDER","OVER")</f>
        <v>OVER</v>
      </c>
      <c r="AI292" s="26">
        <f>Table2[[#This Row],[SRS/Real]]-Table2[[#This Row],[Spread/V]]</f>
        <v>0</v>
      </c>
      <c r="AJ292" s="2">
        <f>Table2[[#This Row],[EV/Real]]-Table2[[#This Row],[Spread/V]]</f>
        <v>0</v>
      </c>
      <c r="AK292" s="2">
        <f>Table2[[#This Row],[SRS/Diff]]-Table2[[#This Row],[EV/Diff]]</f>
        <v>0</v>
      </c>
      <c r="AL292" s="18">
        <f>Table2[[#This Row],[SRS]]-Table2[[#This Row],[Spread]]</f>
        <v>-5.9986885245901655</v>
      </c>
      <c r="AM292" s="21">
        <f>Table2[[#This Row],[(A) Err]]^2</f>
        <v>35.984264015049739</v>
      </c>
      <c r="AN292" s="6">
        <f>Table2[[#This Row],[EV]]-Table2[[#This Row],[Spread]]</f>
        <v>-4.1936989531348274</v>
      </c>
      <c r="AO292" s="1">
        <f>Table2[[#This Row],[EV Err]]^2</f>
        <v>17.587110909524146</v>
      </c>
      <c r="AP292" s="1"/>
    </row>
    <row r="293" spans="1:42" x14ac:dyDescent="0.25">
      <c r="A293" s="34">
        <v>42707</v>
      </c>
      <c r="B293" t="s">
        <v>115</v>
      </c>
      <c r="C293" t="s">
        <v>113</v>
      </c>
      <c r="E293" s="21"/>
      <c r="G293" s="21"/>
      <c r="H293" s="7"/>
      <c r="I293" s="21"/>
      <c r="K293"/>
      <c r="L293" s="21">
        <f>(Table2[[#This Row],[H/Pace]]/100)*(VLOOKUP(Table2[[#This Row],[Home/Neutral]],home_lookup,8,FALSE)+VLOOKUP(Table2[[#This Row],[Home/Neutral]],OFR_lookup,2,FALSE)+VLOOKUP(Table2[[#This Row],[Visitor/Neutral]],def_diff_lookup,6,FALSE))</f>
        <v>94.987623115967764</v>
      </c>
      <c r="M293" s="21"/>
      <c r="N293" s="21">
        <f>(Table2[[#This Row],[A/Pace]]/100)*(VLOOKUP(Table2[[#This Row],[Visitor/Neutral]],OFR_lookup,2,FALSE)+VLOOKUP(Table2[[#This Row],[Home/Neutral]],def_diff_lookup,6,FALSE))</f>
        <v>104.748529</v>
      </c>
      <c r="O293" s="21"/>
      <c r="P293" s="21"/>
      <c r="Q293">
        <f>VLOOKUP(Table2[[#This Row],[Home/Neutral]],pace_lookup,7,FALSE)</f>
        <v>92.9</v>
      </c>
      <c r="R293" s="5">
        <f>VLOOKUP(Table2[[#This Row],[Visitor/Neutral]],pace_lookup,7,FALSE)</f>
        <v>95.1</v>
      </c>
      <c r="S293" s="7"/>
      <c r="U293" s="15"/>
      <c r="W293" s="2">
        <f>-home-VLOOKUP(Table2[[#This Row],[Home/Neutral]],rtg_vlookup,4,FALSE)+VLOOKUP(Table2[[#This Row],[Visitor/Neutral]],rtg_vlookup,4,FALSE)</f>
        <v>10.731311475409834</v>
      </c>
      <c r="X293" s="15"/>
      <c r="Y293" s="2"/>
      <c r="Z293" s="2">
        <f>Table2[[#This Row],[A/EV]]-Table2[[#This Row],[H/EV]]</f>
        <v>9.7609058840322405</v>
      </c>
      <c r="AA293" s="29"/>
      <c r="AB293" s="30"/>
      <c r="AC293" s="30"/>
      <c r="AD293" s="30"/>
      <c r="AE293" s="30"/>
      <c r="AF293" s="7" t="b">
        <f>IF(VLOOKUP(Table2[[#This Row],[Home/Neutral]],division_lookup,9,FALSE)=VLOOKUP(Table2[[#This Row],[Visitor/Neutral]],division_lookup,9,FALSE),TRUE,FALSE)</f>
        <v>0</v>
      </c>
      <c r="AG293" s="15" t="str">
        <f>VLOOKUP(Table2[[#This Row],[Home/Neutral]],division_lookup,9,FALSE)</f>
        <v>SW</v>
      </c>
      <c r="AH293" s="15" t="str">
        <f>IF(Table2[[#This Row],[Total/EV]]&lt;Table2[[#This Row],[Total/V]],"UNDER","OVER")</f>
        <v>OVER</v>
      </c>
      <c r="AI293" s="26">
        <f>Table2[[#This Row],[SRS/Real]]-Table2[[#This Row],[Spread/V]]</f>
        <v>0</v>
      </c>
      <c r="AJ293" s="2">
        <f>Table2[[#This Row],[EV/Real]]-Table2[[#This Row],[Spread/V]]</f>
        <v>0</v>
      </c>
      <c r="AK293" s="2">
        <f>Table2[[#This Row],[SRS/Diff]]-Table2[[#This Row],[EV/Diff]]</f>
        <v>0</v>
      </c>
      <c r="AL293" s="18">
        <f>Table2[[#This Row],[SRS]]-Table2[[#This Row],[Spread]]</f>
        <v>10.731311475409834</v>
      </c>
      <c r="AM293" s="21">
        <f>Table2[[#This Row],[(A) Err]]^2</f>
        <v>115.16104598226279</v>
      </c>
      <c r="AN293" s="6">
        <f>Table2[[#This Row],[EV]]-Table2[[#This Row],[Spread]]</f>
        <v>9.7609058840322405</v>
      </c>
      <c r="AO293" s="1">
        <f>Table2[[#This Row],[EV Err]]^2</f>
        <v>95.275283676935217</v>
      </c>
      <c r="AP293" s="1"/>
    </row>
    <row r="294" spans="1:42" x14ac:dyDescent="0.25">
      <c r="A294" s="77">
        <v>42707</v>
      </c>
      <c r="B294" s="49" t="s">
        <v>118</v>
      </c>
      <c r="C294" s="49" t="s">
        <v>131</v>
      </c>
      <c r="D294" s="49"/>
      <c r="E294" s="51"/>
      <c r="F294" s="49"/>
      <c r="G294" s="51"/>
      <c r="H294" s="50"/>
      <c r="I294" s="51"/>
      <c r="J294" s="49"/>
      <c r="K294" s="49"/>
      <c r="L294" s="51">
        <f>(Table2[[#This Row],[H/Pace]]/100)*(VLOOKUP(Table2[[#This Row],[Home/Neutral]],home_lookup,8,FALSE)+VLOOKUP(Table2[[#This Row],[Home/Neutral]],OFR_lookup,2,FALSE)+VLOOKUP(Table2[[#This Row],[Visitor/Neutral]],def_diff_lookup,6,FALSE))</f>
        <v>115.88703838078237</v>
      </c>
      <c r="M294" s="51"/>
      <c r="N294" s="51">
        <f>(Table2[[#This Row],[A/Pace]]/100)*(VLOOKUP(Table2[[#This Row],[Visitor/Neutral]],OFR_lookup,2,FALSE)+VLOOKUP(Table2[[#This Row],[Home/Neutral]],def_diff_lookup,6,FALSE))</f>
        <v>101.97018300000001</v>
      </c>
      <c r="O294" s="51"/>
      <c r="P294" s="51"/>
      <c r="Q294" s="49">
        <f>VLOOKUP(Table2[[#This Row],[Home/Neutral]],pace_lookup,7,FALSE)</f>
        <v>100.4</v>
      </c>
      <c r="R294" s="52">
        <f>VLOOKUP(Table2[[#This Row],[Visitor/Neutral]],pace_lookup,7,FALSE)</f>
        <v>101.7</v>
      </c>
      <c r="S294" s="50"/>
      <c r="T294" s="49"/>
      <c r="U294" s="75"/>
      <c r="V294" s="49"/>
      <c r="W294" s="53">
        <f>-home-VLOOKUP(Table2[[#This Row],[Home/Neutral]],rtg_vlookup,4,FALSE)+VLOOKUP(Table2[[#This Row],[Visitor/Neutral]],rtg_vlookup,4,FALSE)</f>
        <v>-20.578688524590167</v>
      </c>
      <c r="X294" s="75"/>
      <c r="Y294" s="53"/>
      <c r="Z294" s="53">
        <f>Table2[[#This Row],[A/EV]]-Table2[[#This Row],[H/EV]]</f>
        <v>-13.916855380782366</v>
      </c>
      <c r="AA294" s="29"/>
      <c r="AB294" s="30"/>
      <c r="AC294" s="30"/>
      <c r="AD294" s="30"/>
      <c r="AE294" s="30"/>
      <c r="AF294" s="7" t="b">
        <f>IF(VLOOKUP(Table2[[#This Row],[Home/Neutral]],division_lookup,9,FALSE)=VLOOKUP(Table2[[#This Row],[Visitor/Neutral]],division_lookup,9,FALSE),TRUE,FALSE)</f>
        <v>1</v>
      </c>
      <c r="AG294" s="15" t="str">
        <f>VLOOKUP(Table2[[#This Row],[Home/Neutral]],division_lookup,9,FALSE)</f>
        <v>P</v>
      </c>
      <c r="AH294" s="15" t="str">
        <f>IF(Table2[[#This Row],[Total/EV]]&lt;Table2[[#This Row],[Total/V]],"UNDER","OVER")</f>
        <v>OVER</v>
      </c>
      <c r="AI294" s="26">
        <f>Table2[[#This Row],[SRS/Real]]-Table2[[#This Row],[Spread/V]]</f>
        <v>0</v>
      </c>
      <c r="AJ294" s="2">
        <f>Table2[[#This Row],[EV/Real]]-Table2[[#This Row],[Spread/V]]</f>
        <v>0</v>
      </c>
      <c r="AK294" s="2">
        <f>Table2[[#This Row],[SRS/Diff]]-Table2[[#This Row],[EV/Diff]]</f>
        <v>0</v>
      </c>
      <c r="AL294" s="18">
        <f>Table2[[#This Row],[SRS]]-Table2[[#This Row],[Spread]]</f>
        <v>-20.578688524590167</v>
      </c>
      <c r="AM294" s="21">
        <f>Table2[[#This Row],[(A) Err]]^2</f>
        <v>423.48242139209901</v>
      </c>
      <c r="AN294" s="6">
        <f>Table2[[#This Row],[EV]]-Table2[[#This Row],[Spread]]</f>
        <v>-13.916855380782366</v>
      </c>
      <c r="AO294" s="1">
        <f>Table2[[#This Row],[EV Err]]^2</f>
        <v>193.67886368961109</v>
      </c>
      <c r="AP294" s="1"/>
    </row>
    <row r="295" spans="1:42" x14ac:dyDescent="0.25">
      <c r="A295" s="34">
        <v>42707</v>
      </c>
      <c r="B295" t="s">
        <v>123</v>
      </c>
      <c r="C295" t="s">
        <v>122</v>
      </c>
      <c r="E295" s="21"/>
      <c r="G295" s="21"/>
      <c r="H295" s="7"/>
      <c r="I295" s="21"/>
      <c r="K295"/>
      <c r="L295" s="21">
        <f>(Table2[[#This Row],[H/Pace]]/100)*(VLOOKUP(Table2[[#This Row],[Home/Neutral]],home_lookup,8,FALSE)+VLOOKUP(Table2[[#This Row],[Home/Neutral]],OFR_lookup,2,FALSE)+VLOOKUP(Table2[[#This Row],[Visitor/Neutral]],def_diff_lookup,6,FALSE))</f>
        <v>105.97192709563917</v>
      </c>
      <c r="M295" s="21"/>
      <c r="N295" s="21">
        <f>(Table2[[#This Row],[A/Pace]]/100)*(VLOOKUP(Table2[[#This Row],[Visitor/Neutral]],OFR_lookup,2,FALSE)+VLOOKUP(Table2[[#This Row],[Home/Neutral]],def_diff_lookup,6,FALSE))</f>
        <v>105.62649799999998</v>
      </c>
      <c r="O295" s="21"/>
      <c r="P295" s="21"/>
      <c r="Q295">
        <f>VLOOKUP(Table2[[#This Row],[Home/Neutral]],pace_lookup,7,FALSE)</f>
        <v>92.5</v>
      </c>
      <c r="R295" s="5">
        <f>VLOOKUP(Table2[[#This Row],[Visitor/Neutral]],pace_lookup,7,FALSE)</f>
        <v>100.2</v>
      </c>
      <c r="S295" s="7"/>
      <c r="U295" s="15"/>
      <c r="W295" s="2">
        <f>-home-VLOOKUP(Table2[[#This Row],[Home/Neutral]],rtg_vlookup,4,FALSE)+VLOOKUP(Table2[[#This Row],[Visitor/Neutral]],rtg_vlookup,4,FALSE)</f>
        <v>-5.7086885245901655</v>
      </c>
      <c r="X295" s="15"/>
      <c r="Y295" s="2"/>
      <c r="Z295" s="2">
        <f>Table2[[#This Row],[A/EV]]-Table2[[#This Row],[H/EV]]</f>
        <v>-0.34542909563919011</v>
      </c>
      <c r="AA295" s="29"/>
      <c r="AB295" s="30"/>
      <c r="AC295" s="30"/>
      <c r="AD295" s="30"/>
      <c r="AE295" s="30"/>
      <c r="AF295" s="7" t="b">
        <f>IF(VLOOKUP(Table2[[#This Row],[Home/Neutral]],division_lookup,9,FALSE)=VLOOKUP(Table2[[#This Row],[Visitor/Neutral]],division_lookup,9,FALSE),TRUE,FALSE)</f>
        <v>0</v>
      </c>
      <c r="AG295" s="15" t="str">
        <f>VLOOKUP(Table2[[#This Row],[Home/Neutral]],division_lookup,9,FALSE)</f>
        <v>SW</v>
      </c>
      <c r="AH295" s="15" t="str">
        <f>IF(Table2[[#This Row],[Total/EV]]&lt;Table2[[#This Row],[Total/V]],"UNDER","OVER")</f>
        <v>OVER</v>
      </c>
      <c r="AI295" s="26">
        <f>Table2[[#This Row],[SRS/Real]]-Table2[[#This Row],[Spread/V]]</f>
        <v>0</v>
      </c>
      <c r="AJ295" s="2">
        <f>Table2[[#This Row],[EV/Real]]-Table2[[#This Row],[Spread/V]]</f>
        <v>0</v>
      </c>
      <c r="AK295" s="2">
        <f>Table2[[#This Row],[SRS/Diff]]-Table2[[#This Row],[EV/Diff]]</f>
        <v>0</v>
      </c>
      <c r="AL295" s="18">
        <f>Table2[[#This Row],[SRS]]-Table2[[#This Row],[Spread]]</f>
        <v>-5.7086885245901655</v>
      </c>
      <c r="AM295" s="21">
        <f>Table2[[#This Row],[(A) Err]]^2</f>
        <v>32.589124670787442</v>
      </c>
      <c r="AN295" s="6">
        <f>Table2[[#This Row],[EV]]-Table2[[#This Row],[Spread]]</f>
        <v>-0.34542909563919011</v>
      </c>
      <c r="AO295" s="1">
        <f>Table2[[#This Row],[EV Err]]^2</f>
        <v>0.11932126011410875</v>
      </c>
      <c r="AP295" s="1"/>
    </row>
    <row r="296" spans="1:42" x14ac:dyDescent="0.25">
      <c r="A296" s="34">
        <v>42707</v>
      </c>
      <c r="B296" t="s">
        <v>125</v>
      </c>
      <c r="C296" t="s">
        <v>111</v>
      </c>
      <c r="E296" s="21"/>
      <c r="G296" s="21"/>
      <c r="H296" s="7"/>
      <c r="I296" s="21"/>
      <c r="K296"/>
      <c r="L296" s="21">
        <f>(Table2[[#This Row],[H/Pace]]/100)*(VLOOKUP(Table2[[#This Row],[Home/Neutral]],home_lookup,8,FALSE)+VLOOKUP(Table2[[#This Row],[Home/Neutral]],OFR_lookup,2,FALSE)+VLOOKUP(Table2[[#This Row],[Visitor/Neutral]],def_diff_lookup,6,FALSE))</f>
        <v>112.62036550061907</v>
      </c>
      <c r="M296" s="21"/>
      <c r="N296" s="21">
        <f>(Table2[[#This Row],[A/Pace]]/100)*(VLOOKUP(Table2[[#This Row],[Visitor/Neutral]],OFR_lookup,2,FALSE)+VLOOKUP(Table2[[#This Row],[Home/Neutral]],def_diff_lookup,6,FALSE))</f>
        <v>106.32038</v>
      </c>
      <c r="O296" s="21"/>
      <c r="P296" s="21"/>
      <c r="Q296">
        <f>VLOOKUP(Table2[[#This Row],[Home/Neutral]],pace_lookup,7,FALSE)</f>
        <v>96.1</v>
      </c>
      <c r="R296" s="5">
        <f>VLOOKUP(Table2[[#This Row],[Visitor/Neutral]],pace_lookup,7,FALSE)</f>
        <v>102</v>
      </c>
      <c r="S296" s="7"/>
      <c r="U296" s="15"/>
      <c r="W296" s="2">
        <f>-home-VLOOKUP(Table2[[#This Row],[Home/Neutral]],rtg_vlookup,4,FALSE)+VLOOKUP(Table2[[#This Row],[Visitor/Neutral]],rtg_vlookup,4,FALSE)</f>
        <v>-9.0786885245901647</v>
      </c>
      <c r="X296" s="15"/>
      <c r="Y296" s="2"/>
      <c r="Z296" s="2">
        <f>Table2[[#This Row],[A/EV]]-Table2[[#This Row],[H/EV]]</f>
        <v>-6.2999855006190728</v>
      </c>
      <c r="AA296" s="29"/>
      <c r="AB296" s="30"/>
      <c r="AC296" s="30"/>
      <c r="AD296" s="30"/>
      <c r="AE296" s="30"/>
      <c r="AF296" s="7" t="b">
        <f>IF(VLOOKUP(Table2[[#This Row],[Home/Neutral]],division_lookup,9,FALSE)=VLOOKUP(Table2[[#This Row],[Visitor/Neutral]],division_lookup,9,FALSE),TRUE,FALSE)</f>
        <v>0</v>
      </c>
      <c r="AG296" s="15" t="str">
        <f>VLOOKUP(Table2[[#This Row],[Home/Neutral]],division_lookup,9,FALSE)</f>
        <v>C</v>
      </c>
      <c r="AH296" s="15" t="str">
        <f>IF(Table2[[#This Row],[Total/EV]]&lt;Table2[[#This Row],[Total/V]],"UNDER","OVER")</f>
        <v>OVER</v>
      </c>
      <c r="AI296" s="26">
        <f>Table2[[#This Row],[SRS/Real]]-Table2[[#This Row],[Spread/V]]</f>
        <v>0</v>
      </c>
      <c r="AJ296" s="2">
        <f>Table2[[#This Row],[EV/Real]]-Table2[[#This Row],[Spread/V]]</f>
        <v>0</v>
      </c>
      <c r="AK296" s="2">
        <f>Table2[[#This Row],[SRS/Diff]]-Table2[[#This Row],[EV/Diff]]</f>
        <v>0</v>
      </c>
      <c r="AL296" s="18">
        <f>Table2[[#This Row],[SRS]]-Table2[[#This Row],[Spread]]</f>
        <v>-9.0786885245901647</v>
      </c>
      <c r="AM296" s="21">
        <f>Table2[[#This Row],[(A) Err]]^2</f>
        <v>82.422585326525137</v>
      </c>
      <c r="AN296" s="6">
        <f>Table2[[#This Row],[EV]]-Table2[[#This Row],[Spread]]</f>
        <v>-6.2999855006190728</v>
      </c>
      <c r="AO296" s="1">
        <f>Table2[[#This Row],[EV Err]]^2</f>
        <v>39.689817308010547</v>
      </c>
      <c r="AP296" s="1"/>
    </row>
    <row r="297" spans="1:42" x14ac:dyDescent="0.25">
      <c r="A297" s="77">
        <v>42707</v>
      </c>
      <c r="B297" s="49" t="s">
        <v>138</v>
      </c>
      <c r="C297" s="49" t="s">
        <v>110</v>
      </c>
      <c r="D297" s="49"/>
      <c r="E297" s="51"/>
      <c r="F297" s="49"/>
      <c r="G297" s="51"/>
      <c r="H297" s="50"/>
      <c r="I297" s="51"/>
      <c r="J297" s="49"/>
      <c r="K297" s="49"/>
      <c r="L297" s="51">
        <f>(Table2[[#This Row],[H/Pace]]/100)*(VLOOKUP(Table2[[#This Row],[Home/Neutral]],home_lookup,8,FALSE)+VLOOKUP(Table2[[#This Row],[Home/Neutral]],OFR_lookup,2,FALSE)+VLOOKUP(Table2[[#This Row],[Visitor/Neutral]],def_diff_lookup,6,FALSE))</f>
        <v>99.807033531240108</v>
      </c>
      <c r="M297" s="51"/>
      <c r="N297" s="51">
        <f>(Table2[[#This Row],[A/Pace]]/100)*(VLOOKUP(Table2[[#This Row],[Visitor/Neutral]],OFR_lookup,2,FALSE)+VLOOKUP(Table2[[#This Row],[Home/Neutral]],def_diff_lookup,6,FALSE))</f>
        <v>105.40217133333334</v>
      </c>
      <c r="O297" s="51"/>
      <c r="P297" s="51"/>
      <c r="Q297" s="49">
        <f>VLOOKUP(Table2[[#This Row],[Home/Neutral]],pace_lookup,7,FALSE)</f>
        <v>97.5</v>
      </c>
      <c r="R297" s="52">
        <f>VLOOKUP(Table2[[#This Row],[Visitor/Neutral]],pace_lookup,7,FALSE)</f>
        <v>96.2</v>
      </c>
      <c r="S297" s="50"/>
      <c r="T297" s="49"/>
      <c r="U297" s="75"/>
      <c r="V297" s="49"/>
      <c r="W297" s="53">
        <f>-home-VLOOKUP(Table2[[#This Row],[Home/Neutral]],rtg_vlookup,4,FALSE)+VLOOKUP(Table2[[#This Row],[Visitor/Neutral]],rtg_vlookup,4,FALSE)</f>
        <v>7.3313114754098354</v>
      </c>
      <c r="X297" s="75"/>
      <c r="Y297" s="53"/>
      <c r="Z297" s="53">
        <f>Table2[[#This Row],[A/EV]]-Table2[[#This Row],[H/EV]]</f>
        <v>5.5951378020932339</v>
      </c>
      <c r="AA297" s="29"/>
      <c r="AB297" s="30"/>
      <c r="AC297" s="30"/>
      <c r="AD297" s="30"/>
      <c r="AE297" s="30"/>
      <c r="AF297" s="7" t="b">
        <f>IF(VLOOKUP(Table2[[#This Row],[Home/Neutral]],division_lookup,9,FALSE)=VLOOKUP(Table2[[#This Row],[Visitor/Neutral]],division_lookup,9,FALSE),TRUE,FALSE)</f>
        <v>1</v>
      </c>
      <c r="AG297" s="15" t="str">
        <f>VLOOKUP(Table2[[#This Row],[Home/Neutral]],division_lookup,9,FALSE)</f>
        <v>A</v>
      </c>
      <c r="AH297" s="15" t="str">
        <f>IF(Table2[[#This Row],[Total/EV]]&lt;Table2[[#This Row],[Total/V]],"UNDER","OVER")</f>
        <v>OVER</v>
      </c>
      <c r="AI297" s="26">
        <f>Table2[[#This Row],[SRS/Real]]-Table2[[#This Row],[Spread/V]]</f>
        <v>0</v>
      </c>
      <c r="AJ297" s="2">
        <f>Table2[[#This Row],[EV/Real]]-Table2[[#This Row],[Spread/V]]</f>
        <v>0</v>
      </c>
      <c r="AK297" s="2">
        <f>Table2[[#This Row],[SRS/Diff]]-Table2[[#This Row],[EV/Diff]]</f>
        <v>0</v>
      </c>
      <c r="AL297" s="18">
        <f>Table2[[#This Row],[SRS]]-Table2[[#This Row],[Spread]]</f>
        <v>7.3313114754098354</v>
      </c>
      <c r="AM297" s="21">
        <f>Table2[[#This Row],[(A) Err]]^2</f>
        <v>53.748127949475936</v>
      </c>
      <c r="AN297" s="6">
        <f>Table2[[#This Row],[EV]]-Table2[[#This Row],[Spread]]</f>
        <v>5.5951378020932339</v>
      </c>
      <c r="AO297" s="1">
        <f>Table2[[#This Row],[EV Err]]^2</f>
        <v>31.305567024412703</v>
      </c>
      <c r="AP297" s="1"/>
    </row>
    <row r="298" spans="1:42" x14ac:dyDescent="0.25">
      <c r="A298" s="34">
        <v>42707</v>
      </c>
      <c r="B298" t="s">
        <v>132</v>
      </c>
      <c r="C298" t="s">
        <v>124</v>
      </c>
      <c r="E298" s="21"/>
      <c r="G298" s="21"/>
      <c r="H298" s="7"/>
      <c r="I298" s="21"/>
      <c r="K298"/>
      <c r="L298" s="21">
        <f>(Table2[[#This Row],[H/Pace]]/100)*(VLOOKUP(Table2[[#This Row],[Home/Neutral]],home_lookup,8,FALSE)+VLOOKUP(Table2[[#This Row],[Home/Neutral]],OFR_lookup,2,FALSE)+VLOOKUP(Table2[[#This Row],[Visitor/Neutral]],def_diff_lookup,6,FALSE))</f>
        <v>106.79114144606979</v>
      </c>
      <c r="M298" s="21"/>
      <c r="N298" s="21">
        <f>(Table2[[#This Row],[A/Pace]]/100)*(VLOOKUP(Table2[[#This Row],[Visitor/Neutral]],OFR_lookup,2,FALSE)+VLOOKUP(Table2[[#This Row],[Home/Neutral]],def_diff_lookup,6,FALSE))</f>
        <v>101.91342966666667</v>
      </c>
      <c r="O298" s="21"/>
      <c r="P298" s="21"/>
      <c r="Q298">
        <f>VLOOKUP(Table2[[#This Row],[Home/Neutral]],pace_lookup,7,FALSE)</f>
        <v>98.8</v>
      </c>
      <c r="R298" s="5">
        <f>VLOOKUP(Table2[[#This Row],[Visitor/Neutral]],pace_lookup,7,FALSE)</f>
        <v>93.7</v>
      </c>
      <c r="S298" s="7"/>
      <c r="U298" s="15"/>
      <c r="W298" s="2">
        <f>-home-VLOOKUP(Table2[[#This Row],[Home/Neutral]],rtg_vlookup,4,FALSE)+VLOOKUP(Table2[[#This Row],[Visitor/Neutral]],rtg_vlookup,4,FALSE)</f>
        <v>-1.5386885245901658</v>
      </c>
      <c r="X298" s="15"/>
      <c r="Y298" s="2"/>
      <c r="Z298" s="2">
        <f>Table2[[#This Row],[A/EV]]-Table2[[#This Row],[H/EV]]</f>
        <v>-4.8777117794031142</v>
      </c>
      <c r="AA298" s="29"/>
      <c r="AB298" s="30"/>
      <c r="AC298" s="30"/>
      <c r="AD298" s="30"/>
      <c r="AE298" s="30"/>
      <c r="AF298" s="7" t="b">
        <f>IF(VLOOKUP(Table2[[#This Row],[Home/Neutral]],division_lookup,9,FALSE)=VLOOKUP(Table2[[#This Row],[Visitor/Neutral]],division_lookup,9,FALSE),TRUE,FALSE)</f>
        <v>0</v>
      </c>
      <c r="AG298" s="15" t="str">
        <f>VLOOKUP(Table2[[#This Row],[Home/Neutral]],division_lookup,9,FALSE)</f>
        <v>NW</v>
      </c>
      <c r="AH298" s="15" t="str">
        <f>IF(Table2[[#This Row],[Total/EV]]&lt;Table2[[#This Row],[Total/V]],"UNDER","OVER")</f>
        <v>OVER</v>
      </c>
      <c r="AI298" s="26">
        <f>Table2[[#This Row],[SRS/Real]]-Table2[[#This Row],[Spread/V]]</f>
        <v>0</v>
      </c>
      <c r="AJ298" s="2">
        <f>Table2[[#This Row],[EV/Real]]-Table2[[#This Row],[Spread/V]]</f>
        <v>0</v>
      </c>
      <c r="AK298" s="2">
        <f>Table2[[#This Row],[SRS/Diff]]-Table2[[#This Row],[EV/Diff]]</f>
        <v>0</v>
      </c>
      <c r="AL298" s="18">
        <f>Table2[[#This Row],[SRS]]-Table2[[#This Row],[Spread]]</f>
        <v>-1.5386885245901658</v>
      </c>
      <c r="AM298" s="21">
        <f>Table2[[#This Row],[(A) Err]]^2</f>
        <v>2.3675623757054614</v>
      </c>
      <c r="AN298" s="6">
        <f>Table2[[#This Row],[EV]]-Table2[[#This Row],[Spread]]</f>
        <v>-4.8777117794031142</v>
      </c>
      <c r="AO298" s="1">
        <f>Table2[[#This Row],[EV Err]]^2</f>
        <v>23.792072202927894</v>
      </c>
      <c r="AP298" s="1"/>
    </row>
    <row r="299" spans="1:42" x14ac:dyDescent="0.25">
      <c r="A299" s="34">
        <v>42707</v>
      </c>
      <c r="B299" t="s">
        <v>135</v>
      </c>
      <c r="C299" t="s">
        <v>109</v>
      </c>
      <c r="E299" s="21"/>
      <c r="G299" s="21"/>
      <c r="H299" s="7"/>
      <c r="I299" s="21"/>
      <c r="K299"/>
      <c r="L299" s="21">
        <f>(Table2[[#This Row],[H/Pace]]/100)*(VLOOKUP(Table2[[#This Row],[Home/Neutral]],home_lookup,8,FALSE)+VLOOKUP(Table2[[#This Row],[Home/Neutral]],OFR_lookup,2,FALSE)+VLOOKUP(Table2[[#This Row],[Visitor/Neutral]],def_diff_lookup,6,FALSE))</f>
        <v>103.10502035324615</v>
      </c>
      <c r="M299" s="21"/>
      <c r="N299" s="21">
        <f>(Table2[[#This Row],[A/Pace]]/100)*(VLOOKUP(Table2[[#This Row],[Visitor/Neutral]],OFR_lookup,2,FALSE)+VLOOKUP(Table2[[#This Row],[Home/Neutral]],def_diff_lookup,6,FALSE))</f>
        <v>102.15186133333331</v>
      </c>
      <c r="O299" s="21"/>
      <c r="P299" s="21"/>
      <c r="Q299">
        <f>VLOOKUP(Table2[[#This Row],[Home/Neutral]],pace_lookup,7,FALSE)</f>
        <v>95.4</v>
      </c>
      <c r="R299" s="5">
        <f>VLOOKUP(Table2[[#This Row],[Visitor/Neutral]],pace_lookup,7,FALSE)</f>
        <v>99.2</v>
      </c>
      <c r="S299" s="7"/>
      <c r="U299" s="15"/>
      <c r="W299" s="2">
        <f>-home-VLOOKUP(Table2[[#This Row],[Home/Neutral]],rtg_vlookup,4,FALSE)+VLOOKUP(Table2[[#This Row],[Visitor/Neutral]],rtg_vlookup,4,FALSE)</f>
        <v>-6.4386885245901651</v>
      </c>
      <c r="X299" s="15"/>
      <c r="Y299" s="2"/>
      <c r="Z299" s="2">
        <f>Table2[[#This Row],[A/EV]]-Table2[[#This Row],[H/EV]]</f>
        <v>-0.9531590199128317</v>
      </c>
      <c r="AA299" s="29"/>
      <c r="AB299" s="30"/>
      <c r="AC299" s="30"/>
      <c r="AD299" s="30"/>
      <c r="AE299" s="30"/>
      <c r="AF299" s="7" t="b">
        <f>IF(VLOOKUP(Table2[[#This Row],[Home/Neutral]],division_lookup,9,FALSE)=VLOOKUP(Table2[[#This Row],[Visitor/Neutral]],division_lookup,9,FALSE),TRUE,FALSE)</f>
        <v>0</v>
      </c>
      <c r="AG299" s="15" t="str">
        <f>VLOOKUP(Table2[[#This Row],[Home/Neutral]],division_lookup,9,FALSE)</f>
        <v>A</v>
      </c>
      <c r="AH299" s="15" t="str">
        <f>IF(Table2[[#This Row],[Total/EV]]&lt;Table2[[#This Row],[Total/V]],"UNDER","OVER")</f>
        <v>OVER</v>
      </c>
      <c r="AI299" s="26">
        <f>Table2[[#This Row],[SRS/Real]]-Table2[[#This Row],[Spread/V]]</f>
        <v>0</v>
      </c>
      <c r="AJ299" s="2">
        <f>Table2[[#This Row],[EV/Real]]-Table2[[#This Row],[Spread/V]]</f>
        <v>0</v>
      </c>
      <c r="AK299" s="2">
        <f>Table2[[#This Row],[SRS/Diff]]-Table2[[#This Row],[EV/Diff]]</f>
        <v>0</v>
      </c>
      <c r="AL299" s="18">
        <f>Table2[[#This Row],[SRS]]-Table2[[#This Row],[Spread]]</f>
        <v>-6.4386885245901651</v>
      </c>
      <c r="AM299" s="21">
        <f>Table2[[#This Row],[(A) Err]]^2</f>
        <v>41.456709916689078</v>
      </c>
      <c r="AN299" s="6">
        <f>Table2[[#This Row],[EV]]-Table2[[#This Row],[Spread]]</f>
        <v>-0.9531590199128317</v>
      </c>
      <c r="AO299" s="1">
        <f>Table2[[#This Row],[EV Err]]^2</f>
        <v>0.90851211724118985</v>
      </c>
      <c r="AP299" s="1"/>
    </row>
    <row r="300" spans="1:42" ht="15.75" thickBot="1" x14ac:dyDescent="0.3">
      <c r="A300" s="102">
        <v>42707</v>
      </c>
      <c r="B300" s="54" t="s">
        <v>136</v>
      </c>
      <c r="C300" s="54" t="s">
        <v>116</v>
      </c>
      <c r="D300" s="54"/>
      <c r="E300" s="56"/>
      <c r="F300" s="54"/>
      <c r="G300" s="56"/>
      <c r="H300" s="55"/>
      <c r="I300" s="56"/>
      <c r="J300" s="54"/>
      <c r="K300" s="54"/>
      <c r="L300" s="56">
        <f>(Table2[[#This Row],[H/Pace]]/100)*(VLOOKUP(Table2[[#This Row],[Home/Neutral]],home_lookup,8,FALSE)+VLOOKUP(Table2[[#This Row],[Home/Neutral]],OFR_lookup,2,FALSE)+VLOOKUP(Table2[[#This Row],[Visitor/Neutral]],def_diff_lookup,6,FALSE))</f>
        <v>105.29503534991899</v>
      </c>
      <c r="M300" s="56"/>
      <c r="N300" s="56">
        <f>(Table2[[#This Row],[A/Pace]]/100)*(VLOOKUP(Table2[[#This Row],[Visitor/Neutral]],OFR_lookup,2,FALSE)+VLOOKUP(Table2[[#This Row],[Home/Neutral]],def_diff_lookup,6,FALSE))</f>
        <v>100.77049566666666</v>
      </c>
      <c r="O300" s="56"/>
      <c r="P300" s="56"/>
      <c r="Q300" s="54">
        <f>VLOOKUP(Table2[[#This Row],[Home/Neutral]],pace_lookup,7,FALSE)</f>
        <v>91.5</v>
      </c>
      <c r="R300" s="54">
        <f>VLOOKUP(Table2[[#This Row],[Visitor/Neutral]],pace_lookup,7,FALSE)</f>
        <v>99.1</v>
      </c>
      <c r="S300" s="55"/>
      <c r="T300" s="54"/>
      <c r="U300" s="73"/>
      <c r="V300" s="54"/>
      <c r="W300" s="57">
        <f>-home-VLOOKUP(Table2[[#This Row],[Home/Neutral]],rtg_vlookup,4,FALSE)+VLOOKUP(Table2[[#This Row],[Visitor/Neutral]],rtg_vlookup,4,FALSE)</f>
        <v>-7.768688524590166</v>
      </c>
      <c r="X300" s="73"/>
      <c r="Y300" s="57"/>
      <c r="Z300" s="57">
        <f>Table2[[#This Row],[A/EV]]-Table2[[#This Row],[H/EV]]</f>
        <v>-4.5245396832523284</v>
      </c>
      <c r="AA300" s="31"/>
      <c r="AB300" s="32"/>
      <c r="AC300" s="32"/>
      <c r="AD300" s="32"/>
      <c r="AE300" s="32"/>
      <c r="AF300" s="8" t="b">
        <f>IF(VLOOKUP(Table2[[#This Row],[Home/Neutral]],division_lookup,9,FALSE)=VLOOKUP(Table2[[#This Row],[Visitor/Neutral]],division_lookup,9,FALSE),TRUE,FALSE)</f>
        <v>1</v>
      </c>
      <c r="AG300" s="16" t="str">
        <f>VLOOKUP(Table2[[#This Row],[Home/Neutral]],division_lookup,9,FALSE)</f>
        <v>NW</v>
      </c>
      <c r="AH300" s="16" t="str">
        <f>IF(Table2[[#This Row],[Total/EV]]&lt;Table2[[#This Row],[Total/V]],"UNDER","OVER")</f>
        <v>OVER</v>
      </c>
      <c r="AI300" s="16">
        <f>Table2[[#This Row],[SRS/Real]]-Table2[[#This Row],[Spread/V]]</f>
        <v>0</v>
      </c>
      <c r="AJ300" s="9">
        <f>Table2[[#This Row],[EV/Real]]-Table2[[#This Row],[Spread/V]]</f>
        <v>0</v>
      </c>
      <c r="AK300" s="9">
        <f>Table2[[#This Row],[SRS/Diff]]-Table2[[#This Row],[EV/Diff]]</f>
        <v>0</v>
      </c>
      <c r="AL300" s="19">
        <f>Table2[[#This Row],[SRS]]-Table2[[#This Row],[Spread]]</f>
        <v>-7.768688524590166</v>
      </c>
      <c r="AM300" s="22">
        <f>Table2[[#This Row],[(A) Err]]^2</f>
        <v>60.352521392098929</v>
      </c>
      <c r="AN300" s="4">
        <f>Table2[[#This Row],[EV]]-Table2[[#This Row],[Spread]]</f>
        <v>-4.5245396832523284</v>
      </c>
      <c r="AO300" s="4">
        <f>Table2[[#This Row],[EV Err]]^2</f>
        <v>20.47145934532508</v>
      </c>
      <c r="AP300" s="1"/>
    </row>
    <row r="301" spans="1:42" x14ac:dyDescent="0.25">
      <c r="A301" s="34">
        <v>42708</v>
      </c>
      <c r="B301" t="s">
        <v>117</v>
      </c>
      <c r="C301" t="s">
        <v>130</v>
      </c>
      <c r="E301" s="21"/>
      <c r="G301" s="21"/>
      <c r="H301" s="7"/>
      <c r="I301" s="21"/>
      <c r="K301"/>
      <c r="L301" s="21">
        <f>(Table2[[#This Row],[H/Pace]]/100)*(VLOOKUP(Table2[[#This Row],[Home/Neutral]],home_lookup,8,FALSE)+VLOOKUP(Table2[[#This Row],[Home/Neutral]],OFR_lookup,2,FALSE)+VLOOKUP(Table2[[#This Row],[Visitor/Neutral]],def_diff_lookup,6,FALSE))</f>
        <v>112.05799591446429</v>
      </c>
      <c r="M301" s="21"/>
      <c r="N301" s="21">
        <f>(Table2[[#This Row],[A/Pace]]/100)*(VLOOKUP(Table2[[#This Row],[Visitor/Neutral]],OFR_lookup,2,FALSE)+VLOOKUP(Table2[[#This Row],[Home/Neutral]],def_diff_lookup,6,FALSE))</f>
        <v>88.477977999999993</v>
      </c>
      <c r="O301" s="21"/>
      <c r="P301" s="21"/>
      <c r="Q301">
        <f>VLOOKUP(Table2[[#This Row],[Home/Neutral]],pace_lookup,7,FALSE)</f>
        <v>94</v>
      </c>
      <c r="R301" s="5">
        <f>VLOOKUP(Table2[[#This Row],[Visitor/Neutral]],pace_lookup,7,FALSE)</f>
        <v>94.2</v>
      </c>
      <c r="S301" s="7"/>
      <c r="U301" s="15"/>
      <c r="W301" s="2">
        <f>-home-VLOOKUP(Table2[[#This Row],[Home/Neutral]],rtg_vlookup,4,FALSE)+VLOOKUP(Table2[[#This Row],[Visitor/Neutral]],rtg_vlookup,4,FALSE)</f>
        <v>-12.978688524590167</v>
      </c>
      <c r="X301" s="15"/>
      <c r="Y301" s="2"/>
      <c r="Z301" s="2">
        <f>Table2[[#This Row],[A/EV]]-Table2[[#This Row],[H/EV]]</f>
        <v>-23.580017914464293</v>
      </c>
      <c r="AA301" s="29"/>
      <c r="AB301" s="30"/>
      <c r="AC301" s="30"/>
      <c r="AD301" s="30"/>
      <c r="AE301" s="30"/>
      <c r="AF301" s="7" t="b">
        <f>IF(VLOOKUP(Table2[[#This Row],[Home/Neutral]],division_lookup,9,FALSE)=VLOOKUP(Table2[[#This Row],[Visitor/Neutral]],division_lookup,9,FALSE),TRUE,FALSE)</f>
        <v>0</v>
      </c>
      <c r="AG301" s="15" t="str">
        <f>VLOOKUP(Table2[[#This Row],[Home/Neutral]],division_lookup,9,FALSE)</f>
        <v>C</v>
      </c>
      <c r="AH301" s="15" t="str">
        <f>IF(Table2[[#This Row],[Total/EV]]&lt;Table2[[#This Row],[Total/V]],"UNDER","OVER")</f>
        <v>OVER</v>
      </c>
      <c r="AI301" s="26">
        <f>Table2[[#This Row],[SRS/Real]]-Table2[[#This Row],[Spread/V]]</f>
        <v>0</v>
      </c>
      <c r="AJ301" s="2">
        <f>Table2[[#This Row],[EV/Real]]-Table2[[#This Row],[Spread/V]]</f>
        <v>0</v>
      </c>
      <c r="AK301" s="2">
        <f>Table2[[#This Row],[SRS/Diff]]-Table2[[#This Row],[EV/Diff]]</f>
        <v>0</v>
      </c>
      <c r="AL301" s="18">
        <f>Table2[[#This Row],[SRS]]-Table2[[#This Row],[Spread]]</f>
        <v>-12.978688524590167</v>
      </c>
      <c r="AM301" s="21">
        <f>Table2[[#This Row],[(A) Err]]^2</f>
        <v>168.44635581832847</v>
      </c>
      <c r="AN301" s="6">
        <f>Table2[[#This Row],[EV]]-Table2[[#This Row],[Spread]]</f>
        <v>-23.580017914464293</v>
      </c>
      <c r="AO301" s="1">
        <f>Table2[[#This Row],[EV Err]]^2</f>
        <v>556.01724484645695</v>
      </c>
      <c r="AP301" s="1"/>
    </row>
    <row r="302" spans="1:42" x14ac:dyDescent="0.25">
      <c r="A302" s="34">
        <v>42708</v>
      </c>
      <c r="B302" t="s">
        <v>121</v>
      </c>
      <c r="C302" t="s">
        <v>120</v>
      </c>
      <c r="E302" s="21"/>
      <c r="G302" s="21"/>
      <c r="H302" s="7"/>
      <c r="I302" s="21"/>
      <c r="K302"/>
      <c r="L302" s="21">
        <f>(Table2[[#This Row],[H/Pace]]/100)*(VLOOKUP(Table2[[#This Row],[Home/Neutral]],home_lookup,8,FALSE)+VLOOKUP(Table2[[#This Row],[Home/Neutral]],OFR_lookup,2,FALSE)+VLOOKUP(Table2[[#This Row],[Visitor/Neutral]],def_diff_lookup,6,FALSE))</f>
        <v>115.57704060751253</v>
      </c>
      <c r="M302" s="21"/>
      <c r="N302" s="21">
        <f>(Table2[[#This Row],[A/Pace]]/100)*(VLOOKUP(Table2[[#This Row],[Visitor/Neutral]],OFR_lookup,2,FALSE)+VLOOKUP(Table2[[#This Row],[Home/Neutral]],def_diff_lookup,6,FALSE))</f>
        <v>97.735430333333341</v>
      </c>
      <c r="O302" s="21"/>
      <c r="P302" s="21"/>
      <c r="Q302">
        <f>VLOOKUP(Table2[[#This Row],[Home/Neutral]],pace_lookup,7,FALSE)</f>
        <v>96.4</v>
      </c>
      <c r="R302" s="5">
        <f>VLOOKUP(Table2[[#This Row],[Visitor/Neutral]],pace_lookup,7,FALSE)</f>
        <v>98.3</v>
      </c>
      <c r="S302" s="7"/>
      <c r="U302" s="15"/>
      <c r="W302" s="2">
        <f>-home-VLOOKUP(Table2[[#This Row],[Home/Neutral]],rtg_vlookup,4,FALSE)+VLOOKUP(Table2[[#This Row],[Visitor/Neutral]],rtg_vlookup,4,FALSE)</f>
        <v>-20.208688524590166</v>
      </c>
      <c r="X302" s="15"/>
      <c r="Y302" s="2"/>
      <c r="Z302" s="2">
        <f>Table2[[#This Row],[A/EV]]-Table2[[#This Row],[H/EV]]</f>
        <v>-17.841610274179189</v>
      </c>
      <c r="AA302" s="29"/>
      <c r="AB302" s="30"/>
      <c r="AC302" s="30"/>
      <c r="AD302" s="30"/>
      <c r="AE302" s="30"/>
      <c r="AF302" s="7" t="b">
        <f>IF(VLOOKUP(Table2[[#This Row],[Home/Neutral]],division_lookup,9,FALSE)=VLOOKUP(Table2[[#This Row],[Visitor/Neutral]],division_lookup,9,FALSE),TRUE,FALSE)</f>
        <v>0</v>
      </c>
      <c r="AG302" s="15" t="str">
        <f>VLOOKUP(Table2[[#This Row],[Home/Neutral]],division_lookup,9,FALSE)</f>
        <v>P</v>
      </c>
      <c r="AH302" s="15" t="str">
        <f>IF(Table2[[#This Row],[Total/EV]]&lt;Table2[[#This Row],[Total/V]],"UNDER","OVER")</f>
        <v>OVER</v>
      </c>
      <c r="AI302" s="26">
        <f>Table2[[#This Row],[SRS/Real]]-Table2[[#This Row],[Spread/V]]</f>
        <v>0</v>
      </c>
      <c r="AJ302" s="2">
        <f>Table2[[#This Row],[EV/Real]]-Table2[[#This Row],[Spread/V]]</f>
        <v>0</v>
      </c>
      <c r="AK302" s="2">
        <f>Table2[[#This Row],[SRS/Diff]]-Table2[[#This Row],[EV/Diff]]</f>
        <v>0</v>
      </c>
      <c r="AL302" s="18">
        <f>Table2[[#This Row],[SRS]]-Table2[[#This Row],[Spread]]</f>
        <v>-20.208688524590166</v>
      </c>
      <c r="AM302" s="21">
        <f>Table2[[#This Row],[(A) Err]]^2</f>
        <v>408.39109188390222</v>
      </c>
      <c r="AN302" s="6">
        <f>Table2[[#This Row],[EV]]-Table2[[#This Row],[Spread]]</f>
        <v>-17.841610274179189</v>
      </c>
      <c r="AO302" s="1">
        <f>Table2[[#This Row],[EV Err]]^2</f>
        <v>318.32305717569642</v>
      </c>
      <c r="AP302" s="1"/>
    </row>
    <row r="303" spans="1:42" x14ac:dyDescent="0.25">
      <c r="A303" s="34">
        <v>42708</v>
      </c>
      <c r="B303" t="s">
        <v>128</v>
      </c>
      <c r="C303" t="s">
        <v>133</v>
      </c>
      <c r="E303" s="21"/>
      <c r="G303" s="21"/>
      <c r="H303" s="7"/>
      <c r="I303" s="21"/>
      <c r="K303"/>
      <c r="L303" s="21">
        <f>(Table2[[#This Row],[H/Pace]]/100)*(VLOOKUP(Table2[[#This Row],[Home/Neutral]],home_lookup,8,FALSE)+VLOOKUP(Table2[[#This Row],[Home/Neutral]],OFR_lookup,2,FALSE)+VLOOKUP(Table2[[#This Row],[Visitor/Neutral]],def_diff_lookup,6,FALSE))</f>
        <v>111.5140398778302</v>
      </c>
      <c r="M303" s="21"/>
      <c r="N303" s="21">
        <f>(Table2[[#This Row],[A/Pace]]/100)*(VLOOKUP(Table2[[#This Row],[Visitor/Neutral]],OFR_lookup,2,FALSE)+VLOOKUP(Table2[[#This Row],[Home/Neutral]],def_diff_lookup,6,FALSE))</f>
        <v>104.67095800000001</v>
      </c>
      <c r="O303" s="21"/>
      <c r="P303" s="21"/>
      <c r="Q303">
        <f>VLOOKUP(Table2[[#This Row],[Home/Neutral]],pace_lookup,7,FALSE)</f>
        <v>96.3</v>
      </c>
      <c r="R303" s="5">
        <f>VLOOKUP(Table2[[#This Row],[Visitor/Neutral]],pace_lookup,7,FALSE)</f>
        <v>94.2</v>
      </c>
      <c r="S303" s="7"/>
      <c r="U303" s="15"/>
      <c r="W303" s="2">
        <f>-home-VLOOKUP(Table2[[#This Row],[Home/Neutral]],rtg_vlookup,4,FALSE)+VLOOKUP(Table2[[#This Row],[Visitor/Neutral]],rtg_vlookup,4,FALSE)</f>
        <v>-2.8386885245901659</v>
      </c>
      <c r="X303" s="15"/>
      <c r="Y303" s="2"/>
      <c r="Z303" s="2">
        <f>Table2[[#This Row],[A/EV]]-Table2[[#This Row],[H/EV]]</f>
        <v>-6.843081877830187</v>
      </c>
      <c r="AA303" s="29"/>
      <c r="AB303" s="30"/>
      <c r="AC303" s="30"/>
      <c r="AD303" s="30"/>
      <c r="AE303" s="30"/>
      <c r="AF303" s="7" t="b">
        <f>IF(VLOOKUP(Table2[[#This Row],[Home/Neutral]],division_lookup,9,FALSE)=VLOOKUP(Table2[[#This Row],[Visitor/Neutral]],division_lookup,9,FALSE),TRUE,FALSE)</f>
        <v>0</v>
      </c>
      <c r="AG303" s="15" t="str">
        <f>VLOOKUP(Table2[[#This Row],[Home/Neutral]],division_lookup,9,FALSE)</f>
        <v>A</v>
      </c>
      <c r="AH303" s="15" t="str">
        <f>IF(Table2[[#This Row],[Total/EV]]&lt;Table2[[#This Row],[Total/V]],"UNDER","OVER")</f>
        <v>OVER</v>
      </c>
      <c r="AI303" s="26">
        <f>Table2[[#This Row],[SRS/Real]]-Table2[[#This Row],[Spread/V]]</f>
        <v>0</v>
      </c>
      <c r="AJ303" s="2">
        <f>Table2[[#This Row],[EV/Real]]-Table2[[#This Row],[Spread/V]]</f>
        <v>0</v>
      </c>
      <c r="AK303" s="2">
        <f>Table2[[#This Row],[SRS/Diff]]-Table2[[#This Row],[EV/Diff]]</f>
        <v>0</v>
      </c>
      <c r="AL303" s="18">
        <f>Table2[[#This Row],[SRS]]-Table2[[#This Row],[Spread]]</f>
        <v>-2.8386885245901659</v>
      </c>
      <c r="AM303" s="21">
        <f>Table2[[#This Row],[(A) Err]]^2</f>
        <v>8.0581525396398934</v>
      </c>
      <c r="AN303" s="6">
        <f>Table2[[#This Row],[EV]]-Table2[[#This Row],[Spread]]</f>
        <v>-6.843081877830187</v>
      </c>
      <c r="AO303" s="1">
        <f>Table2[[#This Row],[EV Err]]^2</f>
        <v>46.827769586687914</v>
      </c>
      <c r="AP303" s="1"/>
    </row>
    <row r="304" spans="1:42" ht="15.75" thickBot="1" x14ac:dyDescent="0.3">
      <c r="A304" s="100">
        <v>42708</v>
      </c>
      <c r="B304" s="3" t="s">
        <v>129</v>
      </c>
      <c r="C304" s="3" t="s">
        <v>127</v>
      </c>
      <c r="D304" s="3"/>
      <c r="E304" s="22"/>
      <c r="F304" s="3"/>
      <c r="G304" s="22"/>
      <c r="H304" s="8"/>
      <c r="I304" s="22"/>
      <c r="J304" s="3"/>
      <c r="K304" s="3"/>
      <c r="L304" s="22">
        <f>(Table2[[#This Row],[H/Pace]]/100)*(VLOOKUP(Table2[[#This Row],[Home/Neutral]],home_lookup,8,FALSE)+VLOOKUP(Table2[[#This Row],[Home/Neutral]],OFR_lookup,2,FALSE)+VLOOKUP(Table2[[#This Row],[Visitor/Neutral]],def_diff_lookup,6,FALSE))</f>
        <v>106.12430376890107</v>
      </c>
      <c r="M304" s="22"/>
      <c r="N304" s="22">
        <f>(Table2[[#This Row],[A/Pace]]/100)*(VLOOKUP(Table2[[#This Row],[Visitor/Neutral]],OFR_lookup,2,FALSE)+VLOOKUP(Table2[[#This Row],[Home/Neutral]],def_diff_lookup,6,FALSE))</f>
        <v>100.07023699999999</v>
      </c>
      <c r="O304" s="22"/>
      <c r="P304" s="22"/>
      <c r="Q304" s="3">
        <f>VLOOKUP(Table2[[#This Row],[Home/Neutral]],pace_lookup,7,FALSE)</f>
        <v>99</v>
      </c>
      <c r="R304" s="3">
        <f>VLOOKUP(Table2[[#This Row],[Visitor/Neutral]],pace_lookup,7,FALSE)</f>
        <v>99.3</v>
      </c>
      <c r="S304" s="8"/>
      <c r="T304" s="3"/>
      <c r="U304" s="16"/>
      <c r="V304" s="3"/>
      <c r="W304" s="9">
        <f>-home-VLOOKUP(Table2[[#This Row],[Home/Neutral]],rtg_vlookup,4,FALSE)+VLOOKUP(Table2[[#This Row],[Visitor/Neutral]],rtg_vlookup,4,FALSE)</f>
        <v>-6.9486885245901657</v>
      </c>
      <c r="X304" s="16"/>
      <c r="Y304" s="9"/>
      <c r="Z304" s="9">
        <f>Table2[[#This Row],[A/EV]]-Table2[[#This Row],[H/EV]]</f>
        <v>-6.0540667689010803</v>
      </c>
      <c r="AA304" s="31"/>
      <c r="AB304" s="32"/>
      <c r="AC304" s="32"/>
      <c r="AD304" s="32"/>
      <c r="AE304" s="32"/>
      <c r="AF304" s="8" t="b">
        <f>IF(VLOOKUP(Table2[[#This Row],[Home/Neutral]],division_lookup,9,FALSE)=VLOOKUP(Table2[[#This Row],[Visitor/Neutral]],division_lookup,9,FALSE),TRUE,FALSE)</f>
        <v>0</v>
      </c>
      <c r="AG304" s="16" t="str">
        <f>VLOOKUP(Table2[[#This Row],[Home/Neutral]],division_lookup,9,FALSE)</f>
        <v>NW</v>
      </c>
      <c r="AH304" s="16" t="str">
        <f>IF(Table2[[#This Row],[Total/EV]]&lt;Table2[[#This Row],[Total/V]],"UNDER","OVER")</f>
        <v>OVER</v>
      </c>
      <c r="AI304" s="16">
        <f>Table2[[#This Row],[SRS/Real]]-Table2[[#This Row],[Spread/V]]</f>
        <v>0</v>
      </c>
      <c r="AJ304" s="9">
        <f>Table2[[#This Row],[EV/Real]]-Table2[[#This Row],[Spread/V]]</f>
        <v>0</v>
      </c>
      <c r="AK304" s="9">
        <f>Table2[[#This Row],[SRS/Diff]]-Table2[[#This Row],[EV/Diff]]</f>
        <v>0</v>
      </c>
      <c r="AL304" s="19">
        <f>Table2[[#This Row],[SRS]]-Table2[[#This Row],[Spread]]</f>
        <v>-6.9486885245901657</v>
      </c>
      <c r="AM304" s="22">
        <f>Table2[[#This Row],[(A) Err]]^2</f>
        <v>48.284272211771054</v>
      </c>
      <c r="AN304" s="4">
        <f>Table2[[#This Row],[EV]]-Table2[[#This Row],[Spread]]</f>
        <v>-6.0540667689010803</v>
      </c>
      <c r="AO304" s="4">
        <f>Table2[[#This Row],[EV Err]]^2</f>
        <v>36.651724442312364</v>
      </c>
      <c r="AP304" s="1"/>
    </row>
    <row r="305" spans="1:42" x14ac:dyDescent="0.25">
      <c r="A305" s="34">
        <v>42709</v>
      </c>
      <c r="B305" t="s">
        <v>109</v>
      </c>
      <c r="C305" t="s">
        <v>129</v>
      </c>
      <c r="E305" s="21"/>
      <c r="G305" s="21"/>
      <c r="H305" s="7"/>
      <c r="I305" s="21"/>
      <c r="K305"/>
      <c r="L305" s="21">
        <f>(Table2[[#This Row],[H/Pace]]/100)*(VLOOKUP(Table2[[#This Row],[Home/Neutral]],home_lookup,8,FALSE)+VLOOKUP(Table2[[#This Row],[Home/Neutral]],OFR_lookup,2,FALSE)+VLOOKUP(Table2[[#This Row],[Visitor/Neutral]],def_diff_lookup,6,FALSE))</f>
        <v>98.500806607286378</v>
      </c>
      <c r="M305" s="21"/>
      <c r="N305" s="21">
        <f>(Table2[[#This Row],[A/Pace]]/100)*(VLOOKUP(Table2[[#This Row],[Visitor/Neutral]],OFR_lookup,2,FALSE)+VLOOKUP(Table2[[#This Row],[Home/Neutral]],def_diff_lookup,6,FALSE))</f>
        <v>98.381909999999991</v>
      </c>
      <c r="O305" s="21"/>
      <c r="P305" s="21"/>
      <c r="Q305">
        <f>VLOOKUP(Table2[[#This Row],[Home/Neutral]],pace_lookup,7,FALSE)</f>
        <v>99.2</v>
      </c>
      <c r="R305" s="5">
        <f>VLOOKUP(Table2[[#This Row],[Visitor/Neutral]],pace_lookup,7,FALSE)</f>
        <v>99</v>
      </c>
      <c r="S305" s="7"/>
      <c r="U305" s="15"/>
      <c r="W305" s="2">
        <f>-home-VLOOKUP(Table2[[#This Row],[Home/Neutral]],rtg_vlookup,4,FALSE)+VLOOKUP(Table2[[#This Row],[Visitor/Neutral]],rtg_vlookup,4,FALSE)</f>
        <v>-3.5486885245901663</v>
      </c>
      <c r="X305" s="15"/>
      <c r="Y305" s="2"/>
      <c r="Z305" s="2">
        <f>Table2[[#This Row],[A/EV]]-Table2[[#This Row],[H/EV]]</f>
        <v>-0.11889660728638773</v>
      </c>
      <c r="AA305" s="29"/>
      <c r="AB305" s="30"/>
      <c r="AC305" s="30"/>
      <c r="AD305" s="30"/>
      <c r="AE305" s="30"/>
      <c r="AF305" s="7" t="b">
        <f>IF(VLOOKUP(Table2[[#This Row],[Home/Neutral]],division_lookup,9,FALSE)=VLOOKUP(Table2[[#This Row],[Visitor/Neutral]],division_lookup,9,FALSE),TRUE,FALSE)</f>
        <v>0</v>
      </c>
      <c r="AG305" s="15" t="str">
        <f>VLOOKUP(Table2[[#This Row],[Home/Neutral]],division_lookup,9,FALSE)</f>
        <v>SE</v>
      </c>
      <c r="AH305" s="15" t="str">
        <f>IF(Table2[[#This Row],[Total/EV]]&lt;Table2[[#This Row],[Total/V]],"UNDER","OVER")</f>
        <v>OVER</v>
      </c>
      <c r="AI305" s="26">
        <f>Table2[[#This Row],[SRS/Real]]-Table2[[#This Row],[Spread/V]]</f>
        <v>0</v>
      </c>
      <c r="AJ305" s="2">
        <f>Table2[[#This Row],[EV/Real]]-Table2[[#This Row],[Spread/V]]</f>
        <v>0</v>
      </c>
      <c r="AK305" s="2">
        <f>Table2[[#This Row],[SRS/Diff]]-Table2[[#This Row],[EV/Diff]]</f>
        <v>0</v>
      </c>
      <c r="AL305" s="18">
        <f>Table2[[#This Row],[SRS]]-Table2[[#This Row],[Spread]]</f>
        <v>-3.5486885245901663</v>
      </c>
      <c r="AM305" s="21">
        <f>Table2[[#This Row],[(A) Err]]^2</f>
        <v>12.593190244557931</v>
      </c>
      <c r="AN305" s="6">
        <f>Table2[[#This Row],[EV]]-Table2[[#This Row],[Spread]]</f>
        <v>-0.11889660728638773</v>
      </c>
      <c r="AO305" s="1">
        <f>Table2[[#This Row],[EV Err]]^2</f>
        <v>1.4136403224213509E-2</v>
      </c>
      <c r="AP305" s="1"/>
    </row>
    <row r="306" spans="1:42" x14ac:dyDescent="0.25">
      <c r="A306" s="34">
        <v>42709</v>
      </c>
      <c r="B306" t="s">
        <v>111</v>
      </c>
      <c r="C306" t="s">
        <v>137</v>
      </c>
      <c r="E306" s="21"/>
      <c r="G306" s="21"/>
      <c r="H306" s="7"/>
      <c r="I306" s="21"/>
      <c r="K306"/>
      <c r="L306" s="21">
        <f>(Table2[[#This Row],[H/Pace]]/100)*(VLOOKUP(Table2[[#This Row],[Home/Neutral]],home_lookup,8,FALSE)+VLOOKUP(Table2[[#This Row],[Home/Neutral]],OFR_lookup,2,FALSE)+VLOOKUP(Table2[[#This Row],[Visitor/Neutral]],def_diff_lookup,6,FALSE))</f>
        <v>103.76141832771636</v>
      </c>
      <c r="M306" s="21"/>
      <c r="N306" s="21">
        <f>(Table2[[#This Row],[A/Pace]]/100)*(VLOOKUP(Table2[[#This Row],[Visitor/Neutral]],OFR_lookup,2,FALSE)+VLOOKUP(Table2[[#This Row],[Home/Neutral]],def_diff_lookup,6,FALSE))</f>
        <v>107.00703999999999</v>
      </c>
      <c r="O306" s="21"/>
      <c r="P306" s="21"/>
      <c r="Q306">
        <f>VLOOKUP(Table2[[#This Row],[Home/Neutral]],pace_lookup,7,FALSE)</f>
        <v>102</v>
      </c>
      <c r="R306" s="5">
        <f>VLOOKUP(Table2[[#This Row],[Visitor/Neutral]],pace_lookup,7,FALSE)</f>
        <v>96</v>
      </c>
      <c r="S306" s="7"/>
      <c r="U306" s="15"/>
      <c r="W306" s="2">
        <f>-home-VLOOKUP(Table2[[#This Row],[Home/Neutral]],rtg_vlookup,4,FALSE)+VLOOKUP(Table2[[#This Row],[Visitor/Neutral]],rtg_vlookup,4,FALSE)</f>
        <v>3.0113114754098338</v>
      </c>
      <c r="X306" s="15"/>
      <c r="Y306" s="2"/>
      <c r="Z306" s="2">
        <f>Table2[[#This Row],[A/EV]]-Table2[[#This Row],[H/EV]]</f>
        <v>3.2456216722836331</v>
      </c>
      <c r="AA306" s="29"/>
      <c r="AB306" s="30"/>
      <c r="AC306" s="30"/>
      <c r="AD306" s="30"/>
      <c r="AE306" s="30"/>
      <c r="AF306" s="7" t="b">
        <f>IF(VLOOKUP(Table2[[#This Row],[Home/Neutral]],division_lookup,9,FALSE)=VLOOKUP(Table2[[#This Row],[Visitor/Neutral]],division_lookup,9,FALSE),TRUE,FALSE)</f>
        <v>0</v>
      </c>
      <c r="AG306" s="15" t="str">
        <f>VLOOKUP(Table2[[#This Row],[Home/Neutral]],division_lookup,9,FALSE)</f>
        <v>A</v>
      </c>
      <c r="AH306" s="15" t="str">
        <f>IF(Table2[[#This Row],[Total/EV]]&lt;Table2[[#This Row],[Total/V]],"UNDER","OVER")</f>
        <v>OVER</v>
      </c>
      <c r="AI306" s="26">
        <f>Table2[[#This Row],[SRS/Real]]-Table2[[#This Row],[Spread/V]]</f>
        <v>0</v>
      </c>
      <c r="AJ306" s="2">
        <f>Table2[[#This Row],[EV/Real]]-Table2[[#This Row],[Spread/V]]</f>
        <v>0</v>
      </c>
      <c r="AK306" s="2">
        <f>Table2[[#This Row],[SRS/Diff]]-Table2[[#This Row],[EV/Diff]]</f>
        <v>0</v>
      </c>
      <c r="AL306" s="18">
        <f>Table2[[#This Row],[SRS]]-Table2[[#This Row],[Spread]]</f>
        <v>3.0113114754098338</v>
      </c>
      <c r="AM306" s="21">
        <f>Table2[[#This Row],[(A) Err]]^2</f>
        <v>9.0679968019349495</v>
      </c>
      <c r="AN306" s="6">
        <f>Table2[[#This Row],[EV]]-Table2[[#This Row],[Spread]]</f>
        <v>3.2456216722836331</v>
      </c>
      <c r="AO306" s="1">
        <f>Table2[[#This Row],[EV Err]]^2</f>
        <v>10.534060039597207</v>
      </c>
      <c r="AP306" s="1"/>
    </row>
    <row r="307" spans="1:42" x14ac:dyDescent="0.25">
      <c r="A307" s="34">
        <v>42709</v>
      </c>
      <c r="B307" t="s">
        <v>113</v>
      </c>
      <c r="C307" t="s">
        <v>132</v>
      </c>
      <c r="E307" s="21"/>
      <c r="G307" s="21"/>
      <c r="H307" s="7"/>
      <c r="I307" s="21"/>
      <c r="K307"/>
      <c r="L307" s="21">
        <f>(Table2[[#This Row],[H/Pace]]/100)*(VLOOKUP(Table2[[#This Row],[Home/Neutral]],home_lookup,8,FALSE)+VLOOKUP(Table2[[#This Row],[Home/Neutral]],OFR_lookup,2,FALSE)+VLOOKUP(Table2[[#This Row],[Visitor/Neutral]],def_diff_lookup,6,FALSE))</f>
        <v>114.38749388016279</v>
      </c>
      <c r="M307" s="21"/>
      <c r="N307" s="21">
        <f>(Table2[[#This Row],[A/Pace]]/100)*(VLOOKUP(Table2[[#This Row],[Visitor/Neutral]],OFR_lookup,2,FALSE)+VLOOKUP(Table2[[#This Row],[Home/Neutral]],def_diff_lookup,6,FALSE))</f>
        <v>107.97423866666666</v>
      </c>
      <c r="O307" s="21"/>
      <c r="P307" s="21"/>
      <c r="Q307">
        <f>VLOOKUP(Table2[[#This Row],[Home/Neutral]],pace_lookup,7,FALSE)</f>
        <v>95.1</v>
      </c>
      <c r="R307" s="5">
        <f>VLOOKUP(Table2[[#This Row],[Visitor/Neutral]],pace_lookup,7,FALSE)</f>
        <v>98.8</v>
      </c>
      <c r="S307" s="7"/>
      <c r="U307" s="15"/>
      <c r="W307" s="2">
        <f>-home-VLOOKUP(Table2[[#This Row],[Home/Neutral]],rtg_vlookup,4,FALSE)+VLOOKUP(Table2[[#This Row],[Visitor/Neutral]],rtg_vlookup,4,FALSE)</f>
        <v>-9.8686885245901657</v>
      </c>
      <c r="X307" s="15"/>
      <c r="Y307" s="2"/>
      <c r="Z307" s="2">
        <f>Table2[[#This Row],[A/EV]]-Table2[[#This Row],[H/EV]]</f>
        <v>-6.4132552134961287</v>
      </c>
      <c r="AA307" s="29"/>
      <c r="AB307" s="30"/>
      <c r="AC307" s="30"/>
      <c r="AD307" s="30"/>
      <c r="AE307" s="30"/>
      <c r="AF307" s="7" t="b">
        <f>IF(VLOOKUP(Table2[[#This Row],[Home/Neutral]],division_lookup,9,FALSE)=VLOOKUP(Table2[[#This Row],[Visitor/Neutral]],division_lookup,9,FALSE),TRUE,FALSE)</f>
        <v>0</v>
      </c>
      <c r="AG307" s="15" t="str">
        <f>VLOOKUP(Table2[[#This Row],[Home/Neutral]],division_lookup,9,FALSE)</f>
        <v>C</v>
      </c>
      <c r="AH307" s="15" t="str">
        <f>IF(Table2[[#This Row],[Total/EV]]&lt;Table2[[#This Row],[Total/V]],"UNDER","OVER")</f>
        <v>OVER</v>
      </c>
      <c r="AI307" s="26">
        <f>Table2[[#This Row],[SRS/Real]]-Table2[[#This Row],[Spread/V]]</f>
        <v>0</v>
      </c>
      <c r="AJ307" s="2">
        <f>Table2[[#This Row],[EV/Real]]-Table2[[#This Row],[Spread/V]]</f>
        <v>0</v>
      </c>
      <c r="AK307" s="2">
        <f>Table2[[#This Row],[SRS/Diff]]-Table2[[#This Row],[EV/Diff]]</f>
        <v>0</v>
      </c>
      <c r="AL307" s="18">
        <f>Table2[[#This Row],[SRS]]-Table2[[#This Row],[Spread]]</f>
        <v>-9.8686885245901657</v>
      </c>
      <c r="AM307" s="21">
        <f>Table2[[#This Row],[(A) Err]]^2</f>
        <v>97.391013195377624</v>
      </c>
      <c r="AN307" s="6">
        <f>Table2[[#This Row],[EV]]-Table2[[#This Row],[Spread]]</f>
        <v>-6.4132552134961287</v>
      </c>
      <c r="AO307" s="1">
        <f>Table2[[#This Row],[EV Err]]^2</f>
        <v>41.129842433435279</v>
      </c>
      <c r="AP307" s="1"/>
    </row>
    <row r="308" spans="1:42" x14ac:dyDescent="0.25">
      <c r="A308" s="34">
        <v>42709</v>
      </c>
      <c r="B308" t="s">
        <v>115</v>
      </c>
      <c r="C308" t="s">
        <v>112</v>
      </c>
      <c r="E308" s="21"/>
      <c r="G308" s="21"/>
      <c r="H308" s="7"/>
      <c r="I308" s="21"/>
      <c r="K308"/>
      <c r="L308" s="21">
        <f>(Table2[[#This Row],[H/Pace]]/100)*(VLOOKUP(Table2[[#This Row],[Home/Neutral]],home_lookup,8,FALSE)+VLOOKUP(Table2[[#This Row],[Home/Neutral]],OFR_lookup,2,FALSE)+VLOOKUP(Table2[[#This Row],[Visitor/Neutral]],def_diff_lookup,6,FALSE))</f>
        <v>94.541703115967763</v>
      </c>
      <c r="M308" s="21"/>
      <c r="N308" s="21">
        <f>(Table2[[#This Row],[A/Pace]]/100)*(VLOOKUP(Table2[[#This Row],[Visitor/Neutral]],OFR_lookup,2,FALSE)+VLOOKUP(Table2[[#This Row],[Home/Neutral]],def_diff_lookup,6,FALSE))</f>
        <v>104.29169933333334</v>
      </c>
      <c r="O308" s="21"/>
      <c r="P308" s="21"/>
      <c r="Q308">
        <f>VLOOKUP(Table2[[#This Row],[Home/Neutral]],pace_lookup,7,FALSE)</f>
        <v>92.9</v>
      </c>
      <c r="R308" s="5">
        <f>VLOOKUP(Table2[[#This Row],[Visitor/Neutral]],pace_lookup,7,FALSE)</f>
        <v>97.4</v>
      </c>
      <c r="S308" s="7"/>
      <c r="U308" s="15"/>
      <c r="W308" s="2">
        <f>-home-VLOOKUP(Table2[[#This Row],[Home/Neutral]],rtg_vlookup,4,FALSE)+VLOOKUP(Table2[[#This Row],[Visitor/Neutral]],rtg_vlookup,4,FALSE)</f>
        <v>8.1213114754098328</v>
      </c>
      <c r="X308" s="15"/>
      <c r="Y308" s="2"/>
      <c r="Z308" s="2">
        <f>Table2[[#This Row],[A/EV]]-Table2[[#This Row],[H/EV]]</f>
        <v>9.7499962173655774</v>
      </c>
      <c r="AA308" s="29"/>
      <c r="AB308" s="30"/>
      <c r="AC308" s="30"/>
      <c r="AD308" s="30"/>
      <c r="AE308" s="30"/>
      <c r="AF308" s="7" t="b">
        <f>IF(VLOOKUP(Table2[[#This Row],[Home/Neutral]],division_lookup,9,FALSE)=VLOOKUP(Table2[[#This Row],[Visitor/Neutral]],division_lookup,9,FALSE),TRUE,FALSE)</f>
        <v>0</v>
      </c>
      <c r="AG308" s="15" t="str">
        <f>VLOOKUP(Table2[[#This Row],[Home/Neutral]],division_lookup,9,FALSE)</f>
        <v>SW</v>
      </c>
      <c r="AH308" s="15" t="str">
        <f>IF(Table2[[#This Row],[Total/EV]]&lt;Table2[[#This Row],[Total/V]],"UNDER","OVER")</f>
        <v>OVER</v>
      </c>
      <c r="AI308" s="26">
        <f>Table2[[#This Row],[SRS/Real]]-Table2[[#This Row],[Spread/V]]</f>
        <v>0</v>
      </c>
      <c r="AJ308" s="2">
        <f>Table2[[#This Row],[EV/Real]]-Table2[[#This Row],[Spread/V]]</f>
        <v>0</v>
      </c>
      <c r="AK308" s="2">
        <f>Table2[[#This Row],[SRS/Diff]]-Table2[[#This Row],[EV/Diff]]</f>
        <v>0</v>
      </c>
      <c r="AL308" s="18">
        <f>Table2[[#This Row],[SRS]]-Table2[[#This Row],[Spread]]</f>
        <v>8.1213114754098328</v>
      </c>
      <c r="AM308" s="21">
        <f>Table2[[#This Row],[(A) Err]]^2</f>
        <v>65.95570008062343</v>
      </c>
      <c r="AN308" s="6">
        <f>Table2[[#This Row],[EV]]-Table2[[#This Row],[Spread]]</f>
        <v>9.7499962173655774</v>
      </c>
      <c r="AO308" s="1">
        <f>Table2[[#This Row],[EV Err]]^2</f>
        <v>95.06242623864307</v>
      </c>
      <c r="AP308" s="1"/>
    </row>
    <row r="309" spans="1:42" x14ac:dyDescent="0.25">
      <c r="A309" s="34">
        <v>42709</v>
      </c>
      <c r="B309" t="s">
        <v>118</v>
      </c>
      <c r="C309" t="s">
        <v>120</v>
      </c>
      <c r="E309" s="21"/>
      <c r="G309" s="21"/>
      <c r="H309" s="7"/>
      <c r="I309" s="21"/>
      <c r="K309"/>
      <c r="L309" s="21">
        <f>(Table2[[#This Row],[H/Pace]]/100)*(VLOOKUP(Table2[[#This Row],[Home/Neutral]],home_lookup,8,FALSE)+VLOOKUP(Table2[[#This Row],[Home/Neutral]],OFR_lookup,2,FALSE)+VLOOKUP(Table2[[#This Row],[Visitor/Neutral]],def_diff_lookup,6,FALSE))</f>
        <v>116.51955838078237</v>
      </c>
      <c r="M309" s="21"/>
      <c r="N309" s="21">
        <f>(Table2[[#This Row],[A/Pace]]/100)*(VLOOKUP(Table2[[#This Row],[Visitor/Neutral]],OFR_lookup,2,FALSE)+VLOOKUP(Table2[[#This Row],[Home/Neutral]],def_diff_lookup,6,FALSE))</f>
        <v>100.82205033333334</v>
      </c>
      <c r="O309" s="21"/>
      <c r="P309" s="21"/>
      <c r="Q309">
        <f>VLOOKUP(Table2[[#This Row],[Home/Neutral]],pace_lookup,7,FALSE)</f>
        <v>100.4</v>
      </c>
      <c r="R309" s="5">
        <f>VLOOKUP(Table2[[#This Row],[Visitor/Neutral]],pace_lookup,7,FALSE)</f>
        <v>98.3</v>
      </c>
      <c r="S309" s="7"/>
      <c r="U309" s="15"/>
      <c r="W309" s="2">
        <f>-home-VLOOKUP(Table2[[#This Row],[Home/Neutral]],rtg_vlookup,4,FALSE)+VLOOKUP(Table2[[#This Row],[Visitor/Neutral]],rtg_vlookup,4,FALSE)</f>
        <v>-18.898688524590167</v>
      </c>
      <c r="X309" s="15"/>
      <c r="Y309" s="2"/>
      <c r="Z309" s="2">
        <f>Table2[[#This Row],[A/EV]]-Table2[[#This Row],[H/EV]]</f>
        <v>-15.697508047449034</v>
      </c>
      <c r="AA309" s="29"/>
      <c r="AB309" s="30"/>
      <c r="AC309" s="30"/>
      <c r="AD309" s="30"/>
      <c r="AE309" s="30"/>
      <c r="AF309" s="7" t="b">
        <f>IF(VLOOKUP(Table2[[#This Row],[Home/Neutral]],division_lookup,9,FALSE)=VLOOKUP(Table2[[#This Row],[Visitor/Neutral]],division_lookup,9,FALSE),TRUE,FALSE)</f>
        <v>0</v>
      </c>
      <c r="AG309" s="15" t="str">
        <f>VLOOKUP(Table2[[#This Row],[Home/Neutral]],division_lookup,9,FALSE)</f>
        <v>P</v>
      </c>
      <c r="AH309" s="15" t="str">
        <f>IF(Table2[[#This Row],[Total/EV]]&lt;Table2[[#This Row],[Total/V]],"UNDER","OVER")</f>
        <v>OVER</v>
      </c>
      <c r="AI309" s="26">
        <f>Table2[[#This Row],[SRS/Real]]-Table2[[#This Row],[Spread/V]]</f>
        <v>0</v>
      </c>
      <c r="AJ309" s="2">
        <f>Table2[[#This Row],[EV/Real]]-Table2[[#This Row],[Spread/V]]</f>
        <v>0</v>
      </c>
      <c r="AK309" s="2">
        <f>Table2[[#This Row],[SRS/Diff]]-Table2[[#This Row],[EV/Diff]]</f>
        <v>0</v>
      </c>
      <c r="AL309" s="18">
        <f>Table2[[#This Row],[SRS]]-Table2[[#This Row],[Spread]]</f>
        <v>-18.898688524590167</v>
      </c>
      <c r="AM309" s="21">
        <f>Table2[[#This Row],[(A) Err]]^2</f>
        <v>357.16042794947606</v>
      </c>
      <c r="AN309" s="6">
        <f>Table2[[#This Row],[EV]]-Table2[[#This Row],[Spread]]</f>
        <v>-15.697508047449034</v>
      </c>
      <c r="AO309" s="1">
        <f>Table2[[#This Row],[EV Err]]^2</f>
        <v>246.41175889972718</v>
      </c>
      <c r="AP309" s="1"/>
    </row>
    <row r="310" spans="1:42" x14ac:dyDescent="0.25">
      <c r="A310" s="34">
        <v>42709</v>
      </c>
      <c r="B310" t="s">
        <v>119</v>
      </c>
      <c r="C310" t="s">
        <v>110</v>
      </c>
      <c r="E310" s="21"/>
      <c r="G310" s="21"/>
      <c r="H310" s="7"/>
      <c r="I310" s="21"/>
      <c r="K310"/>
      <c r="L310" s="21">
        <f>(Table2[[#This Row],[H/Pace]]/100)*(VLOOKUP(Table2[[#This Row],[Home/Neutral]],home_lookup,8,FALSE)+VLOOKUP(Table2[[#This Row],[Home/Neutral]],OFR_lookup,2,FALSE)+VLOOKUP(Table2[[#This Row],[Visitor/Neutral]],def_diff_lookup,6,FALSE))</f>
        <v>109.60749376977628</v>
      </c>
      <c r="M310" s="21"/>
      <c r="N310" s="21">
        <f>(Table2[[#This Row],[A/Pace]]/100)*(VLOOKUP(Table2[[#This Row],[Visitor/Neutral]],OFR_lookup,2,FALSE)+VLOOKUP(Table2[[#This Row],[Home/Neutral]],def_diff_lookup,6,FALSE))</f>
        <v>106.36417133333335</v>
      </c>
      <c r="O310" s="21"/>
      <c r="P310" s="21"/>
      <c r="Q310">
        <f>VLOOKUP(Table2[[#This Row],[Home/Neutral]],pace_lookup,7,FALSE)</f>
        <v>96.9</v>
      </c>
      <c r="R310" s="5">
        <f>VLOOKUP(Table2[[#This Row],[Visitor/Neutral]],pace_lookup,7,FALSE)</f>
        <v>96.2</v>
      </c>
      <c r="S310" s="7"/>
      <c r="U310" s="15"/>
      <c r="W310" s="2">
        <f>-home-VLOOKUP(Table2[[#This Row],[Home/Neutral]],rtg_vlookup,4,FALSE)+VLOOKUP(Table2[[#This Row],[Visitor/Neutral]],rtg_vlookup,4,FALSE)</f>
        <v>-5.9786885245901651</v>
      </c>
      <c r="X310" s="15"/>
      <c r="Y310" s="2"/>
      <c r="Z310" s="2">
        <f>Table2[[#This Row],[A/EV]]-Table2[[#This Row],[H/EV]]</f>
        <v>-3.2433224364429378</v>
      </c>
      <c r="AA310" s="29"/>
      <c r="AB310" s="30"/>
      <c r="AC310" s="30"/>
      <c r="AD310" s="30"/>
      <c r="AE310" s="30"/>
      <c r="AF310" s="7" t="b">
        <f>IF(VLOOKUP(Table2[[#This Row],[Home/Neutral]],division_lookup,9,FALSE)=VLOOKUP(Table2[[#This Row],[Visitor/Neutral]],division_lookup,9,FALSE),TRUE,FALSE)</f>
        <v>0</v>
      </c>
      <c r="AG310" s="15" t="str">
        <f>VLOOKUP(Table2[[#This Row],[Home/Neutral]],division_lookup,9,FALSE)</f>
        <v>SW</v>
      </c>
      <c r="AH310" s="15" t="str">
        <f>IF(Table2[[#This Row],[Total/EV]]&lt;Table2[[#This Row],[Total/V]],"UNDER","OVER")</f>
        <v>OVER</v>
      </c>
      <c r="AI310" s="26">
        <f>Table2[[#This Row],[SRS/Real]]-Table2[[#This Row],[Spread/V]]</f>
        <v>0</v>
      </c>
      <c r="AJ310" s="2">
        <f>Table2[[#This Row],[EV/Real]]-Table2[[#This Row],[Spread/V]]</f>
        <v>0</v>
      </c>
      <c r="AK310" s="2">
        <f>Table2[[#This Row],[SRS/Diff]]-Table2[[#This Row],[EV/Diff]]</f>
        <v>0</v>
      </c>
      <c r="AL310" s="18">
        <f>Table2[[#This Row],[SRS]]-Table2[[#This Row],[Spread]]</f>
        <v>-5.9786885245901651</v>
      </c>
      <c r="AM310" s="21">
        <f>Table2[[#This Row],[(A) Err]]^2</f>
        <v>35.744716474066124</v>
      </c>
      <c r="AN310" s="6">
        <f>Table2[[#This Row],[EV]]-Table2[[#This Row],[Spread]]</f>
        <v>-3.2433224364429378</v>
      </c>
      <c r="AO310" s="1">
        <f>Table2[[#This Row],[EV Err]]^2</f>
        <v>10.519140426734154</v>
      </c>
      <c r="AP310" s="1"/>
    </row>
    <row r="311" spans="1:42" x14ac:dyDescent="0.25">
      <c r="A311" s="34">
        <v>42709</v>
      </c>
      <c r="B311" t="s">
        <v>122</v>
      </c>
      <c r="C311" t="s">
        <v>136</v>
      </c>
      <c r="E311" s="21"/>
      <c r="G311" s="21"/>
      <c r="H311" s="7"/>
      <c r="I311" s="21"/>
      <c r="K311"/>
      <c r="L311" s="21">
        <f>(Table2[[#This Row],[H/Pace]]/100)*(VLOOKUP(Table2[[#This Row],[Home/Neutral]],home_lookup,8,FALSE)+VLOOKUP(Table2[[#This Row],[Home/Neutral]],OFR_lookup,2,FALSE)+VLOOKUP(Table2[[#This Row],[Visitor/Neutral]],def_diff_lookup,6,FALSE))</f>
        <v>105.3090083274473</v>
      </c>
      <c r="M311" s="21"/>
      <c r="N311" s="21">
        <f>(Table2[[#This Row],[A/Pace]]/100)*(VLOOKUP(Table2[[#This Row],[Visitor/Neutral]],OFR_lookup,2,FALSE)+VLOOKUP(Table2[[#This Row],[Home/Neutral]],def_diff_lookup,6,FALSE))</f>
        <v>101.54273499999999</v>
      </c>
      <c r="O311" s="21"/>
      <c r="P311" s="21"/>
      <c r="Q311">
        <f>VLOOKUP(Table2[[#This Row],[Home/Neutral]],pace_lookup,7,FALSE)</f>
        <v>100.2</v>
      </c>
      <c r="R311" s="5">
        <f>VLOOKUP(Table2[[#This Row],[Visitor/Neutral]],pace_lookup,7,FALSE)</f>
        <v>91.5</v>
      </c>
      <c r="S311" s="7"/>
      <c r="U311" s="15"/>
      <c r="W311" s="2">
        <f>-home-VLOOKUP(Table2[[#This Row],[Home/Neutral]],rtg_vlookup,4,FALSE)+VLOOKUP(Table2[[#This Row],[Visitor/Neutral]],rtg_vlookup,4,FALSE)</f>
        <v>3.7213114754098342</v>
      </c>
      <c r="X311" s="15"/>
      <c r="Y311" s="2"/>
      <c r="Z311" s="2">
        <f>Table2[[#This Row],[A/EV]]-Table2[[#This Row],[H/EV]]</f>
        <v>-3.7662733274473084</v>
      </c>
      <c r="AA311" s="29"/>
      <c r="AB311" s="30"/>
      <c r="AC311" s="30"/>
      <c r="AD311" s="30"/>
      <c r="AE311" s="30"/>
      <c r="AF311" s="7" t="b">
        <f>IF(VLOOKUP(Table2[[#This Row],[Home/Neutral]],division_lookup,9,FALSE)=VLOOKUP(Table2[[#This Row],[Visitor/Neutral]],division_lookup,9,FALSE),TRUE,FALSE)</f>
        <v>0</v>
      </c>
      <c r="AG311" s="15" t="str">
        <f>VLOOKUP(Table2[[#This Row],[Home/Neutral]],division_lookup,9,FALSE)</f>
        <v>P</v>
      </c>
      <c r="AH311" s="15" t="str">
        <f>IF(Table2[[#This Row],[Total/EV]]&lt;Table2[[#This Row],[Total/V]],"UNDER","OVER")</f>
        <v>OVER</v>
      </c>
      <c r="AI311" s="26">
        <f>Table2[[#This Row],[SRS/Real]]-Table2[[#This Row],[Spread/V]]</f>
        <v>0</v>
      </c>
      <c r="AJ311" s="2">
        <f>Table2[[#This Row],[EV/Real]]-Table2[[#This Row],[Spread/V]]</f>
        <v>0</v>
      </c>
      <c r="AK311" s="2">
        <f>Table2[[#This Row],[SRS/Diff]]-Table2[[#This Row],[EV/Diff]]</f>
        <v>0</v>
      </c>
      <c r="AL311" s="18">
        <f>Table2[[#This Row],[SRS]]-Table2[[#This Row],[Spread]]</f>
        <v>3.7213114754098342</v>
      </c>
      <c r="AM311" s="21">
        <f>Table2[[#This Row],[(A) Err]]^2</f>
        <v>13.848159097016918</v>
      </c>
      <c r="AN311" s="6">
        <f>Table2[[#This Row],[EV]]-Table2[[#This Row],[Spread]]</f>
        <v>-3.7662733274473084</v>
      </c>
      <c r="AO311" s="1">
        <f>Table2[[#This Row],[EV Err]]^2</f>
        <v>14.184814777041019</v>
      </c>
      <c r="AP311" s="1"/>
    </row>
    <row r="312" spans="1:42" x14ac:dyDescent="0.25">
      <c r="A312" s="34">
        <v>42709</v>
      </c>
      <c r="B312" t="s">
        <v>125</v>
      </c>
      <c r="C312" t="s">
        <v>134</v>
      </c>
      <c r="E312" s="21"/>
      <c r="G312" s="21"/>
      <c r="H312" s="7"/>
      <c r="I312" s="21"/>
      <c r="K312"/>
      <c r="L312" s="21">
        <f>(Table2[[#This Row],[H/Pace]]/100)*(VLOOKUP(Table2[[#This Row],[Home/Neutral]],home_lookup,8,FALSE)+VLOOKUP(Table2[[#This Row],[Home/Neutral]],OFR_lookup,2,FALSE)+VLOOKUP(Table2[[#This Row],[Visitor/Neutral]],def_diff_lookup,6,FALSE))</f>
        <v>107.19071550061909</v>
      </c>
      <c r="M312" s="21"/>
      <c r="N312" s="21">
        <f>(Table2[[#This Row],[A/Pace]]/100)*(VLOOKUP(Table2[[#This Row],[Visitor/Neutral]],OFR_lookup,2,FALSE)+VLOOKUP(Table2[[#This Row],[Home/Neutral]],def_diff_lookup,6,FALSE))</f>
        <v>107.18179266666667</v>
      </c>
      <c r="O312" s="21"/>
      <c r="P312" s="21"/>
      <c r="Q312">
        <f>VLOOKUP(Table2[[#This Row],[Home/Neutral]],pace_lookup,7,FALSE)</f>
        <v>96.1</v>
      </c>
      <c r="R312" s="5">
        <f>VLOOKUP(Table2[[#This Row],[Visitor/Neutral]],pace_lookup,7,FALSE)</f>
        <v>93.4</v>
      </c>
      <c r="S312" s="7"/>
      <c r="U312" s="15"/>
      <c r="W312" s="2">
        <f>-home-VLOOKUP(Table2[[#This Row],[Home/Neutral]],rtg_vlookup,4,FALSE)+VLOOKUP(Table2[[#This Row],[Visitor/Neutral]],rtg_vlookup,4,FALSE)</f>
        <v>7.0913114754098334</v>
      </c>
      <c r="X312" s="15"/>
      <c r="Y312" s="2"/>
      <c r="Z312" s="2">
        <f>Table2[[#This Row],[A/EV]]-Table2[[#This Row],[H/EV]]</f>
        <v>-8.9228339524254352E-3</v>
      </c>
      <c r="AA312" s="29"/>
      <c r="AB312" s="30"/>
      <c r="AC312" s="30"/>
      <c r="AD312" s="30"/>
      <c r="AE312" s="30"/>
      <c r="AF312" s="7" t="b">
        <f>IF(VLOOKUP(Table2[[#This Row],[Home/Neutral]],division_lookup,9,FALSE)=VLOOKUP(Table2[[#This Row],[Visitor/Neutral]],division_lookup,9,FALSE),TRUE,FALSE)</f>
        <v>0</v>
      </c>
      <c r="AG312" s="15" t="str">
        <f>VLOOKUP(Table2[[#This Row],[Home/Neutral]],division_lookup,9,FALSE)</f>
        <v>C</v>
      </c>
      <c r="AH312" s="15" t="str">
        <f>IF(Table2[[#This Row],[Total/EV]]&lt;Table2[[#This Row],[Total/V]],"UNDER","OVER")</f>
        <v>OVER</v>
      </c>
      <c r="AI312" s="26">
        <f>Table2[[#This Row],[SRS/Real]]-Table2[[#This Row],[Spread/V]]</f>
        <v>0</v>
      </c>
      <c r="AJ312" s="2">
        <f>Table2[[#This Row],[EV/Real]]-Table2[[#This Row],[Spread/V]]</f>
        <v>0</v>
      </c>
      <c r="AK312" s="2">
        <f>Table2[[#This Row],[SRS/Diff]]-Table2[[#This Row],[EV/Diff]]</f>
        <v>0</v>
      </c>
      <c r="AL312" s="18">
        <f>Table2[[#This Row],[SRS]]-Table2[[#This Row],[Spread]]</f>
        <v>7.0913114754098334</v>
      </c>
      <c r="AM312" s="21">
        <f>Table2[[#This Row],[(A) Err]]^2</f>
        <v>50.286698441279185</v>
      </c>
      <c r="AN312" s="6">
        <f>Table2[[#This Row],[EV]]-Table2[[#This Row],[Spread]]</f>
        <v>-8.9228339524254352E-3</v>
      </c>
      <c r="AO312" s="1">
        <f>Table2[[#This Row],[EV Err]]^2</f>
        <v>7.961696574255612E-5</v>
      </c>
      <c r="AP312" s="1"/>
    </row>
    <row r="313" spans="1:42" x14ac:dyDescent="0.25">
      <c r="A313" s="77">
        <v>42709</v>
      </c>
      <c r="B313" s="49" t="s">
        <v>127</v>
      </c>
      <c r="C313" s="49" t="s">
        <v>123</v>
      </c>
      <c r="D313" s="49"/>
      <c r="E313" s="51"/>
      <c r="F313" s="49"/>
      <c r="G313" s="51"/>
      <c r="H313" s="50"/>
      <c r="I313" s="51"/>
      <c r="J313" s="49"/>
      <c r="K313" s="49"/>
      <c r="L313" s="51">
        <f>(Table2[[#This Row],[H/Pace]]/100)*(VLOOKUP(Table2[[#This Row],[Home/Neutral]],home_lookup,8,FALSE)+VLOOKUP(Table2[[#This Row],[Home/Neutral]],OFR_lookup,2,FALSE)+VLOOKUP(Table2[[#This Row],[Visitor/Neutral]],def_diff_lookup,6,FALSE))</f>
        <v>99.154354937430469</v>
      </c>
      <c r="M313" s="51"/>
      <c r="N313" s="51">
        <f>(Table2[[#This Row],[A/Pace]]/100)*(VLOOKUP(Table2[[#This Row],[Visitor/Neutral]],OFR_lookup,2,FALSE)+VLOOKUP(Table2[[#This Row],[Home/Neutral]],def_diff_lookup,6,FALSE))</f>
        <v>94.808491666666654</v>
      </c>
      <c r="O313" s="51"/>
      <c r="P313" s="51"/>
      <c r="Q313" s="49">
        <f>VLOOKUP(Table2[[#This Row],[Home/Neutral]],pace_lookup,7,FALSE)</f>
        <v>99.3</v>
      </c>
      <c r="R313" s="52">
        <f>VLOOKUP(Table2[[#This Row],[Visitor/Neutral]],pace_lookup,7,FALSE)</f>
        <v>92.5</v>
      </c>
      <c r="S313" s="50"/>
      <c r="T313" s="49"/>
      <c r="U313" s="75"/>
      <c r="V313" s="49"/>
      <c r="W313" s="53">
        <f>-home-VLOOKUP(Table2[[#This Row],[Home/Neutral]],rtg_vlookup,4,FALSE)+VLOOKUP(Table2[[#This Row],[Visitor/Neutral]],rtg_vlookup,4,FALSE)</f>
        <v>0.56131147540983439</v>
      </c>
      <c r="X313" s="75"/>
      <c r="Y313" s="53"/>
      <c r="Z313" s="53">
        <f>Table2[[#This Row],[A/EV]]-Table2[[#This Row],[H/EV]]</f>
        <v>-4.3458632707638145</v>
      </c>
      <c r="AA313" s="29"/>
      <c r="AB313" s="30"/>
      <c r="AC313" s="30"/>
      <c r="AD313" s="30"/>
      <c r="AE313" s="30"/>
      <c r="AF313" s="7" t="b">
        <f>IF(VLOOKUP(Table2[[#This Row],[Home/Neutral]],division_lookup,9,FALSE)=VLOOKUP(Table2[[#This Row],[Visitor/Neutral]],division_lookup,9,FALSE),TRUE,FALSE)</f>
        <v>1</v>
      </c>
      <c r="AG313" s="15" t="str">
        <f>VLOOKUP(Table2[[#This Row],[Home/Neutral]],division_lookup,9,FALSE)</f>
        <v>SW</v>
      </c>
      <c r="AH313" s="15" t="str">
        <f>IF(Table2[[#This Row],[Total/EV]]&lt;Table2[[#This Row],[Total/V]],"UNDER","OVER")</f>
        <v>OVER</v>
      </c>
      <c r="AI313" s="26">
        <f>Table2[[#This Row],[SRS/Real]]-Table2[[#This Row],[Spread/V]]</f>
        <v>0</v>
      </c>
      <c r="AJ313" s="2">
        <f>Table2[[#This Row],[EV/Real]]-Table2[[#This Row],[Spread/V]]</f>
        <v>0</v>
      </c>
      <c r="AK313" s="2">
        <f>Table2[[#This Row],[SRS/Diff]]-Table2[[#This Row],[EV/Diff]]</f>
        <v>0</v>
      </c>
      <c r="AL313" s="18">
        <f>Table2[[#This Row],[SRS]]-Table2[[#This Row],[Spread]]</f>
        <v>0.56131147540983439</v>
      </c>
      <c r="AM313" s="21">
        <f>Table2[[#This Row],[(A) Err]]^2</f>
        <v>0.31507057242676512</v>
      </c>
      <c r="AN313" s="6">
        <f>Table2[[#This Row],[EV]]-Table2[[#This Row],[Spread]]</f>
        <v>-4.3458632707638145</v>
      </c>
      <c r="AO313" s="1">
        <f>Table2[[#This Row],[EV Err]]^2</f>
        <v>18.88652756817396</v>
      </c>
      <c r="AP313" s="1"/>
    </row>
    <row r="314" spans="1:42" x14ac:dyDescent="0.25">
      <c r="A314" s="34">
        <v>42709</v>
      </c>
      <c r="B314" t="s">
        <v>138</v>
      </c>
      <c r="C314" t="s">
        <v>116</v>
      </c>
      <c r="E314" s="21"/>
      <c r="G314" s="21"/>
      <c r="H314" s="7"/>
      <c r="I314" s="21"/>
      <c r="K314"/>
      <c r="L314" s="21">
        <f>(Table2[[#This Row],[H/Pace]]/100)*(VLOOKUP(Table2[[#This Row],[Home/Neutral]],home_lookup,8,FALSE)+VLOOKUP(Table2[[#This Row],[Home/Neutral]],OFR_lookup,2,FALSE)+VLOOKUP(Table2[[#This Row],[Visitor/Neutral]],def_diff_lookup,6,FALSE))</f>
        <v>99.358533531240099</v>
      </c>
      <c r="M314" s="21"/>
      <c r="N314" s="21">
        <f>(Table2[[#This Row],[A/Pace]]/100)*(VLOOKUP(Table2[[#This Row],[Visitor/Neutral]],OFR_lookup,2,FALSE)+VLOOKUP(Table2[[#This Row],[Home/Neutral]],def_diff_lookup,6,FALSE))</f>
        <v>106.92460566666666</v>
      </c>
      <c r="O314" s="21"/>
      <c r="P314" s="21"/>
      <c r="Q314">
        <f>VLOOKUP(Table2[[#This Row],[Home/Neutral]],pace_lookup,7,FALSE)</f>
        <v>97.5</v>
      </c>
      <c r="R314" s="5">
        <f>VLOOKUP(Table2[[#This Row],[Visitor/Neutral]],pace_lookup,7,FALSE)</f>
        <v>99.1</v>
      </c>
      <c r="S314" s="7"/>
      <c r="U314" s="15"/>
      <c r="W314" s="2">
        <f>-home-VLOOKUP(Table2[[#This Row],[Home/Neutral]],rtg_vlookup,4,FALSE)+VLOOKUP(Table2[[#This Row],[Visitor/Neutral]],rtg_vlookup,4,FALSE)</f>
        <v>6.1113114754098348</v>
      </c>
      <c r="X314" s="15"/>
      <c r="Y314" s="2"/>
      <c r="Z314" s="2">
        <f>Table2[[#This Row],[A/EV]]-Table2[[#This Row],[H/EV]]</f>
        <v>7.5660721354265661</v>
      </c>
      <c r="AA314" s="29"/>
      <c r="AB314" s="30"/>
      <c r="AC314" s="30"/>
      <c r="AD314" s="30"/>
      <c r="AE314" s="30"/>
      <c r="AF314" s="7" t="b">
        <f>IF(VLOOKUP(Table2[[#This Row],[Home/Neutral]],division_lookup,9,FALSE)=VLOOKUP(Table2[[#This Row],[Visitor/Neutral]],division_lookup,9,FALSE),TRUE,FALSE)</f>
        <v>0</v>
      </c>
      <c r="AG314" s="15" t="str">
        <f>VLOOKUP(Table2[[#This Row],[Home/Neutral]],division_lookup,9,FALSE)</f>
        <v>A</v>
      </c>
      <c r="AH314" s="15" t="str">
        <f>IF(Table2[[#This Row],[Total/EV]]&lt;Table2[[#This Row],[Total/V]],"UNDER","OVER")</f>
        <v>OVER</v>
      </c>
      <c r="AI314" s="26">
        <f>Table2[[#This Row],[SRS/Real]]-Table2[[#This Row],[Spread/V]]</f>
        <v>0</v>
      </c>
      <c r="AJ314" s="2">
        <f>Table2[[#This Row],[EV/Real]]-Table2[[#This Row],[Spread/V]]</f>
        <v>0</v>
      </c>
      <c r="AK314" s="2">
        <f>Table2[[#This Row],[SRS/Diff]]-Table2[[#This Row],[EV/Diff]]</f>
        <v>0</v>
      </c>
      <c r="AL314" s="18">
        <f>Table2[[#This Row],[SRS]]-Table2[[#This Row],[Spread]]</f>
        <v>6.1113114754098348</v>
      </c>
      <c r="AM314" s="21">
        <f>Table2[[#This Row],[(A) Err]]^2</f>
        <v>37.348127949475931</v>
      </c>
      <c r="AN314" s="6">
        <f>Table2[[#This Row],[EV]]-Table2[[#This Row],[Spread]]</f>
        <v>7.5660721354265661</v>
      </c>
      <c r="AO314" s="1">
        <f>Table2[[#This Row],[EV Err]]^2</f>
        <v>57.245447558478318</v>
      </c>
      <c r="AP314" s="1"/>
    </row>
    <row r="315" spans="1:42" ht="15.75" thickBot="1" x14ac:dyDescent="0.3">
      <c r="A315" s="100">
        <v>42709</v>
      </c>
      <c r="B315" s="3" t="s">
        <v>135</v>
      </c>
      <c r="C315" s="3" t="s">
        <v>114</v>
      </c>
      <c r="D315" s="3"/>
      <c r="E315" s="22"/>
      <c r="F315" s="3"/>
      <c r="G315" s="22"/>
      <c r="H315" s="8"/>
      <c r="I315" s="22"/>
      <c r="J315" s="3"/>
      <c r="K315" s="3"/>
      <c r="L315" s="22">
        <f>(Table2[[#This Row],[H/Pace]]/100)*(VLOOKUP(Table2[[#This Row],[Home/Neutral]],home_lookup,8,FALSE)+VLOOKUP(Table2[[#This Row],[Home/Neutral]],OFR_lookup,2,FALSE)+VLOOKUP(Table2[[#This Row],[Visitor/Neutral]],def_diff_lookup,6,FALSE))</f>
        <v>109.15338035324615</v>
      </c>
      <c r="M315" s="22"/>
      <c r="N315" s="22">
        <f>(Table2[[#This Row],[A/Pace]]/100)*(VLOOKUP(Table2[[#This Row],[Visitor/Neutral]],OFR_lookup,2,FALSE)+VLOOKUP(Table2[[#This Row],[Home/Neutral]],def_diff_lookup,6,FALSE))</f>
        <v>112.55242366666666</v>
      </c>
      <c r="O315" s="22"/>
      <c r="P315" s="22"/>
      <c r="Q315" s="3">
        <f>VLOOKUP(Table2[[#This Row],[Home/Neutral]],pace_lookup,7,FALSE)</f>
        <v>95.4</v>
      </c>
      <c r="R315" s="3">
        <f>VLOOKUP(Table2[[#This Row],[Visitor/Neutral]],pace_lookup,7,FALSE)</f>
        <v>97.3</v>
      </c>
      <c r="S315" s="8"/>
      <c r="T315" s="3"/>
      <c r="U315" s="16"/>
      <c r="V315" s="3"/>
      <c r="W315" s="9">
        <f>-home-VLOOKUP(Table2[[#This Row],[Home/Neutral]],rtg_vlookup,4,FALSE)+VLOOKUP(Table2[[#This Row],[Visitor/Neutral]],rtg_vlookup,4,FALSE)</f>
        <v>-6.8688524590164945E-2</v>
      </c>
      <c r="X315" s="16"/>
      <c r="Y315" s="9"/>
      <c r="Z315" s="9">
        <f>Table2[[#This Row],[A/EV]]-Table2[[#This Row],[H/EV]]</f>
        <v>3.3990433134205063</v>
      </c>
      <c r="AA315" s="31"/>
      <c r="AB315" s="32"/>
      <c r="AC315" s="32"/>
      <c r="AD315" s="32"/>
      <c r="AE315" s="32"/>
      <c r="AF315" s="8" t="b">
        <f>IF(VLOOKUP(Table2[[#This Row],[Home/Neutral]],division_lookup,9,FALSE)=VLOOKUP(Table2[[#This Row],[Visitor/Neutral]],division_lookup,9,FALSE),TRUE,FALSE)</f>
        <v>0</v>
      </c>
      <c r="AG315" s="16" t="str">
        <f>VLOOKUP(Table2[[#This Row],[Home/Neutral]],division_lookup,9,FALSE)</f>
        <v>A</v>
      </c>
      <c r="AH315" s="16" t="str">
        <f>IF(Table2[[#This Row],[Total/EV]]&lt;Table2[[#This Row],[Total/V]],"UNDER","OVER")</f>
        <v>OVER</v>
      </c>
      <c r="AI315" s="16">
        <f>Table2[[#This Row],[SRS/Real]]-Table2[[#This Row],[Spread/V]]</f>
        <v>0</v>
      </c>
      <c r="AJ315" s="9">
        <f>Table2[[#This Row],[EV/Real]]-Table2[[#This Row],[Spread/V]]</f>
        <v>0</v>
      </c>
      <c r="AK315" s="9">
        <f>Table2[[#This Row],[SRS/Diff]]-Table2[[#This Row],[EV/Diff]]</f>
        <v>0</v>
      </c>
      <c r="AL315" s="19">
        <f>Table2[[#This Row],[SRS]]-Table2[[#This Row],[Spread]]</f>
        <v>-6.8688524590164945E-2</v>
      </c>
      <c r="AM315" s="22">
        <f>Table2[[#This Row],[(A) Err]]^2</f>
        <v>4.7181134103736946E-3</v>
      </c>
      <c r="AN315" s="4">
        <f>Table2[[#This Row],[EV]]-Table2[[#This Row],[Spread]]</f>
        <v>3.3990433134205063</v>
      </c>
      <c r="AO315" s="4">
        <f>Table2[[#This Row],[EV Err]]^2</f>
        <v>11.553495446508654</v>
      </c>
      <c r="AP315" s="1"/>
    </row>
    <row r="316" spans="1:42" x14ac:dyDescent="0.25">
      <c r="A316" s="77">
        <v>42710</v>
      </c>
      <c r="B316" s="49" t="s">
        <v>117</v>
      </c>
      <c r="C316" s="49" t="s">
        <v>113</v>
      </c>
      <c r="D316" s="49"/>
      <c r="E316" s="51"/>
      <c r="F316" s="49"/>
      <c r="G316" s="51"/>
      <c r="H316" s="50"/>
      <c r="I316" s="51"/>
      <c r="J316" s="49"/>
      <c r="K316" s="49"/>
      <c r="L316" s="51">
        <f>(Table2[[#This Row],[H/Pace]]/100)*(VLOOKUP(Table2[[#This Row],[Home/Neutral]],home_lookup,8,FALSE)+VLOOKUP(Table2[[#This Row],[Home/Neutral]],OFR_lookup,2,FALSE)+VLOOKUP(Table2[[#This Row],[Visitor/Neutral]],def_diff_lookup,6,FALSE))</f>
        <v>111.81359591446429</v>
      </c>
      <c r="M316" s="51"/>
      <c r="N316" s="51">
        <f>(Table2[[#This Row],[A/Pace]]/100)*(VLOOKUP(Table2[[#This Row],[Visitor/Neutral]],OFR_lookup,2,FALSE)+VLOOKUP(Table2[[#This Row],[Home/Neutral]],def_diff_lookup,6,FALSE))</f>
        <v>101.70532899999999</v>
      </c>
      <c r="O316" s="51"/>
      <c r="P316" s="51"/>
      <c r="Q316" s="49">
        <f>VLOOKUP(Table2[[#This Row],[Home/Neutral]],pace_lookup,7,FALSE)</f>
        <v>94</v>
      </c>
      <c r="R316" s="52">
        <f>VLOOKUP(Table2[[#This Row],[Visitor/Neutral]],pace_lookup,7,FALSE)</f>
        <v>95.1</v>
      </c>
      <c r="S316" s="50"/>
      <c r="T316" s="49"/>
      <c r="U316" s="75"/>
      <c r="V316" s="49"/>
      <c r="W316" s="53">
        <f>-home-VLOOKUP(Table2[[#This Row],[Home/Neutral]],rtg_vlookup,4,FALSE)+VLOOKUP(Table2[[#This Row],[Visitor/Neutral]],rtg_vlookup,4,FALSE)</f>
        <v>0.30131147540983427</v>
      </c>
      <c r="X316" s="75"/>
      <c r="Y316" s="53"/>
      <c r="Z316" s="53">
        <f>Table2[[#This Row],[A/EV]]-Table2[[#This Row],[H/EV]]</f>
        <v>-10.108266914464295</v>
      </c>
      <c r="AA316" s="29"/>
      <c r="AB316" s="30"/>
      <c r="AC316" s="30"/>
      <c r="AD316" s="30"/>
      <c r="AE316" s="30"/>
      <c r="AF316" s="7" t="b">
        <f>IF(VLOOKUP(Table2[[#This Row],[Home/Neutral]],division_lookup,9,FALSE)=VLOOKUP(Table2[[#This Row],[Visitor/Neutral]],division_lookup,9,FALSE),TRUE,FALSE)</f>
        <v>1</v>
      </c>
      <c r="AG316" s="15" t="str">
        <f>VLOOKUP(Table2[[#This Row],[Home/Neutral]],division_lookup,9,FALSE)</f>
        <v>C</v>
      </c>
      <c r="AH316" s="15" t="str">
        <f>IF(Table2[[#This Row],[Total/EV]]&lt;Table2[[#This Row],[Total/V]],"UNDER","OVER")</f>
        <v>OVER</v>
      </c>
      <c r="AI316" s="26">
        <f>Table2[[#This Row],[SRS/Real]]-Table2[[#This Row],[Spread/V]]</f>
        <v>0</v>
      </c>
      <c r="AJ316" s="2">
        <f>Table2[[#This Row],[EV/Real]]-Table2[[#This Row],[Spread/V]]</f>
        <v>0</v>
      </c>
      <c r="AK316" s="2">
        <f>Table2[[#This Row],[SRS/Diff]]-Table2[[#This Row],[EV/Diff]]</f>
        <v>0</v>
      </c>
      <c r="AL316" s="18">
        <f>Table2[[#This Row],[SRS]]-Table2[[#This Row],[Spread]]</f>
        <v>0.30131147540983427</v>
      </c>
      <c r="AM316" s="21">
        <f>Table2[[#This Row],[(A) Err]]^2</f>
        <v>9.0788605213651161E-2</v>
      </c>
      <c r="AN316" s="6">
        <f>Table2[[#This Row],[EV]]-Table2[[#This Row],[Spread]]</f>
        <v>-10.108266914464295</v>
      </c>
      <c r="AO316" s="1">
        <f>Table2[[#This Row],[EV Err]]^2</f>
        <v>102.17706001405352</v>
      </c>
      <c r="AP316" s="1"/>
    </row>
    <row r="317" spans="1:42" x14ac:dyDescent="0.25">
      <c r="A317" s="34">
        <v>42710</v>
      </c>
      <c r="B317" t="s">
        <v>123</v>
      </c>
      <c r="C317" t="s">
        <v>138</v>
      </c>
      <c r="E317" s="21"/>
      <c r="G317" s="21"/>
      <c r="H317" s="7"/>
      <c r="I317" s="21"/>
      <c r="K317"/>
      <c r="L317" s="21">
        <f>(Table2[[#This Row],[H/Pace]]/100)*(VLOOKUP(Table2[[#This Row],[Home/Neutral]],home_lookup,8,FALSE)+VLOOKUP(Table2[[#This Row],[Home/Neutral]],OFR_lookup,2,FALSE)+VLOOKUP(Table2[[#This Row],[Visitor/Neutral]],def_diff_lookup,6,FALSE))</f>
        <v>103.34492709563919</v>
      </c>
      <c r="M317" s="21"/>
      <c r="N317" s="21">
        <f>(Table2[[#This Row],[A/Pace]]/100)*(VLOOKUP(Table2[[#This Row],[Visitor/Neutral]],OFR_lookup,2,FALSE)+VLOOKUP(Table2[[#This Row],[Home/Neutral]],def_diff_lookup,6,FALSE))</f>
        <v>92.825524999999985</v>
      </c>
      <c r="O317" s="21"/>
      <c r="P317" s="21"/>
      <c r="Q317">
        <f>VLOOKUP(Table2[[#This Row],[Home/Neutral]],pace_lookup,7,FALSE)</f>
        <v>92.5</v>
      </c>
      <c r="R317" s="5">
        <f>VLOOKUP(Table2[[#This Row],[Visitor/Neutral]],pace_lookup,7,FALSE)</f>
        <v>97.5</v>
      </c>
      <c r="S317" s="7"/>
      <c r="U317" s="15"/>
      <c r="W317" s="2">
        <f>-home-VLOOKUP(Table2[[#This Row],[Home/Neutral]],rtg_vlookup,4,FALSE)+VLOOKUP(Table2[[#This Row],[Visitor/Neutral]],rtg_vlookup,4,FALSE)</f>
        <v>-13.088688524590166</v>
      </c>
      <c r="X317" s="15"/>
      <c r="Y317" s="2"/>
      <c r="Z317" s="2">
        <f>Table2[[#This Row],[A/EV]]-Table2[[#This Row],[H/EV]]</f>
        <v>-10.519402095639208</v>
      </c>
      <c r="AA317" s="29"/>
      <c r="AB317" s="30"/>
      <c r="AC317" s="30"/>
      <c r="AD317" s="30"/>
      <c r="AE317" s="30"/>
      <c r="AF317" s="7" t="b">
        <f>IF(VLOOKUP(Table2[[#This Row],[Home/Neutral]],division_lookup,9,FALSE)=VLOOKUP(Table2[[#This Row],[Visitor/Neutral]],division_lookup,9,FALSE),TRUE,FALSE)</f>
        <v>0</v>
      </c>
      <c r="AG317" s="15" t="str">
        <f>VLOOKUP(Table2[[#This Row],[Home/Neutral]],division_lookup,9,FALSE)</f>
        <v>SW</v>
      </c>
      <c r="AH317" s="15" t="str">
        <f>IF(Table2[[#This Row],[Total/EV]]&lt;Table2[[#This Row],[Total/V]],"UNDER","OVER")</f>
        <v>OVER</v>
      </c>
      <c r="AI317" s="26">
        <f>Table2[[#This Row],[SRS/Real]]-Table2[[#This Row],[Spread/V]]</f>
        <v>0</v>
      </c>
      <c r="AJ317" s="2">
        <f>Table2[[#This Row],[EV/Real]]-Table2[[#This Row],[Spread/V]]</f>
        <v>0</v>
      </c>
      <c r="AK317" s="2">
        <f>Table2[[#This Row],[SRS/Diff]]-Table2[[#This Row],[EV/Diff]]</f>
        <v>0</v>
      </c>
      <c r="AL317" s="18">
        <f>Table2[[#This Row],[SRS]]-Table2[[#This Row],[Spread]]</f>
        <v>-13.088688524590166</v>
      </c>
      <c r="AM317" s="21">
        <f>Table2[[#This Row],[(A) Err]]^2</f>
        <v>171.31376729373829</v>
      </c>
      <c r="AN317" s="6">
        <f>Table2[[#This Row],[EV]]-Table2[[#This Row],[Spread]]</f>
        <v>-10.519402095639208</v>
      </c>
      <c r="AO317" s="1">
        <f>Table2[[#This Row],[EV Err]]^2</f>
        <v>110.65782044973857</v>
      </c>
      <c r="AP317" s="1"/>
    </row>
    <row r="318" spans="1:42" x14ac:dyDescent="0.25">
      <c r="A318" s="34">
        <v>42710</v>
      </c>
      <c r="B318" t="s">
        <v>124</v>
      </c>
      <c r="C318" t="s">
        <v>128</v>
      </c>
      <c r="E318" s="21"/>
      <c r="G318" s="21"/>
      <c r="H318" s="7"/>
      <c r="I318" s="21"/>
      <c r="K318"/>
      <c r="L318" s="21">
        <f>(Table2[[#This Row],[H/Pace]]/100)*(VLOOKUP(Table2[[#This Row],[Home/Neutral]],home_lookup,8,FALSE)+VLOOKUP(Table2[[#This Row],[Home/Neutral]],OFR_lookup,2,FALSE)+VLOOKUP(Table2[[#This Row],[Visitor/Neutral]],def_diff_lookup,6,FALSE))</f>
        <v>104.13411517723557</v>
      </c>
      <c r="M318" s="21"/>
      <c r="N318" s="21">
        <f>(Table2[[#This Row],[A/Pace]]/100)*(VLOOKUP(Table2[[#This Row],[Visitor/Neutral]],OFR_lookup,2,FALSE)+VLOOKUP(Table2[[#This Row],[Home/Neutral]],def_diff_lookup,6,FALSE))</f>
        <v>101.81381699999999</v>
      </c>
      <c r="O318" s="21"/>
      <c r="P318" s="21"/>
      <c r="Q318">
        <f>VLOOKUP(Table2[[#This Row],[Home/Neutral]],pace_lookup,7,FALSE)</f>
        <v>93.7</v>
      </c>
      <c r="R318" s="5">
        <f>VLOOKUP(Table2[[#This Row],[Visitor/Neutral]],pace_lookup,7,FALSE)</f>
        <v>96.3</v>
      </c>
      <c r="S318" s="7"/>
      <c r="U318" s="15"/>
      <c r="W318" s="2">
        <f>-home-VLOOKUP(Table2[[#This Row],[Home/Neutral]],rtg_vlookup,4,FALSE)+VLOOKUP(Table2[[#This Row],[Visitor/Neutral]],rtg_vlookup,4,FALSE)</f>
        <v>-3.4386885245901659</v>
      </c>
      <c r="X318" s="15"/>
      <c r="Y318" s="2"/>
      <c r="Z318" s="2">
        <f>Table2[[#This Row],[A/EV]]-Table2[[#This Row],[H/EV]]</f>
        <v>-2.3202981772355855</v>
      </c>
      <c r="AA318" s="29"/>
      <c r="AB318" s="30"/>
      <c r="AC318" s="30"/>
      <c r="AD318" s="30"/>
      <c r="AE318" s="30"/>
      <c r="AF318" s="7" t="b">
        <f>IF(VLOOKUP(Table2[[#This Row],[Home/Neutral]],division_lookup,9,FALSE)=VLOOKUP(Table2[[#This Row],[Visitor/Neutral]],division_lookup,9,FALSE),TRUE,FALSE)</f>
        <v>0</v>
      </c>
      <c r="AG318" s="15" t="str">
        <f>VLOOKUP(Table2[[#This Row],[Home/Neutral]],division_lookup,9,FALSE)</f>
        <v>SE</v>
      </c>
      <c r="AH318" s="15" t="str">
        <f>IF(Table2[[#This Row],[Total/EV]]&lt;Table2[[#This Row],[Total/V]],"UNDER","OVER")</f>
        <v>OVER</v>
      </c>
      <c r="AI318" s="26">
        <f>Table2[[#This Row],[SRS/Real]]-Table2[[#This Row],[Spread/V]]</f>
        <v>0</v>
      </c>
      <c r="AJ318" s="2">
        <f>Table2[[#This Row],[EV/Real]]-Table2[[#This Row],[Spread/V]]</f>
        <v>0</v>
      </c>
      <c r="AK318" s="2">
        <f>Table2[[#This Row],[SRS/Diff]]-Table2[[#This Row],[EV/Diff]]</f>
        <v>0</v>
      </c>
      <c r="AL318" s="18">
        <f>Table2[[#This Row],[SRS]]-Table2[[#This Row],[Spread]]</f>
        <v>-3.4386885245901659</v>
      </c>
      <c r="AM318" s="21">
        <f>Table2[[#This Row],[(A) Err]]^2</f>
        <v>11.824578769148092</v>
      </c>
      <c r="AN318" s="6">
        <f>Table2[[#This Row],[EV]]-Table2[[#This Row],[Spread]]</f>
        <v>-2.3202981772355855</v>
      </c>
      <c r="AO318" s="1">
        <f>Table2[[#This Row],[EV Err]]^2</f>
        <v>5.3837836312827809</v>
      </c>
      <c r="AP318" s="1"/>
    </row>
    <row r="319" spans="1:42" x14ac:dyDescent="0.25">
      <c r="A319" s="34">
        <v>42710</v>
      </c>
      <c r="B319" t="s">
        <v>126</v>
      </c>
      <c r="C319" t="s">
        <v>134</v>
      </c>
      <c r="E319" s="21"/>
      <c r="G319" s="21"/>
      <c r="H319" s="7"/>
      <c r="I319" s="21"/>
      <c r="K319"/>
      <c r="L319" s="21">
        <f>(Table2[[#This Row],[H/Pace]]/100)*(VLOOKUP(Table2[[#This Row],[Home/Neutral]],home_lookup,8,FALSE)+VLOOKUP(Table2[[#This Row],[Home/Neutral]],OFR_lookup,2,FALSE)+VLOOKUP(Table2[[#This Row],[Visitor/Neutral]],def_diff_lookup,6,FALSE))</f>
        <v>113.60093777050787</v>
      </c>
      <c r="M319" s="21"/>
      <c r="N319" s="21">
        <f>(Table2[[#This Row],[A/Pace]]/100)*(VLOOKUP(Table2[[#This Row],[Visitor/Neutral]],OFR_lookup,2,FALSE)+VLOOKUP(Table2[[#This Row],[Home/Neutral]],def_diff_lookup,6,FALSE))</f>
        <v>108.24655266666666</v>
      </c>
      <c r="O319" s="21"/>
      <c r="P319" s="21"/>
      <c r="Q319">
        <f>VLOOKUP(Table2[[#This Row],[Home/Neutral]],pace_lookup,7,FALSE)</f>
        <v>95.7</v>
      </c>
      <c r="R319" s="5">
        <f>VLOOKUP(Table2[[#This Row],[Visitor/Neutral]],pace_lookup,7,FALSE)</f>
        <v>93.4</v>
      </c>
      <c r="S319" s="7"/>
      <c r="U319" s="15"/>
      <c r="W319" s="2">
        <f>-home-VLOOKUP(Table2[[#This Row],[Home/Neutral]],rtg_vlookup,4,FALSE)+VLOOKUP(Table2[[#This Row],[Visitor/Neutral]],rtg_vlookup,4,FALSE)</f>
        <v>5.7913114754098336</v>
      </c>
      <c r="X319" s="15"/>
      <c r="Y319" s="2"/>
      <c r="Z319" s="2">
        <f>Table2[[#This Row],[A/EV]]-Table2[[#This Row],[H/EV]]</f>
        <v>-5.35438510384121</v>
      </c>
      <c r="AA319" s="29"/>
      <c r="AB319" s="30"/>
      <c r="AC319" s="30"/>
      <c r="AD319" s="30"/>
      <c r="AE319" s="30"/>
      <c r="AF319" s="7" t="b">
        <f>IF(VLOOKUP(Table2[[#This Row],[Home/Neutral]],division_lookup,9,FALSE)=VLOOKUP(Table2[[#This Row],[Visitor/Neutral]],division_lookup,9,FALSE),TRUE,FALSE)</f>
        <v>0</v>
      </c>
      <c r="AG319" s="15" t="str">
        <f>VLOOKUP(Table2[[#This Row],[Home/Neutral]],division_lookup,9,FALSE)</f>
        <v>NW</v>
      </c>
      <c r="AH319" s="15" t="str">
        <f>IF(Table2[[#This Row],[Total/EV]]&lt;Table2[[#This Row],[Total/V]],"UNDER","OVER")</f>
        <v>OVER</v>
      </c>
      <c r="AI319" s="26">
        <f>Table2[[#This Row],[SRS/Real]]-Table2[[#This Row],[Spread/V]]</f>
        <v>0</v>
      </c>
      <c r="AJ319" s="2">
        <f>Table2[[#This Row],[EV/Real]]-Table2[[#This Row],[Spread/V]]</f>
        <v>0</v>
      </c>
      <c r="AK319" s="2">
        <f>Table2[[#This Row],[SRS/Diff]]-Table2[[#This Row],[EV/Diff]]</f>
        <v>0</v>
      </c>
      <c r="AL319" s="18">
        <f>Table2[[#This Row],[SRS]]-Table2[[#This Row],[Spread]]</f>
        <v>5.7913114754098336</v>
      </c>
      <c r="AM319" s="21">
        <f>Table2[[#This Row],[(A) Err]]^2</f>
        <v>33.539288605213621</v>
      </c>
      <c r="AN319" s="6">
        <f>Table2[[#This Row],[EV]]-Table2[[#This Row],[Spread]]</f>
        <v>-5.35438510384121</v>
      </c>
      <c r="AO319" s="1">
        <f>Table2[[#This Row],[EV Err]]^2</f>
        <v>28.669439840236645</v>
      </c>
      <c r="AP319" s="1"/>
    </row>
    <row r="320" spans="1:42" x14ac:dyDescent="0.25">
      <c r="A320" s="34">
        <v>42710</v>
      </c>
      <c r="B320" t="s">
        <v>136</v>
      </c>
      <c r="C320" t="s">
        <v>131</v>
      </c>
      <c r="E320" s="21"/>
      <c r="G320" s="21"/>
      <c r="H320" s="7"/>
      <c r="I320" s="21"/>
      <c r="K320"/>
      <c r="L320" s="21">
        <f>(Table2[[#This Row],[H/Pace]]/100)*(VLOOKUP(Table2[[#This Row],[Home/Neutral]],home_lookup,8,FALSE)+VLOOKUP(Table2[[#This Row],[Home/Neutral]],OFR_lookup,2,FALSE)+VLOOKUP(Table2[[#This Row],[Visitor/Neutral]],def_diff_lookup,6,FALSE))</f>
        <v>106.091085349919</v>
      </c>
      <c r="M320" s="21"/>
      <c r="N320" s="21">
        <f>(Table2[[#This Row],[A/Pace]]/100)*(VLOOKUP(Table2[[#This Row],[Visitor/Neutral]],OFR_lookup,2,FALSE)+VLOOKUP(Table2[[#This Row],[Home/Neutral]],def_diff_lookup,6,FALSE))</f>
        <v>98.563232999999997</v>
      </c>
      <c r="O320" s="21"/>
      <c r="P320" s="21"/>
      <c r="Q320">
        <f>VLOOKUP(Table2[[#This Row],[Home/Neutral]],pace_lookup,7,FALSE)</f>
        <v>91.5</v>
      </c>
      <c r="R320" s="5">
        <f>VLOOKUP(Table2[[#This Row],[Visitor/Neutral]],pace_lookup,7,FALSE)</f>
        <v>101.7</v>
      </c>
      <c r="S320" s="7"/>
      <c r="U320" s="15"/>
      <c r="W320" s="2">
        <f>-home-VLOOKUP(Table2[[#This Row],[Home/Neutral]],rtg_vlookup,4,FALSE)+VLOOKUP(Table2[[#This Row],[Visitor/Neutral]],rtg_vlookup,4,FALSE)</f>
        <v>-13.408688524590165</v>
      </c>
      <c r="X320" s="15"/>
      <c r="Y320" s="2"/>
      <c r="Z320" s="2">
        <f>Table2[[#This Row],[A/EV]]-Table2[[#This Row],[H/EV]]</f>
        <v>-7.5278523499190015</v>
      </c>
      <c r="AA320" s="29"/>
      <c r="AB320" s="30"/>
      <c r="AC320" s="30"/>
      <c r="AD320" s="30"/>
      <c r="AE320" s="30"/>
      <c r="AF320" s="7" t="b">
        <f>IF(VLOOKUP(Table2[[#This Row],[Home/Neutral]],division_lookup,9,FALSE)=VLOOKUP(Table2[[#This Row],[Visitor/Neutral]],division_lookup,9,FALSE),TRUE,FALSE)</f>
        <v>0</v>
      </c>
      <c r="AG320" s="15" t="str">
        <f>VLOOKUP(Table2[[#This Row],[Home/Neutral]],division_lookup,9,FALSE)</f>
        <v>NW</v>
      </c>
      <c r="AH320" s="15" t="str">
        <f>IF(Table2[[#This Row],[Total/EV]]&lt;Table2[[#This Row],[Total/V]],"UNDER","OVER")</f>
        <v>OVER</v>
      </c>
      <c r="AI320" s="26">
        <f>Table2[[#This Row],[SRS/Real]]-Table2[[#This Row],[Spread/V]]</f>
        <v>0</v>
      </c>
      <c r="AJ320" s="2">
        <f>Table2[[#This Row],[EV/Real]]-Table2[[#This Row],[Spread/V]]</f>
        <v>0</v>
      </c>
      <c r="AK320" s="2">
        <f>Table2[[#This Row],[SRS/Diff]]-Table2[[#This Row],[EV/Diff]]</f>
        <v>0</v>
      </c>
      <c r="AL320" s="18">
        <f>Table2[[#This Row],[SRS]]-Table2[[#This Row],[Spread]]</f>
        <v>-13.408688524590165</v>
      </c>
      <c r="AM320" s="21">
        <f>Table2[[#This Row],[(A) Err]]^2</f>
        <v>179.79292794947597</v>
      </c>
      <c r="AN320" s="6">
        <f>Table2[[#This Row],[EV]]-Table2[[#This Row],[Spread]]</f>
        <v>-7.5278523499190015</v>
      </c>
      <c r="AO320" s="1">
        <f>Table2[[#This Row],[EV Err]]^2</f>
        <v>56.668561002181036</v>
      </c>
      <c r="AP320" s="1"/>
    </row>
    <row r="321" spans="1:42" ht="15.75" thickBot="1" x14ac:dyDescent="0.3">
      <c r="A321" s="102">
        <v>42710</v>
      </c>
      <c r="B321" s="54" t="s">
        <v>137</v>
      </c>
      <c r="C321" s="54" t="s">
        <v>130</v>
      </c>
      <c r="D321" s="54"/>
      <c r="E321" s="56"/>
      <c r="F321" s="54"/>
      <c r="G321" s="56"/>
      <c r="H321" s="55"/>
      <c r="I321" s="56"/>
      <c r="J321" s="54"/>
      <c r="K321" s="54"/>
      <c r="L321" s="56">
        <f>(Table2[[#This Row],[H/Pace]]/100)*(VLOOKUP(Table2[[#This Row],[Home/Neutral]],home_lookup,8,FALSE)+VLOOKUP(Table2[[#This Row],[Home/Neutral]],OFR_lookup,2,FALSE)+VLOOKUP(Table2[[#This Row],[Visitor/Neutral]],def_diff_lookup,6,FALSE))</f>
        <v>107.71453255421871</v>
      </c>
      <c r="M321" s="56"/>
      <c r="N321" s="56">
        <f>(Table2[[#This Row],[A/Pace]]/100)*(VLOOKUP(Table2[[#This Row],[Visitor/Neutral]],OFR_lookup,2,FALSE)+VLOOKUP(Table2[[#This Row],[Home/Neutral]],def_diff_lookup,6,FALSE))</f>
        <v>95.458197999999996</v>
      </c>
      <c r="O321" s="56"/>
      <c r="P321" s="56"/>
      <c r="Q321" s="54">
        <f>VLOOKUP(Table2[[#This Row],[Home/Neutral]],pace_lookup,7,FALSE)</f>
        <v>96</v>
      </c>
      <c r="R321" s="54">
        <f>VLOOKUP(Table2[[#This Row],[Visitor/Neutral]],pace_lookup,7,FALSE)</f>
        <v>94.2</v>
      </c>
      <c r="S321" s="55"/>
      <c r="T321" s="54"/>
      <c r="U321" s="73"/>
      <c r="V321" s="54"/>
      <c r="W321" s="57">
        <f>-home-VLOOKUP(Table2[[#This Row],[Home/Neutral]],rtg_vlookup,4,FALSE)+VLOOKUP(Table2[[#This Row],[Visitor/Neutral]],rtg_vlookup,4,FALSE)</f>
        <v>-8.4186885245901664</v>
      </c>
      <c r="X321" s="73"/>
      <c r="Y321" s="57"/>
      <c r="Z321" s="57">
        <f>Table2[[#This Row],[A/EV]]-Table2[[#This Row],[H/EV]]</f>
        <v>-12.256334554218711</v>
      </c>
      <c r="AA321" s="31"/>
      <c r="AB321" s="32"/>
      <c r="AC321" s="32"/>
      <c r="AD321" s="32"/>
      <c r="AE321" s="32"/>
      <c r="AF321" s="8" t="b">
        <f>IF(VLOOKUP(Table2[[#This Row],[Home/Neutral]],division_lookup,9,FALSE)=VLOOKUP(Table2[[#This Row],[Visitor/Neutral]],division_lookup,9,FALSE),TRUE,FALSE)</f>
        <v>1</v>
      </c>
      <c r="AG321" s="16" t="str">
        <f>VLOOKUP(Table2[[#This Row],[Home/Neutral]],division_lookup,9,FALSE)</f>
        <v>SE</v>
      </c>
      <c r="AH321" s="16" t="str">
        <f>IF(Table2[[#This Row],[Total/EV]]&lt;Table2[[#This Row],[Total/V]],"UNDER","OVER")</f>
        <v>OVER</v>
      </c>
      <c r="AI321" s="16">
        <f>Table2[[#This Row],[SRS/Real]]-Table2[[#This Row],[Spread/V]]</f>
        <v>0</v>
      </c>
      <c r="AJ321" s="9">
        <f>Table2[[#This Row],[EV/Real]]-Table2[[#This Row],[Spread/V]]</f>
        <v>0</v>
      </c>
      <c r="AK321" s="9">
        <f>Table2[[#This Row],[SRS/Diff]]-Table2[[#This Row],[EV/Diff]]</f>
        <v>0</v>
      </c>
      <c r="AL321" s="19">
        <f>Table2[[#This Row],[SRS]]-Table2[[#This Row],[Spread]]</f>
        <v>-8.4186885245901664</v>
      </c>
      <c r="AM321" s="22">
        <f>Table2[[#This Row],[(A) Err]]^2</f>
        <v>70.874316474066148</v>
      </c>
      <c r="AN321" s="4">
        <f>Table2[[#This Row],[EV]]-Table2[[#This Row],[Spread]]</f>
        <v>-12.256334554218711</v>
      </c>
      <c r="AO321" s="4">
        <f>Table2[[#This Row],[EV Err]]^2</f>
        <v>150.21773670493556</v>
      </c>
      <c r="AP321" s="1"/>
    </row>
    <row r="322" spans="1:42" x14ac:dyDescent="0.25">
      <c r="A322" s="77">
        <v>42711</v>
      </c>
      <c r="B322" s="49" t="s">
        <v>109</v>
      </c>
      <c r="C322" s="49" t="s">
        <v>124</v>
      </c>
      <c r="D322" s="49"/>
      <c r="E322" s="51"/>
      <c r="F322" s="49"/>
      <c r="G322" s="51"/>
      <c r="H322" s="50"/>
      <c r="I322" s="51"/>
      <c r="J322" s="49"/>
      <c r="K322" s="49"/>
      <c r="L322" s="51">
        <f>(Table2[[#This Row],[H/Pace]]/100)*(VLOOKUP(Table2[[#This Row],[Home/Neutral]],home_lookup,8,FALSE)+VLOOKUP(Table2[[#This Row],[Home/Neutral]],OFR_lookup,2,FALSE)+VLOOKUP(Table2[[#This Row],[Visitor/Neutral]],def_diff_lookup,6,FALSE))</f>
        <v>98.21312660728637</v>
      </c>
      <c r="M322" s="51"/>
      <c r="N322" s="51">
        <f>(Table2[[#This Row],[A/Pace]]/100)*(VLOOKUP(Table2[[#This Row],[Visitor/Neutral]],OFR_lookup,2,FALSE)+VLOOKUP(Table2[[#This Row],[Home/Neutral]],def_diff_lookup,6,FALSE))</f>
        <v>90.30399966666667</v>
      </c>
      <c r="O322" s="51"/>
      <c r="P322" s="51"/>
      <c r="Q322" s="49">
        <f>VLOOKUP(Table2[[#This Row],[Home/Neutral]],pace_lookup,7,FALSE)</f>
        <v>99.2</v>
      </c>
      <c r="R322" s="52">
        <f>VLOOKUP(Table2[[#This Row],[Visitor/Neutral]],pace_lookup,7,FALSE)</f>
        <v>93.7</v>
      </c>
      <c r="S322" s="50"/>
      <c r="T322" s="49"/>
      <c r="U322" s="75"/>
      <c r="V322" s="49"/>
      <c r="W322" s="53">
        <f>-home-VLOOKUP(Table2[[#This Row],[Home/Neutral]],rtg_vlookup,4,FALSE)+VLOOKUP(Table2[[#This Row],[Visitor/Neutral]],rtg_vlookup,4,FALSE)</f>
        <v>-6.2586885245901662</v>
      </c>
      <c r="X322" s="75"/>
      <c r="Y322" s="53"/>
      <c r="Z322" s="53">
        <f>Table2[[#This Row],[A/EV]]-Table2[[#This Row],[H/EV]]</f>
        <v>-7.9091269406197</v>
      </c>
      <c r="AA322" s="29"/>
      <c r="AB322" s="30"/>
      <c r="AC322" s="30"/>
      <c r="AD322" s="30"/>
      <c r="AE322" s="30"/>
      <c r="AF322" s="7" t="b">
        <f>IF(VLOOKUP(Table2[[#This Row],[Home/Neutral]],division_lookup,9,FALSE)=VLOOKUP(Table2[[#This Row],[Visitor/Neutral]],division_lookup,9,FALSE),TRUE,FALSE)</f>
        <v>1</v>
      </c>
      <c r="AG322" s="15" t="str">
        <f>VLOOKUP(Table2[[#This Row],[Home/Neutral]],division_lookup,9,FALSE)</f>
        <v>SE</v>
      </c>
      <c r="AH322" s="15" t="str">
        <f>IF(Table2[[#This Row],[Total/EV]]&lt;Table2[[#This Row],[Total/V]],"UNDER","OVER")</f>
        <v>OVER</v>
      </c>
      <c r="AI322" s="26">
        <f>Table2[[#This Row],[SRS/Real]]-Table2[[#This Row],[Spread/V]]</f>
        <v>0</v>
      </c>
      <c r="AJ322" s="2">
        <f>Table2[[#This Row],[EV/Real]]-Table2[[#This Row],[Spread/V]]</f>
        <v>0</v>
      </c>
      <c r="AK322" s="2">
        <f>Table2[[#This Row],[SRS/Diff]]-Table2[[#This Row],[EV/Diff]]</f>
        <v>0</v>
      </c>
      <c r="AL322" s="18">
        <f>Table2[[#This Row],[SRS]]-Table2[[#This Row],[Spread]]</f>
        <v>-6.2586885245901662</v>
      </c>
      <c r="AM322" s="21">
        <f>Table2[[#This Row],[(A) Err]]^2</f>
        <v>39.171182047836631</v>
      </c>
      <c r="AN322" s="6">
        <f>Table2[[#This Row],[EV]]-Table2[[#This Row],[Spread]]</f>
        <v>-7.9091269406197</v>
      </c>
      <c r="AO322" s="1">
        <f>Table2[[#This Row],[EV Err]]^2</f>
        <v>62.554288962836338</v>
      </c>
      <c r="AP322" s="1"/>
    </row>
    <row r="323" spans="1:42" x14ac:dyDescent="0.25">
      <c r="A323" s="34">
        <v>42711</v>
      </c>
      <c r="B323" t="s">
        <v>111</v>
      </c>
      <c r="C323" t="s">
        <v>116</v>
      </c>
      <c r="E323" s="21"/>
      <c r="G323" s="21"/>
      <c r="H323" s="7"/>
      <c r="I323" s="21"/>
      <c r="K323"/>
      <c r="L323" s="21">
        <f>(Table2[[#This Row],[H/Pace]]/100)*(VLOOKUP(Table2[[#This Row],[Home/Neutral]],home_lookup,8,FALSE)+VLOOKUP(Table2[[#This Row],[Home/Neutral]],OFR_lookup,2,FALSE)+VLOOKUP(Table2[[#This Row],[Visitor/Neutral]],def_diff_lookup,6,FALSE))</f>
        <v>100.44641832771634</v>
      </c>
      <c r="M323" s="21"/>
      <c r="N323" s="21">
        <f>(Table2[[#This Row],[A/Pace]]/100)*(VLOOKUP(Table2[[#This Row],[Visitor/Neutral]],OFR_lookup,2,FALSE)+VLOOKUP(Table2[[#This Row],[Home/Neutral]],def_diff_lookup,6,FALSE))</f>
        <v>109.47147566666666</v>
      </c>
      <c r="O323" s="21"/>
      <c r="P323" s="21"/>
      <c r="Q323">
        <f>VLOOKUP(Table2[[#This Row],[Home/Neutral]],pace_lookup,7,FALSE)</f>
        <v>102</v>
      </c>
      <c r="R323" s="5">
        <f>VLOOKUP(Table2[[#This Row],[Visitor/Neutral]],pace_lookup,7,FALSE)</f>
        <v>99.1</v>
      </c>
      <c r="S323" s="7"/>
      <c r="U323" s="15"/>
      <c r="W323" s="2">
        <f>-home-VLOOKUP(Table2[[#This Row],[Home/Neutral]],rtg_vlookup,4,FALSE)+VLOOKUP(Table2[[#This Row],[Visitor/Neutral]],rtg_vlookup,4,FALSE)</f>
        <v>5.2613114754098333</v>
      </c>
      <c r="X323" s="15"/>
      <c r="Y323" s="2"/>
      <c r="Z323" s="2">
        <f>Table2[[#This Row],[A/EV]]-Table2[[#This Row],[H/EV]]</f>
        <v>9.0250573389503188</v>
      </c>
      <c r="AA323" s="29"/>
      <c r="AB323" s="30"/>
      <c r="AC323" s="30"/>
      <c r="AD323" s="30"/>
      <c r="AE323" s="30"/>
      <c r="AF323" s="7" t="b">
        <f>IF(VLOOKUP(Table2[[#This Row],[Home/Neutral]],division_lookup,9,FALSE)=VLOOKUP(Table2[[#This Row],[Visitor/Neutral]],division_lookup,9,FALSE),TRUE,FALSE)</f>
        <v>0</v>
      </c>
      <c r="AG323" s="15" t="str">
        <f>VLOOKUP(Table2[[#This Row],[Home/Neutral]],division_lookup,9,FALSE)</f>
        <v>A</v>
      </c>
      <c r="AH323" s="15" t="str">
        <f>IF(Table2[[#This Row],[Total/EV]]&lt;Table2[[#This Row],[Total/V]],"UNDER","OVER")</f>
        <v>OVER</v>
      </c>
      <c r="AI323" s="26">
        <f>Table2[[#This Row],[SRS/Real]]-Table2[[#This Row],[Spread/V]]</f>
        <v>0</v>
      </c>
      <c r="AJ323" s="2">
        <f>Table2[[#This Row],[EV/Real]]-Table2[[#This Row],[Spread/V]]</f>
        <v>0</v>
      </c>
      <c r="AK323" s="2">
        <f>Table2[[#This Row],[SRS/Diff]]-Table2[[#This Row],[EV/Diff]]</f>
        <v>0</v>
      </c>
      <c r="AL323" s="18">
        <f>Table2[[#This Row],[SRS]]-Table2[[#This Row],[Spread]]</f>
        <v>5.2613114754098333</v>
      </c>
      <c r="AM323" s="21">
        <f>Table2[[#This Row],[(A) Err]]^2</f>
        <v>27.681398441279196</v>
      </c>
      <c r="AN323" s="6">
        <f>Table2[[#This Row],[EV]]-Table2[[#This Row],[Spread]]</f>
        <v>9.0250573389503188</v>
      </c>
      <c r="AO323" s="1">
        <f>Table2[[#This Row],[EV Err]]^2</f>
        <v>81.451659971341016</v>
      </c>
      <c r="AP323" s="1"/>
    </row>
    <row r="324" spans="1:42" x14ac:dyDescent="0.25">
      <c r="A324" s="34">
        <v>42711</v>
      </c>
      <c r="B324" t="s">
        <v>112</v>
      </c>
      <c r="C324" t="s">
        <v>117</v>
      </c>
      <c r="E324" s="21"/>
      <c r="G324" s="21"/>
      <c r="H324" s="7"/>
      <c r="I324" s="21"/>
      <c r="K324"/>
      <c r="L324" s="21">
        <f>(Table2[[#This Row],[H/Pace]]/100)*(VLOOKUP(Table2[[#This Row],[Home/Neutral]],home_lookup,8,FALSE)+VLOOKUP(Table2[[#This Row],[Home/Neutral]],OFR_lookup,2,FALSE)+VLOOKUP(Table2[[#This Row],[Visitor/Neutral]],def_diff_lookup,6,FALSE))</f>
        <v>100.38116195313484</v>
      </c>
      <c r="M324" s="21"/>
      <c r="N324" s="21">
        <f>(Table2[[#This Row],[A/Pace]]/100)*(VLOOKUP(Table2[[#This Row],[Visitor/Neutral]],OFR_lookup,2,FALSE)+VLOOKUP(Table2[[#This Row],[Home/Neutral]],def_diff_lookup,6,FALSE))</f>
        <v>97.191926666666646</v>
      </c>
      <c r="O324" s="21"/>
      <c r="P324" s="21"/>
      <c r="Q324">
        <f>VLOOKUP(Table2[[#This Row],[Home/Neutral]],pace_lookup,7,FALSE)</f>
        <v>97.4</v>
      </c>
      <c r="R324" s="5">
        <f>VLOOKUP(Table2[[#This Row],[Visitor/Neutral]],pace_lookup,7,FALSE)</f>
        <v>94</v>
      </c>
      <c r="S324" s="7"/>
      <c r="U324" s="15"/>
      <c r="W324" s="2">
        <f>-home-VLOOKUP(Table2[[#This Row],[Home/Neutral]],rtg_vlookup,4,FALSE)+VLOOKUP(Table2[[#This Row],[Visitor/Neutral]],rtg_vlookup,4,FALSE)</f>
        <v>-3.2486885245901655</v>
      </c>
      <c r="X324" s="15"/>
      <c r="Y324" s="2"/>
      <c r="Z324" s="2">
        <f>Table2[[#This Row],[A/EV]]-Table2[[#This Row],[H/EV]]</f>
        <v>-3.1892352864681897</v>
      </c>
      <c r="AA324" s="29"/>
      <c r="AB324" s="30"/>
      <c r="AC324" s="30"/>
      <c r="AD324" s="30"/>
      <c r="AE324" s="30"/>
      <c r="AF324" s="7" t="b">
        <f>IF(VLOOKUP(Table2[[#This Row],[Home/Neutral]],division_lookup,9,FALSE)=VLOOKUP(Table2[[#This Row],[Visitor/Neutral]],division_lookup,9,FALSE),TRUE,FALSE)</f>
        <v>0</v>
      </c>
      <c r="AG324" s="15" t="str">
        <f>VLOOKUP(Table2[[#This Row],[Home/Neutral]],division_lookup,9,FALSE)</f>
        <v>SE</v>
      </c>
      <c r="AH324" s="15" t="str">
        <f>IF(Table2[[#This Row],[Total/EV]]&lt;Table2[[#This Row],[Total/V]],"UNDER","OVER")</f>
        <v>OVER</v>
      </c>
      <c r="AI324" s="26">
        <f>Table2[[#This Row],[SRS/Real]]-Table2[[#This Row],[Spread/V]]</f>
        <v>0</v>
      </c>
      <c r="AJ324" s="2">
        <f>Table2[[#This Row],[EV/Real]]-Table2[[#This Row],[Spread/V]]</f>
        <v>0</v>
      </c>
      <c r="AK324" s="2">
        <f>Table2[[#This Row],[SRS/Diff]]-Table2[[#This Row],[EV/Diff]]</f>
        <v>0</v>
      </c>
      <c r="AL324" s="18">
        <f>Table2[[#This Row],[SRS]]-Table2[[#This Row],[Spread]]</f>
        <v>-3.2486885245901655</v>
      </c>
      <c r="AM324" s="21">
        <f>Table2[[#This Row],[(A) Err]]^2</f>
        <v>10.553977129803826</v>
      </c>
      <c r="AN324" s="6">
        <f>Table2[[#This Row],[EV]]-Table2[[#This Row],[Spread]]</f>
        <v>-3.1892352864681897</v>
      </c>
      <c r="AO324" s="1">
        <f>Table2[[#This Row],[EV Err]]^2</f>
        <v>10.171221712453836</v>
      </c>
      <c r="AP324" s="1"/>
    </row>
    <row r="325" spans="1:42" x14ac:dyDescent="0.25">
      <c r="A325" s="34">
        <v>42711</v>
      </c>
      <c r="B325" t="s">
        <v>115</v>
      </c>
      <c r="C325" t="s">
        <v>133</v>
      </c>
      <c r="E325" s="21"/>
      <c r="G325" s="21"/>
      <c r="H325" s="7"/>
      <c r="I325" s="21"/>
      <c r="K325"/>
      <c r="L325" s="21">
        <f>(Table2[[#This Row],[H/Pace]]/100)*(VLOOKUP(Table2[[#This Row],[Home/Neutral]],home_lookup,8,FALSE)+VLOOKUP(Table2[[#This Row],[Home/Neutral]],OFR_lookup,2,FALSE)+VLOOKUP(Table2[[#This Row],[Visitor/Neutral]],def_diff_lookup,6,FALSE))</f>
        <v>98.415633115967765</v>
      </c>
      <c r="M325" s="21"/>
      <c r="N325" s="21">
        <f>(Table2[[#This Row],[A/Pace]]/100)*(VLOOKUP(Table2[[#This Row],[Visitor/Neutral]],OFR_lookup,2,FALSE)+VLOOKUP(Table2[[#This Row],[Home/Neutral]],def_diff_lookup,6,FALSE))</f>
        <v>101.053678</v>
      </c>
      <c r="O325" s="21"/>
      <c r="P325" s="21"/>
      <c r="Q325">
        <f>VLOOKUP(Table2[[#This Row],[Home/Neutral]],pace_lookup,7,FALSE)</f>
        <v>92.9</v>
      </c>
      <c r="R325" s="5">
        <f>VLOOKUP(Table2[[#This Row],[Visitor/Neutral]],pace_lookup,7,FALSE)</f>
        <v>94.2</v>
      </c>
      <c r="S325" s="7"/>
      <c r="U325" s="15"/>
      <c r="W325" s="2">
        <f>-home-VLOOKUP(Table2[[#This Row],[Home/Neutral]],rtg_vlookup,4,FALSE)+VLOOKUP(Table2[[#This Row],[Visitor/Neutral]],rtg_vlookup,4,FALSE)</f>
        <v>4.1613114754098337</v>
      </c>
      <c r="X325" s="15"/>
      <c r="Y325" s="2"/>
      <c r="Z325" s="2">
        <f>Table2[[#This Row],[A/EV]]-Table2[[#This Row],[H/EV]]</f>
        <v>2.6380448840322401</v>
      </c>
      <c r="AA325" s="29"/>
      <c r="AB325" s="30"/>
      <c r="AC325" s="30"/>
      <c r="AD325" s="30"/>
      <c r="AE325" s="30"/>
      <c r="AF325" s="7" t="b">
        <f>IF(VLOOKUP(Table2[[#This Row],[Home/Neutral]],division_lookup,9,FALSE)=VLOOKUP(Table2[[#This Row],[Visitor/Neutral]],division_lookup,9,FALSE),TRUE,FALSE)</f>
        <v>0</v>
      </c>
      <c r="AG325" s="15" t="str">
        <f>VLOOKUP(Table2[[#This Row],[Home/Neutral]],division_lookup,9,FALSE)</f>
        <v>SW</v>
      </c>
      <c r="AH325" s="15" t="str">
        <f>IF(Table2[[#This Row],[Total/EV]]&lt;Table2[[#This Row],[Total/V]],"UNDER","OVER")</f>
        <v>OVER</v>
      </c>
      <c r="AI325" s="26">
        <f>Table2[[#This Row],[SRS/Real]]-Table2[[#This Row],[Spread/V]]</f>
        <v>0</v>
      </c>
      <c r="AJ325" s="2">
        <f>Table2[[#This Row],[EV/Real]]-Table2[[#This Row],[Spread/V]]</f>
        <v>0</v>
      </c>
      <c r="AK325" s="2">
        <f>Table2[[#This Row],[SRS/Diff]]-Table2[[#This Row],[EV/Diff]]</f>
        <v>0</v>
      </c>
      <c r="AL325" s="18">
        <f>Table2[[#This Row],[SRS]]-Table2[[#This Row],[Spread]]</f>
        <v>4.1613114754098337</v>
      </c>
      <c r="AM325" s="21">
        <f>Table2[[#This Row],[(A) Err]]^2</f>
        <v>17.316513195377567</v>
      </c>
      <c r="AN325" s="6">
        <f>Table2[[#This Row],[EV]]-Table2[[#This Row],[Spread]]</f>
        <v>2.6380448840322401</v>
      </c>
      <c r="AO325" s="1">
        <f>Table2[[#This Row],[EV Err]]^2</f>
        <v>6.9592808101686749</v>
      </c>
      <c r="AP325" s="1"/>
    </row>
    <row r="326" spans="1:42" x14ac:dyDescent="0.25">
      <c r="A326" s="34">
        <v>42711</v>
      </c>
      <c r="B326" t="s">
        <v>119</v>
      </c>
      <c r="C326" t="s">
        <v>122</v>
      </c>
      <c r="E326" s="21"/>
      <c r="G326" s="21"/>
      <c r="H326" s="7"/>
      <c r="I326" s="21"/>
      <c r="K326"/>
      <c r="L326" s="21">
        <f>(Table2[[#This Row],[H/Pace]]/100)*(VLOOKUP(Table2[[#This Row],[Home/Neutral]],home_lookup,8,FALSE)+VLOOKUP(Table2[[#This Row],[Home/Neutral]],OFR_lookup,2,FALSE)+VLOOKUP(Table2[[#This Row],[Visitor/Neutral]],def_diff_lookup,6,FALSE))</f>
        <v>113.32845376977627</v>
      </c>
      <c r="M326" s="21"/>
      <c r="N326" s="21">
        <f>(Table2[[#This Row],[A/Pace]]/100)*(VLOOKUP(Table2[[#This Row],[Visitor/Neutral]],OFR_lookup,2,FALSE)+VLOOKUP(Table2[[#This Row],[Home/Neutral]],def_diff_lookup,6,FALSE))</f>
        <v>111.909038</v>
      </c>
      <c r="O326" s="21"/>
      <c r="P326" s="21"/>
      <c r="Q326">
        <f>VLOOKUP(Table2[[#This Row],[Home/Neutral]],pace_lookup,7,FALSE)</f>
        <v>96.9</v>
      </c>
      <c r="R326" s="5">
        <f>VLOOKUP(Table2[[#This Row],[Visitor/Neutral]],pace_lookup,7,FALSE)</f>
        <v>100.2</v>
      </c>
      <c r="S326" s="7"/>
      <c r="U326" s="15"/>
      <c r="W326" s="2">
        <f>-home-VLOOKUP(Table2[[#This Row],[Home/Neutral]],rtg_vlookup,4,FALSE)+VLOOKUP(Table2[[#This Row],[Visitor/Neutral]],rtg_vlookup,4,FALSE)</f>
        <v>-8.7086885245901655</v>
      </c>
      <c r="X326" s="15"/>
      <c r="Y326" s="2"/>
      <c r="Z326" s="2">
        <f>Table2[[#This Row],[A/EV]]-Table2[[#This Row],[H/EV]]</f>
        <v>-1.419415769776279</v>
      </c>
      <c r="AA326" s="29"/>
      <c r="AB326" s="30"/>
      <c r="AC326" s="30"/>
      <c r="AD326" s="30"/>
      <c r="AE326" s="30"/>
      <c r="AF326" s="7" t="b">
        <f>IF(VLOOKUP(Table2[[#This Row],[Home/Neutral]],division_lookup,9,FALSE)=VLOOKUP(Table2[[#This Row],[Visitor/Neutral]],division_lookup,9,FALSE),TRUE,FALSE)</f>
        <v>0</v>
      </c>
      <c r="AG326" s="15" t="str">
        <f>VLOOKUP(Table2[[#This Row],[Home/Neutral]],division_lookup,9,FALSE)</f>
        <v>SW</v>
      </c>
      <c r="AH326" s="15" t="str">
        <f>IF(Table2[[#This Row],[Total/EV]]&lt;Table2[[#This Row],[Total/V]],"UNDER","OVER")</f>
        <v>OVER</v>
      </c>
      <c r="AI326" s="26">
        <f>Table2[[#This Row],[SRS/Real]]-Table2[[#This Row],[Spread/V]]</f>
        <v>0</v>
      </c>
      <c r="AJ326" s="2">
        <f>Table2[[#This Row],[EV/Real]]-Table2[[#This Row],[Spread/V]]</f>
        <v>0</v>
      </c>
      <c r="AK326" s="2">
        <f>Table2[[#This Row],[SRS/Diff]]-Table2[[#This Row],[EV/Diff]]</f>
        <v>0</v>
      </c>
      <c r="AL326" s="18">
        <f>Table2[[#This Row],[SRS]]-Table2[[#This Row],[Spread]]</f>
        <v>-8.7086885245901655</v>
      </c>
      <c r="AM326" s="21">
        <f>Table2[[#This Row],[(A) Err]]^2</f>
        <v>75.841255818328435</v>
      </c>
      <c r="AN326" s="6">
        <f>Table2[[#This Row],[EV]]-Table2[[#This Row],[Spread]]</f>
        <v>-1.419415769776279</v>
      </c>
      <c r="AO326" s="1">
        <f>Table2[[#This Row],[EV Err]]^2</f>
        <v>2.0147411274895868</v>
      </c>
      <c r="AP326" s="1"/>
    </row>
    <row r="327" spans="1:42" x14ac:dyDescent="0.25">
      <c r="A327" s="77">
        <v>42711</v>
      </c>
      <c r="B327" s="49" t="s">
        <v>121</v>
      </c>
      <c r="C327" s="49" t="s">
        <v>118</v>
      </c>
      <c r="D327" s="49"/>
      <c r="E327" s="51"/>
      <c r="F327" s="49"/>
      <c r="G327" s="51"/>
      <c r="H327" s="50"/>
      <c r="I327" s="51"/>
      <c r="J327" s="49"/>
      <c r="K327" s="49"/>
      <c r="L327" s="51">
        <f>(Table2[[#This Row],[H/Pace]]/100)*(VLOOKUP(Table2[[#This Row],[Home/Neutral]],home_lookup,8,FALSE)+VLOOKUP(Table2[[#This Row],[Home/Neutral]],OFR_lookup,2,FALSE)+VLOOKUP(Table2[[#This Row],[Visitor/Neutral]],def_diff_lookup,6,FALSE))</f>
        <v>112.78144060751254</v>
      </c>
      <c r="M327" s="51"/>
      <c r="N327" s="51">
        <f>(Table2[[#This Row],[A/Pace]]/100)*(VLOOKUP(Table2[[#This Row],[Visitor/Neutral]],OFR_lookup,2,FALSE)+VLOOKUP(Table2[[#This Row],[Home/Neutral]],def_diff_lookup,6,FALSE))</f>
        <v>113.10628933333332</v>
      </c>
      <c r="O327" s="51"/>
      <c r="P327" s="51"/>
      <c r="Q327" s="49">
        <f>VLOOKUP(Table2[[#This Row],[Home/Neutral]],pace_lookup,7,FALSE)</f>
        <v>96.4</v>
      </c>
      <c r="R327" s="52">
        <f>VLOOKUP(Table2[[#This Row],[Visitor/Neutral]],pace_lookup,7,FALSE)</f>
        <v>100.4</v>
      </c>
      <c r="S327" s="50"/>
      <c r="T327" s="49"/>
      <c r="U327" s="75"/>
      <c r="V327" s="49"/>
      <c r="W327" s="53">
        <f>-home-VLOOKUP(Table2[[#This Row],[Home/Neutral]],rtg_vlookup,4,FALSE)+VLOOKUP(Table2[[#This Row],[Visitor/Neutral]],rtg_vlookup,4,FALSE)</f>
        <v>-4.0886885245901663</v>
      </c>
      <c r="X327" s="75"/>
      <c r="Y327" s="53"/>
      <c r="Z327" s="53">
        <f>Table2[[#This Row],[A/EV]]-Table2[[#This Row],[H/EV]]</f>
        <v>0.32484872582078594</v>
      </c>
      <c r="AA327" s="29"/>
      <c r="AB327" s="30"/>
      <c r="AC327" s="30"/>
      <c r="AD327" s="30"/>
      <c r="AE327" s="30"/>
      <c r="AF327" s="7" t="b">
        <f>IF(VLOOKUP(Table2[[#This Row],[Home/Neutral]],division_lookup,9,FALSE)=VLOOKUP(Table2[[#This Row],[Visitor/Neutral]],division_lookup,9,FALSE),TRUE,FALSE)</f>
        <v>1</v>
      </c>
      <c r="AG327" s="15" t="str">
        <f>VLOOKUP(Table2[[#This Row],[Home/Neutral]],division_lookup,9,FALSE)</f>
        <v>P</v>
      </c>
      <c r="AH327" s="15" t="str">
        <f>IF(Table2[[#This Row],[Total/EV]]&lt;Table2[[#This Row],[Total/V]],"UNDER","OVER")</f>
        <v>OVER</v>
      </c>
      <c r="AI327" s="26">
        <f>Table2[[#This Row],[SRS/Real]]-Table2[[#This Row],[Spread/V]]</f>
        <v>0</v>
      </c>
      <c r="AJ327" s="2">
        <f>Table2[[#This Row],[EV/Real]]-Table2[[#This Row],[Spread/V]]</f>
        <v>0</v>
      </c>
      <c r="AK327" s="2">
        <f>Table2[[#This Row],[SRS/Diff]]-Table2[[#This Row],[EV/Diff]]</f>
        <v>0</v>
      </c>
      <c r="AL327" s="18">
        <f>Table2[[#This Row],[SRS]]-Table2[[#This Row],[Spread]]</f>
        <v>-4.0886885245901663</v>
      </c>
      <c r="AM327" s="21">
        <f>Table2[[#This Row],[(A) Err]]^2</f>
        <v>16.717373851115312</v>
      </c>
      <c r="AN327" s="6">
        <f>Table2[[#This Row],[EV]]-Table2[[#This Row],[Spread]]</f>
        <v>0.32484872582078594</v>
      </c>
      <c r="AO327" s="1">
        <f>Table2[[#This Row],[EV Err]]^2</f>
        <v>0.10552669466738816</v>
      </c>
      <c r="AP327" s="1"/>
    </row>
    <row r="328" spans="1:42" x14ac:dyDescent="0.25">
      <c r="A328" s="34">
        <v>42711</v>
      </c>
      <c r="B328" t="s">
        <v>125</v>
      </c>
      <c r="C328" t="s">
        <v>132</v>
      </c>
      <c r="E328" s="21"/>
      <c r="G328" s="21"/>
      <c r="H328" s="7"/>
      <c r="I328" s="21"/>
      <c r="K328"/>
      <c r="L328" s="21">
        <f>(Table2[[#This Row],[H/Pace]]/100)*(VLOOKUP(Table2[[#This Row],[Home/Neutral]],home_lookup,8,FALSE)+VLOOKUP(Table2[[#This Row],[Home/Neutral]],OFR_lookup,2,FALSE)+VLOOKUP(Table2[[#This Row],[Visitor/Neutral]],def_diff_lookup,6,FALSE))</f>
        <v>113.80239550061908</v>
      </c>
      <c r="M328" s="21"/>
      <c r="N328" s="21">
        <f>(Table2[[#This Row],[A/Pace]]/100)*(VLOOKUP(Table2[[#This Row],[Visitor/Neutral]],OFR_lookup,2,FALSE)+VLOOKUP(Table2[[#This Row],[Home/Neutral]],def_diff_lookup,6,FALSE))</f>
        <v>110.46399866666667</v>
      </c>
      <c r="O328" s="21"/>
      <c r="P328" s="21"/>
      <c r="Q328">
        <f>VLOOKUP(Table2[[#This Row],[Home/Neutral]],pace_lookup,7,FALSE)</f>
        <v>96.1</v>
      </c>
      <c r="R328" s="5">
        <f>VLOOKUP(Table2[[#This Row],[Visitor/Neutral]],pace_lookup,7,FALSE)</f>
        <v>98.8</v>
      </c>
      <c r="S328" s="7"/>
      <c r="U328" s="15"/>
      <c r="W328" s="2">
        <f>-home-VLOOKUP(Table2[[#This Row],[Home/Neutral]],rtg_vlookup,4,FALSE)+VLOOKUP(Table2[[#This Row],[Visitor/Neutral]],rtg_vlookup,4,FALSE)</f>
        <v>-2.7386885245901658</v>
      </c>
      <c r="X328" s="15"/>
      <c r="Y328" s="2"/>
      <c r="Z328" s="2">
        <f>Table2[[#This Row],[A/EV]]-Table2[[#This Row],[H/EV]]</f>
        <v>-3.3383968339524159</v>
      </c>
      <c r="AA328" s="29"/>
      <c r="AB328" s="30"/>
      <c r="AC328" s="30"/>
      <c r="AD328" s="30"/>
      <c r="AE328" s="30"/>
      <c r="AF328" s="7" t="b">
        <f>IF(VLOOKUP(Table2[[#This Row],[Home/Neutral]],division_lookup,9,FALSE)=VLOOKUP(Table2[[#This Row],[Visitor/Neutral]],division_lookup,9,FALSE),TRUE,FALSE)</f>
        <v>0</v>
      </c>
      <c r="AG328" s="15" t="str">
        <f>VLOOKUP(Table2[[#This Row],[Home/Neutral]],division_lookup,9,FALSE)</f>
        <v>C</v>
      </c>
      <c r="AH328" s="15" t="str">
        <f>IF(Table2[[#This Row],[Total/EV]]&lt;Table2[[#This Row],[Total/V]],"UNDER","OVER")</f>
        <v>OVER</v>
      </c>
      <c r="AI328" s="26">
        <f>Table2[[#This Row],[SRS/Real]]-Table2[[#This Row],[Spread/V]]</f>
        <v>0</v>
      </c>
      <c r="AJ328" s="2">
        <f>Table2[[#This Row],[EV/Real]]-Table2[[#This Row],[Spread/V]]</f>
        <v>0</v>
      </c>
      <c r="AK328" s="2">
        <f>Table2[[#This Row],[SRS/Diff]]-Table2[[#This Row],[EV/Diff]]</f>
        <v>0</v>
      </c>
      <c r="AL328" s="18">
        <f>Table2[[#This Row],[SRS]]-Table2[[#This Row],[Spread]]</f>
        <v>-2.7386885245901658</v>
      </c>
      <c r="AM328" s="21">
        <f>Table2[[#This Row],[(A) Err]]^2</f>
        <v>7.5004148347218589</v>
      </c>
      <c r="AN328" s="6">
        <f>Table2[[#This Row],[EV]]-Table2[[#This Row],[Spread]]</f>
        <v>-3.3383968339524159</v>
      </c>
      <c r="AO328" s="1">
        <f>Table2[[#This Row],[EV Err]]^2</f>
        <v>11.144893420943514</v>
      </c>
      <c r="AP328" s="1"/>
    </row>
    <row r="329" spans="1:42" x14ac:dyDescent="0.25">
      <c r="A329" s="34">
        <v>42711</v>
      </c>
      <c r="B329" t="s">
        <v>128</v>
      </c>
      <c r="C329" t="s">
        <v>114</v>
      </c>
      <c r="E329" s="21"/>
      <c r="G329" s="21"/>
      <c r="H329" s="7"/>
      <c r="I329" s="21"/>
      <c r="K329"/>
      <c r="L329" s="21">
        <f>(Table2[[#This Row],[H/Pace]]/100)*(VLOOKUP(Table2[[#This Row],[Home/Neutral]],home_lookup,8,FALSE)+VLOOKUP(Table2[[#This Row],[Home/Neutral]],OFR_lookup,2,FALSE)+VLOOKUP(Table2[[#This Row],[Visitor/Neutral]],def_diff_lookup,6,FALSE))</f>
        <v>107.88352987783021</v>
      </c>
      <c r="M329" s="21"/>
      <c r="N329" s="21">
        <f>(Table2[[#This Row],[A/Pace]]/100)*(VLOOKUP(Table2[[#This Row],[Visitor/Neutral]],OFR_lookup,2,FALSE)+VLOOKUP(Table2[[#This Row],[Home/Neutral]],def_diff_lookup,6,FALSE))</f>
        <v>114.73194366666667</v>
      </c>
      <c r="O329" s="21"/>
      <c r="P329" s="21"/>
      <c r="Q329">
        <f>VLOOKUP(Table2[[#This Row],[Home/Neutral]],pace_lookup,7,FALSE)</f>
        <v>96.3</v>
      </c>
      <c r="R329" s="5">
        <f>VLOOKUP(Table2[[#This Row],[Visitor/Neutral]],pace_lookup,7,FALSE)</f>
        <v>97.3</v>
      </c>
      <c r="S329" s="7"/>
      <c r="U329" s="15"/>
      <c r="W329" s="2">
        <f>-home-VLOOKUP(Table2[[#This Row],[Home/Neutral]],rtg_vlookup,4,FALSE)+VLOOKUP(Table2[[#This Row],[Visitor/Neutral]],rtg_vlookup,4,FALSE)</f>
        <v>7.731311475409834</v>
      </c>
      <c r="X329" s="15"/>
      <c r="Y329" s="2"/>
      <c r="Z329" s="2">
        <f>Table2[[#This Row],[A/EV]]-Table2[[#This Row],[H/EV]]</f>
        <v>6.8484137888364529</v>
      </c>
      <c r="AA329" s="29"/>
      <c r="AB329" s="30"/>
      <c r="AC329" s="30"/>
      <c r="AD329" s="30"/>
      <c r="AE329" s="30"/>
      <c r="AF329" s="7" t="b">
        <f>IF(VLOOKUP(Table2[[#This Row],[Home/Neutral]],division_lookup,9,FALSE)=VLOOKUP(Table2[[#This Row],[Visitor/Neutral]],division_lookup,9,FALSE),TRUE,FALSE)</f>
        <v>0</v>
      </c>
      <c r="AG329" s="15" t="str">
        <f>VLOOKUP(Table2[[#This Row],[Home/Neutral]],division_lookup,9,FALSE)</f>
        <v>A</v>
      </c>
      <c r="AH329" s="15" t="str">
        <f>IF(Table2[[#This Row],[Total/EV]]&lt;Table2[[#This Row],[Total/V]],"UNDER","OVER")</f>
        <v>OVER</v>
      </c>
      <c r="AI329" s="26">
        <f>Table2[[#This Row],[SRS/Real]]-Table2[[#This Row],[Spread/V]]</f>
        <v>0</v>
      </c>
      <c r="AJ329" s="2">
        <f>Table2[[#This Row],[EV/Real]]-Table2[[#This Row],[Spread/V]]</f>
        <v>0</v>
      </c>
      <c r="AK329" s="2">
        <f>Table2[[#This Row],[SRS/Diff]]-Table2[[#This Row],[EV/Diff]]</f>
        <v>0</v>
      </c>
      <c r="AL329" s="18">
        <f>Table2[[#This Row],[SRS]]-Table2[[#This Row],[Spread]]</f>
        <v>7.731311475409834</v>
      </c>
      <c r="AM329" s="21">
        <f>Table2[[#This Row],[(A) Err]]^2</f>
        <v>59.773177129803784</v>
      </c>
      <c r="AN329" s="6">
        <f>Table2[[#This Row],[EV]]-Table2[[#This Row],[Spread]]</f>
        <v>6.8484137888364529</v>
      </c>
      <c r="AO329" s="1">
        <f>Table2[[#This Row],[EV Err]]^2</f>
        <v>46.900771423125263</v>
      </c>
      <c r="AP329" s="1"/>
    </row>
    <row r="330" spans="1:42" x14ac:dyDescent="0.25">
      <c r="A330" s="34">
        <v>42711</v>
      </c>
      <c r="B330" t="s">
        <v>130</v>
      </c>
      <c r="C330" t="s">
        <v>110</v>
      </c>
      <c r="E330" s="21"/>
      <c r="G330" s="21"/>
      <c r="H330" s="7"/>
      <c r="I330" s="21"/>
      <c r="K330"/>
      <c r="L330" s="21">
        <f>(Table2[[#This Row],[H/Pace]]/100)*(VLOOKUP(Table2[[#This Row],[Home/Neutral]],home_lookup,8,FALSE)+VLOOKUP(Table2[[#This Row],[Home/Neutral]],OFR_lookup,2,FALSE)+VLOOKUP(Table2[[#This Row],[Visitor/Neutral]],def_diff_lookup,6,FALSE))</f>
        <v>97.166024967109408</v>
      </c>
      <c r="M330" s="21"/>
      <c r="N330" s="21">
        <f>(Table2[[#This Row],[A/Pace]]/100)*(VLOOKUP(Table2[[#This Row],[Visitor/Neutral]],OFR_lookup,2,FALSE)+VLOOKUP(Table2[[#This Row],[Home/Neutral]],def_diff_lookup,6,FALSE))</f>
        <v>103.56475133333333</v>
      </c>
      <c r="O330" s="21"/>
      <c r="P330" s="21"/>
      <c r="Q330">
        <f>VLOOKUP(Table2[[#This Row],[Home/Neutral]],pace_lookup,7,FALSE)</f>
        <v>94.2</v>
      </c>
      <c r="R330" s="5">
        <f>VLOOKUP(Table2[[#This Row],[Visitor/Neutral]],pace_lookup,7,FALSE)</f>
        <v>96.2</v>
      </c>
      <c r="S330" s="7"/>
      <c r="U330" s="15"/>
      <c r="W330" s="2">
        <f>-home-VLOOKUP(Table2[[#This Row],[Home/Neutral]],rtg_vlookup,4,FALSE)+VLOOKUP(Table2[[#This Row],[Visitor/Neutral]],rtg_vlookup,4,FALSE)</f>
        <v>6.3313114754098354</v>
      </c>
      <c r="X330" s="15"/>
      <c r="Y330" s="2"/>
      <c r="Z330" s="2">
        <f>Table2[[#This Row],[A/EV]]-Table2[[#This Row],[H/EV]]</f>
        <v>6.3987263662239258</v>
      </c>
      <c r="AA330" s="29"/>
      <c r="AB330" s="30"/>
      <c r="AC330" s="30"/>
      <c r="AD330" s="30"/>
      <c r="AE330" s="30"/>
      <c r="AF330" s="7" t="b">
        <f>IF(VLOOKUP(Table2[[#This Row],[Home/Neutral]],division_lookup,9,FALSE)=VLOOKUP(Table2[[#This Row],[Visitor/Neutral]],division_lookup,9,FALSE),TRUE,FALSE)</f>
        <v>0</v>
      </c>
      <c r="AG330" s="15" t="str">
        <f>VLOOKUP(Table2[[#This Row],[Home/Neutral]],division_lookup,9,FALSE)</f>
        <v>SE</v>
      </c>
      <c r="AH330" s="15" t="str">
        <f>IF(Table2[[#This Row],[Total/EV]]&lt;Table2[[#This Row],[Total/V]],"UNDER","OVER")</f>
        <v>OVER</v>
      </c>
      <c r="AI330" s="26">
        <f>Table2[[#This Row],[SRS/Real]]-Table2[[#This Row],[Spread/V]]</f>
        <v>0</v>
      </c>
      <c r="AJ330" s="2">
        <f>Table2[[#This Row],[EV/Real]]-Table2[[#This Row],[Spread/V]]</f>
        <v>0</v>
      </c>
      <c r="AK330" s="2">
        <f>Table2[[#This Row],[SRS/Diff]]-Table2[[#This Row],[EV/Diff]]</f>
        <v>0</v>
      </c>
      <c r="AL330" s="18">
        <f>Table2[[#This Row],[SRS]]-Table2[[#This Row],[Spread]]</f>
        <v>6.3313114754098354</v>
      </c>
      <c r="AM330" s="21">
        <f>Table2[[#This Row],[(A) Err]]^2</f>
        <v>40.085504998656269</v>
      </c>
      <c r="AN330" s="6">
        <f>Table2[[#This Row],[EV]]-Table2[[#This Row],[Spread]]</f>
        <v>6.3987263662239258</v>
      </c>
      <c r="AO330" s="1">
        <f>Table2[[#This Row],[EV Err]]^2</f>
        <v>40.943699109809245</v>
      </c>
      <c r="AP330" s="1"/>
    </row>
    <row r="331" spans="1:42" ht="15.75" thickBot="1" x14ac:dyDescent="0.3">
      <c r="A331" s="100">
        <v>42711</v>
      </c>
      <c r="B331" s="3" t="s">
        <v>131</v>
      </c>
      <c r="C331" s="3" t="s">
        <v>120</v>
      </c>
      <c r="D331" s="3"/>
      <c r="E331" s="22"/>
      <c r="F331" s="3"/>
      <c r="G331" s="22"/>
      <c r="H331" s="8"/>
      <c r="I331" s="22"/>
      <c r="J331" s="3"/>
      <c r="K331" s="3"/>
      <c r="L331" s="22">
        <f>(Table2[[#This Row],[H/Pace]]/100)*(VLOOKUP(Table2[[#This Row],[Home/Neutral]],home_lookup,8,FALSE)+VLOOKUP(Table2[[#This Row],[Home/Neutral]],OFR_lookup,2,FALSE)+VLOOKUP(Table2[[#This Row],[Visitor/Neutral]],def_diff_lookup,6,FALSE))</f>
        <v>98.753749791197649</v>
      </c>
      <c r="M331" s="22"/>
      <c r="N331" s="22">
        <f>(Table2[[#This Row],[A/Pace]]/100)*(VLOOKUP(Table2[[#This Row],[Visitor/Neutral]],OFR_lookup,2,FALSE)+VLOOKUP(Table2[[#This Row],[Home/Neutral]],def_diff_lookup,6,FALSE))</f>
        <v>103.05346033333333</v>
      </c>
      <c r="O331" s="22"/>
      <c r="P331" s="22"/>
      <c r="Q331" s="3">
        <f>VLOOKUP(Table2[[#This Row],[Home/Neutral]],pace_lookup,7,FALSE)</f>
        <v>101.7</v>
      </c>
      <c r="R331" s="3">
        <f>VLOOKUP(Table2[[#This Row],[Visitor/Neutral]],pace_lookup,7,FALSE)</f>
        <v>98.3</v>
      </c>
      <c r="S331" s="8"/>
      <c r="T331" s="3"/>
      <c r="U331" s="16"/>
      <c r="V331" s="3"/>
      <c r="W331" s="9">
        <f>-home-VLOOKUP(Table2[[#This Row],[Home/Neutral]],rtg_vlookup,4,FALSE)+VLOOKUP(Table2[[#This Row],[Visitor/Neutral]],rtg_vlookup,4,FALSE)</f>
        <v>-1.0986885245901661</v>
      </c>
      <c r="X331" s="16"/>
      <c r="Y331" s="9"/>
      <c r="Z331" s="9">
        <f>Table2[[#This Row],[A/EV]]-Table2[[#This Row],[H/EV]]</f>
        <v>4.2997105421356849</v>
      </c>
      <c r="AA331" s="31"/>
      <c r="AB331" s="32"/>
      <c r="AC331" s="32"/>
      <c r="AD331" s="32"/>
      <c r="AE331" s="32"/>
      <c r="AF331" s="8" t="b">
        <f>IF(VLOOKUP(Table2[[#This Row],[Home/Neutral]],division_lookup,9,FALSE)=VLOOKUP(Table2[[#This Row],[Visitor/Neutral]],division_lookup,9,FALSE),TRUE,FALSE)</f>
        <v>0</v>
      </c>
      <c r="AG331" s="16" t="str">
        <f>VLOOKUP(Table2[[#This Row],[Home/Neutral]],division_lookup,9,FALSE)</f>
        <v>P</v>
      </c>
      <c r="AH331" s="16" t="str">
        <f>IF(Table2[[#This Row],[Total/EV]]&lt;Table2[[#This Row],[Total/V]],"UNDER","OVER")</f>
        <v>OVER</v>
      </c>
      <c r="AI331" s="16">
        <f>Table2[[#This Row],[SRS/Real]]-Table2[[#This Row],[Spread/V]]</f>
        <v>0</v>
      </c>
      <c r="AJ331" s="9">
        <f>Table2[[#This Row],[EV/Real]]-Table2[[#This Row],[Spread/V]]</f>
        <v>0</v>
      </c>
      <c r="AK331" s="9">
        <f>Table2[[#This Row],[SRS/Diff]]-Table2[[#This Row],[EV/Diff]]</f>
        <v>0</v>
      </c>
      <c r="AL331" s="19">
        <f>Table2[[#This Row],[SRS]]-Table2[[#This Row],[Spread]]</f>
        <v>-1.0986885245901661</v>
      </c>
      <c r="AM331" s="22">
        <f>Table2[[#This Row],[(A) Err]]^2</f>
        <v>1.207116474066116</v>
      </c>
      <c r="AN331" s="4">
        <f>Table2[[#This Row],[EV]]-Table2[[#This Row],[Spread]]</f>
        <v>4.2997105421356849</v>
      </c>
      <c r="AO331" s="4">
        <f>Table2[[#This Row],[EV Err]]^2</f>
        <v>18.487510746152747</v>
      </c>
      <c r="AP331" s="1"/>
    </row>
    <row r="332" spans="1:42" x14ac:dyDescent="0.25">
      <c r="A332" s="34">
        <v>42712</v>
      </c>
      <c r="B332" t="s">
        <v>113</v>
      </c>
      <c r="C332" t="s">
        <v>134</v>
      </c>
      <c r="E332" s="21"/>
      <c r="G332" s="21"/>
      <c r="H332" s="7"/>
      <c r="I332" s="21"/>
      <c r="K332"/>
      <c r="L332" s="21">
        <f>(Table2[[#This Row],[H/Pace]]/100)*(VLOOKUP(Table2[[#This Row],[Home/Neutral]],home_lookup,8,FALSE)+VLOOKUP(Table2[[#This Row],[Home/Neutral]],OFR_lookup,2,FALSE)+VLOOKUP(Table2[[#This Row],[Visitor/Neutral]],def_diff_lookup,6,FALSE))</f>
        <v>107.8446138801628</v>
      </c>
      <c r="M332" s="21"/>
      <c r="N332" s="21">
        <f>(Table2[[#This Row],[A/Pace]]/100)*(VLOOKUP(Table2[[#This Row],[Visitor/Neutral]],OFR_lookup,2,FALSE)+VLOOKUP(Table2[[#This Row],[Home/Neutral]],def_diff_lookup,6,FALSE))</f>
        <v>104.82811266666667</v>
      </c>
      <c r="O332" s="21"/>
      <c r="P332" s="21"/>
      <c r="Q332">
        <f>VLOOKUP(Table2[[#This Row],[Home/Neutral]],pace_lookup,7,FALSE)</f>
        <v>95.1</v>
      </c>
      <c r="R332" s="5">
        <f>VLOOKUP(Table2[[#This Row],[Visitor/Neutral]],pace_lookup,7,FALSE)</f>
        <v>93.4</v>
      </c>
      <c r="S332" s="7"/>
      <c r="U332" s="15"/>
      <c r="W332" s="2">
        <f>-home-VLOOKUP(Table2[[#This Row],[Home/Neutral]],rtg_vlookup,4,FALSE)+VLOOKUP(Table2[[#This Row],[Visitor/Neutral]],rtg_vlookup,4,FALSE)</f>
        <v>-3.8688524590166473E-2</v>
      </c>
      <c r="X332" s="15"/>
      <c r="Y332" s="2"/>
      <c r="Z332" s="2">
        <f>Table2[[#This Row],[A/EV]]-Table2[[#This Row],[H/EV]]</f>
        <v>-3.0165012134961273</v>
      </c>
      <c r="AA332" s="29"/>
      <c r="AB332" s="30"/>
      <c r="AC332" s="30"/>
      <c r="AD332" s="30"/>
      <c r="AE332" s="30"/>
      <c r="AF332" s="7" t="b">
        <f>IF(VLOOKUP(Table2[[#This Row],[Home/Neutral]],division_lookup,9,FALSE)=VLOOKUP(Table2[[#This Row],[Visitor/Neutral]],division_lookup,9,FALSE),TRUE,FALSE)</f>
        <v>0</v>
      </c>
      <c r="AG332" s="15" t="str">
        <f>VLOOKUP(Table2[[#This Row],[Home/Neutral]],division_lookup,9,FALSE)</f>
        <v>C</v>
      </c>
      <c r="AH332" s="15" t="str">
        <f>IF(Table2[[#This Row],[Total/EV]]&lt;Table2[[#This Row],[Total/V]],"UNDER","OVER")</f>
        <v>OVER</v>
      </c>
      <c r="AI332" s="26">
        <f>Table2[[#This Row],[SRS/Real]]-Table2[[#This Row],[Spread/V]]</f>
        <v>0</v>
      </c>
      <c r="AJ332" s="2">
        <f>Table2[[#This Row],[EV/Real]]-Table2[[#This Row],[Spread/V]]</f>
        <v>0</v>
      </c>
      <c r="AK332" s="2">
        <f>Table2[[#This Row],[SRS/Diff]]-Table2[[#This Row],[EV/Diff]]</f>
        <v>0</v>
      </c>
      <c r="AL332" s="18">
        <f>Table2[[#This Row],[SRS]]-Table2[[#This Row],[Spread]]</f>
        <v>-3.8688524590166473E-2</v>
      </c>
      <c r="AM332" s="21">
        <f>Table2[[#This Row],[(A) Err]]^2</f>
        <v>1.4968019349639158E-3</v>
      </c>
      <c r="AN332" s="6">
        <f>Table2[[#This Row],[EV]]-Table2[[#This Row],[Spread]]</f>
        <v>-3.0165012134961273</v>
      </c>
      <c r="AO332" s="1">
        <f>Table2[[#This Row],[EV Err]]^2</f>
        <v>9.0992795710236081</v>
      </c>
      <c r="AP332" s="1"/>
    </row>
    <row r="333" spans="1:42" x14ac:dyDescent="0.25">
      <c r="A333" s="34">
        <v>42712</v>
      </c>
      <c r="B333" t="s">
        <v>123</v>
      </c>
      <c r="C333" t="s">
        <v>132</v>
      </c>
      <c r="E333" s="21"/>
      <c r="G333" s="21"/>
      <c r="H333" s="7"/>
      <c r="I333" s="21"/>
      <c r="K333"/>
      <c r="L333" s="21">
        <f>(Table2[[#This Row],[H/Pace]]/100)*(VLOOKUP(Table2[[#This Row],[Home/Neutral]],home_lookup,8,FALSE)+VLOOKUP(Table2[[#This Row],[Home/Neutral]],OFR_lookup,2,FALSE)+VLOOKUP(Table2[[#This Row],[Visitor/Neutral]],def_diff_lookup,6,FALSE))</f>
        <v>106.85992709563918</v>
      </c>
      <c r="M333" s="21"/>
      <c r="N333" s="21">
        <f>(Table2[[#This Row],[A/Pace]]/100)*(VLOOKUP(Table2[[#This Row],[Visitor/Neutral]],OFR_lookup,2,FALSE)+VLOOKUP(Table2[[#This Row],[Home/Neutral]],def_diff_lookup,6,FALSE))</f>
        <v>104.91143866666665</v>
      </c>
      <c r="O333" s="21"/>
      <c r="P333" s="21"/>
      <c r="Q333">
        <f>VLOOKUP(Table2[[#This Row],[Home/Neutral]],pace_lookup,7,FALSE)</f>
        <v>92.5</v>
      </c>
      <c r="R333" s="5">
        <f>VLOOKUP(Table2[[#This Row],[Visitor/Neutral]],pace_lookup,7,FALSE)</f>
        <v>98.8</v>
      </c>
      <c r="S333" s="7"/>
      <c r="U333" s="15"/>
      <c r="W333" s="2">
        <f>-home-VLOOKUP(Table2[[#This Row],[Home/Neutral]],rtg_vlookup,4,FALSE)+VLOOKUP(Table2[[#This Row],[Visitor/Neutral]],rtg_vlookup,4,FALSE)</f>
        <v>-5.8986885245901659</v>
      </c>
      <c r="X333" s="15"/>
      <c r="Y333" s="2"/>
      <c r="Z333" s="2">
        <f>Table2[[#This Row],[A/EV]]-Table2[[#This Row],[H/EV]]</f>
        <v>-1.9484884289725244</v>
      </c>
      <c r="AA333" s="29"/>
      <c r="AB333" s="30"/>
      <c r="AC333" s="30"/>
      <c r="AD333" s="30"/>
      <c r="AE333" s="30"/>
      <c r="AF333" s="7" t="b">
        <f>IF(VLOOKUP(Table2[[#This Row],[Home/Neutral]],division_lookup,9,FALSE)=VLOOKUP(Table2[[#This Row],[Visitor/Neutral]],division_lookup,9,FALSE),TRUE,FALSE)</f>
        <v>0</v>
      </c>
      <c r="AG333" s="15" t="str">
        <f>VLOOKUP(Table2[[#This Row],[Home/Neutral]],division_lookup,9,FALSE)</f>
        <v>SW</v>
      </c>
      <c r="AH333" s="15" t="str">
        <f>IF(Table2[[#This Row],[Total/EV]]&lt;Table2[[#This Row],[Total/V]],"UNDER","OVER")</f>
        <v>OVER</v>
      </c>
      <c r="AI333" s="26">
        <f>Table2[[#This Row],[SRS/Real]]-Table2[[#This Row],[Spread/V]]</f>
        <v>0</v>
      </c>
      <c r="AJ333" s="2">
        <f>Table2[[#This Row],[EV/Real]]-Table2[[#This Row],[Spread/V]]</f>
        <v>0</v>
      </c>
      <c r="AK333" s="2">
        <f>Table2[[#This Row],[SRS/Diff]]-Table2[[#This Row],[EV/Diff]]</f>
        <v>0</v>
      </c>
      <c r="AL333" s="18">
        <f>Table2[[#This Row],[SRS]]-Table2[[#This Row],[Spread]]</f>
        <v>-5.8986885245901659</v>
      </c>
      <c r="AM333" s="21">
        <f>Table2[[#This Row],[(A) Err]]^2</f>
        <v>34.794526310131708</v>
      </c>
      <c r="AN333" s="6">
        <f>Table2[[#This Row],[EV]]-Table2[[#This Row],[Spread]]</f>
        <v>-1.9484884289725244</v>
      </c>
      <c r="AO333" s="1">
        <f>Table2[[#This Row],[EV Err]]^2</f>
        <v>3.7966071578398162</v>
      </c>
      <c r="AP333" s="1"/>
    </row>
    <row r="334" spans="1:42" x14ac:dyDescent="0.25">
      <c r="A334" s="34">
        <v>42712</v>
      </c>
      <c r="B334" t="s">
        <v>127</v>
      </c>
      <c r="C334" t="s">
        <v>138</v>
      </c>
      <c r="E334" s="21"/>
      <c r="G334" s="21"/>
      <c r="H334" s="7"/>
      <c r="I334" s="21"/>
      <c r="K334"/>
      <c r="L334" s="21">
        <f>(Table2[[#This Row],[H/Pace]]/100)*(VLOOKUP(Table2[[#This Row],[Home/Neutral]],home_lookup,8,FALSE)+VLOOKUP(Table2[[#This Row],[Home/Neutral]],OFR_lookup,2,FALSE)+VLOOKUP(Table2[[#This Row],[Visitor/Neutral]],def_diff_lookup,6,FALSE))</f>
        <v>104.38746493743048</v>
      </c>
      <c r="M334" s="21"/>
      <c r="N334" s="21">
        <f>(Table2[[#This Row],[A/Pace]]/100)*(VLOOKUP(Table2[[#This Row],[Visitor/Neutral]],OFR_lookup,2,FALSE)+VLOOKUP(Table2[[#This Row],[Home/Neutral]],def_diff_lookup,6,FALSE))</f>
        <v>95.019274999999993</v>
      </c>
      <c r="O334" s="21"/>
      <c r="P334" s="21"/>
      <c r="Q334">
        <f>VLOOKUP(Table2[[#This Row],[Home/Neutral]],pace_lookup,7,FALSE)</f>
        <v>99.3</v>
      </c>
      <c r="R334" s="5">
        <f>VLOOKUP(Table2[[#This Row],[Visitor/Neutral]],pace_lookup,7,FALSE)</f>
        <v>97.5</v>
      </c>
      <c r="S334" s="7"/>
      <c r="U334" s="15"/>
      <c r="W334" s="2">
        <f>-home-VLOOKUP(Table2[[#This Row],[Home/Neutral]],rtg_vlookup,4,FALSE)+VLOOKUP(Table2[[#This Row],[Visitor/Neutral]],rtg_vlookup,4,FALSE)</f>
        <v>-9.7486885245901664</v>
      </c>
      <c r="X334" s="15"/>
      <c r="Y334" s="2"/>
      <c r="Z334" s="2">
        <f>Table2[[#This Row],[A/EV]]-Table2[[#This Row],[H/EV]]</f>
        <v>-9.3681899374304862</v>
      </c>
      <c r="AA334" s="29"/>
      <c r="AB334" s="30"/>
      <c r="AC334" s="30"/>
      <c r="AD334" s="30"/>
      <c r="AE334" s="30"/>
      <c r="AF334" s="7" t="b">
        <f>IF(VLOOKUP(Table2[[#This Row],[Home/Neutral]],division_lookup,9,FALSE)=VLOOKUP(Table2[[#This Row],[Visitor/Neutral]],division_lookup,9,FALSE),TRUE,FALSE)</f>
        <v>0</v>
      </c>
      <c r="AG334" s="15" t="str">
        <f>VLOOKUP(Table2[[#This Row],[Home/Neutral]],division_lookup,9,FALSE)</f>
        <v>SW</v>
      </c>
      <c r="AH334" s="15" t="str">
        <f>IF(Table2[[#This Row],[Total/EV]]&lt;Table2[[#This Row],[Total/V]],"UNDER","OVER")</f>
        <v>OVER</v>
      </c>
      <c r="AI334" s="26">
        <f>Table2[[#This Row],[SRS/Real]]-Table2[[#This Row],[Spread/V]]</f>
        <v>0</v>
      </c>
      <c r="AJ334" s="2">
        <f>Table2[[#This Row],[EV/Real]]-Table2[[#This Row],[Spread/V]]</f>
        <v>0</v>
      </c>
      <c r="AK334" s="2">
        <f>Table2[[#This Row],[SRS/Diff]]-Table2[[#This Row],[EV/Diff]]</f>
        <v>0</v>
      </c>
      <c r="AL334" s="18">
        <f>Table2[[#This Row],[SRS]]-Table2[[#This Row],[Spread]]</f>
        <v>-9.7486885245901664</v>
      </c>
      <c r="AM334" s="21">
        <f>Table2[[#This Row],[(A) Err]]^2</f>
        <v>95.036927949475995</v>
      </c>
      <c r="AN334" s="6">
        <f>Table2[[#This Row],[EV]]-Table2[[#This Row],[Spread]]</f>
        <v>-9.3681899374304862</v>
      </c>
      <c r="AO334" s="1">
        <f>Table2[[#This Row],[EV Err]]^2</f>
        <v>87.762982703773815</v>
      </c>
      <c r="AP334" s="1"/>
    </row>
    <row r="335" spans="1:42" x14ac:dyDescent="0.25">
      <c r="A335" s="34">
        <v>42712</v>
      </c>
      <c r="B335" t="s">
        <v>135</v>
      </c>
      <c r="C335" t="s">
        <v>126</v>
      </c>
      <c r="E335" s="21"/>
      <c r="G335" s="21"/>
      <c r="H335" s="7"/>
      <c r="I335" s="21"/>
      <c r="K335"/>
      <c r="L335" s="21">
        <f>(Table2[[#This Row],[H/Pace]]/100)*(VLOOKUP(Table2[[#This Row],[Home/Neutral]],home_lookup,8,FALSE)+VLOOKUP(Table2[[#This Row],[Home/Neutral]],OFR_lookup,2,FALSE)+VLOOKUP(Table2[[#This Row],[Visitor/Neutral]],def_diff_lookup,6,FALSE))</f>
        <v>112.72134035324615</v>
      </c>
      <c r="M335" s="21"/>
      <c r="N335" s="21">
        <f>(Table2[[#This Row],[A/Pace]]/100)*(VLOOKUP(Table2[[#This Row],[Visitor/Neutral]],OFR_lookup,2,FALSE)+VLOOKUP(Table2[[#This Row],[Home/Neutral]],def_diff_lookup,6,FALSE))</f>
        <v>104.86391300000001</v>
      </c>
      <c r="O335" s="21"/>
      <c r="P335" s="21"/>
      <c r="Q335">
        <f>VLOOKUP(Table2[[#This Row],[Home/Neutral]],pace_lookup,7,FALSE)</f>
        <v>95.4</v>
      </c>
      <c r="R335" s="5">
        <f>VLOOKUP(Table2[[#This Row],[Visitor/Neutral]],pace_lookup,7,FALSE)</f>
        <v>95.7</v>
      </c>
      <c r="S335" s="7"/>
      <c r="U335" s="15"/>
      <c r="W335" s="2">
        <f>-home-VLOOKUP(Table2[[#This Row],[Home/Neutral]],rtg_vlookup,4,FALSE)+VLOOKUP(Table2[[#This Row],[Visitor/Neutral]],rtg_vlookup,4,FALSE)</f>
        <v>-9.898688524590165</v>
      </c>
      <c r="X335" s="15"/>
      <c r="Y335" s="2"/>
      <c r="Z335" s="2">
        <f>Table2[[#This Row],[A/EV]]-Table2[[#This Row],[H/EV]]</f>
        <v>-7.8574273532461376</v>
      </c>
      <c r="AA335" s="29"/>
      <c r="AB335" s="30"/>
      <c r="AC335" s="30"/>
      <c r="AD335" s="30"/>
      <c r="AE335" s="30"/>
      <c r="AF335" s="7" t="b">
        <f>IF(VLOOKUP(Table2[[#This Row],[Home/Neutral]],division_lookup,9,FALSE)=VLOOKUP(Table2[[#This Row],[Visitor/Neutral]],division_lookup,9,FALSE),TRUE,FALSE)</f>
        <v>0</v>
      </c>
      <c r="AG335" s="15" t="str">
        <f>VLOOKUP(Table2[[#This Row],[Home/Neutral]],division_lookup,9,FALSE)</f>
        <v>A</v>
      </c>
      <c r="AH335" s="15" t="str">
        <f>IF(Table2[[#This Row],[Total/EV]]&lt;Table2[[#This Row],[Total/V]],"UNDER","OVER")</f>
        <v>OVER</v>
      </c>
      <c r="AI335" s="26">
        <f>Table2[[#This Row],[SRS/Real]]-Table2[[#This Row],[Spread/V]]</f>
        <v>0</v>
      </c>
      <c r="AJ335" s="2">
        <f>Table2[[#This Row],[EV/Real]]-Table2[[#This Row],[Spread/V]]</f>
        <v>0</v>
      </c>
      <c r="AK335" s="2">
        <f>Table2[[#This Row],[SRS/Diff]]-Table2[[#This Row],[EV/Diff]]</f>
        <v>0</v>
      </c>
      <c r="AL335" s="18">
        <f>Table2[[#This Row],[SRS]]-Table2[[#This Row],[Spread]]</f>
        <v>-9.898688524590165</v>
      </c>
      <c r="AM335" s="21">
        <f>Table2[[#This Row],[(A) Err]]^2</f>
        <v>97.984034506853021</v>
      </c>
      <c r="AN335" s="6">
        <f>Table2[[#This Row],[EV]]-Table2[[#This Row],[Spread]]</f>
        <v>-7.8574273532461376</v>
      </c>
      <c r="AO335" s="1">
        <f>Table2[[#This Row],[EV Err]]^2</f>
        <v>61.739164611540602</v>
      </c>
      <c r="AP335" s="1"/>
    </row>
    <row r="336" spans="1:42" x14ac:dyDescent="0.25">
      <c r="A336" s="34">
        <v>42712</v>
      </c>
      <c r="B336" t="s">
        <v>136</v>
      </c>
      <c r="C336" t="s">
        <v>118</v>
      </c>
      <c r="E336" s="21"/>
      <c r="G336" s="21"/>
      <c r="H336" s="7"/>
      <c r="I336" s="21"/>
      <c r="K336"/>
      <c r="L336" s="21">
        <f>(Table2[[#This Row],[H/Pace]]/100)*(VLOOKUP(Table2[[#This Row],[Home/Neutral]],home_lookup,8,FALSE)+VLOOKUP(Table2[[#This Row],[Home/Neutral]],OFR_lookup,2,FALSE)+VLOOKUP(Table2[[#This Row],[Visitor/Neutral]],def_diff_lookup,6,FALSE))</f>
        <v>104.014035349919</v>
      </c>
      <c r="M336" s="21"/>
      <c r="N336" s="21">
        <f>(Table2[[#This Row],[A/Pace]]/100)*(VLOOKUP(Table2[[#This Row],[Visitor/Neutral]],OFR_lookup,2,FALSE)+VLOOKUP(Table2[[#This Row],[Home/Neutral]],def_diff_lookup,6,FALSE))</f>
        <v>112.89544933333332</v>
      </c>
      <c r="O336" s="21"/>
      <c r="P336" s="21"/>
      <c r="Q336">
        <f>VLOOKUP(Table2[[#This Row],[Home/Neutral]],pace_lookup,7,FALSE)</f>
        <v>91.5</v>
      </c>
      <c r="R336" s="5">
        <f>VLOOKUP(Table2[[#This Row],[Visitor/Neutral]],pace_lookup,7,FALSE)</f>
        <v>100.4</v>
      </c>
      <c r="S336" s="7"/>
      <c r="U336" s="15"/>
      <c r="W336" s="2">
        <f>-home-VLOOKUP(Table2[[#This Row],[Home/Neutral]],rtg_vlookup,4,FALSE)+VLOOKUP(Table2[[#This Row],[Visitor/Neutral]],rtg_vlookup,4,FALSE)</f>
        <v>4.3913114754098341</v>
      </c>
      <c r="X336" s="15"/>
      <c r="Y336" s="2"/>
      <c r="Z336" s="2">
        <f>Table2[[#This Row],[A/EV]]-Table2[[#This Row],[H/EV]]</f>
        <v>8.8814139834143191</v>
      </c>
      <c r="AA336" s="29"/>
      <c r="AB336" s="30"/>
      <c r="AC336" s="30"/>
      <c r="AD336" s="30"/>
      <c r="AE336" s="30"/>
      <c r="AF336" s="7" t="b">
        <f>IF(VLOOKUP(Table2[[#This Row],[Home/Neutral]],division_lookup,9,FALSE)=VLOOKUP(Table2[[#This Row],[Visitor/Neutral]],division_lookup,9,FALSE),TRUE,FALSE)</f>
        <v>0</v>
      </c>
      <c r="AG336" s="15" t="str">
        <f>VLOOKUP(Table2[[#This Row],[Home/Neutral]],division_lookup,9,FALSE)</f>
        <v>NW</v>
      </c>
      <c r="AH336" s="15" t="str">
        <f>IF(Table2[[#This Row],[Total/EV]]&lt;Table2[[#This Row],[Total/V]],"UNDER","OVER")</f>
        <v>OVER</v>
      </c>
      <c r="AI336" s="26">
        <f>Table2[[#This Row],[SRS/Real]]-Table2[[#This Row],[Spread/V]]</f>
        <v>0</v>
      </c>
      <c r="AJ336" s="2">
        <f>Table2[[#This Row],[EV/Real]]-Table2[[#This Row],[Spread/V]]</f>
        <v>0</v>
      </c>
      <c r="AK336" s="2">
        <f>Table2[[#This Row],[SRS/Diff]]-Table2[[#This Row],[EV/Diff]]</f>
        <v>0</v>
      </c>
      <c r="AL336" s="18">
        <f>Table2[[#This Row],[SRS]]-Table2[[#This Row],[Spread]]</f>
        <v>4.3913114754098341</v>
      </c>
      <c r="AM336" s="21">
        <f>Table2[[#This Row],[(A) Err]]^2</f>
        <v>19.283616474066093</v>
      </c>
      <c r="AN336" s="6">
        <f>Table2[[#This Row],[EV]]-Table2[[#This Row],[Spread]]</f>
        <v>8.8814139834143191</v>
      </c>
      <c r="AO336" s="1">
        <f>Table2[[#This Row],[EV Err]]^2</f>
        <v>78.87951434478741</v>
      </c>
      <c r="AP336" s="1"/>
    </row>
    <row r="337" spans="1:42" ht="15.75" thickBot="1" x14ac:dyDescent="0.3">
      <c r="A337" s="100">
        <v>42712</v>
      </c>
      <c r="B337" s="3" t="s">
        <v>137</v>
      </c>
      <c r="C337" s="3" t="s">
        <v>116</v>
      </c>
      <c r="D337" s="3"/>
      <c r="E337" s="22"/>
      <c r="F337" s="3"/>
      <c r="G337" s="22"/>
      <c r="H337" s="8"/>
      <c r="I337" s="22"/>
      <c r="J337" s="3"/>
      <c r="K337" s="3"/>
      <c r="L337" s="22">
        <f>(Table2[[#This Row],[H/Pace]]/100)*(VLOOKUP(Table2[[#This Row],[Home/Neutral]],home_lookup,8,FALSE)+VLOOKUP(Table2[[#This Row],[Home/Neutral]],OFR_lookup,2,FALSE)+VLOOKUP(Table2[[#This Row],[Visitor/Neutral]],def_diff_lookup,6,FALSE))</f>
        <v>108.14653255421871</v>
      </c>
      <c r="M337" s="22"/>
      <c r="N337" s="22">
        <f>(Table2[[#This Row],[A/Pace]]/100)*(VLOOKUP(Table2[[#This Row],[Visitor/Neutral]],OFR_lookup,2,FALSE)+VLOOKUP(Table2[[#This Row],[Home/Neutral]],def_diff_lookup,6,FALSE))</f>
        <v>108.69849566666666</v>
      </c>
      <c r="O337" s="22"/>
      <c r="P337" s="22"/>
      <c r="Q337" s="3">
        <f>VLOOKUP(Table2[[#This Row],[Home/Neutral]],pace_lookup,7,FALSE)</f>
        <v>96</v>
      </c>
      <c r="R337" s="3">
        <f>VLOOKUP(Table2[[#This Row],[Visitor/Neutral]],pace_lookup,7,FALSE)</f>
        <v>99.1</v>
      </c>
      <c r="S337" s="8"/>
      <c r="T337" s="3"/>
      <c r="U337" s="16"/>
      <c r="V337" s="3"/>
      <c r="W337" s="9">
        <f>-home-VLOOKUP(Table2[[#This Row],[Home/Neutral]],rtg_vlookup,4,FALSE)+VLOOKUP(Table2[[#This Row],[Visitor/Neutral]],rtg_vlookup,4,FALSE)</f>
        <v>-0.52868852459016591</v>
      </c>
      <c r="X337" s="16"/>
      <c r="Y337" s="9"/>
      <c r="Z337" s="9">
        <f>Table2[[#This Row],[A/EV]]-Table2[[#This Row],[H/EV]]</f>
        <v>0.55196311244795027</v>
      </c>
      <c r="AA337" s="31"/>
      <c r="AB337" s="32"/>
      <c r="AC337" s="32"/>
      <c r="AD337" s="32"/>
      <c r="AE337" s="32"/>
      <c r="AF337" s="8" t="b">
        <f>IF(VLOOKUP(Table2[[#This Row],[Home/Neutral]],division_lookup,9,FALSE)=VLOOKUP(Table2[[#This Row],[Visitor/Neutral]],division_lookup,9,FALSE),TRUE,FALSE)</f>
        <v>0</v>
      </c>
      <c r="AG337" s="16" t="str">
        <f>VLOOKUP(Table2[[#This Row],[Home/Neutral]],division_lookup,9,FALSE)</f>
        <v>SE</v>
      </c>
      <c r="AH337" s="16" t="str">
        <f>IF(Table2[[#This Row],[Total/EV]]&lt;Table2[[#This Row],[Total/V]],"UNDER","OVER")</f>
        <v>OVER</v>
      </c>
      <c r="AI337" s="16">
        <f>Table2[[#This Row],[SRS/Real]]-Table2[[#This Row],[Spread/V]]</f>
        <v>0</v>
      </c>
      <c r="AJ337" s="9">
        <f>Table2[[#This Row],[EV/Real]]-Table2[[#This Row],[Spread/V]]</f>
        <v>0</v>
      </c>
      <c r="AK337" s="9">
        <f>Table2[[#This Row],[SRS/Diff]]-Table2[[#This Row],[EV/Diff]]</f>
        <v>0</v>
      </c>
      <c r="AL337" s="19">
        <f>Table2[[#This Row],[SRS]]-Table2[[#This Row],[Spread]]</f>
        <v>-0.52868852459016591</v>
      </c>
      <c r="AM337" s="22">
        <f>Table2[[#This Row],[(A) Err]]^2</f>
        <v>0.27951155603332645</v>
      </c>
      <c r="AN337" s="4">
        <f>Table2[[#This Row],[EV]]-Table2[[#This Row],[Spread]]</f>
        <v>0.55196311244795027</v>
      </c>
      <c r="AO337" s="4">
        <f>Table2[[#This Row],[EV Err]]^2</f>
        <v>0.30466327750322858</v>
      </c>
      <c r="AP337" s="1"/>
    </row>
    <row r="338" spans="1:42" x14ac:dyDescent="0.25">
      <c r="A338" s="77">
        <v>42713</v>
      </c>
      <c r="B338" t="s">
        <v>110</v>
      </c>
      <c r="C338" t="s">
        <v>135</v>
      </c>
      <c r="D338" s="53"/>
      <c r="E338" s="51"/>
      <c r="F338" s="53"/>
      <c r="G338" s="118"/>
      <c r="H338" s="66"/>
      <c r="I338" s="121"/>
      <c r="J338" s="53"/>
      <c r="K338" s="53"/>
      <c r="L338" s="53">
        <f>(Table2[[#This Row],[H/Pace]]/100)*(VLOOKUP(Table2[[#This Row],[Home/Neutral]],home_lookup,8,FALSE)+VLOOKUP(Table2[[#This Row],[Home/Neutral]],OFR_lookup,2,FALSE)+VLOOKUP(Table2[[#This Row],[Visitor/Neutral]],def_diff_lookup,6,FALSE))</f>
        <v>106.62887118900939</v>
      </c>
      <c r="M338" s="53"/>
      <c r="N338" s="53">
        <f>(Table2[[#This Row],[A/Pace]]/100)*(VLOOKUP(Table2[[#This Row],[Visitor/Neutral]],OFR_lookup,2,FALSE)+VLOOKUP(Table2[[#This Row],[Home/Neutral]],def_diff_lookup,6,FALSE))</f>
        <v>108.96174600000001</v>
      </c>
      <c r="O338" s="53"/>
      <c r="P338" s="53"/>
      <c r="Q338" s="53">
        <f>VLOOKUP(Table2[[#This Row],[Home/Neutral]],pace_lookup,7,FALSE)</f>
        <v>96.2</v>
      </c>
      <c r="R338" s="53">
        <f>VLOOKUP(Table2[[#This Row],[Visitor/Neutral]],pace_lookup,7,FALSE)</f>
        <v>95.4</v>
      </c>
      <c r="S338" s="53"/>
      <c r="T338" s="53"/>
      <c r="U338" s="75"/>
      <c r="V338" s="53"/>
      <c r="W338" s="53">
        <f>-home-VLOOKUP(Table2[[#This Row],[Home/Neutral]],rtg_vlookup,4,FALSE)+VLOOKUP(Table2[[#This Row],[Visitor/Neutral]],rtg_vlookup,4,FALSE)</f>
        <v>2.6813114754098346</v>
      </c>
      <c r="X338" s="75"/>
      <c r="Y338" s="53"/>
      <c r="Z338" s="53">
        <f>Table2[[#This Row],[A/EV]]-Table2[[#This Row],[H/EV]]</f>
        <v>2.3328748109906172</v>
      </c>
      <c r="AA338" s="29"/>
      <c r="AB338" s="30"/>
      <c r="AC338" s="30"/>
      <c r="AD338" s="30"/>
      <c r="AE338" s="30"/>
      <c r="AF338" s="7" t="b">
        <f>IF(VLOOKUP(Table2[[#This Row],[Home/Neutral]],division_lookup,9,FALSE)=VLOOKUP(Table2[[#This Row],[Visitor/Neutral]],division_lookup,9,FALSE),TRUE,FALSE)</f>
        <v>1</v>
      </c>
      <c r="AG338" s="15" t="str">
        <f>VLOOKUP(Table2[[#This Row],[Home/Neutral]],division_lookup,9,FALSE)</f>
        <v>A</v>
      </c>
      <c r="AH338" s="15" t="str">
        <f>IF(Table2[[#This Row],[Total/EV]]&lt;Table2[[#This Row],[Total/V]],"UNDER","OVER")</f>
        <v>OVER</v>
      </c>
      <c r="AI338" s="26">
        <f>Table2[[#This Row],[SRS/Real]]-Table2[[#This Row],[Spread/V]]</f>
        <v>0</v>
      </c>
      <c r="AJ338" s="2">
        <f>Table2[[#This Row],[EV/Real]]-Table2[[#This Row],[Spread/V]]</f>
        <v>0</v>
      </c>
      <c r="AK338" s="2">
        <f>Table2[[#This Row],[SRS/Diff]]-Table2[[#This Row],[EV/Diff]]</f>
        <v>0</v>
      </c>
      <c r="AL338" s="18">
        <f>Table2[[#This Row],[SRS]]-Table2[[#This Row],[Spread]]</f>
        <v>2.6813114754098346</v>
      </c>
      <c r="AM338" s="21">
        <f>Table2[[#This Row],[(A) Err]]^2</f>
        <v>7.1894312281644641</v>
      </c>
      <c r="AN338" s="6">
        <f>Table2[[#This Row],[EV]]-Table2[[#This Row],[Spread]]</f>
        <v>2.3328748109906172</v>
      </c>
      <c r="AO338" s="1">
        <f>Table2[[#This Row],[EV Err]]^2</f>
        <v>5.4423048837545078</v>
      </c>
      <c r="AP338" s="1"/>
    </row>
    <row r="339" spans="1:42" x14ac:dyDescent="0.25">
      <c r="A339" s="77">
        <v>42713</v>
      </c>
      <c r="B339" t="s">
        <v>112</v>
      </c>
      <c r="C339" t="s">
        <v>130</v>
      </c>
      <c r="D339" s="53"/>
      <c r="E339" s="51"/>
      <c r="F339" s="53"/>
      <c r="G339" s="119"/>
      <c r="H339" s="67"/>
      <c r="I339" s="69"/>
      <c r="J339" s="53"/>
      <c r="K339" s="53"/>
      <c r="L339" s="53">
        <f>(Table2[[#This Row],[H/Pace]]/100)*(VLOOKUP(Table2[[#This Row],[Home/Neutral]],home_lookup,8,FALSE)+VLOOKUP(Table2[[#This Row],[Home/Neutral]],OFR_lookup,2,FALSE)+VLOOKUP(Table2[[#This Row],[Visitor/Neutral]],def_diff_lookup,6,FALSE))</f>
        <v>103.99470195313484</v>
      </c>
      <c r="M339" s="53"/>
      <c r="N339" s="53">
        <f>(Table2[[#This Row],[A/Pace]]/100)*(VLOOKUP(Table2[[#This Row],[Visitor/Neutral]],OFR_lookup,2,FALSE)+VLOOKUP(Table2[[#This Row],[Home/Neutral]],def_diff_lookup,6,FALSE))</f>
        <v>91.275717999999998</v>
      </c>
      <c r="O339" s="53"/>
      <c r="P339" s="53"/>
      <c r="Q339" s="53">
        <f>VLOOKUP(Table2[[#This Row],[Home/Neutral]],pace_lookup,7,FALSE)</f>
        <v>97.4</v>
      </c>
      <c r="R339" s="53">
        <f>VLOOKUP(Table2[[#This Row],[Visitor/Neutral]],pace_lookup,7,FALSE)</f>
        <v>94.2</v>
      </c>
      <c r="S339" s="53"/>
      <c r="T339" s="53"/>
      <c r="U339" s="75"/>
      <c r="V339" s="53"/>
      <c r="W339" s="53">
        <f>-home-VLOOKUP(Table2[[#This Row],[Home/Neutral]],rtg_vlookup,4,FALSE)+VLOOKUP(Table2[[#This Row],[Visitor/Neutral]],rtg_vlookup,4,FALSE)</f>
        <v>-13.448688524590168</v>
      </c>
      <c r="X339" s="75"/>
      <c r="Y339" s="53"/>
      <c r="Z339" s="53">
        <f>Table2[[#This Row],[A/EV]]-Table2[[#This Row],[H/EV]]</f>
        <v>-12.718983953134838</v>
      </c>
      <c r="AA339" s="29"/>
      <c r="AB339" s="30"/>
      <c r="AC339" s="30"/>
      <c r="AD339" s="30"/>
      <c r="AE339" s="30"/>
      <c r="AF339" s="7" t="b">
        <f>IF(VLOOKUP(Table2[[#This Row],[Home/Neutral]],division_lookup,9,FALSE)=VLOOKUP(Table2[[#This Row],[Visitor/Neutral]],division_lookup,9,FALSE),TRUE,FALSE)</f>
        <v>1</v>
      </c>
      <c r="AG339" s="15" t="str">
        <f>VLOOKUP(Table2[[#This Row],[Home/Neutral]],division_lookup,9,FALSE)</f>
        <v>SE</v>
      </c>
      <c r="AH339" s="15" t="str">
        <f>IF(Table2[[#This Row],[Total/EV]]&lt;Table2[[#This Row],[Total/V]],"UNDER","OVER")</f>
        <v>OVER</v>
      </c>
      <c r="AI339" s="26">
        <f>Table2[[#This Row],[SRS/Real]]-Table2[[#This Row],[Spread/V]]</f>
        <v>0</v>
      </c>
      <c r="AJ339" s="2">
        <f>Table2[[#This Row],[EV/Real]]-Table2[[#This Row],[Spread/V]]</f>
        <v>0</v>
      </c>
      <c r="AK339" s="2">
        <f>Table2[[#This Row],[SRS/Diff]]-Table2[[#This Row],[EV/Diff]]</f>
        <v>0</v>
      </c>
      <c r="AL339" s="18">
        <f>Table2[[#This Row],[SRS]]-Table2[[#This Row],[Spread]]</f>
        <v>-13.448688524590168</v>
      </c>
      <c r="AM339" s="21">
        <f>Table2[[#This Row],[(A) Err]]^2</f>
        <v>180.86722303144325</v>
      </c>
      <c r="AN339" s="6">
        <f>Table2[[#This Row],[EV]]-Table2[[#This Row],[Spread]]</f>
        <v>-12.718983953134838</v>
      </c>
      <c r="AO339" s="1">
        <f>Table2[[#This Row],[EV Err]]^2</f>
        <v>161.77255280010152</v>
      </c>
      <c r="AP339" s="1"/>
    </row>
    <row r="340" spans="1:42" x14ac:dyDescent="0.25">
      <c r="A340" s="34">
        <v>42713</v>
      </c>
      <c r="B340" t="s">
        <v>114</v>
      </c>
      <c r="C340" t="s">
        <v>124</v>
      </c>
      <c r="E340" s="21"/>
      <c r="G340" s="21"/>
      <c r="H340" s="7"/>
      <c r="I340" s="21"/>
      <c r="K340"/>
      <c r="L340" s="21">
        <f>(Table2[[#This Row],[H/Pace]]/100)*(VLOOKUP(Table2[[#This Row],[Home/Neutral]],home_lookup,8,FALSE)+VLOOKUP(Table2[[#This Row],[Home/Neutral]],OFR_lookup,2,FALSE)+VLOOKUP(Table2[[#This Row],[Visitor/Neutral]],def_diff_lookup,6,FALSE))</f>
        <v>112.13028276756467</v>
      </c>
      <c r="M340" s="21"/>
      <c r="N340" s="21">
        <f>(Table2[[#This Row],[A/Pace]]/100)*(VLOOKUP(Table2[[#This Row],[Visitor/Neutral]],OFR_lookup,2,FALSE)+VLOOKUP(Table2[[#This Row],[Home/Neutral]],def_diff_lookup,6,FALSE))</f>
        <v>96.244579666666667</v>
      </c>
      <c r="O340" s="21"/>
      <c r="P340" s="21"/>
      <c r="Q340">
        <f>VLOOKUP(Table2[[#This Row],[Home/Neutral]],pace_lookup,7,FALSE)</f>
        <v>97.3</v>
      </c>
      <c r="R340" s="5">
        <f>VLOOKUP(Table2[[#This Row],[Visitor/Neutral]],pace_lookup,7,FALSE)</f>
        <v>93.7</v>
      </c>
      <c r="S340" s="7"/>
      <c r="U340" s="15"/>
      <c r="W340" s="2">
        <f>-home-VLOOKUP(Table2[[#This Row],[Home/Neutral]],rtg_vlookup,4,FALSE)+VLOOKUP(Table2[[#This Row],[Visitor/Neutral]],rtg_vlookup,4,FALSE)</f>
        <v>-12.628688524590165</v>
      </c>
      <c r="X340" s="15"/>
      <c r="Y340" s="2"/>
      <c r="Z340" s="2">
        <f>Table2[[#This Row],[A/EV]]-Table2[[#This Row],[H/EV]]</f>
        <v>-15.885703100897999</v>
      </c>
      <c r="AA340" s="29"/>
      <c r="AB340" s="30"/>
      <c r="AC340" s="30"/>
      <c r="AD340" s="30"/>
      <c r="AE340" s="30"/>
      <c r="AF340" s="7" t="b">
        <f>IF(VLOOKUP(Table2[[#This Row],[Home/Neutral]],division_lookup,9,FALSE)=VLOOKUP(Table2[[#This Row],[Visitor/Neutral]],division_lookup,9,FALSE),TRUE,FALSE)</f>
        <v>0</v>
      </c>
      <c r="AG340" s="15" t="str">
        <f>VLOOKUP(Table2[[#This Row],[Home/Neutral]],division_lookup,9,FALSE)</f>
        <v>C</v>
      </c>
      <c r="AH340" s="15" t="str">
        <f>IF(Table2[[#This Row],[Total/EV]]&lt;Table2[[#This Row],[Total/V]],"UNDER","OVER")</f>
        <v>OVER</v>
      </c>
      <c r="AI340" s="26">
        <f>Table2[[#This Row],[SRS/Real]]-Table2[[#This Row],[Spread/V]]</f>
        <v>0</v>
      </c>
      <c r="AJ340" s="2">
        <f>Table2[[#This Row],[EV/Real]]-Table2[[#This Row],[Spread/V]]</f>
        <v>0</v>
      </c>
      <c r="AK340" s="2">
        <f>Table2[[#This Row],[SRS/Diff]]-Table2[[#This Row],[EV/Diff]]</f>
        <v>0</v>
      </c>
      <c r="AL340" s="18">
        <f>Table2[[#This Row],[SRS]]-Table2[[#This Row],[Spread]]</f>
        <v>-12.628688524590165</v>
      </c>
      <c r="AM340" s="21">
        <f>Table2[[#This Row],[(A) Err]]^2</f>
        <v>159.48377385111533</v>
      </c>
      <c r="AN340" s="6">
        <f>Table2[[#This Row],[EV]]-Table2[[#This Row],[Spread]]</f>
        <v>-15.885703100897999</v>
      </c>
      <c r="AO340" s="1">
        <f>Table2[[#This Row],[EV Err]]^2</f>
        <v>252.35556300988029</v>
      </c>
      <c r="AP340" s="1"/>
    </row>
    <row r="341" spans="1:42" x14ac:dyDescent="0.25">
      <c r="A341" s="34">
        <v>42713</v>
      </c>
      <c r="B341" t="s">
        <v>115</v>
      </c>
      <c r="C341" t="s">
        <v>120</v>
      </c>
      <c r="E341" s="21"/>
      <c r="G341" s="21"/>
      <c r="H341" s="7"/>
      <c r="I341" s="21"/>
      <c r="K341"/>
      <c r="L341" s="21">
        <f>(Table2[[#This Row],[H/Pace]]/100)*(VLOOKUP(Table2[[#This Row],[Home/Neutral]],home_lookup,8,FALSE)+VLOOKUP(Table2[[#This Row],[Home/Neutral]],OFR_lookup,2,FALSE)+VLOOKUP(Table2[[#This Row],[Visitor/Neutral]],def_diff_lookup,6,FALSE))</f>
        <v>97.040713115967762</v>
      </c>
      <c r="M341" s="21"/>
      <c r="N341" s="21">
        <f>(Table2[[#This Row],[A/Pace]]/100)*(VLOOKUP(Table2[[#This Row],[Visitor/Neutral]],OFR_lookup,2,FALSE)+VLOOKUP(Table2[[#This Row],[Home/Neutral]],def_diff_lookup,6,FALSE))</f>
        <v>101.25457033333333</v>
      </c>
      <c r="O341" s="21"/>
      <c r="P341" s="21"/>
      <c r="Q341">
        <f>VLOOKUP(Table2[[#This Row],[Home/Neutral]],pace_lookup,7,FALSE)</f>
        <v>92.9</v>
      </c>
      <c r="R341" s="5">
        <f>VLOOKUP(Table2[[#This Row],[Visitor/Neutral]],pace_lookup,7,FALSE)</f>
        <v>98.3</v>
      </c>
      <c r="S341" s="7"/>
      <c r="U341" s="15"/>
      <c r="W341" s="2">
        <f>-home-VLOOKUP(Table2[[#This Row],[Home/Neutral]],rtg_vlookup,4,FALSE)+VLOOKUP(Table2[[#This Row],[Visitor/Neutral]],rtg_vlookup,4,FALSE)</f>
        <v>1.3813114754098335</v>
      </c>
      <c r="X341" s="15"/>
      <c r="Y341" s="2"/>
      <c r="Z341" s="2">
        <f>Table2[[#This Row],[A/EV]]-Table2[[#This Row],[H/EV]]</f>
        <v>4.2138572173655717</v>
      </c>
      <c r="AA341" s="29"/>
      <c r="AB341" s="30"/>
      <c r="AC341" s="30"/>
      <c r="AD341" s="30"/>
      <c r="AE341" s="30"/>
      <c r="AF341" s="7" t="b">
        <f>IF(VLOOKUP(Table2[[#This Row],[Home/Neutral]],division_lookup,9,FALSE)=VLOOKUP(Table2[[#This Row],[Visitor/Neutral]],division_lookup,9,FALSE),TRUE,FALSE)</f>
        <v>0</v>
      </c>
      <c r="AG341" s="15" t="str">
        <f>VLOOKUP(Table2[[#This Row],[Home/Neutral]],division_lookup,9,FALSE)</f>
        <v>SW</v>
      </c>
      <c r="AH341" s="15" t="str">
        <f>IF(Table2[[#This Row],[Total/EV]]&lt;Table2[[#This Row],[Total/V]],"UNDER","OVER")</f>
        <v>OVER</v>
      </c>
      <c r="AI341" s="26">
        <f>Table2[[#This Row],[SRS/Real]]-Table2[[#This Row],[Spread/V]]</f>
        <v>0</v>
      </c>
      <c r="AJ341" s="2">
        <f>Table2[[#This Row],[EV/Real]]-Table2[[#This Row],[Spread/V]]</f>
        <v>0</v>
      </c>
      <c r="AK341" s="2">
        <f>Table2[[#This Row],[SRS/Diff]]-Table2[[#This Row],[EV/Diff]]</f>
        <v>0</v>
      </c>
      <c r="AL341" s="18">
        <f>Table2[[#This Row],[SRS]]-Table2[[#This Row],[Spread]]</f>
        <v>1.3813114754098335</v>
      </c>
      <c r="AM341" s="21">
        <f>Table2[[#This Row],[(A) Err]]^2</f>
        <v>1.9080213920988909</v>
      </c>
      <c r="AN341" s="6">
        <f>Table2[[#This Row],[EV]]-Table2[[#This Row],[Spread]]</f>
        <v>4.2138572173655717</v>
      </c>
      <c r="AO341" s="1">
        <f>Table2[[#This Row],[EV Err]]^2</f>
        <v>17.756592648343918</v>
      </c>
      <c r="AP341" s="1"/>
    </row>
    <row r="342" spans="1:42" x14ac:dyDescent="0.25">
      <c r="A342" s="77">
        <v>42713</v>
      </c>
      <c r="B342" t="s">
        <v>122</v>
      </c>
      <c r="C342" t="s">
        <v>131</v>
      </c>
      <c r="D342" s="49"/>
      <c r="E342" s="51"/>
      <c r="F342" s="49"/>
      <c r="G342" s="51"/>
      <c r="H342" s="50"/>
      <c r="I342" s="51"/>
      <c r="J342" s="49"/>
      <c r="K342" s="49"/>
      <c r="L342" s="51">
        <f>(Table2[[#This Row],[H/Pace]]/100)*(VLOOKUP(Table2[[#This Row],[Home/Neutral]],home_lookup,8,FALSE)+VLOOKUP(Table2[[#This Row],[Home/Neutral]],OFR_lookup,2,FALSE)+VLOOKUP(Table2[[#This Row],[Visitor/Neutral]],def_diff_lookup,6,FALSE))</f>
        <v>110.94024832744731</v>
      </c>
      <c r="M342" s="51"/>
      <c r="N342" s="51">
        <f>(Table2[[#This Row],[A/Pace]]/100)*(VLOOKUP(Table2[[#This Row],[Visitor/Neutral]],OFR_lookup,2,FALSE)+VLOOKUP(Table2[[#This Row],[Home/Neutral]],def_diff_lookup,6,FALSE))</f>
        <v>107.767083</v>
      </c>
      <c r="O342" s="51"/>
      <c r="P342" s="51"/>
      <c r="Q342" s="49">
        <f>VLOOKUP(Table2[[#This Row],[Home/Neutral]],pace_lookup,7,FALSE)</f>
        <v>100.2</v>
      </c>
      <c r="R342" s="52">
        <f>VLOOKUP(Table2[[#This Row],[Visitor/Neutral]],pace_lookup,7,FALSE)</f>
        <v>101.7</v>
      </c>
      <c r="S342" s="50"/>
      <c r="T342" s="49"/>
      <c r="U342" s="75"/>
      <c r="V342" s="49"/>
      <c r="W342" s="53">
        <f>-home-VLOOKUP(Table2[[#This Row],[Home/Neutral]],rtg_vlookup,4,FALSE)+VLOOKUP(Table2[[#This Row],[Visitor/Neutral]],rtg_vlookup,4,FALSE)</f>
        <v>-6.9086885245901657</v>
      </c>
      <c r="X342" s="75"/>
      <c r="Y342" s="53"/>
      <c r="Z342" s="53">
        <f>Table2[[#This Row],[A/EV]]-Table2[[#This Row],[H/EV]]</f>
        <v>-3.1731653274473075</v>
      </c>
      <c r="AA342" s="29"/>
      <c r="AB342" s="30"/>
      <c r="AC342" s="30"/>
      <c r="AD342" s="30"/>
      <c r="AE342" s="30"/>
      <c r="AF342" s="7" t="b">
        <f>IF(VLOOKUP(Table2[[#This Row],[Home/Neutral]],division_lookup,9,FALSE)=VLOOKUP(Table2[[#This Row],[Visitor/Neutral]],division_lookup,9,FALSE),TRUE,FALSE)</f>
        <v>1</v>
      </c>
      <c r="AG342" s="15" t="str">
        <f>VLOOKUP(Table2[[#This Row],[Home/Neutral]],division_lookup,9,FALSE)</f>
        <v>P</v>
      </c>
      <c r="AH342" s="15" t="str">
        <f>IF(Table2[[#This Row],[Total/EV]]&lt;Table2[[#This Row],[Total/V]],"UNDER","OVER")</f>
        <v>OVER</v>
      </c>
      <c r="AI342" s="26">
        <f>Table2[[#This Row],[SRS/Real]]-Table2[[#This Row],[Spread/V]]</f>
        <v>0</v>
      </c>
      <c r="AJ342" s="2">
        <f>Table2[[#This Row],[EV/Real]]-Table2[[#This Row],[Spread/V]]</f>
        <v>0</v>
      </c>
      <c r="AK342" s="2">
        <f>Table2[[#This Row],[SRS/Diff]]-Table2[[#This Row],[EV/Diff]]</f>
        <v>0</v>
      </c>
      <c r="AL342" s="18">
        <f>Table2[[#This Row],[SRS]]-Table2[[#This Row],[Spread]]</f>
        <v>-6.9086885245901657</v>
      </c>
      <c r="AM342" s="21">
        <f>Table2[[#This Row],[(A) Err]]^2</f>
        <v>47.729977129803842</v>
      </c>
      <c r="AN342" s="6">
        <f>Table2[[#This Row],[EV]]-Table2[[#This Row],[Spread]]</f>
        <v>-3.1731653274473075</v>
      </c>
      <c r="AO342" s="1">
        <f>Table2[[#This Row],[EV Err]]^2</f>
        <v>10.068978195313779</v>
      </c>
      <c r="AP342" s="1"/>
    </row>
    <row r="343" spans="1:42" x14ac:dyDescent="0.25">
      <c r="A343" s="34">
        <v>42713</v>
      </c>
      <c r="B343" t="s">
        <v>125</v>
      </c>
      <c r="C343" t="s">
        <v>109</v>
      </c>
      <c r="E343" s="21"/>
      <c r="G343" s="21"/>
      <c r="H343" s="7"/>
      <c r="I343" s="21"/>
      <c r="K343"/>
      <c r="L343" s="21">
        <f>(Table2[[#This Row],[H/Pace]]/100)*(VLOOKUP(Table2[[#This Row],[Home/Neutral]],home_lookup,8,FALSE)+VLOOKUP(Table2[[#This Row],[Home/Neutral]],OFR_lookup,2,FALSE)+VLOOKUP(Table2[[#This Row],[Visitor/Neutral]],def_diff_lookup,6,FALSE))</f>
        <v>101.89560550061908</v>
      </c>
      <c r="M343" s="21"/>
      <c r="N343" s="21">
        <f>(Table2[[#This Row],[A/Pace]]/100)*(VLOOKUP(Table2[[#This Row],[Visitor/Neutral]],OFR_lookup,2,FALSE)+VLOOKUP(Table2[[#This Row],[Home/Neutral]],def_diff_lookup,6,FALSE))</f>
        <v>103.31250133333332</v>
      </c>
      <c r="O343" s="21"/>
      <c r="P343" s="21"/>
      <c r="Q343">
        <f>VLOOKUP(Table2[[#This Row],[Home/Neutral]],pace_lookup,7,FALSE)</f>
        <v>96.1</v>
      </c>
      <c r="R343" s="5">
        <f>VLOOKUP(Table2[[#This Row],[Visitor/Neutral]],pace_lookup,7,FALSE)</f>
        <v>99.2</v>
      </c>
      <c r="S343" s="7"/>
      <c r="U343" s="15"/>
      <c r="W343" s="2">
        <f>-home-VLOOKUP(Table2[[#This Row],[Home/Neutral]],rtg_vlookup,4,FALSE)+VLOOKUP(Table2[[#This Row],[Visitor/Neutral]],rtg_vlookup,4,FALSE)</f>
        <v>1.9813114754098344</v>
      </c>
      <c r="X343" s="15"/>
      <c r="Y343" s="2"/>
      <c r="Z343" s="2">
        <f>Table2[[#This Row],[A/EV]]-Table2[[#This Row],[H/EV]]</f>
        <v>1.416895832714232</v>
      </c>
      <c r="AA343" s="29"/>
      <c r="AB343" s="30"/>
      <c r="AC343" s="30"/>
      <c r="AD343" s="30"/>
      <c r="AE343" s="30"/>
      <c r="AF343" s="7" t="b">
        <f>IF(VLOOKUP(Table2[[#This Row],[Home/Neutral]],division_lookup,9,FALSE)=VLOOKUP(Table2[[#This Row],[Visitor/Neutral]],division_lookup,9,FALSE),TRUE,FALSE)</f>
        <v>0</v>
      </c>
      <c r="AG343" s="15" t="str">
        <f>VLOOKUP(Table2[[#This Row],[Home/Neutral]],division_lookup,9,FALSE)</f>
        <v>C</v>
      </c>
      <c r="AH343" s="15" t="str">
        <f>IF(Table2[[#This Row],[Total/EV]]&lt;Table2[[#This Row],[Total/V]],"UNDER","OVER")</f>
        <v>OVER</v>
      </c>
      <c r="AI343" s="26">
        <f>Table2[[#This Row],[SRS/Real]]-Table2[[#This Row],[Spread/V]]</f>
        <v>0</v>
      </c>
      <c r="AJ343" s="2">
        <f>Table2[[#This Row],[EV/Real]]-Table2[[#This Row],[Spread/V]]</f>
        <v>0</v>
      </c>
      <c r="AK343" s="2">
        <f>Table2[[#This Row],[SRS/Diff]]-Table2[[#This Row],[EV/Diff]]</f>
        <v>0</v>
      </c>
      <c r="AL343" s="18">
        <f>Table2[[#This Row],[SRS]]-Table2[[#This Row],[Spread]]</f>
        <v>1.9813114754098344</v>
      </c>
      <c r="AM343" s="21">
        <f>Table2[[#This Row],[(A) Err]]^2</f>
        <v>3.9255951625906951</v>
      </c>
      <c r="AN343" s="6">
        <f>Table2[[#This Row],[EV]]-Table2[[#This Row],[Spread]]</f>
        <v>1.416895832714232</v>
      </c>
      <c r="AO343" s="1">
        <f>Table2[[#This Row],[EV Err]]^2</f>
        <v>2.0075938007629568</v>
      </c>
      <c r="AP343" s="1"/>
    </row>
    <row r="344" spans="1:42" x14ac:dyDescent="0.25">
      <c r="A344" s="34">
        <v>42713</v>
      </c>
      <c r="B344" t="s">
        <v>126</v>
      </c>
      <c r="C344" t="s">
        <v>117</v>
      </c>
      <c r="E344" s="21"/>
      <c r="G344" s="21"/>
      <c r="H344" s="7"/>
      <c r="I344" s="21"/>
      <c r="K344"/>
      <c r="L344" s="21">
        <f>(Table2[[#This Row],[H/Pace]]/100)*(VLOOKUP(Table2[[#This Row],[Home/Neutral]],home_lookup,8,FALSE)+VLOOKUP(Table2[[#This Row],[Home/Neutral]],OFR_lookup,2,FALSE)+VLOOKUP(Table2[[#This Row],[Visitor/Neutral]],def_diff_lookup,6,FALSE))</f>
        <v>111.17015777050786</v>
      </c>
      <c r="M344" s="21"/>
      <c r="N344" s="21">
        <f>(Table2[[#This Row],[A/Pace]]/100)*(VLOOKUP(Table2[[#This Row],[Visitor/Neutral]],OFR_lookup,2,FALSE)+VLOOKUP(Table2[[#This Row],[Home/Neutral]],def_diff_lookup,6,FALSE))</f>
        <v>101.08352666666666</v>
      </c>
      <c r="O344" s="21"/>
      <c r="P344" s="21"/>
      <c r="Q344">
        <f>VLOOKUP(Table2[[#This Row],[Home/Neutral]],pace_lookup,7,FALSE)</f>
        <v>95.7</v>
      </c>
      <c r="R344" s="5">
        <f>VLOOKUP(Table2[[#This Row],[Visitor/Neutral]],pace_lookup,7,FALSE)</f>
        <v>94</v>
      </c>
      <c r="S344" s="7"/>
      <c r="U344" s="15"/>
      <c r="W344" s="2">
        <f>-home-VLOOKUP(Table2[[#This Row],[Home/Neutral]],rtg_vlookup,4,FALSE)+VLOOKUP(Table2[[#This Row],[Visitor/Neutral]],rtg_vlookup,4,FALSE)</f>
        <v>-2.8688524590165798E-2</v>
      </c>
      <c r="X344" s="15"/>
      <c r="Y344" s="2"/>
      <c r="Z344" s="2">
        <f>Table2[[#This Row],[A/EV]]-Table2[[#This Row],[H/EV]]</f>
        <v>-10.086631103841199</v>
      </c>
      <c r="AA344" s="29"/>
      <c r="AB344" s="30"/>
      <c r="AC344" s="30"/>
      <c r="AD344" s="30"/>
      <c r="AE344" s="30"/>
      <c r="AF344" s="7" t="b">
        <f>IF(VLOOKUP(Table2[[#This Row],[Home/Neutral]],division_lookup,9,FALSE)=VLOOKUP(Table2[[#This Row],[Visitor/Neutral]],division_lookup,9,FALSE),TRUE,FALSE)</f>
        <v>0</v>
      </c>
      <c r="AG344" s="15" t="str">
        <f>VLOOKUP(Table2[[#This Row],[Home/Neutral]],division_lookup,9,FALSE)</f>
        <v>NW</v>
      </c>
      <c r="AH344" s="15" t="str">
        <f>IF(Table2[[#This Row],[Total/EV]]&lt;Table2[[#This Row],[Total/V]],"UNDER","OVER")</f>
        <v>OVER</v>
      </c>
      <c r="AI344" s="26">
        <f>Table2[[#This Row],[SRS/Real]]-Table2[[#This Row],[Spread/V]]</f>
        <v>0</v>
      </c>
      <c r="AJ344" s="2">
        <f>Table2[[#This Row],[EV/Real]]-Table2[[#This Row],[Spread/V]]</f>
        <v>0</v>
      </c>
      <c r="AK344" s="2">
        <f>Table2[[#This Row],[SRS/Diff]]-Table2[[#This Row],[EV/Diff]]</f>
        <v>0</v>
      </c>
      <c r="AL344" s="18">
        <f>Table2[[#This Row],[SRS]]-Table2[[#This Row],[Spread]]</f>
        <v>-2.8688524590165798E-2</v>
      </c>
      <c r="AM344" s="21">
        <f>Table2[[#This Row],[(A) Err]]^2</f>
        <v>8.2303144316054765E-4</v>
      </c>
      <c r="AN344" s="6">
        <f>Table2[[#This Row],[EV]]-Table2[[#This Row],[Spread]]</f>
        <v>-10.086631103841199</v>
      </c>
      <c r="AO344" s="1">
        <f>Table2[[#This Row],[EV Err]]^2</f>
        <v>101.74012702497673</v>
      </c>
      <c r="AP344" s="1"/>
    </row>
    <row r="345" spans="1:42" x14ac:dyDescent="0.25">
      <c r="A345" s="34">
        <v>42713</v>
      </c>
      <c r="B345" t="s">
        <v>129</v>
      </c>
      <c r="C345" t="s">
        <v>119</v>
      </c>
      <c r="E345" s="21"/>
      <c r="G345" s="21"/>
      <c r="H345" s="7"/>
      <c r="I345" s="21"/>
      <c r="K345"/>
      <c r="L345" s="21">
        <f>(Table2[[#This Row],[H/Pace]]/100)*(VLOOKUP(Table2[[#This Row],[Home/Neutral]],home_lookup,8,FALSE)+VLOOKUP(Table2[[#This Row],[Home/Neutral]],OFR_lookup,2,FALSE)+VLOOKUP(Table2[[#This Row],[Visitor/Neutral]],def_diff_lookup,6,FALSE))</f>
        <v>110.10410376890108</v>
      </c>
      <c r="M345" s="21"/>
      <c r="N345" s="21">
        <f>(Table2[[#This Row],[A/Pace]]/100)*(VLOOKUP(Table2[[#This Row],[Visitor/Neutral]],OFR_lookup,2,FALSE)+VLOOKUP(Table2[[#This Row],[Home/Neutral]],def_diff_lookup,6,FALSE))</f>
        <v>107.69046100000001</v>
      </c>
      <c r="O345" s="21"/>
      <c r="P345" s="21"/>
      <c r="Q345">
        <f>VLOOKUP(Table2[[#This Row],[Home/Neutral]],pace_lookup,7,FALSE)</f>
        <v>99</v>
      </c>
      <c r="R345" s="5">
        <f>VLOOKUP(Table2[[#This Row],[Visitor/Neutral]],pace_lookup,7,FALSE)</f>
        <v>96.9</v>
      </c>
      <c r="S345" s="7"/>
      <c r="U345" s="15"/>
      <c r="W345" s="2">
        <f>-home-VLOOKUP(Table2[[#This Row],[Home/Neutral]],rtg_vlookup,4,FALSE)+VLOOKUP(Table2[[#This Row],[Visitor/Neutral]],rtg_vlookup,4,FALSE)</f>
        <v>-0.60868852459016543</v>
      </c>
      <c r="X345" s="15"/>
      <c r="Y345" s="2"/>
      <c r="Z345" s="2">
        <f>Table2[[#This Row],[A/EV]]-Table2[[#This Row],[H/EV]]</f>
        <v>-2.4136427689010702</v>
      </c>
      <c r="AA345" s="29"/>
      <c r="AB345" s="30"/>
      <c r="AC345" s="30"/>
      <c r="AD345" s="30"/>
      <c r="AE345" s="30"/>
      <c r="AF345" s="7" t="b">
        <f>IF(VLOOKUP(Table2[[#This Row],[Home/Neutral]],division_lookup,9,FALSE)=VLOOKUP(Table2[[#This Row],[Visitor/Neutral]],division_lookup,9,FALSE),TRUE,FALSE)</f>
        <v>0</v>
      </c>
      <c r="AG345" s="15" t="str">
        <f>VLOOKUP(Table2[[#This Row],[Home/Neutral]],division_lookup,9,FALSE)</f>
        <v>NW</v>
      </c>
      <c r="AH345" s="15" t="str">
        <f>IF(Table2[[#This Row],[Total/EV]]&lt;Table2[[#This Row],[Total/V]],"UNDER","OVER")</f>
        <v>OVER</v>
      </c>
      <c r="AI345" s="26">
        <f>Table2[[#This Row],[SRS/Real]]-Table2[[#This Row],[Spread/V]]</f>
        <v>0</v>
      </c>
      <c r="AJ345" s="2">
        <f>Table2[[#This Row],[EV/Real]]-Table2[[#This Row],[Spread/V]]</f>
        <v>0</v>
      </c>
      <c r="AK345" s="2">
        <f>Table2[[#This Row],[SRS/Diff]]-Table2[[#This Row],[EV/Diff]]</f>
        <v>0</v>
      </c>
      <c r="AL345" s="18">
        <f>Table2[[#This Row],[SRS]]-Table2[[#This Row],[Spread]]</f>
        <v>-0.60868852459016543</v>
      </c>
      <c r="AM345" s="21">
        <f>Table2[[#This Row],[(A) Err]]^2</f>
        <v>0.37050171996775244</v>
      </c>
      <c r="AN345" s="6">
        <f>Table2[[#This Row],[EV]]-Table2[[#This Row],[Spread]]</f>
        <v>-2.4136427689010702</v>
      </c>
      <c r="AO345" s="1">
        <f>Table2[[#This Row],[EV Err]]^2</f>
        <v>5.8256714158684249</v>
      </c>
      <c r="AP345" s="1"/>
    </row>
    <row r="346" spans="1:42" ht="15.75" thickBot="1" x14ac:dyDescent="0.3">
      <c r="A346" s="100">
        <v>42713</v>
      </c>
      <c r="B346" s="3" t="s">
        <v>133</v>
      </c>
      <c r="C346" s="3" t="s">
        <v>128</v>
      </c>
      <c r="D346" s="3"/>
      <c r="E346" s="22"/>
      <c r="F346" s="3"/>
      <c r="G346" s="22"/>
      <c r="H346" s="8"/>
      <c r="I346" s="22"/>
      <c r="J346" s="3"/>
      <c r="K346" s="3"/>
      <c r="L346" s="22">
        <f>(Table2[[#This Row],[H/Pace]]/100)*(VLOOKUP(Table2[[#This Row],[Home/Neutral]],home_lookup,8,FALSE)+VLOOKUP(Table2[[#This Row],[Home/Neutral]],OFR_lookup,2,FALSE)+VLOOKUP(Table2[[#This Row],[Visitor/Neutral]],def_diff_lookup,6,FALSE))</f>
        <v>110.9998674827998</v>
      </c>
      <c r="M346" s="22"/>
      <c r="N346" s="22">
        <f>(Table2[[#This Row],[A/Pace]]/100)*(VLOOKUP(Table2[[#This Row],[Visitor/Neutral]],OFR_lookup,2,FALSE)+VLOOKUP(Table2[[#This Row],[Home/Neutral]],def_diff_lookup,6,FALSE))</f>
        <v>107.06216699999999</v>
      </c>
      <c r="O346" s="22"/>
      <c r="P346" s="22"/>
      <c r="Q346" s="3">
        <f>VLOOKUP(Table2[[#This Row],[Home/Neutral]],pace_lookup,7,FALSE)</f>
        <v>94.2</v>
      </c>
      <c r="R346" s="3">
        <f>VLOOKUP(Table2[[#This Row],[Visitor/Neutral]],pace_lookup,7,FALSE)</f>
        <v>96.3</v>
      </c>
      <c r="S346" s="8"/>
      <c r="T346" s="3"/>
      <c r="U346" s="16"/>
      <c r="V346" s="3"/>
      <c r="W346" s="9">
        <f>-home-VLOOKUP(Table2[[#This Row],[Home/Neutral]],rtg_vlookup,4,FALSE)+VLOOKUP(Table2[[#This Row],[Visitor/Neutral]],rtg_vlookup,4,FALSE)</f>
        <v>-2.7186885245901657</v>
      </c>
      <c r="X346" s="16"/>
      <c r="Y346" s="9"/>
      <c r="Z346" s="9">
        <f>Table2[[#This Row],[A/EV]]-Table2[[#This Row],[H/EV]]</f>
        <v>-3.9377004827998121</v>
      </c>
      <c r="AA346" s="31"/>
      <c r="AB346" s="32"/>
      <c r="AC346" s="32"/>
      <c r="AD346" s="32"/>
      <c r="AE346" s="32"/>
      <c r="AF346" s="8" t="b">
        <f>IF(VLOOKUP(Table2[[#This Row],[Home/Neutral]],division_lookup,9,FALSE)=VLOOKUP(Table2[[#This Row],[Visitor/Neutral]],division_lookup,9,FALSE),TRUE,FALSE)</f>
        <v>0</v>
      </c>
      <c r="AG346" s="16" t="str">
        <f>VLOOKUP(Table2[[#This Row],[Home/Neutral]],division_lookup,9,FALSE)</f>
        <v>P</v>
      </c>
      <c r="AH346" s="16" t="str">
        <f>IF(Table2[[#This Row],[Total/EV]]&lt;Table2[[#This Row],[Total/V]],"UNDER","OVER")</f>
        <v>OVER</v>
      </c>
      <c r="AI346" s="16">
        <f>Table2[[#This Row],[SRS/Real]]-Table2[[#This Row],[Spread/V]]</f>
        <v>0</v>
      </c>
      <c r="AJ346" s="9">
        <f>Table2[[#This Row],[EV/Real]]-Table2[[#This Row],[Spread/V]]</f>
        <v>0</v>
      </c>
      <c r="AK346" s="9">
        <f>Table2[[#This Row],[SRS/Diff]]-Table2[[#This Row],[EV/Diff]]</f>
        <v>0</v>
      </c>
      <c r="AL346" s="19">
        <f>Table2[[#This Row],[SRS]]-Table2[[#This Row],[Spread]]</f>
        <v>-2.7186885245901657</v>
      </c>
      <c r="AM346" s="22">
        <f>Table2[[#This Row],[(A) Err]]^2</f>
        <v>7.3912672937382524</v>
      </c>
      <c r="AN346" s="4">
        <f>Table2[[#This Row],[EV]]-Table2[[#This Row],[Spread]]</f>
        <v>-3.9377004827998121</v>
      </c>
      <c r="AO346" s="4">
        <f>Table2[[#This Row],[EV Err]]^2</f>
        <v>15.505485092241873</v>
      </c>
      <c r="AP346" s="1"/>
    </row>
    <row r="347" spans="1:42" x14ac:dyDescent="0.25">
      <c r="A347" s="34">
        <v>42714</v>
      </c>
      <c r="B347" t="s">
        <v>113</v>
      </c>
      <c r="C347" t="s">
        <v>124</v>
      </c>
      <c r="E347" s="21"/>
      <c r="G347" s="21"/>
      <c r="H347" s="7"/>
      <c r="I347" s="21"/>
      <c r="K347"/>
      <c r="L347" s="21">
        <f>(Table2[[#This Row],[H/Pace]]/100)*(VLOOKUP(Table2[[#This Row],[Home/Neutral]],home_lookup,8,FALSE)+VLOOKUP(Table2[[#This Row],[Home/Neutral]],OFR_lookup,2,FALSE)+VLOOKUP(Table2[[#This Row],[Visitor/Neutral]],def_diff_lookup,6,FALSE))</f>
        <v>107.03626388016279</v>
      </c>
      <c r="M347" s="21"/>
      <c r="N347" s="21">
        <f>(Table2[[#This Row],[A/Pace]]/100)*(VLOOKUP(Table2[[#This Row],[Visitor/Neutral]],OFR_lookup,2,FALSE)+VLOOKUP(Table2[[#This Row],[Home/Neutral]],def_diff_lookup,6,FALSE))</f>
        <v>96.319539666666671</v>
      </c>
      <c r="O347" s="21"/>
      <c r="P347" s="21"/>
      <c r="Q347">
        <f>VLOOKUP(Table2[[#This Row],[Home/Neutral]],pace_lookup,7,FALSE)</f>
        <v>95.1</v>
      </c>
      <c r="R347" s="5">
        <f>VLOOKUP(Table2[[#This Row],[Visitor/Neutral]],pace_lookup,7,FALSE)</f>
        <v>93.7</v>
      </c>
      <c r="S347" s="7"/>
      <c r="U347" s="15"/>
      <c r="W347" s="2">
        <f>-home-VLOOKUP(Table2[[#This Row],[Home/Neutral]],rtg_vlookup,4,FALSE)+VLOOKUP(Table2[[#This Row],[Visitor/Neutral]],rtg_vlookup,4,FALSE)</f>
        <v>-8.6286885245901654</v>
      </c>
      <c r="X347" s="15"/>
      <c r="Y347" s="2"/>
      <c r="Z347" s="2">
        <f>Table2[[#This Row],[A/EV]]-Table2[[#This Row],[H/EV]]</f>
        <v>-10.716724213496121</v>
      </c>
      <c r="AA347" s="29"/>
      <c r="AB347" s="30"/>
      <c r="AC347" s="30"/>
      <c r="AD347" s="30"/>
      <c r="AE347" s="30"/>
      <c r="AF347" s="7" t="b">
        <f>IF(VLOOKUP(Table2[[#This Row],[Home/Neutral]],division_lookup,9,FALSE)=VLOOKUP(Table2[[#This Row],[Visitor/Neutral]],division_lookup,9,FALSE),TRUE,FALSE)</f>
        <v>0</v>
      </c>
      <c r="AG347" s="15" t="str">
        <f>VLOOKUP(Table2[[#This Row],[Home/Neutral]],division_lookup,9,FALSE)</f>
        <v>C</v>
      </c>
      <c r="AH347" s="15" t="str">
        <f>IF(Table2[[#This Row],[Total/EV]]&lt;Table2[[#This Row],[Total/V]],"UNDER","OVER")</f>
        <v>OVER</v>
      </c>
      <c r="AI347" s="26">
        <f>Table2[[#This Row],[SRS/Real]]-Table2[[#This Row],[Spread/V]]</f>
        <v>0</v>
      </c>
      <c r="AJ347" s="2">
        <f>Table2[[#This Row],[EV/Real]]-Table2[[#This Row],[Spread/V]]</f>
        <v>0</v>
      </c>
      <c r="AK347" s="2">
        <f>Table2[[#This Row],[SRS/Diff]]-Table2[[#This Row],[EV/Diff]]</f>
        <v>0</v>
      </c>
      <c r="AL347" s="18">
        <f>Table2[[#This Row],[SRS]]-Table2[[#This Row],[Spread]]</f>
        <v>-8.6286885245901654</v>
      </c>
      <c r="AM347" s="21">
        <f>Table2[[#This Row],[(A) Err]]^2</f>
        <v>74.454265654394007</v>
      </c>
      <c r="AN347" s="6">
        <f>Table2[[#This Row],[EV]]-Table2[[#This Row],[Spread]]</f>
        <v>-10.716724213496121</v>
      </c>
      <c r="AO347" s="1">
        <f>Table2[[#This Row],[EV Err]]^2</f>
        <v>114.84817786813406</v>
      </c>
      <c r="AP347" s="1"/>
    </row>
    <row r="348" spans="1:42" x14ac:dyDescent="0.25">
      <c r="A348" s="34">
        <v>42714</v>
      </c>
      <c r="B348" t="s">
        <v>114</v>
      </c>
      <c r="C348" t="s">
        <v>112</v>
      </c>
      <c r="E348" s="21"/>
      <c r="G348" s="21"/>
      <c r="H348" s="7"/>
      <c r="I348" s="21"/>
      <c r="K348"/>
      <c r="L348" s="21">
        <f>(Table2[[#This Row],[H/Pace]]/100)*(VLOOKUP(Table2[[#This Row],[Home/Neutral]],home_lookup,8,FALSE)+VLOOKUP(Table2[[#This Row],[Home/Neutral]],OFR_lookup,2,FALSE)+VLOOKUP(Table2[[#This Row],[Visitor/Neutral]],def_diff_lookup,6,FALSE))</f>
        <v>113.37572276756467</v>
      </c>
      <c r="M348" s="21"/>
      <c r="N348" s="21">
        <f>(Table2[[#This Row],[A/Pace]]/100)*(VLOOKUP(Table2[[#This Row],[Visitor/Neutral]],OFR_lookup,2,FALSE)+VLOOKUP(Table2[[#This Row],[Home/Neutral]],def_diff_lookup,6,FALSE))</f>
        <v>104.45727933333335</v>
      </c>
      <c r="O348" s="21"/>
      <c r="P348" s="21"/>
      <c r="Q348">
        <f>VLOOKUP(Table2[[#This Row],[Home/Neutral]],pace_lookup,7,FALSE)</f>
        <v>97.3</v>
      </c>
      <c r="R348" s="5">
        <f>VLOOKUP(Table2[[#This Row],[Visitor/Neutral]],pace_lookup,7,FALSE)</f>
        <v>97.4</v>
      </c>
      <c r="S348" s="7"/>
      <c r="U348" s="15"/>
      <c r="W348" s="2">
        <f>-home-VLOOKUP(Table2[[#This Row],[Home/Neutral]],rtg_vlookup,4,FALSE)+VLOOKUP(Table2[[#This Row],[Visitor/Neutral]],rtg_vlookup,4,FALSE)</f>
        <v>-9.3886885245901652</v>
      </c>
      <c r="X348" s="15"/>
      <c r="Y348" s="2"/>
      <c r="Z348" s="2">
        <f>Table2[[#This Row],[A/EV]]-Table2[[#This Row],[H/EV]]</f>
        <v>-8.918443434231321</v>
      </c>
      <c r="AA348" s="29"/>
      <c r="AB348" s="30"/>
      <c r="AC348" s="30"/>
      <c r="AD348" s="30"/>
      <c r="AE348" s="30"/>
      <c r="AF348" s="7" t="b">
        <f>IF(VLOOKUP(Table2[[#This Row],[Home/Neutral]],division_lookup,9,FALSE)=VLOOKUP(Table2[[#This Row],[Visitor/Neutral]],division_lookup,9,FALSE),TRUE,FALSE)</f>
        <v>0</v>
      </c>
      <c r="AG348" s="15" t="str">
        <f>VLOOKUP(Table2[[#This Row],[Home/Neutral]],division_lookup,9,FALSE)</f>
        <v>C</v>
      </c>
      <c r="AH348" s="15" t="str">
        <f>IF(Table2[[#This Row],[Total/EV]]&lt;Table2[[#This Row],[Total/V]],"UNDER","OVER")</f>
        <v>OVER</v>
      </c>
      <c r="AI348" s="26">
        <f>Table2[[#This Row],[SRS/Real]]-Table2[[#This Row],[Spread/V]]</f>
        <v>0</v>
      </c>
      <c r="AJ348" s="2">
        <f>Table2[[#This Row],[EV/Real]]-Table2[[#This Row],[Spread/V]]</f>
        <v>0</v>
      </c>
      <c r="AK348" s="2">
        <f>Table2[[#This Row],[SRS/Diff]]-Table2[[#This Row],[EV/Diff]]</f>
        <v>0</v>
      </c>
      <c r="AL348" s="18">
        <f>Table2[[#This Row],[SRS]]-Table2[[#This Row],[Spread]]</f>
        <v>-9.3886885245901652</v>
      </c>
      <c r="AM348" s="21">
        <f>Table2[[#This Row],[(A) Err]]^2</f>
        <v>88.14747221177106</v>
      </c>
      <c r="AN348" s="6">
        <f>Table2[[#This Row],[EV]]-Table2[[#This Row],[Spread]]</f>
        <v>-8.918443434231321</v>
      </c>
      <c r="AO348" s="1">
        <f>Table2[[#This Row],[EV Err]]^2</f>
        <v>79.538633289583757</v>
      </c>
      <c r="AP348" s="1"/>
    </row>
    <row r="349" spans="1:42" x14ac:dyDescent="0.25">
      <c r="A349" s="77">
        <v>42714</v>
      </c>
      <c r="B349" t="s">
        <v>119</v>
      </c>
      <c r="C349" t="s">
        <v>115</v>
      </c>
      <c r="D349" s="49"/>
      <c r="E349" s="51"/>
      <c r="F349" s="49"/>
      <c r="G349" s="51"/>
      <c r="H349" s="50"/>
      <c r="I349" s="51"/>
      <c r="J349" s="49"/>
      <c r="K349" s="49"/>
      <c r="L349" s="51">
        <f>(Table2[[#This Row],[H/Pace]]/100)*(VLOOKUP(Table2[[#This Row],[Home/Neutral]],home_lookup,8,FALSE)+VLOOKUP(Table2[[#This Row],[Home/Neutral]],OFR_lookup,2,FALSE)+VLOOKUP(Table2[[#This Row],[Visitor/Neutral]],def_diff_lookup,6,FALSE))</f>
        <v>108.23151376977629</v>
      </c>
      <c r="M349" s="51"/>
      <c r="N349" s="51">
        <f>(Table2[[#This Row],[A/Pace]]/100)*(VLOOKUP(Table2[[#This Row],[Visitor/Neutral]],OFR_lookup,2,FALSE)+VLOOKUP(Table2[[#This Row],[Home/Neutral]],def_diff_lookup,6,FALSE))</f>
        <v>92.728754333333342</v>
      </c>
      <c r="O349" s="51"/>
      <c r="P349" s="51"/>
      <c r="Q349" s="49">
        <f>VLOOKUP(Table2[[#This Row],[Home/Neutral]],pace_lookup,7,FALSE)</f>
        <v>96.9</v>
      </c>
      <c r="R349" s="52">
        <f>VLOOKUP(Table2[[#This Row],[Visitor/Neutral]],pace_lookup,7,FALSE)</f>
        <v>92.9</v>
      </c>
      <c r="S349" s="50"/>
      <c r="T349" s="49"/>
      <c r="U349" s="75"/>
      <c r="V349" s="49"/>
      <c r="W349" s="53">
        <f>-home-VLOOKUP(Table2[[#This Row],[Home/Neutral]],rtg_vlookup,4,FALSE)+VLOOKUP(Table2[[#This Row],[Visitor/Neutral]],rtg_vlookup,4,FALSE)</f>
        <v>-15.318688524590165</v>
      </c>
      <c r="X349" s="75"/>
      <c r="Y349" s="53"/>
      <c r="Z349" s="2">
        <f>Table2[[#This Row],[A/EV]]-Table2[[#This Row],[H/EV]]</f>
        <v>-15.502759436442943</v>
      </c>
      <c r="AA349" s="29"/>
      <c r="AB349" s="30"/>
      <c r="AC349" s="30"/>
      <c r="AD349" s="30"/>
      <c r="AE349" s="30"/>
      <c r="AF349" s="7" t="b">
        <f>IF(VLOOKUP(Table2[[#This Row],[Home/Neutral]],division_lookup,9,FALSE)=VLOOKUP(Table2[[#This Row],[Visitor/Neutral]],division_lookup,9,FALSE),TRUE,FALSE)</f>
        <v>1</v>
      </c>
      <c r="AG349" s="15" t="str">
        <f>VLOOKUP(Table2[[#This Row],[Home/Neutral]],division_lookup,9,FALSE)</f>
        <v>SW</v>
      </c>
      <c r="AH349" s="15" t="str">
        <f>IF(Table2[[#This Row],[Total/EV]]&lt;Table2[[#This Row],[Total/V]],"UNDER","OVER")</f>
        <v>OVER</v>
      </c>
      <c r="AI349" s="26">
        <f>Table2[[#This Row],[SRS/Real]]-Table2[[#This Row],[Spread/V]]</f>
        <v>0</v>
      </c>
      <c r="AJ349" s="2">
        <f>Table2[[#This Row],[EV/Real]]-Table2[[#This Row],[Spread/V]]</f>
        <v>0</v>
      </c>
      <c r="AK349" s="2">
        <f>Table2[[#This Row],[SRS/Diff]]-Table2[[#This Row],[EV/Diff]]</f>
        <v>0</v>
      </c>
      <c r="AL349" s="18">
        <f>Table2[[#This Row],[SRS]]-Table2[[#This Row],[Spread]]</f>
        <v>-15.318688524590165</v>
      </c>
      <c r="AM349" s="21">
        <f>Table2[[#This Row],[(A) Err]]^2</f>
        <v>234.6622181134104</v>
      </c>
      <c r="AN349" s="6">
        <f>Table2[[#This Row],[EV]]-Table2[[#This Row],[Spread]]</f>
        <v>-15.502759436442943</v>
      </c>
      <c r="AO349" s="1">
        <f>Table2[[#This Row],[EV Err]]^2</f>
        <v>240.33555014422072</v>
      </c>
      <c r="AP349" s="1"/>
    </row>
    <row r="350" spans="1:42" x14ac:dyDescent="0.25">
      <c r="A350" s="34">
        <v>42714</v>
      </c>
      <c r="B350" t="s">
        <v>120</v>
      </c>
      <c r="C350" t="s">
        <v>132</v>
      </c>
      <c r="E350" s="21"/>
      <c r="G350" s="21"/>
      <c r="H350" s="7"/>
      <c r="I350" s="21"/>
      <c r="K350"/>
      <c r="L350" s="21">
        <f>(Table2[[#This Row],[H/Pace]]/100)*(VLOOKUP(Table2[[#This Row],[Home/Neutral]],home_lookup,8,FALSE)+VLOOKUP(Table2[[#This Row],[Home/Neutral]],OFR_lookup,2,FALSE)+VLOOKUP(Table2[[#This Row],[Visitor/Neutral]],def_diff_lookup,6,FALSE))</f>
        <v>111.41189542930861</v>
      </c>
      <c r="M350" s="21"/>
      <c r="N350" s="21">
        <f>(Table2[[#This Row],[A/Pace]]/100)*(VLOOKUP(Table2[[#This Row],[Visitor/Neutral]],OFR_lookup,2,FALSE)+VLOOKUP(Table2[[#This Row],[Home/Neutral]],def_diff_lookup,6,FALSE))</f>
        <v>110.15771866666667</v>
      </c>
      <c r="O350" s="21"/>
      <c r="P350" s="21"/>
      <c r="Q350">
        <f>VLOOKUP(Table2[[#This Row],[Home/Neutral]],pace_lookup,7,FALSE)</f>
        <v>98.3</v>
      </c>
      <c r="R350" s="5">
        <f>VLOOKUP(Table2[[#This Row],[Visitor/Neutral]],pace_lookup,7,FALSE)</f>
        <v>98.8</v>
      </c>
      <c r="S350" s="7"/>
      <c r="U350" s="15"/>
      <c r="W350" s="2">
        <f>-home-VLOOKUP(Table2[[#This Row],[Home/Neutral]],rtg_vlookup,4,FALSE)+VLOOKUP(Table2[[#This Row],[Visitor/Neutral]],rtg_vlookup,4,FALSE)</f>
        <v>-0.51868852459016557</v>
      </c>
      <c r="X350" s="15"/>
      <c r="Y350" s="2"/>
      <c r="Z350" s="2">
        <f>Table2[[#This Row],[A/EV]]-Table2[[#This Row],[H/EV]]</f>
        <v>-1.2541767626419471</v>
      </c>
      <c r="AA350" s="29"/>
      <c r="AB350" s="30"/>
      <c r="AC350" s="30"/>
      <c r="AD350" s="30"/>
      <c r="AE350" s="30"/>
      <c r="AF350" s="7" t="b">
        <f>IF(VLOOKUP(Table2[[#This Row],[Home/Neutral]],division_lookup,9,FALSE)=VLOOKUP(Table2[[#This Row],[Visitor/Neutral]],division_lookup,9,FALSE),TRUE,FALSE)</f>
        <v>0</v>
      </c>
      <c r="AG350" s="15" t="str">
        <f>VLOOKUP(Table2[[#This Row],[Home/Neutral]],division_lookup,9,FALSE)</f>
        <v>C</v>
      </c>
      <c r="AH350" s="15" t="str">
        <f>IF(Table2[[#This Row],[Total/EV]]&lt;Table2[[#This Row],[Total/V]],"UNDER","OVER")</f>
        <v>OVER</v>
      </c>
      <c r="AI350" s="26">
        <f>Table2[[#This Row],[SRS/Real]]-Table2[[#This Row],[Spread/V]]</f>
        <v>0</v>
      </c>
      <c r="AJ350" s="2">
        <f>Table2[[#This Row],[EV/Real]]-Table2[[#This Row],[Spread/V]]</f>
        <v>0</v>
      </c>
      <c r="AK350" s="2">
        <f>Table2[[#This Row],[SRS/Diff]]-Table2[[#This Row],[EV/Diff]]</f>
        <v>0</v>
      </c>
      <c r="AL350" s="18">
        <f>Table2[[#This Row],[SRS]]-Table2[[#This Row],[Spread]]</f>
        <v>-0.51868852459016557</v>
      </c>
      <c r="AM350" s="21">
        <f>Table2[[#This Row],[(A) Err]]^2</f>
        <v>0.2690377855415228</v>
      </c>
      <c r="AN350" s="6">
        <f>Table2[[#This Row],[EV]]-Table2[[#This Row],[Spread]]</f>
        <v>-1.2541767626419471</v>
      </c>
      <c r="AO350" s="1">
        <f>Table2[[#This Row],[EV Err]]^2</f>
        <v>1.572959351951035</v>
      </c>
      <c r="AP350" s="1"/>
    </row>
    <row r="351" spans="1:42" x14ac:dyDescent="0.25">
      <c r="A351" s="34">
        <v>42714</v>
      </c>
      <c r="B351" t="s">
        <v>121</v>
      </c>
      <c r="C351" t="s">
        <v>127</v>
      </c>
      <c r="E351" s="21"/>
      <c r="G351" s="21"/>
      <c r="H351" s="7"/>
      <c r="I351" s="21"/>
      <c r="K351"/>
      <c r="L351" s="21">
        <f>(Table2[[#This Row],[H/Pace]]/100)*(VLOOKUP(Table2[[#This Row],[Home/Neutral]],home_lookup,8,FALSE)+VLOOKUP(Table2[[#This Row],[Home/Neutral]],OFR_lookup,2,FALSE)+VLOOKUP(Table2[[#This Row],[Visitor/Neutral]],def_diff_lookup,6,FALSE))</f>
        <v>112.62720060751252</v>
      </c>
      <c r="M351" s="21"/>
      <c r="N351" s="21">
        <f>(Table2[[#This Row],[A/Pace]]/100)*(VLOOKUP(Table2[[#This Row],[Visitor/Neutral]],OFR_lookup,2,FALSE)+VLOOKUP(Table2[[#This Row],[Home/Neutral]],def_diff_lookup,6,FALSE))</f>
        <v>97.726757000000006</v>
      </c>
      <c r="O351" s="21"/>
      <c r="P351" s="21"/>
      <c r="Q351">
        <f>VLOOKUP(Table2[[#This Row],[Home/Neutral]],pace_lookup,7,FALSE)</f>
        <v>96.4</v>
      </c>
      <c r="R351" s="5">
        <f>VLOOKUP(Table2[[#This Row],[Visitor/Neutral]],pace_lookup,7,FALSE)</f>
        <v>99.3</v>
      </c>
      <c r="S351" s="7"/>
      <c r="U351" s="15"/>
      <c r="W351" s="2">
        <f>-home-VLOOKUP(Table2[[#This Row],[Home/Neutral]],rtg_vlookup,4,FALSE)+VLOOKUP(Table2[[#This Row],[Visitor/Neutral]],rtg_vlookup,4,FALSE)</f>
        <v>-18.168688524590166</v>
      </c>
      <c r="X351" s="15"/>
      <c r="Y351" s="2"/>
      <c r="Z351" s="2">
        <f>Table2[[#This Row],[A/EV]]-Table2[[#This Row],[H/EV]]</f>
        <v>-14.900443607512514</v>
      </c>
      <c r="AA351" s="29"/>
      <c r="AB351" s="30"/>
      <c r="AC351" s="30"/>
      <c r="AD351" s="30"/>
      <c r="AE351" s="30"/>
      <c r="AF351" s="7" t="b">
        <f>IF(VLOOKUP(Table2[[#This Row],[Home/Neutral]],division_lookup,9,FALSE)=VLOOKUP(Table2[[#This Row],[Visitor/Neutral]],division_lookup,9,FALSE),TRUE,FALSE)</f>
        <v>0</v>
      </c>
      <c r="AG351" s="15" t="str">
        <f>VLOOKUP(Table2[[#This Row],[Home/Neutral]],division_lookup,9,FALSE)</f>
        <v>P</v>
      </c>
      <c r="AH351" s="15" t="str">
        <f>IF(Table2[[#This Row],[Total/EV]]&lt;Table2[[#This Row],[Total/V]],"UNDER","OVER")</f>
        <v>OVER</v>
      </c>
      <c r="AI351" s="26">
        <f>Table2[[#This Row],[SRS/Real]]-Table2[[#This Row],[Spread/V]]</f>
        <v>0</v>
      </c>
      <c r="AJ351" s="2">
        <f>Table2[[#This Row],[EV/Real]]-Table2[[#This Row],[Spread/V]]</f>
        <v>0</v>
      </c>
      <c r="AK351" s="2">
        <f>Table2[[#This Row],[SRS/Diff]]-Table2[[#This Row],[EV/Diff]]</f>
        <v>0</v>
      </c>
      <c r="AL351" s="18">
        <f>Table2[[#This Row],[SRS]]-Table2[[#This Row],[Spread]]</f>
        <v>-18.168688524590166</v>
      </c>
      <c r="AM351" s="21">
        <f>Table2[[#This Row],[(A) Err]]^2</f>
        <v>330.10124270357437</v>
      </c>
      <c r="AN351" s="6">
        <f>Table2[[#This Row],[EV]]-Table2[[#This Row],[Spread]]</f>
        <v>-14.900443607512514</v>
      </c>
      <c r="AO351" s="1">
        <f>Table2[[#This Row],[EV Err]]^2</f>
        <v>222.02321970066055</v>
      </c>
      <c r="AP351" s="1"/>
    </row>
    <row r="352" spans="1:42" x14ac:dyDescent="0.25">
      <c r="A352" s="34">
        <v>42714</v>
      </c>
      <c r="B352" t="s">
        <v>123</v>
      </c>
      <c r="C352" t="s">
        <v>118</v>
      </c>
      <c r="E352" s="21"/>
      <c r="G352" s="21"/>
      <c r="H352" s="7"/>
      <c r="I352" s="21"/>
      <c r="K352"/>
      <c r="L352" s="21">
        <f>(Table2[[#This Row],[H/Pace]]/100)*(VLOOKUP(Table2[[#This Row],[Home/Neutral]],home_lookup,8,FALSE)+VLOOKUP(Table2[[#This Row],[Home/Neutral]],OFR_lookup,2,FALSE)+VLOOKUP(Table2[[#This Row],[Visitor/Neutral]],def_diff_lookup,6,FALSE))</f>
        <v>100.69942709563918</v>
      </c>
      <c r="M352" s="21"/>
      <c r="N352" s="21">
        <f>(Table2[[#This Row],[A/Pace]]/100)*(VLOOKUP(Table2[[#This Row],[Visitor/Neutral]],OFR_lookup,2,FALSE)+VLOOKUP(Table2[[#This Row],[Home/Neutral]],def_diff_lookup,6,FALSE))</f>
        <v>113.83920933333332</v>
      </c>
      <c r="O352" s="21"/>
      <c r="P352" s="21"/>
      <c r="Q352">
        <f>VLOOKUP(Table2[[#This Row],[Home/Neutral]],pace_lookup,7,FALSE)</f>
        <v>92.5</v>
      </c>
      <c r="R352" s="5">
        <f>VLOOKUP(Table2[[#This Row],[Visitor/Neutral]],pace_lookup,7,FALSE)</f>
        <v>100.4</v>
      </c>
      <c r="S352" s="7"/>
      <c r="U352" s="15"/>
      <c r="W352" s="2">
        <f>-home-VLOOKUP(Table2[[#This Row],[Home/Neutral]],rtg_vlookup,4,FALSE)+VLOOKUP(Table2[[#This Row],[Visitor/Neutral]],rtg_vlookup,4,FALSE)</f>
        <v>7.9613114754098344</v>
      </c>
      <c r="X352" s="15"/>
      <c r="Y352" s="2"/>
      <c r="Z352" s="2">
        <f>Table2[[#This Row],[A/EV]]-Table2[[#This Row],[H/EV]]</f>
        <v>13.139782237694135</v>
      </c>
      <c r="AA352" s="29"/>
      <c r="AB352" s="30"/>
      <c r="AC352" s="30"/>
      <c r="AD352" s="30"/>
      <c r="AE352" s="30"/>
      <c r="AF352" s="7" t="b">
        <f>IF(VLOOKUP(Table2[[#This Row],[Home/Neutral]],division_lookup,9,FALSE)=VLOOKUP(Table2[[#This Row],[Visitor/Neutral]],division_lookup,9,FALSE),TRUE,FALSE)</f>
        <v>0</v>
      </c>
      <c r="AG352" s="15" t="str">
        <f>VLOOKUP(Table2[[#This Row],[Home/Neutral]],division_lookup,9,FALSE)</f>
        <v>SW</v>
      </c>
      <c r="AH352" s="15" t="str">
        <f>IF(Table2[[#This Row],[Total/EV]]&lt;Table2[[#This Row],[Total/V]],"UNDER","OVER")</f>
        <v>OVER</v>
      </c>
      <c r="AI352" s="26">
        <f>Table2[[#This Row],[SRS/Real]]-Table2[[#This Row],[Spread/V]]</f>
        <v>0</v>
      </c>
      <c r="AJ352" s="2">
        <f>Table2[[#This Row],[EV/Real]]-Table2[[#This Row],[Spread/V]]</f>
        <v>0</v>
      </c>
      <c r="AK352" s="2">
        <f>Table2[[#This Row],[SRS/Diff]]-Table2[[#This Row],[EV/Diff]]</f>
        <v>0</v>
      </c>
      <c r="AL352" s="18">
        <f>Table2[[#This Row],[SRS]]-Table2[[#This Row],[Spread]]</f>
        <v>7.9613114754098344</v>
      </c>
      <c r="AM352" s="21">
        <f>Table2[[#This Row],[(A) Err]]^2</f>
        <v>63.382480408492313</v>
      </c>
      <c r="AN352" s="6">
        <f>Table2[[#This Row],[EV]]-Table2[[#This Row],[Spread]]</f>
        <v>13.139782237694135</v>
      </c>
      <c r="AO352" s="1">
        <f>Table2[[#This Row],[EV Err]]^2</f>
        <v>172.65387725402229</v>
      </c>
      <c r="AP352" s="1"/>
    </row>
    <row r="353" spans="1:42" x14ac:dyDescent="0.25">
      <c r="A353" s="34">
        <v>42714</v>
      </c>
      <c r="B353" t="s">
        <v>130</v>
      </c>
      <c r="C353" t="s">
        <v>116</v>
      </c>
      <c r="E353" s="21"/>
      <c r="G353" s="21"/>
      <c r="H353" s="7"/>
      <c r="I353" s="21"/>
      <c r="K353"/>
      <c r="L353" s="21">
        <f>(Table2[[#This Row],[H/Pace]]/100)*(VLOOKUP(Table2[[#This Row],[Home/Neutral]],home_lookup,8,FALSE)+VLOOKUP(Table2[[#This Row],[Home/Neutral]],OFR_lookup,2,FALSE)+VLOOKUP(Table2[[#This Row],[Visitor/Neutral]],def_diff_lookup,6,FALSE))</f>
        <v>96.732704967109399</v>
      </c>
      <c r="M353" s="21"/>
      <c r="N353" s="21">
        <f>(Table2[[#This Row],[A/Pace]]/100)*(VLOOKUP(Table2[[#This Row],[Visitor/Neutral]],OFR_lookup,2,FALSE)+VLOOKUP(Table2[[#This Row],[Home/Neutral]],def_diff_lookup,6,FALSE))</f>
        <v>105.03179566666665</v>
      </c>
      <c r="O353" s="21"/>
      <c r="P353" s="21"/>
      <c r="Q353">
        <f>VLOOKUP(Table2[[#This Row],[Home/Neutral]],pace_lookup,7,FALSE)</f>
        <v>94.2</v>
      </c>
      <c r="R353" s="5">
        <f>VLOOKUP(Table2[[#This Row],[Visitor/Neutral]],pace_lookup,7,FALSE)</f>
        <v>99.1</v>
      </c>
      <c r="S353" s="7"/>
      <c r="U353" s="15"/>
      <c r="W353" s="2">
        <f>-home-VLOOKUP(Table2[[#This Row],[Home/Neutral]],rtg_vlookup,4,FALSE)+VLOOKUP(Table2[[#This Row],[Visitor/Neutral]],rtg_vlookup,4,FALSE)</f>
        <v>5.1113114754098348</v>
      </c>
      <c r="X353" s="15"/>
      <c r="Y353" s="2"/>
      <c r="Z353" s="2">
        <f>Table2[[#This Row],[A/EV]]-Table2[[#This Row],[H/EV]]</f>
        <v>8.2990906995572544</v>
      </c>
      <c r="AA353" s="29"/>
      <c r="AB353" s="30"/>
      <c r="AC353" s="30"/>
      <c r="AD353" s="30"/>
      <c r="AE353" s="30"/>
      <c r="AF353" s="7" t="b">
        <f>IF(VLOOKUP(Table2[[#This Row],[Home/Neutral]],division_lookup,9,FALSE)=VLOOKUP(Table2[[#This Row],[Visitor/Neutral]],division_lookup,9,FALSE),TRUE,FALSE)</f>
        <v>0</v>
      </c>
      <c r="AG353" s="15" t="str">
        <f>VLOOKUP(Table2[[#This Row],[Home/Neutral]],division_lookup,9,FALSE)</f>
        <v>SE</v>
      </c>
      <c r="AH353" s="15" t="str">
        <f>IF(Table2[[#This Row],[Total/EV]]&lt;Table2[[#This Row],[Total/V]],"UNDER","OVER")</f>
        <v>OVER</v>
      </c>
      <c r="AI353" s="26">
        <f>Table2[[#This Row],[SRS/Real]]-Table2[[#This Row],[Spread/V]]</f>
        <v>0</v>
      </c>
      <c r="AJ353" s="2">
        <f>Table2[[#This Row],[EV/Real]]-Table2[[#This Row],[Spread/V]]</f>
        <v>0</v>
      </c>
      <c r="AK353" s="2">
        <f>Table2[[#This Row],[SRS/Diff]]-Table2[[#This Row],[EV/Diff]]</f>
        <v>0</v>
      </c>
      <c r="AL353" s="18">
        <f>Table2[[#This Row],[SRS]]-Table2[[#This Row],[Spread]]</f>
        <v>5.1113114754098348</v>
      </c>
      <c r="AM353" s="21">
        <f>Table2[[#This Row],[(A) Err]]^2</f>
        <v>26.125504998656261</v>
      </c>
      <c r="AN353" s="6">
        <f>Table2[[#This Row],[EV]]-Table2[[#This Row],[Spread]]</f>
        <v>8.2990906995572544</v>
      </c>
      <c r="AO353" s="1">
        <f>Table2[[#This Row],[EV Err]]^2</f>
        <v>68.874906439477712</v>
      </c>
      <c r="AP353" s="1"/>
    </row>
    <row r="354" spans="1:42" x14ac:dyDescent="0.25">
      <c r="A354" s="34">
        <v>42714</v>
      </c>
      <c r="B354" t="s">
        <v>134</v>
      </c>
      <c r="C354" t="s">
        <v>111</v>
      </c>
      <c r="E354" s="21"/>
      <c r="G354" s="21"/>
      <c r="H354" s="7"/>
      <c r="I354" s="21"/>
      <c r="K354"/>
      <c r="L354" s="21">
        <f>(Table2[[#This Row],[H/Pace]]/100)*(VLOOKUP(Table2[[#This Row],[Home/Neutral]],home_lookup,8,FALSE)+VLOOKUP(Table2[[#This Row],[Home/Neutral]],OFR_lookup,2,FALSE)+VLOOKUP(Table2[[#This Row],[Visitor/Neutral]],def_diff_lookup,6,FALSE))</f>
        <v>104.68033343638193</v>
      </c>
      <c r="M354" s="21"/>
      <c r="N354" s="21">
        <f>(Table2[[#This Row],[A/Pace]]/100)*(VLOOKUP(Table2[[#This Row],[Visitor/Neutral]],OFR_lookup,2,FALSE)+VLOOKUP(Table2[[#This Row],[Home/Neutral]],def_diff_lookup,6,FALSE))</f>
        <v>102.82178</v>
      </c>
      <c r="O354" s="21"/>
      <c r="P354" s="21"/>
      <c r="Q354">
        <f>VLOOKUP(Table2[[#This Row],[Home/Neutral]],pace_lookup,7,FALSE)</f>
        <v>93.4</v>
      </c>
      <c r="R354" s="5">
        <f>VLOOKUP(Table2[[#This Row],[Visitor/Neutral]],pace_lookup,7,FALSE)</f>
        <v>102</v>
      </c>
      <c r="S354" s="7"/>
      <c r="U354" s="15"/>
      <c r="W354" s="2">
        <f>-home-VLOOKUP(Table2[[#This Row],[Home/Neutral]],rtg_vlookup,4,FALSE)+VLOOKUP(Table2[[#This Row],[Visitor/Neutral]],rtg_vlookup,4,FALSE)</f>
        <v>-18.948688524590164</v>
      </c>
      <c r="X354" s="15"/>
      <c r="Y354" s="2"/>
      <c r="Z354" s="2">
        <f>Table2[[#This Row],[A/EV]]-Table2[[#This Row],[H/EV]]</f>
        <v>-1.8585534363819249</v>
      </c>
      <c r="AA354" s="29"/>
      <c r="AB354" s="30"/>
      <c r="AC354" s="30"/>
      <c r="AD354" s="30"/>
      <c r="AE354" s="30"/>
      <c r="AF354" s="7" t="b">
        <f>IF(VLOOKUP(Table2[[#This Row],[Home/Neutral]],division_lookup,9,FALSE)=VLOOKUP(Table2[[#This Row],[Visitor/Neutral]],division_lookup,9,FALSE),TRUE,FALSE)</f>
        <v>0</v>
      </c>
      <c r="AG354" s="15" t="str">
        <f>VLOOKUP(Table2[[#This Row],[Home/Neutral]],division_lookup,9,FALSE)</f>
        <v>SW</v>
      </c>
      <c r="AH354" s="15" t="str">
        <f>IF(Table2[[#This Row],[Total/EV]]&lt;Table2[[#This Row],[Total/V]],"UNDER","OVER")</f>
        <v>OVER</v>
      </c>
      <c r="AI354" s="26">
        <f>Table2[[#This Row],[SRS/Real]]-Table2[[#This Row],[Spread/V]]</f>
        <v>0</v>
      </c>
      <c r="AJ354" s="2">
        <f>Table2[[#This Row],[EV/Real]]-Table2[[#This Row],[Spread/V]]</f>
        <v>0</v>
      </c>
      <c r="AK354" s="2">
        <f>Table2[[#This Row],[SRS/Diff]]-Table2[[#This Row],[EV/Diff]]</f>
        <v>0</v>
      </c>
      <c r="AL354" s="18">
        <f>Table2[[#This Row],[SRS]]-Table2[[#This Row],[Spread]]</f>
        <v>-18.948688524590164</v>
      </c>
      <c r="AM354" s="21">
        <f>Table2[[#This Row],[(A) Err]]^2</f>
        <v>359.05279680193496</v>
      </c>
      <c r="AN354" s="6">
        <f>Table2[[#This Row],[EV]]-Table2[[#This Row],[Spread]]</f>
        <v>-1.8585534363819249</v>
      </c>
      <c r="AO354" s="1">
        <f>Table2[[#This Row],[EV Err]]^2</f>
        <v>3.4542208758870618</v>
      </c>
      <c r="AP354" s="1"/>
    </row>
    <row r="355" spans="1:42" x14ac:dyDescent="0.25">
      <c r="A355" s="34">
        <v>42714</v>
      </c>
      <c r="B355" t="s">
        <v>136</v>
      </c>
      <c r="C355" t="s">
        <v>133</v>
      </c>
      <c r="E355" s="21"/>
      <c r="G355" s="21"/>
      <c r="H355" s="7"/>
      <c r="I355" s="21"/>
      <c r="K355"/>
      <c r="L355" s="21">
        <f>(Table2[[#This Row],[H/Pace]]/100)*(VLOOKUP(Table2[[#This Row],[Home/Neutral]],home_lookup,8,FALSE)+VLOOKUP(Table2[[#This Row],[Home/Neutral]],OFR_lookup,2,FALSE)+VLOOKUP(Table2[[#This Row],[Visitor/Neutral]],def_diff_lookup,6,FALSE))</f>
        <v>108.021735349919</v>
      </c>
      <c r="M355" s="21"/>
      <c r="N355" s="21">
        <f>(Table2[[#This Row],[A/Pace]]/100)*(VLOOKUP(Table2[[#This Row],[Visitor/Neutral]],OFR_lookup,2,FALSE)+VLOOKUP(Table2[[#This Row],[Home/Neutral]],def_diff_lookup,6,FALSE))</f>
        <v>97.483497999999997</v>
      </c>
      <c r="O355" s="21"/>
      <c r="P355" s="21"/>
      <c r="Q355">
        <f>VLOOKUP(Table2[[#This Row],[Home/Neutral]],pace_lookup,7,FALSE)</f>
        <v>91.5</v>
      </c>
      <c r="R355" s="5">
        <f>VLOOKUP(Table2[[#This Row],[Visitor/Neutral]],pace_lookup,7,FALSE)</f>
        <v>94.2</v>
      </c>
      <c r="S355" s="7"/>
      <c r="U355" s="15"/>
      <c r="W355" s="2">
        <f>-home-VLOOKUP(Table2[[#This Row],[Home/Neutral]],rtg_vlookup,4,FALSE)+VLOOKUP(Table2[[#This Row],[Visitor/Neutral]],rtg_vlookup,4,FALSE)</f>
        <v>-8.9486885245901657</v>
      </c>
      <c r="X355" s="15"/>
      <c r="Y355" s="2"/>
      <c r="Z355" s="2">
        <f>Table2[[#This Row],[A/EV]]-Table2[[#This Row],[H/EV]]</f>
        <v>-10.538237349919001</v>
      </c>
      <c r="AA355" s="29"/>
      <c r="AB355" s="30"/>
      <c r="AC355" s="30"/>
      <c r="AD355" s="30"/>
      <c r="AE355" s="30"/>
      <c r="AF355" s="7" t="b">
        <f>IF(VLOOKUP(Table2[[#This Row],[Home/Neutral]],division_lookup,9,FALSE)=VLOOKUP(Table2[[#This Row],[Visitor/Neutral]],division_lookup,9,FALSE),TRUE,FALSE)</f>
        <v>0</v>
      </c>
      <c r="AG355" s="15" t="str">
        <f>VLOOKUP(Table2[[#This Row],[Home/Neutral]],division_lookup,9,FALSE)</f>
        <v>NW</v>
      </c>
      <c r="AH355" s="15" t="str">
        <f>IF(Table2[[#This Row],[Total/EV]]&lt;Table2[[#This Row],[Total/V]],"UNDER","OVER")</f>
        <v>OVER</v>
      </c>
      <c r="AI355" s="26">
        <f>Table2[[#This Row],[SRS/Real]]-Table2[[#This Row],[Spread/V]]</f>
        <v>0</v>
      </c>
      <c r="AJ355" s="2">
        <f>Table2[[#This Row],[EV/Real]]-Table2[[#This Row],[Spread/V]]</f>
        <v>0</v>
      </c>
      <c r="AK355" s="2">
        <f>Table2[[#This Row],[SRS/Diff]]-Table2[[#This Row],[EV/Diff]]</f>
        <v>0</v>
      </c>
      <c r="AL355" s="18">
        <f>Table2[[#This Row],[SRS]]-Table2[[#This Row],[Spread]]</f>
        <v>-8.9486885245901657</v>
      </c>
      <c r="AM355" s="21">
        <f>Table2[[#This Row],[(A) Err]]^2</f>
        <v>80.079026310131724</v>
      </c>
      <c r="AN355" s="6">
        <f>Table2[[#This Row],[EV]]-Table2[[#This Row],[Spread]]</f>
        <v>-10.538237349919001</v>
      </c>
      <c r="AO355" s="1">
        <f>Table2[[#This Row],[EV Err]]^2</f>
        <v>111.05444644322785</v>
      </c>
      <c r="AP355" s="1"/>
    </row>
    <row r="356" spans="1:42" ht="15.75" thickBot="1" x14ac:dyDescent="0.3">
      <c r="A356" s="100">
        <v>42714</v>
      </c>
      <c r="B356" s="3" t="s">
        <v>137</v>
      </c>
      <c r="C356" s="3" t="s">
        <v>125</v>
      </c>
      <c r="D356" s="3"/>
      <c r="E356" s="22"/>
      <c r="F356" s="3"/>
      <c r="G356" s="22"/>
      <c r="H356" s="8"/>
      <c r="I356" s="22"/>
      <c r="J356" s="3"/>
      <c r="K356" s="3"/>
      <c r="L356" s="22">
        <f>(Table2[[#This Row],[H/Pace]]/100)*(VLOOKUP(Table2[[#This Row],[Home/Neutral]],home_lookup,8,FALSE)+VLOOKUP(Table2[[#This Row],[Home/Neutral]],OFR_lookup,2,FALSE)+VLOOKUP(Table2[[#This Row],[Visitor/Neutral]],def_diff_lookup,6,FALSE))</f>
        <v>109.88413255421871</v>
      </c>
      <c r="M356" s="22"/>
      <c r="N356" s="22">
        <f>(Table2[[#This Row],[A/Pace]]/100)*(VLOOKUP(Table2[[#This Row],[Visitor/Neutral]],OFR_lookup,2,FALSE)+VLOOKUP(Table2[[#This Row],[Home/Neutral]],def_diff_lookup,6,FALSE))</f>
        <v>105.47519566666665</v>
      </c>
      <c r="O356" s="22"/>
      <c r="P356" s="22"/>
      <c r="Q356" s="3">
        <f>VLOOKUP(Table2[[#This Row],[Home/Neutral]],pace_lookup,7,FALSE)</f>
        <v>96</v>
      </c>
      <c r="R356" s="3">
        <f>VLOOKUP(Table2[[#This Row],[Visitor/Neutral]],pace_lookup,7,FALSE)</f>
        <v>96.1</v>
      </c>
      <c r="S356" s="8"/>
      <c r="T356" s="3"/>
      <c r="U356" s="16"/>
      <c r="V356" s="3"/>
      <c r="W356" s="9">
        <f>-home-VLOOKUP(Table2[[#This Row],[Home/Neutral]],rtg_vlookup,4,FALSE)+VLOOKUP(Table2[[#This Row],[Visitor/Neutral]],rtg_vlookup,4,FALSE)</f>
        <v>-2.268688524590166</v>
      </c>
      <c r="X356" s="16"/>
      <c r="Y356" s="9"/>
      <c r="Z356" s="9">
        <f>Table2[[#This Row],[A/EV]]-Table2[[#This Row],[H/EV]]</f>
        <v>-4.4089368875520591</v>
      </c>
      <c r="AA356" s="31"/>
      <c r="AB356" s="32"/>
      <c r="AC356" s="32"/>
      <c r="AD356" s="32"/>
      <c r="AE356" s="32"/>
      <c r="AF356" s="8" t="b">
        <f>IF(VLOOKUP(Table2[[#This Row],[Home/Neutral]],division_lookup,9,FALSE)=VLOOKUP(Table2[[#This Row],[Visitor/Neutral]],division_lookup,9,FALSE),TRUE,FALSE)</f>
        <v>0</v>
      </c>
      <c r="AG356" s="16" t="str">
        <f>VLOOKUP(Table2[[#This Row],[Home/Neutral]],division_lookup,9,FALSE)</f>
        <v>SE</v>
      </c>
      <c r="AH356" s="16" t="str">
        <f>IF(Table2[[#This Row],[Total/EV]]&lt;Table2[[#This Row],[Total/V]],"UNDER","OVER")</f>
        <v>OVER</v>
      </c>
      <c r="AI356" s="16">
        <f>Table2[[#This Row],[SRS/Real]]-Table2[[#This Row],[Spread/V]]</f>
        <v>0</v>
      </c>
      <c r="AJ356" s="9">
        <f>Table2[[#This Row],[EV/Real]]-Table2[[#This Row],[Spread/V]]</f>
        <v>0</v>
      </c>
      <c r="AK356" s="9">
        <f>Table2[[#This Row],[SRS/Diff]]-Table2[[#This Row],[EV/Diff]]</f>
        <v>0</v>
      </c>
      <c r="AL356" s="19">
        <f>Table2[[#This Row],[SRS]]-Table2[[#This Row],[Spread]]</f>
        <v>-2.268688524590166</v>
      </c>
      <c r="AM356" s="22">
        <f>Table2[[#This Row],[(A) Err]]^2</f>
        <v>5.1469476216071044</v>
      </c>
      <c r="AN356" s="4">
        <f>Table2[[#This Row],[EV]]-Table2[[#This Row],[Spread]]</f>
        <v>-4.4089368875520591</v>
      </c>
      <c r="AO356" s="4">
        <f>Table2[[#This Row],[EV Err]]^2</f>
        <v>19.438724478417239</v>
      </c>
      <c r="AP356" s="1"/>
    </row>
    <row r="357" spans="1:42" x14ac:dyDescent="0.25">
      <c r="A357" s="34">
        <v>42715</v>
      </c>
      <c r="B357" t="s">
        <v>117</v>
      </c>
      <c r="C357" t="s">
        <v>138</v>
      </c>
      <c r="E357" s="21"/>
      <c r="G357" s="21"/>
      <c r="H357" s="7"/>
      <c r="I357" s="21"/>
      <c r="K357"/>
      <c r="L357" s="21">
        <f>(Table2[[#This Row],[H/Pace]]/100)*(VLOOKUP(Table2[[#This Row],[Home/Neutral]],home_lookup,8,FALSE)+VLOOKUP(Table2[[#This Row],[Home/Neutral]],OFR_lookup,2,FALSE)+VLOOKUP(Table2[[#This Row],[Visitor/Neutral]],def_diff_lookup,6,FALSE))</f>
        <v>113.85339591446429</v>
      </c>
      <c r="M357" s="21"/>
      <c r="N357" s="21">
        <f>(Table2[[#This Row],[A/Pace]]/100)*(VLOOKUP(Table2[[#This Row],[Visitor/Neutral]],OFR_lookup,2,FALSE)+VLOOKUP(Table2[[#This Row],[Home/Neutral]],def_diff_lookup,6,FALSE))</f>
        <v>92.484274999999997</v>
      </c>
      <c r="O357" s="21"/>
      <c r="P357" s="21"/>
      <c r="Q357">
        <f>VLOOKUP(Table2[[#This Row],[Home/Neutral]],pace_lookup,7,FALSE)</f>
        <v>94</v>
      </c>
      <c r="R357" s="5">
        <f>VLOOKUP(Table2[[#This Row],[Visitor/Neutral]],pace_lookup,7,FALSE)</f>
        <v>97.5</v>
      </c>
      <c r="S357" s="7"/>
      <c r="U357" s="15"/>
      <c r="W357" s="2">
        <f>-home-VLOOKUP(Table2[[#This Row],[Home/Neutral]],rtg_vlookup,4,FALSE)+VLOOKUP(Table2[[#This Row],[Visitor/Neutral]],rtg_vlookup,4,FALSE)</f>
        <v>-13.978688524590167</v>
      </c>
      <c r="X357" s="15"/>
      <c r="Y357" s="2"/>
      <c r="Z357" s="2">
        <f>Table2[[#This Row],[A/EV]]-Table2[[#This Row],[H/EV]]</f>
        <v>-21.36912091446429</v>
      </c>
      <c r="AA357" s="29"/>
      <c r="AB357" s="30"/>
      <c r="AC357" s="30"/>
      <c r="AD357" s="30"/>
      <c r="AE357" s="30"/>
      <c r="AF357" s="7" t="b">
        <f>IF(VLOOKUP(Table2[[#This Row],[Home/Neutral]],division_lookup,9,FALSE)=VLOOKUP(Table2[[#This Row],[Visitor/Neutral]],division_lookup,9,FALSE),TRUE,FALSE)</f>
        <v>0</v>
      </c>
      <c r="AG357" s="15" t="str">
        <f>VLOOKUP(Table2[[#This Row],[Home/Neutral]],division_lookup,9,FALSE)</f>
        <v>C</v>
      </c>
      <c r="AH357" s="15" t="str">
        <f>IF(Table2[[#This Row],[Total/EV]]&lt;Table2[[#This Row],[Total/V]],"UNDER","OVER")</f>
        <v>OVER</v>
      </c>
      <c r="AI357" s="26">
        <f>Table2[[#This Row],[SRS/Real]]-Table2[[#This Row],[Spread/V]]</f>
        <v>0</v>
      </c>
      <c r="AJ357" s="2">
        <f>Table2[[#This Row],[EV/Real]]-Table2[[#This Row],[Spread/V]]</f>
        <v>0</v>
      </c>
      <c r="AK357" s="2">
        <f>Table2[[#This Row],[SRS/Diff]]-Table2[[#This Row],[EV/Diff]]</f>
        <v>0</v>
      </c>
      <c r="AL357" s="18">
        <f>Table2[[#This Row],[SRS]]-Table2[[#This Row],[Spread]]</f>
        <v>-13.978688524590167</v>
      </c>
      <c r="AM357" s="21">
        <f>Table2[[#This Row],[(A) Err]]^2</f>
        <v>195.40373286750881</v>
      </c>
      <c r="AN357" s="6">
        <f>Table2[[#This Row],[EV]]-Table2[[#This Row],[Spread]]</f>
        <v>-21.36912091446429</v>
      </c>
      <c r="AO357" s="1">
        <f>Table2[[#This Row],[EV Err]]^2</f>
        <v>456.63932865699513</v>
      </c>
      <c r="AP357" s="1"/>
    </row>
    <row r="358" spans="1:42" x14ac:dyDescent="0.25">
      <c r="A358" s="34">
        <v>42715</v>
      </c>
      <c r="B358" t="s">
        <v>122</v>
      </c>
      <c r="C358" t="s">
        <v>128</v>
      </c>
      <c r="E358" s="21"/>
      <c r="G358" s="21"/>
      <c r="H358" s="7"/>
      <c r="I358" s="21"/>
      <c r="K358"/>
      <c r="L358" s="21">
        <f>(Table2[[#This Row],[H/Pace]]/100)*(VLOOKUP(Table2[[#This Row],[Home/Neutral]],home_lookup,8,FALSE)+VLOOKUP(Table2[[#This Row],[Home/Neutral]],OFR_lookup,2,FALSE)+VLOOKUP(Table2[[#This Row],[Visitor/Neutral]],def_diff_lookup,6,FALSE))</f>
        <v>112.95426832744732</v>
      </c>
      <c r="M358" s="21"/>
      <c r="N358" s="21">
        <f>(Table2[[#This Row],[A/Pace]]/100)*(VLOOKUP(Table2[[#This Row],[Visitor/Neutral]],OFR_lookup,2,FALSE)+VLOOKUP(Table2[[#This Row],[Home/Neutral]],def_diff_lookup,6,FALSE))</f>
        <v>108.33332699999998</v>
      </c>
      <c r="O358" s="21"/>
      <c r="P358" s="21"/>
      <c r="Q358">
        <f>VLOOKUP(Table2[[#This Row],[Home/Neutral]],pace_lookup,7,FALSE)</f>
        <v>100.2</v>
      </c>
      <c r="R358" s="5">
        <f>VLOOKUP(Table2[[#This Row],[Visitor/Neutral]],pace_lookup,7,FALSE)</f>
        <v>96.3</v>
      </c>
      <c r="S358" s="7"/>
      <c r="U358" s="15"/>
      <c r="W358" s="2">
        <f>-home-VLOOKUP(Table2[[#This Row],[Home/Neutral]],rtg_vlookup,4,FALSE)+VLOOKUP(Table2[[#This Row],[Visitor/Neutral]],rtg_vlookup,4,FALSE)</f>
        <v>-2.3886885245901657</v>
      </c>
      <c r="X358" s="15"/>
      <c r="Y358" s="2"/>
      <c r="Z358" s="2">
        <f>Table2[[#This Row],[A/EV]]-Table2[[#This Row],[H/EV]]</f>
        <v>-4.6209413274473405</v>
      </c>
      <c r="AA358" s="29"/>
      <c r="AB358" s="30"/>
      <c r="AC358" s="30"/>
      <c r="AD358" s="30"/>
      <c r="AE358" s="30"/>
      <c r="AF358" s="7" t="b">
        <f>IF(VLOOKUP(Table2[[#This Row],[Home/Neutral]],division_lookup,9,FALSE)=VLOOKUP(Table2[[#This Row],[Visitor/Neutral]],division_lookup,9,FALSE),TRUE,FALSE)</f>
        <v>0</v>
      </c>
      <c r="AG358" s="15" t="str">
        <f>VLOOKUP(Table2[[#This Row],[Home/Neutral]],division_lookup,9,FALSE)</f>
        <v>P</v>
      </c>
      <c r="AH358" s="15" t="str">
        <f>IF(Table2[[#This Row],[Total/EV]]&lt;Table2[[#This Row],[Total/V]],"UNDER","OVER")</f>
        <v>OVER</v>
      </c>
      <c r="AI358" s="26">
        <f>Table2[[#This Row],[SRS/Real]]-Table2[[#This Row],[Spread/V]]</f>
        <v>0</v>
      </c>
      <c r="AJ358" s="2">
        <f>Table2[[#This Row],[EV/Real]]-Table2[[#This Row],[Spread/V]]</f>
        <v>0</v>
      </c>
      <c r="AK358" s="2">
        <f>Table2[[#This Row],[SRS/Diff]]-Table2[[#This Row],[EV/Diff]]</f>
        <v>0</v>
      </c>
      <c r="AL358" s="18">
        <f>Table2[[#This Row],[SRS]]-Table2[[#This Row],[Spread]]</f>
        <v>-2.3886885245901657</v>
      </c>
      <c r="AM358" s="21">
        <f>Table2[[#This Row],[(A) Err]]^2</f>
        <v>5.7058328675087422</v>
      </c>
      <c r="AN358" s="6">
        <f>Table2[[#This Row],[EV]]-Table2[[#This Row],[Spread]]</f>
        <v>-4.6209413274473405</v>
      </c>
      <c r="AO358" s="1">
        <f>Table2[[#This Row],[EV Err]]^2</f>
        <v>21.353098751710789</v>
      </c>
      <c r="AP358" s="1"/>
    </row>
    <row r="359" spans="1:42" x14ac:dyDescent="0.25">
      <c r="A359" s="34">
        <v>42715</v>
      </c>
      <c r="B359" t="s">
        <v>126</v>
      </c>
      <c r="C359" t="s">
        <v>118</v>
      </c>
      <c r="E359" s="21"/>
      <c r="G359" s="21"/>
      <c r="H359" s="7"/>
      <c r="I359" s="21"/>
      <c r="K359"/>
      <c r="L359" s="21">
        <f>(Table2[[#This Row],[H/Pace]]/100)*(VLOOKUP(Table2[[#This Row],[Home/Neutral]],home_lookup,8,FALSE)+VLOOKUP(Table2[[#This Row],[Home/Neutral]],OFR_lookup,2,FALSE)+VLOOKUP(Table2[[#This Row],[Visitor/Neutral]],def_diff_lookup,6,FALSE))</f>
        <v>113.81147777050786</v>
      </c>
      <c r="M359" s="21"/>
      <c r="N359" s="21">
        <f>(Table2[[#This Row],[A/Pace]]/100)*(VLOOKUP(Table2[[#This Row],[Visitor/Neutral]],OFR_lookup,2,FALSE)+VLOOKUP(Table2[[#This Row],[Home/Neutral]],def_diff_lookup,6,FALSE))</f>
        <v>120.62624933333332</v>
      </c>
      <c r="O359" s="21"/>
      <c r="P359" s="21"/>
      <c r="Q359">
        <f>VLOOKUP(Table2[[#This Row],[Home/Neutral]],pace_lookup,7,FALSE)</f>
        <v>95.7</v>
      </c>
      <c r="R359" s="5">
        <f>VLOOKUP(Table2[[#This Row],[Visitor/Neutral]],pace_lookup,7,FALSE)</f>
        <v>100.4</v>
      </c>
      <c r="S359" s="7"/>
      <c r="U359" s="15"/>
      <c r="W359" s="2">
        <f>-home-VLOOKUP(Table2[[#This Row],[Home/Neutral]],rtg_vlookup,4,FALSE)+VLOOKUP(Table2[[#This Row],[Visitor/Neutral]],rtg_vlookup,4,FALSE)</f>
        <v>9.8213114754098338</v>
      </c>
      <c r="X359" s="15"/>
      <c r="Y359" s="2"/>
      <c r="Z359" s="2">
        <f>Table2[[#This Row],[A/EV]]-Table2[[#This Row],[H/EV]]</f>
        <v>6.8147715628254559</v>
      </c>
      <c r="AA359" s="29"/>
      <c r="AB359" s="30"/>
      <c r="AC359" s="30"/>
      <c r="AD359" s="30"/>
      <c r="AE359" s="30"/>
      <c r="AF359" s="7" t="b">
        <f>IF(VLOOKUP(Table2[[#This Row],[Home/Neutral]],division_lookup,9,FALSE)=VLOOKUP(Table2[[#This Row],[Visitor/Neutral]],division_lookup,9,FALSE),TRUE,FALSE)</f>
        <v>0</v>
      </c>
      <c r="AG359" s="15" t="str">
        <f>VLOOKUP(Table2[[#This Row],[Home/Neutral]],division_lookup,9,FALSE)</f>
        <v>NW</v>
      </c>
      <c r="AH359" s="15" t="str">
        <f>IF(Table2[[#This Row],[Total/EV]]&lt;Table2[[#This Row],[Total/V]],"UNDER","OVER")</f>
        <v>OVER</v>
      </c>
      <c r="AI359" s="26">
        <f>Table2[[#This Row],[SRS/Real]]-Table2[[#This Row],[Spread/V]]</f>
        <v>0</v>
      </c>
      <c r="AJ359" s="2">
        <f>Table2[[#This Row],[EV/Real]]-Table2[[#This Row],[Spread/V]]</f>
        <v>0</v>
      </c>
      <c r="AK359" s="2">
        <f>Table2[[#This Row],[SRS/Diff]]-Table2[[#This Row],[EV/Diff]]</f>
        <v>0</v>
      </c>
      <c r="AL359" s="18">
        <f>Table2[[#This Row],[SRS]]-Table2[[#This Row],[Spread]]</f>
        <v>9.8213114754098338</v>
      </c>
      <c r="AM359" s="21">
        <f>Table2[[#This Row],[(A) Err]]^2</f>
        <v>96.458159097016889</v>
      </c>
      <c r="AN359" s="6">
        <f>Table2[[#This Row],[EV]]-Table2[[#This Row],[Spread]]</f>
        <v>6.8147715628254559</v>
      </c>
      <c r="AO359" s="1">
        <f>Table2[[#This Row],[EV Err]]^2</f>
        <v>46.441111453494507</v>
      </c>
      <c r="AP359" s="1"/>
    </row>
    <row r="360" spans="1:42" x14ac:dyDescent="0.25">
      <c r="A360" s="34">
        <v>42715</v>
      </c>
      <c r="B360" t="s">
        <v>129</v>
      </c>
      <c r="C360" t="s">
        <v>110</v>
      </c>
      <c r="E360" s="21"/>
      <c r="G360" s="21"/>
      <c r="H360" s="7"/>
      <c r="I360" s="21"/>
      <c r="K360"/>
      <c r="L360" s="21">
        <f>(Table2[[#This Row],[H/Pace]]/100)*(VLOOKUP(Table2[[#This Row],[Home/Neutral]],home_lookup,8,FALSE)+VLOOKUP(Table2[[#This Row],[Home/Neutral]],OFR_lookup,2,FALSE)+VLOOKUP(Table2[[#This Row],[Visitor/Neutral]],def_diff_lookup,6,FALSE))</f>
        <v>108.12410376890108</v>
      </c>
      <c r="M360" s="21"/>
      <c r="N360" s="21">
        <f>(Table2[[#This Row],[A/Pace]]/100)*(VLOOKUP(Table2[[#This Row],[Visitor/Neutral]],OFR_lookup,2,FALSE)+VLOOKUP(Table2[[#This Row],[Home/Neutral]],def_diff_lookup,6,FALSE))</f>
        <v>101.90049133333335</v>
      </c>
      <c r="O360" s="21"/>
      <c r="P360" s="21"/>
      <c r="Q360">
        <f>VLOOKUP(Table2[[#This Row],[Home/Neutral]],pace_lookup,7,FALSE)</f>
        <v>99</v>
      </c>
      <c r="R360" s="5">
        <f>VLOOKUP(Table2[[#This Row],[Visitor/Neutral]],pace_lookup,7,FALSE)</f>
        <v>96.2</v>
      </c>
      <c r="S360" s="7"/>
      <c r="U360" s="15"/>
      <c r="W360" s="2">
        <f>-home-VLOOKUP(Table2[[#This Row],[Home/Neutral]],rtg_vlookup,4,FALSE)+VLOOKUP(Table2[[#This Row],[Visitor/Neutral]],rtg_vlookup,4,FALSE)</f>
        <v>-3.8086885245901656</v>
      </c>
      <c r="X360" s="15"/>
      <c r="Y360" s="2"/>
      <c r="Z360" s="2">
        <f>Table2[[#This Row],[A/EV]]-Table2[[#This Row],[H/EV]]</f>
        <v>-6.2236124355677305</v>
      </c>
      <c r="AA360" s="29"/>
      <c r="AB360" s="30"/>
      <c r="AC360" s="30"/>
      <c r="AD360" s="30"/>
      <c r="AE360" s="30"/>
      <c r="AF360" s="7" t="b">
        <f>IF(VLOOKUP(Table2[[#This Row],[Home/Neutral]],division_lookup,9,FALSE)=VLOOKUP(Table2[[#This Row],[Visitor/Neutral]],division_lookup,9,FALSE),TRUE,FALSE)</f>
        <v>0</v>
      </c>
      <c r="AG360" s="15" t="str">
        <f>VLOOKUP(Table2[[#This Row],[Home/Neutral]],division_lookup,9,FALSE)</f>
        <v>NW</v>
      </c>
      <c r="AH360" s="15" t="str">
        <f>IF(Table2[[#This Row],[Total/EV]]&lt;Table2[[#This Row],[Total/V]],"UNDER","OVER")</f>
        <v>OVER</v>
      </c>
      <c r="AI360" s="26">
        <f>Table2[[#This Row],[SRS/Real]]-Table2[[#This Row],[Spread/V]]</f>
        <v>0</v>
      </c>
      <c r="AJ360" s="2">
        <f>Table2[[#This Row],[EV/Real]]-Table2[[#This Row],[Spread/V]]</f>
        <v>0</v>
      </c>
      <c r="AK360" s="2">
        <f>Table2[[#This Row],[SRS/Diff]]-Table2[[#This Row],[EV/Diff]]</f>
        <v>0</v>
      </c>
      <c r="AL360" s="18">
        <f>Table2[[#This Row],[SRS]]-Table2[[#This Row],[Spread]]</f>
        <v>-3.8086885245901656</v>
      </c>
      <c r="AM360" s="21">
        <f>Table2[[#This Row],[(A) Err]]^2</f>
        <v>14.506108277344813</v>
      </c>
      <c r="AN360" s="6">
        <f>Table2[[#This Row],[EV]]-Table2[[#This Row],[Spread]]</f>
        <v>-6.2236124355677305</v>
      </c>
      <c r="AO360" s="1">
        <f>Table2[[#This Row],[EV Err]]^2</f>
        <v>38.733351748153297</v>
      </c>
      <c r="AP360" s="1"/>
    </row>
    <row r="361" spans="1:42" ht="15.75" thickBot="1" x14ac:dyDescent="0.3">
      <c r="A361" s="100">
        <v>42715</v>
      </c>
      <c r="B361" s="3" t="s">
        <v>131</v>
      </c>
      <c r="C361" s="3" t="s">
        <v>127</v>
      </c>
      <c r="D361" s="3"/>
      <c r="E361" s="22"/>
      <c r="F361" s="3"/>
      <c r="G361" s="22"/>
      <c r="H361" s="8"/>
      <c r="I361" s="22"/>
      <c r="J361" s="3"/>
      <c r="K361" s="3"/>
      <c r="L361" s="22">
        <f>(Table2[[#This Row],[H/Pace]]/100)*(VLOOKUP(Table2[[#This Row],[Home/Neutral]],home_lookup,8,FALSE)+VLOOKUP(Table2[[#This Row],[Home/Neutral]],OFR_lookup,2,FALSE)+VLOOKUP(Table2[[#This Row],[Visitor/Neutral]],def_diff_lookup,6,FALSE))</f>
        <v>95.641729791197648</v>
      </c>
      <c r="M361" s="22"/>
      <c r="N361" s="22">
        <f>(Table2[[#This Row],[A/Pace]]/100)*(VLOOKUP(Table2[[#This Row],[Visitor/Neutral]],OFR_lookup,2,FALSE)+VLOOKUP(Table2[[#This Row],[Home/Neutral]],def_diff_lookup,6,FALSE))</f>
        <v>103.09888699999999</v>
      </c>
      <c r="O361" s="22"/>
      <c r="P361" s="22"/>
      <c r="Q361" s="3">
        <f>VLOOKUP(Table2[[#This Row],[Home/Neutral]],pace_lookup,7,FALSE)</f>
        <v>101.7</v>
      </c>
      <c r="R361" s="3">
        <f>VLOOKUP(Table2[[#This Row],[Visitor/Neutral]],pace_lookup,7,FALSE)</f>
        <v>99.3</v>
      </c>
      <c r="S361" s="8"/>
      <c r="T361" s="3"/>
      <c r="U361" s="16"/>
      <c r="V361" s="3"/>
      <c r="W361" s="9">
        <f>-home-VLOOKUP(Table2[[#This Row],[Home/Neutral]],rtg_vlookup,4,FALSE)+VLOOKUP(Table2[[#This Row],[Visitor/Neutral]],rtg_vlookup,4,FALSE)</f>
        <v>0.94131147540983395</v>
      </c>
      <c r="X361" s="16"/>
      <c r="Y361" s="9"/>
      <c r="Z361" s="9">
        <f>Table2[[#This Row],[A/EV]]-Table2[[#This Row],[H/EV]]</f>
        <v>7.457157208802343</v>
      </c>
      <c r="AA361" s="31"/>
      <c r="AB361" s="32"/>
      <c r="AC361" s="32"/>
      <c r="AD361" s="32"/>
      <c r="AE361" s="32"/>
      <c r="AF361" s="8" t="b">
        <f>IF(VLOOKUP(Table2[[#This Row],[Home/Neutral]],division_lookup,9,FALSE)=VLOOKUP(Table2[[#This Row],[Visitor/Neutral]],division_lookup,9,FALSE),TRUE,FALSE)</f>
        <v>0</v>
      </c>
      <c r="AG361" s="16" t="str">
        <f>VLOOKUP(Table2[[#This Row],[Home/Neutral]],division_lookup,9,FALSE)</f>
        <v>P</v>
      </c>
      <c r="AH361" s="16" t="str">
        <f>IF(Table2[[#This Row],[Total/EV]]&lt;Table2[[#This Row],[Total/V]],"UNDER","OVER")</f>
        <v>OVER</v>
      </c>
      <c r="AI361" s="16">
        <f>Table2[[#This Row],[SRS/Real]]-Table2[[#This Row],[Spread/V]]</f>
        <v>0</v>
      </c>
      <c r="AJ361" s="9">
        <f>Table2[[#This Row],[EV/Real]]-Table2[[#This Row],[Spread/V]]</f>
        <v>0</v>
      </c>
      <c r="AK361" s="9">
        <f>Table2[[#This Row],[SRS/Diff]]-Table2[[#This Row],[EV/Diff]]</f>
        <v>0</v>
      </c>
      <c r="AL361" s="19">
        <f>Table2[[#This Row],[SRS]]-Table2[[#This Row],[Spread]]</f>
        <v>0.94131147540983395</v>
      </c>
      <c r="AM361" s="22">
        <f>Table2[[#This Row],[(A) Err]]^2</f>
        <v>0.88606729373823845</v>
      </c>
      <c r="AN361" s="4">
        <f>Table2[[#This Row],[EV]]-Table2[[#This Row],[Spread]]</f>
        <v>7.457157208802343</v>
      </c>
      <c r="AO361" s="4">
        <f>Table2[[#This Row],[EV Err]]^2</f>
        <v>55.609193636792753</v>
      </c>
      <c r="AP361" s="1"/>
    </row>
    <row r="362" spans="1:42" x14ac:dyDescent="0.25">
      <c r="A362" s="34">
        <v>42716</v>
      </c>
      <c r="B362" t="s">
        <v>115</v>
      </c>
      <c r="C362" t="s">
        <v>116</v>
      </c>
      <c r="E362" s="21"/>
      <c r="G362" s="21"/>
      <c r="H362" s="7"/>
      <c r="I362" s="21"/>
      <c r="K362"/>
      <c r="L362" s="21">
        <f>(Table2[[#This Row],[H/Pace]]/100)*(VLOOKUP(Table2[[#This Row],[Home/Neutral]],home_lookup,8,FALSE)+VLOOKUP(Table2[[#This Row],[Home/Neutral]],OFR_lookup,2,FALSE)+VLOOKUP(Table2[[#This Row],[Visitor/Neutral]],def_diff_lookup,6,FALSE))</f>
        <v>95.647213115967759</v>
      </c>
      <c r="M362" s="21"/>
      <c r="N362" s="21">
        <f>(Table2[[#This Row],[A/Pace]]/100)*(VLOOKUP(Table2[[#This Row],[Visitor/Neutral]],OFR_lookup,2,FALSE)+VLOOKUP(Table2[[#This Row],[Home/Neutral]],def_diff_lookup,6,FALSE))</f>
        <v>104.52638566666667</v>
      </c>
      <c r="O362" s="21"/>
      <c r="P362" s="21"/>
      <c r="Q362">
        <f>VLOOKUP(Table2[[#This Row],[Home/Neutral]],pace_lookup,7,FALSE)</f>
        <v>92.9</v>
      </c>
      <c r="R362" s="5">
        <f>VLOOKUP(Table2[[#This Row],[Visitor/Neutral]],pace_lookup,7,FALSE)</f>
        <v>99.1</v>
      </c>
      <c r="S362" s="7"/>
      <c r="U362" s="15"/>
      <c r="W362" s="2">
        <f>-home-VLOOKUP(Table2[[#This Row],[Home/Neutral]],rtg_vlookup,4,FALSE)+VLOOKUP(Table2[[#This Row],[Visitor/Neutral]],rtg_vlookup,4,FALSE)</f>
        <v>5.3413114754098334</v>
      </c>
      <c r="X362" s="15"/>
      <c r="Y362" s="2"/>
      <c r="Z362" s="2">
        <f>Table2[[#This Row],[A/EV]]-Table2[[#This Row],[H/EV]]</f>
        <v>8.879172550698911</v>
      </c>
      <c r="AA362" s="29"/>
      <c r="AB362" s="30"/>
      <c r="AC362" s="30"/>
      <c r="AD362" s="30"/>
      <c r="AE362" s="30"/>
      <c r="AF362" s="7" t="b">
        <f>IF(VLOOKUP(Table2[[#This Row],[Home/Neutral]],division_lookup,9,FALSE)=VLOOKUP(Table2[[#This Row],[Visitor/Neutral]],division_lookup,9,FALSE),TRUE,FALSE)</f>
        <v>0</v>
      </c>
      <c r="AG362" s="15" t="str">
        <f>VLOOKUP(Table2[[#This Row],[Home/Neutral]],division_lookup,9,FALSE)</f>
        <v>SW</v>
      </c>
      <c r="AH362" s="15" t="str">
        <f>IF(Table2[[#This Row],[Total/EV]]&lt;Table2[[#This Row],[Total/V]],"UNDER","OVER")</f>
        <v>OVER</v>
      </c>
      <c r="AI362" s="26">
        <f>Table2[[#This Row],[SRS/Real]]-Table2[[#This Row],[Spread/V]]</f>
        <v>0</v>
      </c>
      <c r="AJ362" s="2">
        <f>Table2[[#This Row],[EV/Real]]-Table2[[#This Row],[Spread/V]]</f>
        <v>0</v>
      </c>
      <c r="AK362" s="2">
        <f>Table2[[#This Row],[SRS/Diff]]-Table2[[#This Row],[EV/Diff]]</f>
        <v>0</v>
      </c>
      <c r="AL362" s="18">
        <f>Table2[[#This Row],[SRS]]-Table2[[#This Row],[Spread]]</f>
        <v>5.3413114754098334</v>
      </c>
      <c r="AM362" s="21">
        <f>Table2[[#This Row],[(A) Err]]^2</f>
        <v>28.529608277344771</v>
      </c>
      <c r="AN362" s="6">
        <f>Table2[[#This Row],[EV]]-Table2[[#This Row],[Spread]]</f>
        <v>8.879172550698911</v>
      </c>
      <c r="AO362" s="1">
        <f>Table2[[#This Row],[EV Err]]^2</f>
        <v>78.839705185085009</v>
      </c>
      <c r="AP362" s="1"/>
    </row>
    <row r="363" spans="1:42" x14ac:dyDescent="0.25">
      <c r="A363" s="34">
        <v>42716</v>
      </c>
      <c r="B363" t="s">
        <v>119</v>
      </c>
      <c r="C363" t="s">
        <v>111</v>
      </c>
      <c r="E363" s="21"/>
      <c r="G363" s="21"/>
      <c r="H363" s="7"/>
      <c r="I363" s="21"/>
      <c r="K363"/>
      <c r="L363" s="21">
        <f>(Table2[[#This Row],[H/Pace]]/100)*(VLOOKUP(Table2[[#This Row],[Home/Neutral]],home_lookup,8,FALSE)+VLOOKUP(Table2[[#This Row],[Home/Neutral]],OFR_lookup,2,FALSE)+VLOOKUP(Table2[[#This Row],[Visitor/Neutral]],def_diff_lookup,6,FALSE))</f>
        <v>113.06682376977628</v>
      </c>
      <c r="M363" s="21"/>
      <c r="N363" s="21">
        <f>(Table2[[#This Row],[A/Pace]]/100)*(VLOOKUP(Table2[[#This Row],[Visitor/Neutral]],OFR_lookup,2,FALSE)+VLOOKUP(Table2[[#This Row],[Home/Neutral]],def_diff_lookup,6,FALSE))</f>
        <v>106.98338</v>
      </c>
      <c r="O363" s="21"/>
      <c r="P363" s="21"/>
      <c r="Q363">
        <f>VLOOKUP(Table2[[#This Row],[Home/Neutral]],pace_lookup,7,FALSE)</f>
        <v>96.9</v>
      </c>
      <c r="R363" s="5">
        <f>VLOOKUP(Table2[[#This Row],[Visitor/Neutral]],pace_lookup,7,FALSE)</f>
        <v>102</v>
      </c>
      <c r="S363" s="7"/>
      <c r="U363" s="15"/>
      <c r="W363" s="2">
        <f>-home-VLOOKUP(Table2[[#This Row],[Home/Neutral]],rtg_vlookup,4,FALSE)+VLOOKUP(Table2[[#This Row],[Visitor/Neutral]],rtg_vlookup,4,FALSE)</f>
        <v>-15.238688524590165</v>
      </c>
      <c r="X363" s="15"/>
      <c r="Y363" s="2"/>
      <c r="Z363" s="2">
        <f>Table2[[#This Row],[A/EV]]-Table2[[#This Row],[H/EV]]</f>
        <v>-6.0834437697762809</v>
      </c>
      <c r="AA363" s="29"/>
      <c r="AB363" s="30"/>
      <c r="AC363" s="30"/>
      <c r="AD363" s="30"/>
      <c r="AE363" s="30"/>
      <c r="AF363" s="7" t="b">
        <f>IF(VLOOKUP(Table2[[#This Row],[Home/Neutral]],division_lookup,9,FALSE)=VLOOKUP(Table2[[#This Row],[Visitor/Neutral]],division_lookup,9,FALSE),TRUE,FALSE)</f>
        <v>0</v>
      </c>
      <c r="AG363" s="15" t="str">
        <f>VLOOKUP(Table2[[#This Row],[Home/Neutral]],division_lookup,9,FALSE)</f>
        <v>SW</v>
      </c>
      <c r="AH363" s="15" t="str">
        <f>IF(Table2[[#This Row],[Total/EV]]&lt;Table2[[#This Row],[Total/V]],"UNDER","OVER")</f>
        <v>OVER</v>
      </c>
      <c r="AI363" s="26">
        <f>Table2[[#This Row],[SRS/Real]]-Table2[[#This Row],[Spread/V]]</f>
        <v>0</v>
      </c>
      <c r="AJ363" s="2">
        <f>Table2[[#This Row],[EV/Real]]-Table2[[#This Row],[Spread/V]]</f>
        <v>0</v>
      </c>
      <c r="AK363" s="2">
        <f>Table2[[#This Row],[SRS/Diff]]-Table2[[#This Row],[EV/Diff]]</f>
        <v>0</v>
      </c>
      <c r="AL363" s="18">
        <f>Table2[[#This Row],[SRS]]-Table2[[#This Row],[Spread]]</f>
        <v>-15.238688524590165</v>
      </c>
      <c r="AM363" s="21">
        <f>Table2[[#This Row],[(A) Err]]^2</f>
        <v>232.21762794947597</v>
      </c>
      <c r="AN363" s="6">
        <f>Table2[[#This Row],[EV]]-Table2[[#This Row],[Spread]]</f>
        <v>-6.0834437697762809</v>
      </c>
      <c r="AO363" s="1">
        <f>Table2[[#This Row],[EV Err]]^2</f>
        <v>37.008288100029844</v>
      </c>
      <c r="AP363" s="1"/>
    </row>
    <row r="364" spans="1:42" x14ac:dyDescent="0.25">
      <c r="A364" s="34">
        <v>42716</v>
      </c>
      <c r="B364" t="s">
        <v>120</v>
      </c>
      <c r="C364" t="s">
        <v>112</v>
      </c>
      <c r="E364" s="21"/>
      <c r="G364" s="21"/>
      <c r="H364" s="7"/>
      <c r="I364" s="21"/>
      <c r="K364"/>
      <c r="L364" s="21">
        <f>(Table2[[#This Row],[H/Pace]]/100)*(VLOOKUP(Table2[[#This Row],[Home/Neutral]],home_lookup,8,FALSE)+VLOOKUP(Table2[[#This Row],[Home/Neutral]],OFR_lookup,2,FALSE)+VLOOKUP(Table2[[#This Row],[Visitor/Neutral]],def_diff_lookup,6,FALSE))</f>
        <v>105.0715454293086</v>
      </c>
      <c r="M364" s="21"/>
      <c r="N364" s="21">
        <f>(Table2[[#This Row],[A/Pace]]/100)*(VLOOKUP(Table2[[#This Row],[Visitor/Neutral]],OFR_lookup,2,FALSE)+VLOOKUP(Table2[[#This Row],[Home/Neutral]],def_diff_lookup,6,FALSE))</f>
        <v>106.68773933333334</v>
      </c>
      <c r="O364" s="21"/>
      <c r="P364" s="21"/>
      <c r="Q364">
        <f>VLOOKUP(Table2[[#This Row],[Home/Neutral]],pace_lookup,7,FALSE)</f>
        <v>98.3</v>
      </c>
      <c r="R364" s="5">
        <f>VLOOKUP(Table2[[#This Row],[Visitor/Neutral]],pace_lookup,7,FALSE)</f>
        <v>97.4</v>
      </c>
      <c r="S364" s="7"/>
      <c r="U364" s="15"/>
      <c r="W364" s="2">
        <f>-home-VLOOKUP(Table2[[#This Row],[Home/Neutral]],rtg_vlookup,4,FALSE)+VLOOKUP(Table2[[#This Row],[Visitor/Neutral]],rtg_vlookup,4,FALSE)</f>
        <v>3.9613114754098344</v>
      </c>
      <c r="X364" s="15"/>
      <c r="Y364" s="2"/>
      <c r="Z364" s="2">
        <f>Table2[[#This Row],[A/EV]]-Table2[[#This Row],[H/EV]]</f>
        <v>1.6161939040247404</v>
      </c>
      <c r="AA364" s="29"/>
      <c r="AB364" s="30"/>
      <c r="AC364" s="30"/>
      <c r="AD364" s="30"/>
      <c r="AE364" s="30"/>
      <c r="AF364" s="7" t="b">
        <f>IF(VLOOKUP(Table2[[#This Row],[Home/Neutral]],division_lookup,9,FALSE)=VLOOKUP(Table2[[#This Row],[Visitor/Neutral]],division_lookup,9,FALSE),TRUE,FALSE)</f>
        <v>0</v>
      </c>
      <c r="AG364" s="15" t="str">
        <f>VLOOKUP(Table2[[#This Row],[Home/Neutral]],division_lookup,9,FALSE)</f>
        <v>C</v>
      </c>
      <c r="AH364" s="15" t="str">
        <f>IF(Table2[[#This Row],[Total/EV]]&lt;Table2[[#This Row],[Total/V]],"UNDER","OVER")</f>
        <v>OVER</v>
      </c>
      <c r="AI364" s="26">
        <f>Table2[[#This Row],[SRS/Real]]-Table2[[#This Row],[Spread/V]]</f>
        <v>0</v>
      </c>
      <c r="AJ364" s="2">
        <f>Table2[[#This Row],[EV/Real]]-Table2[[#This Row],[Spread/V]]</f>
        <v>0</v>
      </c>
      <c r="AK364" s="2">
        <f>Table2[[#This Row],[SRS/Diff]]-Table2[[#This Row],[EV/Diff]]</f>
        <v>0</v>
      </c>
      <c r="AL364" s="18">
        <f>Table2[[#This Row],[SRS]]-Table2[[#This Row],[Spread]]</f>
        <v>3.9613114754098344</v>
      </c>
      <c r="AM364" s="21">
        <f>Table2[[#This Row],[(A) Err]]^2</f>
        <v>15.691988605213639</v>
      </c>
      <c r="AN364" s="6">
        <f>Table2[[#This Row],[EV]]-Table2[[#This Row],[Spread]]</f>
        <v>1.6161939040247404</v>
      </c>
      <c r="AO364" s="1">
        <f>Table2[[#This Row],[EV Err]]^2</f>
        <v>2.612082735406732</v>
      </c>
      <c r="AP364" s="1"/>
    </row>
    <row r="365" spans="1:42" x14ac:dyDescent="0.25">
      <c r="A365" s="34">
        <v>42716</v>
      </c>
      <c r="B365" t="s">
        <v>121</v>
      </c>
      <c r="C365" t="s">
        <v>132</v>
      </c>
      <c r="E365" s="21"/>
      <c r="G365" s="21"/>
      <c r="H365" s="7"/>
      <c r="I365" s="21"/>
      <c r="K365"/>
      <c r="L365" s="21">
        <f>(Table2[[#This Row],[H/Pace]]/100)*(VLOOKUP(Table2[[#This Row],[Home/Neutral]],home_lookup,8,FALSE)+VLOOKUP(Table2[[#This Row],[Home/Neutral]],OFR_lookup,2,FALSE)+VLOOKUP(Table2[[#This Row],[Visitor/Neutral]],def_diff_lookup,6,FALSE))</f>
        <v>119.20168060751253</v>
      </c>
      <c r="M365" s="21"/>
      <c r="N365" s="21">
        <f>(Table2[[#This Row],[A/Pace]]/100)*(VLOOKUP(Table2[[#This Row],[Visitor/Neutral]],OFR_lookup,2,FALSE)+VLOOKUP(Table2[[#This Row],[Home/Neutral]],def_diff_lookup,6,FALSE))</f>
        <v>104.19019866666667</v>
      </c>
      <c r="O365" s="21"/>
      <c r="P365" s="21"/>
      <c r="Q365">
        <f>VLOOKUP(Table2[[#This Row],[Home/Neutral]],pace_lookup,7,FALSE)</f>
        <v>96.4</v>
      </c>
      <c r="R365" s="5">
        <f>VLOOKUP(Table2[[#This Row],[Visitor/Neutral]],pace_lookup,7,FALSE)</f>
        <v>98.8</v>
      </c>
      <c r="S365" s="7"/>
      <c r="U365" s="15"/>
      <c r="W365" s="2">
        <f>-home-VLOOKUP(Table2[[#This Row],[Home/Neutral]],rtg_vlookup,4,FALSE)+VLOOKUP(Table2[[#This Row],[Visitor/Neutral]],rtg_vlookup,4,FALSE)</f>
        <v>-17.948688524590168</v>
      </c>
      <c r="X365" s="15"/>
      <c r="Y365" s="2"/>
      <c r="Z365" s="2">
        <f>Table2[[#This Row],[A/EV]]-Table2[[#This Row],[H/EV]]</f>
        <v>-15.011481940845854</v>
      </c>
      <c r="AA365" s="29"/>
      <c r="AB365" s="30"/>
      <c r="AC365" s="30"/>
      <c r="AD365" s="30"/>
      <c r="AE365" s="30"/>
      <c r="AF365" s="7" t="b">
        <f>IF(VLOOKUP(Table2[[#This Row],[Home/Neutral]],division_lookup,9,FALSE)=VLOOKUP(Table2[[#This Row],[Visitor/Neutral]],division_lookup,9,FALSE),TRUE,FALSE)</f>
        <v>0</v>
      </c>
      <c r="AG365" s="15" t="str">
        <f>VLOOKUP(Table2[[#This Row],[Home/Neutral]],division_lookup,9,FALSE)</f>
        <v>P</v>
      </c>
      <c r="AH365" s="15" t="str">
        <f>IF(Table2[[#This Row],[Total/EV]]&lt;Table2[[#This Row],[Total/V]],"UNDER","OVER")</f>
        <v>OVER</v>
      </c>
      <c r="AI365" s="26">
        <f>Table2[[#This Row],[SRS/Real]]-Table2[[#This Row],[Spread/V]]</f>
        <v>0</v>
      </c>
      <c r="AJ365" s="2">
        <f>Table2[[#This Row],[EV/Real]]-Table2[[#This Row],[Spread/V]]</f>
        <v>0</v>
      </c>
      <c r="AK365" s="2">
        <f>Table2[[#This Row],[SRS/Diff]]-Table2[[#This Row],[EV/Diff]]</f>
        <v>0</v>
      </c>
      <c r="AL365" s="18">
        <f>Table2[[#This Row],[SRS]]-Table2[[#This Row],[Spread]]</f>
        <v>-17.948688524590168</v>
      </c>
      <c r="AM365" s="21">
        <f>Table2[[#This Row],[(A) Err]]^2</f>
        <v>322.15541975275477</v>
      </c>
      <c r="AN365" s="6">
        <f>Table2[[#This Row],[EV]]-Table2[[#This Row],[Spread]]</f>
        <v>-15.011481940845854</v>
      </c>
      <c r="AO365" s="1">
        <f>Table2[[#This Row],[EV Err]]^2</f>
        <v>225.34459006034123</v>
      </c>
      <c r="AP365" s="1"/>
    </row>
    <row r="366" spans="1:42" x14ac:dyDescent="0.25">
      <c r="A366" s="77">
        <v>42716</v>
      </c>
      <c r="B366" t="s">
        <v>124</v>
      </c>
      <c r="C366" t="s">
        <v>137</v>
      </c>
      <c r="D366" s="49"/>
      <c r="E366" s="51"/>
      <c r="F366" s="49"/>
      <c r="G366" s="51"/>
      <c r="H366" s="50"/>
      <c r="I366" s="51"/>
      <c r="J366" s="49"/>
      <c r="K366" s="49"/>
      <c r="L366" s="51">
        <f>(Table2[[#This Row],[H/Pace]]/100)*(VLOOKUP(Table2[[#This Row],[Home/Neutral]],home_lookup,8,FALSE)+VLOOKUP(Table2[[#This Row],[Home/Neutral]],OFR_lookup,2,FALSE)+VLOOKUP(Table2[[#This Row],[Visitor/Neutral]],def_diff_lookup,6,FALSE))</f>
        <v>104.48080517723557</v>
      </c>
      <c r="M366" s="51"/>
      <c r="N366" s="51">
        <f>(Table2[[#This Row],[A/Pace]]/100)*(VLOOKUP(Table2[[#This Row],[Visitor/Neutral]],OFR_lookup,2,FALSE)+VLOOKUP(Table2[[#This Row],[Home/Neutral]],def_diff_lookup,6,FALSE))</f>
        <v>100.76703999999999</v>
      </c>
      <c r="O366" s="51"/>
      <c r="P366" s="51"/>
      <c r="Q366" s="49">
        <f>VLOOKUP(Table2[[#This Row],[Home/Neutral]],pace_lookup,7,FALSE)</f>
        <v>93.7</v>
      </c>
      <c r="R366" s="52">
        <f>VLOOKUP(Table2[[#This Row],[Visitor/Neutral]],pace_lookup,7,FALSE)</f>
        <v>96</v>
      </c>
      <c r="S366" s="50"/>
      <c r="T366" s="49"/>
      <c r="U366" s="75"/>
      <c r="V366" s="49"/>
      <c r="W366" s="53">
        <f>-home-VLOOKUP(Table2[[#This Row],[Home/Neutral]],rtg_vlookup,4,FALSE)+VLOOKUP(Table2[[#This Row],[Visitor/Neutral]],rtg_vlookup,4,FALSE)</f>
        <v>-4.5686885245901658</v>
      </c>
      <c r="X366" s="75"/>
      <c r="Y366" s="53"/>
      <c r="Z366" s="2">
        <f>Table2[[#This Row],[A/EV]]-Table2[[#This Row],[H/EV]]</f>
        <v>-3.7137651772355724</v>
      </c>
      <c r="AA366" s="29"/>
      <c r="AB366" s="30"/>
      <c r="AC366" s="30"/>
      <c r="AD366" s="30"/>
      <c r="AE366" s="30"/>
      <c r="AF366" s="7" t="b">
        <f>IF(VLOOKUP(Table2[[#This Row],[Home/Neutral]],division_lookup,9,FALSE)=VLOOKUP(Table2[[#This Row],[Visitor/Neutral]],division_lookup,9,FALSE),TRUE,FALSE)</f>
        <v>1</v>
      </c>
      <c r="AG366" s="15" t="str">
        <f>VLOOKUP(Table2[[#This Row],[Home/Neutral]],division_lookup,9,FALSE)</f>
        <v>SE</v>
      </c>
      <c r="AH366" s="15" t="str">
        <f>IF(Table2[[#This Row],[Total/EV]]&lt;Table2[[#This Row],[Total/V]],"UNDER","OVER")</f>
        <v>OVER</v>
      </c>
      <c r="AI366" s="26">
        <f>Table2[[#This Row],[SRS/Real]]-Table2[[#This Row],[Spread/V]]</f>
        <v>0</v>
      </c>
      <c r="AJ366" s="2">
        <f>Table2[[#This Row],[EV/Real]]-Table2[[#This Row],[Spread/V]]</f>
        <v>0</v>
      </c>
      <c r="AK366" s="2">
        <f>Table2[[#This Row],[SRS/Diff]]-Table2[[#This Row],[EV/Diff]]</f>
        <v>0</v>
      </c>
      <c r="AL366" s="18">
        <f>Table2[[#This Row],[SRS]]-Table2[[#This Row],[Spread]]</f>
        <v>-4.5686885245901658</v>
      </c>
      <c r="AM366" s="21">
        <f>Table2[[#This Row],[(A) Err]]^2</f>
        <v>20.872914834721865</v>
      </c>
      <c r="AN366" s="6">
        <f>Table2[[#This Row],[EV]]-Table2[[#This Row],[Spread]]</f>
        <v>-3.7137651772355724</v>
      </c>
      <c r="AO366" s="1">
        <f>Table2[[#This Row],[EV Err]]^2</f>
        <v>13.792051791647562</v>
      </c>
      <c r="AP366" s="1"/>
    </row>
    <row r="367" spans="1:42" x14ac:dyDescent="0.25">
      <c r="A367" s="77">
        <v>42716</v>
      </c>
      <c r="B367" t="s">
        <v>133</v>
      </c>
      <c r="C367" t="s">
        <v>122</v>
      </c>
      <c r="D367" s="49"/>
      <c r="E367" s="51"/>
      <c r="F367" s="49"/>
      <c r="G367" s="51"/>
      <c r="H367" s="50"/>
      <c r="I367" s="51"/>
      <c r="J367" s="49"/>
      <c r="K367" s="49"/>
      <c r="L367" s="51">
        <f>(Table2[[#This Row],[H/Pace]]/100)*(VLOOKUP(Table2[[#This Row],[Home/Neutral]],home_lookup,8,FALSE)+VLOOKUP(Table2[[#This Row],[Home/Neutral]],OFR_lookup,2,FALSE)+VLOOKUP(Table2[[#This Row],[Visitor/Neutral]],def_diff_lookup,6,FALSE))</f>
        <v>112.33750748279979</v>
      </c>
      <c r="M367" s="51"/>
      <c r="N367" s="51">
        <f>(Table2[[#This Row],[A/Pace]]/100)*(VLOOKUP(Table2[[#This Row],[Visitor/Neutral]],OFR_lookup,2,FALSE)+VLOOKUP(Table2[[#This Row],[Home/Neutral]],def_diff_lookup,6,FALSE))</f>
        <v>112.43007799999999</v>
      </c>
      <c r="O367" s="51"/>
      <c r="P367" s="51"/>
      <c r="Q367" s="49">
        <f>VLOOKUP(Table2[[#This Row],[Home/Neutral]],pace_lookup,7,FALSE)</f>
        <v>94.2</v>
      </c>
      <c r="R367" s="52">
        <f>VLOOKUP(Table2[[#This Row],[Visitor/Neutral]],pace_lookup,7,FALSE)</f>
        <v>100.2</v>
      </c>
      <c r="S367" s="50"/>
      <c r="T367" s="49"/>
      <c r="U367" s="75"/>
      <c r="V367" s="49"/>
      <c r="W367" s="53">
        <f>-home-VLOOKUP(Table2[[#This Row],[Home/Neutral]],rtg_vlookup,4,FALSE)+VLOOKUP(Table2[[#This Row],[Visitor/Neutral]],rtg_vlookup,4,FALSE)</f>
        <v>-3.1086885245901659</v>
      </c>
      <c r="X367" s="75"/>
      <c r="Y367" s="53"/>
      <c r="Z367" s="2">
        <f>Table2[[#This Row],[A/EV]]-Table2[[#This Row],[H/EV]]</f>
        <v>9.2570517200201152E-2</v>
      </c>
      <c r="AA367" s="29"/>
      <c r="AB367" s="30"/>
      <c r="AC367" s="30"/>
      <c r="AD367" s="30"/>
      <c r="AE367" s="30"/>
      <c r="AF367" s="7" t="b">
        <f>IF(VLOOKUP(Table2[[#This Row],[Home/Neutral]],division_lookup,9,FALSE)=VLOOKUP(Table2[[#This Row],[Visitor/Neutral]],division_lookup,9,FALSE),TRUE,FALSE)</f>
        <v>1</v>
      </c>
      <c r="AG367" s="15" t="str">
        <f>VLOOKUP(Table2[[#This Row],[Home/Neutral]],division_lookup,9,FALSE)</f>
        <v>P</v>
      </c>
      <c r="AH367" s="15" t="str">
        <f>IF(Table2[[#This Row],[Total/EV]]&lt;Table2[[#This Row],[Total/V]],"UNDER","OVER")</f>
        <v>OVER</v>
      </c>
      <c r="AI367" s="26">
        <f>Table2[[#This Row],[SRS/Real]]-Table2[[#This Row],[Spread/V]]</f>
        <v>0</v>
      </c>
      <c r="AJ367" s="2">
        <f>Table2[[#This Row],[EV/Real]]-Table2[[#This Row],[Spread/V]]</f>
        <v>0</v>
      </c>
      <c r="AK367" s="2">
        <f>Table2[[#This Row],[SRS/Diff]]-Table2[[#This Row],[EV/Diff]]</f>
        <v>0</v>
      </c>
      <c r="AL367" s="18">
        <f>Table2[[#This Row],[SRS]]-Table2[[#This Row],[Spread]]</f>
        <v>-3.1086885245901659</v>
      </c>
      <c r="AM367" s="21">
        <f>Table2[[#This Row],[(A) Err]]^2</f>
        <v>9.6639443429185832</v>
      </c>
      <c r="AN367" s="6">
        <f>Table2[[#This Row],[EV]]-Table2[[#This Row],[Spread]]</f>
        <v>9.2570517200201152E-2</v>
      </c>
      <c r="AO367" s="1">
        <f>Table2[[#This Row],[EV Err]]^2</f>
        <v>8.5693006547127373E-3</v>
      </c>
      <c r="AP367" s="1"/>
    </row>
    <row r="368" spans="1:42" ht="15.75" thickBot="1" x14ac:dyDescent="0.3">
      <c r="A368" s="100">
        <v>42716</v>
      </c>
      <c r="B368" s="3" t="s">
        <v>135</v>
      </c>
      <c r="C368" s="3" t="s">
        <v>125</v>
      </c>
      <c r="D368" s="3"/>
      <c r="E368" s="22"/>
      <c r="F368" s="3"/>
      <c r="G368" s="22"/>
      <c r="H368" s="8"/>
      <c r="I368" s="22"/>
      <c r="J368" s="3"/>
      <c r="K368" s="3"/>
      <c r="L368" s="22">
        <f>(Table2[[#This Row],[H/Pace]]/100)*(VLOOKUP(Table2[[#This Row],[Home/Neutral]],home_lookup,8,FALSE)+VLOOKUP(Table2[[#This Row],[Home/Neutral]],OFR_lookup,2,FALSE)+VLOOKUP(Table2[[#This Row],[Visitor/Neutral]],def_diff_lookup,6,FALSE))</f>
        <v>111.63378035324614</v>
      </c>
      <c r="M368" s="22"/>
      <c r="N368" s="22">
        <f>(Table2[[#This Row],[A/Pace]]/100)*(VLOOKUP(Table2[[#This Row],[Visitor/Neutral]],OFR_lookup,2,FALSE)+VLOOKUP(Table2[[#This Row],[Home/Neutral]],def_diff_lookup,6,FALSE))</f>
        <v>102.96698566666666</v>
      </c>
      <c r="O368" s="22"/>
      <c r="P368" s="22"/>
      <c r="Q368" s="3">
        <f>VLOOKUP(Table2[[#This Row],[Home/Neutral]],pace_lookup,7,FALSE)</f>
        <v>95.4</v>
      </c>
      <c r="R368" s="3">
        <f>VLOOKUP(Table2[[#This Row],[Visitor/Neutral]],pace_lookup,7,FALSE)</f>
        <v>96.1</v>
      </c>
      <c r="S368" s="8"/>
      <c r="T368" s="3"/>
      <c r="U368" s="16"/>
      <c r="V368" s="3"/>
      <c r="W368" s="9">
        <f>-home-VLOOKUP(Table2[[#This Row],[Home/Neutral]],rtg_vlookup,4,FALSE)+VLOOKUP(Table2[[#This Row],[Visitor/Neutral]],rtg_vlookup,4,FALSE)</f>
        <v>-11.198688524590166</v>
      </c>
      <c r="X368" s="16"/>
      <c r="Y368" s="9"/>
      <c r="Z368" s="9">
        <f>Table2[[#This Row],[A/EV]]-Table2[[#This Row],[H/EV]]</f>
        <v>-8.6667946865794789</v>
      </c>
      <c r="AA368" s="31"/>
      <c r="AB368" s="32"/>
      <c r="AC368" s="32"/>
      <c r="AD368" s="32"/>
      <c r="AE368" s="32"/>
      <c r="AF368" s="8" t="b">
        <f>IF(VLOOKUP(Table2[[#This Row],[Home/Neutral]],division_lookup,9,FALSE)=VLOOKUP(Table2[[#This Row],[Visitor/Neutral]],division_lookup,9,FALSE),TRUE,FALSE)</f>
        <v>0</v>
      </c>
      <c r="AG368" s="16" t="str">
        <f>VLOOKUP(Table2[[#This Row],[Home/Neutral]],division_lookup,9,FALSE)</f>
        <v>A</v>
      </c>
      <c r="AH368" s="16" t="str">
        <f>IF(Table2[[#This Row],[Total/EV]]&lt;Table2[[#This Row],[Total/V]],"UNDER","OVER")</f>
        <v>OVER</v>
      </c>
      <c r="AI368" s="16">
        <f>Table2[[#This Row],[SRS/Real]]-Table2[[#This Row],[Spread/V]]</f>
        <v>0</v>
      </c>
      <c r="AJ368" s="9">
        <f>Table2[[#This Row],[EV/Real]]-Table2[[#This Row],[Spread/V]]</f>
        <v>0</v>
      </c>
      <c r="AK368" s="9">
        <f>Table2[[#This Row],[SRS/Diff]]-Table2[[#This Row],[EV/Diff]]</f>
        <v>0</v>
      </c>
      <c r="AL368" s="19">
        <f>Table2[[#This Row],[SRS]]-Table2[[#This Row],[Spread]]</f>
        <v>-11.198688524590166</v>
      </c>
      <c r="AM368" s="22">
        <f>Table2[[#This Row],[(A) Err]]^2</f>
        <v>125.41062467078746</v>
      </c>
      <c r="AN368" s="4">
        <f>Table2[[#This Row],[EV]]-Table2[[#This Row],[Spread]]</f>
        <v>-8.6667946865794789</v>
      </c>
      <c r="AO368" s="4">
        <f>Table2[[#This Row],[EV Err]]^2</f>
        <v>75.113330139322287</v>
      </c>
      <c r="AP368" s="1"/>
    </row>
    <row r="369" spans="1:42" x14ac:dyDescent="0.25">
      <c r="A369" s="77">
        <v>42717</v>
      </c>
      <c r="B369" t="s">
        <v>109</v>
      </c>
      <c r="C369" t="s">
        <v>130</v>
      </c>
      <c r="D369" s="49"/>
      <c r="E369" s="51"/>
      <c r="F369" s="49"/>
      <c r="G369" s="51"/>
      <c r="H369" s="50"/>
      <c r="I369" s="51"/>
      <c r="J369" s="49"/>
      <c r="K369" s="49"/>
      <c r="L369" s="51">
        <f>(Table2[[#This Row],[H/Pace]]/100)*(VLOOKUP(Table2[[#This Row],[Home/Neutral]],home_lookup,8,FALSE)+VLOOKUP(Table2[[#This Row],[Home/Neutral]],OFR_lookup,2,FALSE)+VLOOKUP(Table2[[#This Row],[Visitor/Neutral]],def_diff_lookup,6,FALSE))</f>
        <v>100.21696660728637</v>
      </c>
      <c r="M369" s="51"/>
      <c r="N369" s="51">
        <f>(Table2[[#This Row],[A/Pace]]/100)*(VLOOKUP(Table2[[#This Row],[Visitor/Neutral]],OFR_lookup,2,FALSE)+VLOOKUP(Table2[[#This Row],[Home/Neutral]],def_diff_lookup,6,FALSE))</f>
        <v>85.680238000000003</v>
      </c>
      <c r="O369" s="51"/>
      <c r="P369" s="51"/>
      <c r="Q369" s="49">
        <f>VLOOKUP(Table2[[#This Row],[Home/Neutral]],pace_lookup,7,FALSE)</f>
        <v>99.2</v>
      </c>
      <c r="R369" s="52">
        <f>VLOOKUP(Table2[[#This Row],[Visitor/Neutral]],pace_lookup,7,FALSE)</f>
        <v>94.2</v>
      </c>
      <c r="S369" s="50"/>
      <c r="T369" s="49"/>
      <c r="U369" s="75"/>
      <c r="V369" s="49"/>
      <c r="W369" s="53">
        <f>-home-VLOOKUP(Table2[[#This Row],[Home/Neutral]],rtg_vlookup,4,FALSE)+VLOOKUP(Table2[[#This Row],[Visitor/Neutral]],rtg_vlookup,4,FALSE)</f>
        <v>-13.688688524590166</v>
      </c>
      <c r="X369" s="75"/>
      <c r="Y369" s="53"/>
      <c r="Z369" s="2">
        <f>Table2[[#This Row],[A/EV]]-Table2[[#This Row],[H/EV]]</f>
        <v>-14.536728607286364</v>
      </c>
      <c r="AA369" s="29"/>
      <c r="AB369" s="30"/>
      <c r="AC369" s="30"/>
      <c r="AD369" s="30"/>
      <c r="AE369" s="30"/>
      <c r="AF369" s="7" t="b">
        <f>IF(VLOOKUP(Table2[[#This Row],[Home/Neutral]],division_lookup,9,FALSE)=VLOOKUP(Table2[[#This Row],[Visitor/Neutral]],division_lookup,9,FALSE),TRUE,FALSE)</f>
        <v>1</v>
      </c>
      <c r="AG369" s="15" t="str">
        <f>VLOOKUP(Table2[[#This Row],[Home/Neutral]],division_lookup,9,FALSE)</f>
        <v>SE</v>
      </c>
      <c r="AH369" s="15" t="str">
        <f>IF(Table2[[#This Row],[Total/EV]]&lt;Table2[[#This Row],[Total/V]],"UNDER","OVER")</f>
        <v>OVER</v>
      </c>
      <c r="AI369" s="26">
        <f>Table2[[#This Row],[SRS/Real]]-Table2[[#This Row],[Spread/V]]</f>
        <v>0</v>
      </c>
      <c r="AJ369" s="2">
        <f>Table2[[#This Row],[EV/Real]]-Table2[[#This Row],[Spread/V]]</f>
        <v>0</v>
      </c>
      <c r="AK369" s="2">
        <f>Table2[[#This Row],[SRS/Diff]]-Table2[[#This Row],[EV/Diff]]</f>
        <v>0</v>
      </c>
      <c r="AL369" s="18">
        <f>Table2[[#This Row],[SRS]]-Table2[[#This Row],[Spread]]</f>
        <v>-13.688688524590166</v>
      </c>
      <c r="AM369" s="21">
        <f>Table2[[#This Row],[(A) Err]]^2</f>
        <v>187.3801935232465</v>
      </c>
      <c r="AN369" s="6">
        <f>Table2[[#This Row],[EV]]-Table2[[#This Row],[Spread]]</f>
        <v>-14.536728607286364</v>
      </c>
      <c r="AO369" s="1">
        <f>Table2[[#This Row],[EV Err]]^2</f>
        <v>211.31647860189773</v>
      </c>
      <c r="AP369" s="1"/>
    </row>
    <row r="370" spans="1:42" x14ac:dyDescent="0.25">
      <c r="A370" s="34">
        <v>42717</v>
      </c>
      <c r="B370" t="s">
        <v>113</v>
      </c>
      <c r="C370" t="s">
        <v>126</v>
      </c>
      <c r="E370" s="21"/>
      <c r="G370" s="21"/>
      <c r="H370" s="7"/>
      <c r="I370" s="21"/>
      <c r="K370"/>
      <c r="L370" s="21">
        <f>(Table2[[#This Row],[H/Pace]]/100)*(VLOOKUP(Table2[[#This Row],[Home/Neutral]],home_lookup,8,FALSE)+VLOOKUP(Table2[[#This Row],[Home/Neutral]],OFR_lookup,2,FALSE)+VLOOKUP(Table2[[#This Row],[Visitor/Neutral]],def_diff_lookup,6,FALSE))</f>
        <v>112.19068388016279</v>
      </c>
      <c r="M370" s="21"/>
      <c r="N370" s="21">
        <f>(Table2[[#This Row],[A/Pace]]/100)*(VLOOKUP(Table2[[#This Row],[Visitor/Neutral]],OFR_lookup,2,FALSE)+VLOOKUP(Table2[[#This Row],[Home/Neutral]],def_diff_lookup,6,FALSE))</f>
        <v>103.57196300000001</v>
      </c>
      <c r="O370" s="21"/>
      <c r="P370" s="21"/>
      <c r="Q370">
        <f>VLOOKUP(Table2[[#This Row],[Home/Neutral]],pace_lookup,7,FALSE)</f>
        <v>95.1</v>
      </c>
      <c r="R370" s="5">
        <f>VLOOKUP(Table2[[#This Row],[Visitor/Neutral]],pace_lookup,7,FALSE)</f>
        <v>95.7</v>
      </c>
      <c r="S370" s="7"/>
      <c r="U370" s="15"/>
      <c r="W370" s="2">
        <f>-home-VLOOKUP(Table2[[#This Row],[Home/Neutral]],rtg_vlookup,4,FALSE)+VLOOKUP(Table2[[#This Row],[Visitor/Neutral]],rtg_vlookup,4,FALSE)</f>
        <v>-8.6086885245901659</v>
      </c>
      <c r="X370" s="15"/>
      <c r="Y370" s="2"/>
      <c r="Z370" s="2">
        <f>Table2[[#This Row],[A/EV]]-Table2[[#This Row],[H/EV]]</f>
        <v>-8.6187208801627833</v>
      </c>
      <c r="AA370" s="29"/>
      <c r="AB370" s="30"/>
      <c r="AC370" s="30"/>
      <c r="AD370" s="30"/>
      <c r="AE370" s="30"/>
      <c r="AF370" s="7" t="b">
        <f>IF(VLOOKUP(Table2[[#This Row],[Home/Neutral]],division_lookup,9,FALSE)=VLOOKUP(Table2[[#This Row],[Visitor/Neutral]],division_lookup,9,FALSE),TRUE,FALSE)</f>
        <v>0</v>
      </c>
      <c r="AG370" s="15" t="str">
        <f>VLOOKUP(Table2[[#This Row],[Home/Neutral]],division_lookup,9,FALSE)</f>
        <v>C</v>
      </c>
      <c r="AH370" s="15" t="str">
        <f>IF(Table2[[#This Row],[Total/EV]]&lt;Table2[[#This Row],[Total/V]],"UNDER","OVER")</f>
        <v>OVER</v>
      </c>
      <c r="AI370" s="26">
        <f>Table2[[#This Row],[SRS/Real]]-Table2[[#This Row],[Spread/V]]</f>
        <v>0</v>
      </c>
      <c r="AJ370" s="2">
        <f>Table2[[#This Row],[EV/Real]]-Table2[[#This Row],[Spread/V]]</f>
        <v>0</v>
      </c>
      <c r="AK370" s="2">
        <f>Table2[[#This Row],[SRS/Diff]]-Table2[[#This Row],[EV/Diff]]</f>
        <v>0</v>
      </c>
      <c r="AL370" s="18">
        <f>Table2[[#This Row],[SRS]]-Table2[[#This Row],[Spread]]</f>
        <v>-8.6086885245901659</v>
      </c>
      <c r="AM370" s="21">
        <f>Table2[[#This Row],[(A) Err]]^2</f>
        <v>74.109518113410402</v>
      </c>
      <c r="AN370" s="6">
        <f>Table2[[#This Row],[EV]]-Table2[[#This Row],[Spread]]</f>
        <v>-8.6187208801627833</v>
      </c>
      <c r="AO370" s="1">
        <f>Table2[[#This Row],[EV Err]]^2</f>
        <v>74.282349610153943</v>
      </c>
      <c r="AP370" s="1"/>
    </row>
    <row r="371" spans="1:42" x14ac:dyDescent="0.25">
      <c r="A371" s="34">
        <v>42717</v>
      </c>
      <c r="B371" t="s">
        <v>114</v>
      </c>
      <c r="C371" t="s">
        <v>123</v>
      </c>
      <c r="E371" s="21"/>
      <c r="G371" s="21"/>
      <c r="H371" s="7"/>
      <c r="I371" s="21"/>
      <c r="K371"/>
      <c r="L371" s="21">
        <f>(Table2[[#This Row],[H/Pace]]/100)*(VLOOKUP(Table2[[#This Row],[Home/Neutral]],home_lookup,8,FALSE)+VLOOKUP(Table2[[#This Row],[Home/Neutral]],OFR_lookup,2,FALSE)+VLOOKUP(Table2[[#This Row],[Visitor/Neutral]],def_diff_lookup,6,FALSE))</f>
        <v>110.82646276756466</v>
      </c>
      <c r="M371" s="21"/>
      <c r="N371" s="21">
        <f>(Table2[[#This Row],[A/Pace]]/100)*(VLOOKUP(Table2[[#This Row],[Visitor/Neutral]],OFR_lookup,2,FALSE)+VLOOKUP(Table2[[#This Row],[Home/Neutral]],def_diff_lookup,6,FALSE))</f>
        <v>95.520741666666666</v>
      </c>
      <c r="O371" s="21"/>
      <c r="P371" s="21"/>
      <c r="Q371">
        <f>VLOOKUP(Table2[[#This Row],[Home/Neutral]],pace_lookup,7,FALSE)</f>
        <v>97.3</v>
      </c>
      <c r="R371" s="5">
        <f>VLOOKUP(Table2[[#This Row],[Visitor/Neutral]],pace_lookup,7,FALSE)</f>
        <v>92.5</v>
      </c>
      <c r="S371" s="7"/>
      <c r="U371" s="15"/>
      <c r="W371" s="2">
        <f>-home-VLOOKUP(Table2[[#This Row],[Home/Neutral]],rtg_vlookup,4,FALSE)+VLOOKUP(Table2[[#This Row],[Visitor/Neutral]],rtg_vlookup,4,FALSE)</f>
        <v>-10.748688524590166</v>
      </c>
      <c r="X371" s="15"/>
      <c r="Y371" s="2"/>
      <c r="Z371" s="2">
        <f>Table2[[#This Row],[A/EV]]-Table2[[#This Row],[H/EV]]</f>
        <v>-15.305721100897998</v>
      </c>
      <c r="AA371" s="29"/>
      <c r="AB371" s="30"/>
      <c r="AC371" s="30"/>
      <c r="AD371" s="30"/>
      <c r="AE371" s="30"/>
      <c r="AF371" s="7" t="b">
        <f>IF(VLOOKUP(Table2[[#This Row],[Home/Neutral]],division_lookup,9,FALSE)=VLOOKUP(Table2[[#This Row],[Visitor/Neutral]],division_lookup,9,FALSE),TRUE,FALSE)</f>
        <v>0</v>
      </c>
      <c r="AG371" s="15" t="str">
        <f>VLOOKUP(Table2[[#This Row],[Home/Neutral]],division_lookup,9,FALSE)</f>
        <v>C</v>
      </c>
      <c r="AH371" s="15" t="str">
        <f>IF(Table2[[#This Row],[Total/EV]]&lt;Table2[[#This Row],[Total/V]],"UNDER","OVER")</f>
        <v>OVER</v>
      </c>
      <c r="AI371" s="26">
        <f>Table2[[#This Row],[SRS/Real]]-Table2[[#This Row],[Spread/V]]</f>
        <v>0</v>
      </c>
      <c r="AJ371" s="2">
        <f>Table2[[#This Row],[EV/Real]]-Table2[[#This Row],[Spread/V]]</f>
        <v>0</v>
      </c>
      <c r="AK371" s="2">
        <f>Table2[[#This Row],[SRS/Diff]]-Table2[[#This Row],[EV/Diff]]</f>
        <v>0</v>
      </c>
      <c r="AL371" s="18">
        <f>Table2[[#This Row],[SRS]]-Table2[[#This Row],[Spread]]</f>
        <v>-10.748688524590166</v>
      </c>
      <c r="AM371" s="21">
        <f>Table2[[#This Row],[(A) Err]]^2</f>
        <v>115.53430499865632</v>
      </c>
      <c r="AN371" s="6">
        <f>Table2[[#This Row],[EV]]-Table2[[#This Row],[Spread]]</f>
        <v>-15.305721100897998</v>
      </c>
      <c r="AO371" s="1">
        <f>Table2[[#This Row],[EV Err]]^2</f>
        <v>234.26509841847422</v>
      </c>
      <c r="AP371" s="1"/>
    </row>
    <row r="372" spans="1:42" x14ac:dyDescent="0.25">
      <c r="A372" s="34">
        <v>42717</v>
      </c>
      <c r="B372" t="s">
        <v>127</v>
      </c>
      <c r="C372" t="s">
        <v>118</v>
      </c>
      <c r="E372" s="21"/>
      <c r="G372" s="21"/>
      <c r="H372" s="7"/>
      <c r="I372" s="21"/>
      <c r="K372"/>
      <c r="L372" s="21">
        <f>(Table2[[#This Row],[H/Pace]]/100)*(VLOOKUP(Table2[[#This Row],[Home/Neutral]],home_lookup,8,FALSE)+VLOOKUP(Table2[[#This Row],[Home/Neutral]],OFR_lookup,2,FALSE)+VLOOKUP(Table2[[#This Row],[Visitor/Neutral]],def_diff_lookup,6,FALSE))</f>
        <v>101.54748493743048</v>
      </c>
      <c r="M372" s="21"/>
      <c r="N372" s="21">
        <f>(Table2[[#This Row],[A/Pace]]/100)*(VLOOKUP(Table2[[#This Row],[Visitor/Neutral]],OFR_lookup,2,FALSE)+VLOOKUP(Table2[[#This Row],[Home/Neutral]],def_diff_lookup,6,FALSE))</f>
        <v>116.09820933333332</v>
      </c>
      <c r="O372" s="21"/>
      <c r="P372" s="21"/>
      <c r="Q372">
        <f>VLOOKUP(Table2[[#This Row],[Home/Neutral]],pace_lookup,7,FALSE)</f>
        <v>99.3</v>
      </c>
      <c r="R372" s="5">
        <f>VLOOKUP(Table2[[#This Row],[Visitor/Neutral]],pace_lookup,7,FALSE)</f>
        <v>100.4</v>
      </c>
      <c r="S372" s="7"/>
      <c r="U372" s="15"/>
      <c r="W372" s="2">
        <f>-home-VLOOKUP(Table2[[#This Row],[Home/Neutral]],rtg_vlookup,4,FALSE)+VLOOKUP(Table2[[#This Row],[Visitor/Neutral]],rtg_vlookup,4,FALSE)</f>
        <v>11.301311475409834</v>
      </c>
      <c r="X372" s="15"/>
      <c r="Y372" s="2"/>
      <c r="Z372" s="2">
        <f>Table2[[#This Row],[A/EV]]-Table2[[#This Row],[H/EV]]</f>
        <v>14.550724395902833</v>
      </c>
      <c r="AA372" s="29"/>
      <c r="AB372" s="30"/>
      <c r="AC372" s="30"/>
      <c r="AD372" s="30"/>
      <c r="AE372" s="30"/>
      <c r="AF372" s="7" t="b">
        <f>IF(VLOOKUP(Table2[[#This Row],[Home/Neutral]],division_lookup,9,FALSE)=VLOOKUP(Table2[[#This Row],[Visitor/Neutral]],division_lookup,9,FALSE),TRUE,FALSE)</f>
        <v>0</v>
      </c>
      <c r="AG372" s="15" t="str">
        <f>VLOOKUP(Table2[[#This Row],[Home/Neutral]],division_lookup,9,FALSE)</f>
        <v>SW</v>
      </c>
      <c r="AH372" s="15" t="str">
        <f>IF(Table2[[#This Row],[Total/EV]]&lt;Table2[[#This Row],[Total/V]],"UNDER","OVER")</f>
        <v>OVER</v>
      </c>
      <c r="AI372" s="26">
        <f>Table2[[#This Row],[SRS/Real]]-Table2[[#This Row],[Spread/V]]</f>
        <v>0</v>
      </c>
      <c r="AJ372" s="2">
        <f>Table2[[#This Row],[EV/Real]]-Table2[[#This Row],[Spread/V]]</f>
        <v>0</v>
      </c>
      <c r="AK372" s="2">
        <f>Table2[[#This Row],[SRS/Diff]]-Table2[[#This Row],[EV/Diff]]</f>
        <v>0</v>
      </c>
      <c r="AL372" s="18">
        <f>Table2[[#This Row],[SRS]]-Table2[[#This Row],[Spread]]</f>
        <v>11.301311475409834</v>
      </c>
      <c r="AM372" s="21">
        <f>Table2[[#This Row],[(A) Err]]^2</f>
        <v>127.71964106423</v>
      </c>
      <c r="AN372" s="6">
        <f>Table2[[#This Row],[EV]]-Table2[[#This Row],[Spread]]</f>
        <v>14.550724395902833</v>
      </c>
      <c r="AO372" s="1">
        <f>Table2[[#This Row],[EV Err]]^2</f>
        <v>211.72358044552186</v>
      </c>
      <c r="AP372" s="1"/>
    </row>
    <row r="373" spans="1:42" x14ac:dyDescent="0.25">
      <c r="A373" s="34">
        <v>42717</v>
      </c>
      <c r="B373" t="s">
        <v>131</v>
      </c>
      <c r="C373" t="s">
        <v>128</v>
      </c>
      <c r="E373" s="21"/>
      <c r="G373" s="21"/>
      <c r="H373" s="7"/>
      <c r="I373" s="21"/>
      <c r="K373"/>
      <c r="L373" s="21">
        <f>(Table2[[#This Row],[H/Pace]]/100)*(VLOOKUP(Table2[[#This Row],[Home/Neutral]],home_lookup,8,FALSE)+VLOOKUP(Table2[[#This Row],[Home/Neutral]],OFR_lookup,2,FALSE)+VLOOKUP(Table2[[#This Row],[Visitor/Neutral]],def_diff_lookup,6,FALSE))</f>
        <v>100.15720979119767</v>
      </c>
      <c r="M373" s="21"/>
      <c r="N373" s="21">
        <f>(Table2[[#This Row],[A/Pace]]/100)*(VLOOKUP(Table2[[#This Row],[Visitor/Neutral]],OFR_lookup,2,FALSE)+VLOOKUP(Table2[[#This Row],[Home/Neutral]],def_diff_lookup,6,FALSE))</f>
        <v>105.03023699999999</v>
      </c>
      <c r="O373" s="21"/>
      <c r="P373" s="21"/>
      <c r="Q373">
        <f>VLOOKUP(Table2[[#This Row],[Home/Neutral]],pace_lookup,7,FALSE)</f>
        <v>101.7</v>
      </c>
      <c r="R373" s="5">
        <f>VLOOKUP(Table2[[#This Row],[Visitor/Neutral]],pace_lookup,7,FALSE)</f>
        <v>96.3</v>
      </c>
      <c r="S373" s="7"/>
      <c r="U373" s="15"/>
      <c r="W373" s="2">
        <f>-home-VLOOKUP(Table2[[#This Row],[Home/Neutral]],rtg_vlookup,4,FALSE)+VLOOKUP(Table2[[#This Row],[Visitor/Neutral]],rtg_vlookup,4,FALSE)</f>
        <v>1.7413114754098342</v>
      </c>
      <c r="X373" s="15"/>
      <c r="Y373" s="2"/>
      <c r="Z373" s="2">
        <f>Table2[[#This Row],[A/EV]]-Table2[[#This Row],[H/EV]]</f>
        <v>4.8730272088023128</v>
      </c>
      <c r="AA373" s="29"/>
      <c r="AB373" s="30"/>
      <c r="AC373" s="30"/>
      <c r="AD373" s="30"/>
      <c r="AE373" s="30"/>
      <c r="AF373" s="7" t="b">
        <f>IF(VLOOKUP(Table2[[#This Row],[Home/Neutral]],division_lookup,9,FALSE)=VLOOKUP(Table2[[#This Row],[Visitor/Neutral]],division_lookup,9,FALSE),TRUE,FALSE)</f>
        <v>0</v>
      </c>
      <c r="AG373" s="15" t="str">
        <f>VLOOKUP(Table2[[#This Row],[Home/Neutral]],division_lookup,9,FALSE)</f>
        <v>P</v>
      </c>
      <c r="AH373" s="15" t="str">
        <f>IF(Table2[[#This Row],[Total/EV]]&lt;Table2[[#This Row],[Total/V]],"UNDER","OVER")</f>
        <v>OVER</v>
      </c>
      <c r="AI373" s="26">
        <f>Table2[[#This Row],[SRS/Real]]-Table2[[#This Row],[Spread/V]]</f>
        <v>0</v>
      </c>
      <c r="AJ373" s="2">
        <f>Table2[[#This Row],[EV/Real]]-Table2[[#This Row],[Spread/V]]</f>
        <v>0</v>
      </c>
      <c r="AK373" s="2">
        <f>Table2[[#This Row],[SRS/Diff]]-Table2[[#This Row],[EV/Diff]]</f>
        <v>0</v>
      </c>
      <c r="AL373" s="18">
        <f>Table2[[#This Row],[SRS]]-Table2[[#This Row],[Spread]]</f>
        <v>1.7413114754098342</v>
      </c>
      <c r="AM373" s="21">
        <f>Table2[[#This Row],[(A) Err]]^2</f>
        <v>3.0321656543939737</v>
      </c>
      <c r="AN373" s="6">
        <f>Table2[[#This Row],[EV]]-Table2[[#This Row],[Spread]]</f>
        <v>4.8730272088023128</v>
      </c>
      <c r="AO373" s="1">
        <f>Table2[[#This Row],[EV Err]]^2</f>
        <v>23.746394177727659</v>
      </c>
      <c r="AP373" s="1"/>
    </row>
    <row r="374" spans="1:42" ht="15.75" thickBot="1" x14ac:dyDescent="0.3">
      <c r="A374" s="102">
        <v>42717</v>
      </c>
      <c r="B374" s="3" t="s">
        <v>132</v>
      </c>
      <c r="C374" s="3" t="s">
        <v>129</v>
      </c>
      <c r="D374" s="54"/>
      <c r="E374" s="56"/>
      <c r="F374" s="54"/>
      <c r="G374" s="56"/>
      <c r="H374" s="55"/>
      <c r="I374" s="56"/>
      <c r="J374" s="54"/>
      <c r="K374" s="54"/>
      <c r="L374" s="56">
        <f>(Table2[[#This Row],[H/Pace]]/100)*(VLOOKUP(Table2[[#This Row],[Home/Neutral]],home_lookup,8,FALSE)+VLOOKUP(Table2[[#This Row],[Home/Neutral]],OFR_lookup,2,FALSE)+VLOOKUP(Table2[[#This Row],[Visitor/Neutral]],def_diff_lookup,6,FALSE))</f>
        <v>107.0776614460698</v>
      </c>
      <c r="M374" s="56"/>
      <c r="N374" s="56">
        <f>(Table2[[#This Row],[A/Pace]]/100)*(VLOOKUP(Table2[[#This Row],[Visitor/Neutral]],OFR_lookup,2,FALSE)+VLOOKUP(Table2[[#This Row],[Home/Neutral]],def_diff_lookup,6,FALSE))</f>
        <v>110.64801</v>
      </c>
      <c r="O374" s="56"/>
      <c r="P374" s="56"/>
      <c r="Q374" s="54">
        <f>VLOOKUP(Table2[[#This Row],[Home/Neutral]],pace_lookup,7,FALSE)</f>
        <v>98.8</v>
      </c>
      <c r="R374" s="54">
        <f>VLOOKUP(Table2[[#This Row],[Visitor/Neutral]],pace_lookup,7,FALSE)</f>
        <v>99</v>
      </c>
      <c r="S374" s="55"/>
      <c r="T374" s="54"/>
      <c r="U374" s="73"/>
      <c r="V374" s="54"/>
      <c r="W374" s="57">
        <f>-home-VLOOKUP(Table2[[#This Row],[Home/Neutral]],rtg_vlookup,4,FALSE)+VLOOKUP(Table2[[#This Row],[Visitor/Neutral]],rtg_vlookup,4,FALSE)</f>
        <v>1.1713114754098342</v>
      </c>
      <c r="X374" s="73"/>
      <c r="Y374" s="57"/>
      <c r="Z374" s="9">
        <f>Table2[[#This Row],[A/EV]]-Table2[[#This Row],[H/EV]]</f>
        <v>3.5703485539302022</v>
      </c>
      <c r="AA374" s="31"/>
      <c r="AB374" s="32"/>
      <c r="AC374" s="32"/>
      <c r="AD374" s="32"/>
      <c r="AE374" s="32"/>
      <c r="AF374" s="8" t="b">
        <f>IF(VLOOKUP(Table2[[#This Row],[Home/Neutral]],division_lookup,9,FALSE)=VLOOKUP(Table2[[#This Row],[Visitor/Neutral]],division_lookup,9,FALSE),TRUE,FALSE)</f>
        <v>1</v>
      </c>
      <c r="AG374" s="16" t="str">
        <f>VLOOKUP(Table2[[#This Row],[Home/Neutral]],division_lookup,9,FALSE)</f>
        <v>NW</v>
      </c>
      <c r="AH374" s="16" t="str">
        <f>IF(Table2[[#This Row],[Total/EV]]&lt;Table2[[#This Row],[Total/V]],"UNDER","OVER")</f>
        <v>OVER</v>
      </c>
      <c r="AI374" s="16">
        <f>Table2[[#This Row],[SRS/Real]]-Table2[[#This Row],[Spread/V]]</f>
        <v>0</v>
      </c>
      <c r="AJ374" s="9">
        <f>Table2[[#This Row],[EV/Real]]-Table2[[#This Row],[Spread/V]]</f>
        <v>0</v>
      </c>
      <c r="AK374" s="9">
        <f>Table2[[#This Row],[SRS/Diff]]-Table2[[#This Row],[EV/Diff]]</f>
        <v>0</v>
      </c>
      <c r="AL374" s="19">
        <f>Table2[[#This Row],[SRS]]-Table2[[#This Row],[Spread]]</f>
        <v>1.1713114754098342</v>
      </c>
      <c r="AM374" s="22">
        <f>Table2[[#This Row],[(A) Err]]^2</f>
        <v>1.3719705724267626</v>
      </c>
      <c r="AN374" s="4">
        <f>Table2[[#This Row],[EV]]-Table2[[#This Row],[Spread]]</f>
        <v>3.5703485539302022</v>
      </c>
      <c r="AO374" s="4">
        <f>Table2[[#This Row],[EV Err]]^2</f>
        <v>12.747388796551487</v>
      </c>
      <c r="AP374" s="1"/>
    </row>
    <row r="375" spans="1:42" x14ac:dyDescent="0.25">
      <c r="A375" s="34">
        <v>42718</v>
      </c>
      <c r="B375" t="s">
        <v>111</v>
      </c>
      <c r="C375" t="s">
        <v>122</v>
      </c>
      <c r="E375" s="21"/>
      <c r="G375" s="21"/>
      <c r="H375" s="7"/>
      <c r="I375" s="21"/>
      <c r="K375"/>
      <c r="L375" s="21">
        <f>(Table2[[#This Row],[H/Pace]]/100)*(VLOOKUP(Table2[[#This Row],[Home/Neutral]],home_lookup,8,FALSE)+VLOOKUP(Table2[[#This Row],[Home/Neutral]],OFR_lookup,2,FALSE)+VLOOKUP(Table2[[#This Row],[Visitor/Neutral]],def_diff_lookup,6,FALSE))</f>
        <v>104.83241832771635</v>
      </c>
      <c r="M375" s="21"/>
      <c r="N375" s="21">
        <f>(Table2[[#This Row],[A/Pace]]/100)*(VLOOKUP(Table2[[#This Row],[Visitor/Neutral]],OFR_lookup,2,FALSE)+VLOOKUP(Table2[[#This Row],[Home/Neutral]],def_diff_lookup,6,FALSE))</f>
        <v>113.48217799999999</v>
      </c>
      <c r="O375" s="21"/>
      <c r="P375" s="21"/>
      <c r="Q375">
        <f>VLOOKUP(Table2[[#This Row],[Home/Neutral]],pace_lookup,7,FALSE)</f>
        <v>102</v>
      </c>
      <c r="R375" s="5">
        <f>VLOOKUP(Table2[[#This Row],[Visitor/Neutral]],pace_lookup,7,FALSE)</f>
        <v>100.2</v>
      </c>
      <c r="S375" s="7"/>
      <c r="U375" s="15"/>
      <c r="W375" s="2">
        <f>-home-VLOOKUP(Table2[[#This Row],[Home/Neutral]],rtg_vlookup,4,FALSE)+VLOOKUP(Table2[[#This Row],[Visitor/Neutral]],rtg_vlookup,4,FALSE)</f>
        <v>3.7513114754098336</v>
      </c>
      <c r="X375" s="15"/>
      <c r="Y375" s="2"/>
      <c r="Z375" s="2">
        <f>Table2[[#This Row],[A/EV]]-Table2[[#This Row],[H/EV]]</f>
        <v>8.6497596722836363</v>
      </c>
      <c r="AA375" s="29"/>
      <c r="AB375" s="30"/>
      <c r="AC375" s="30"/>
      <c r="AD375" s="30"/>
      <c r="AE375" s="30"/>
      <c r="AF375" s="7" t="b">
        <f>IF(VLOOKUP(Table2[[#This Row],[Home/Neutral]],division_lookup,9,FALSE)=VLOOKUP(Table2[[#This Row],[Visitor/Neutral]],division_lookup,9,FALSE),TRUE,FALSE)</f>
        <v>0</v>
      </c>
      <c r="AG375" s="15" t="str">
        <f>VLOOKUP(Table2[[#This Row],[Home/Neutral]],division_lookup,9,FALSE)</f>
        <v>A</v>
      </c>
      <c r="AH375" s="15" t="str">
        <f>IF(Table2[[#This Row],[Total/EV]]&lt;Table2[[#This Row],[Total/V]],"UNDER","OVER")</f>
        <v>OVER</v>
      </c>
      <c r="AI375" s="26">
        <f>Table2[[#This Row],[SRS/Real]]-Table2[[#This Row],[Spread/V]]</f>
        <v>0</v>
      </c>
      <c r="AJ375" s="2">
        <f>Table2[[#This Row],[EV/Real]]-Table2[[#This Row],[Spread/V]]</f>
        <v>0</v>
      </c>
      <c r="AK375" s="2">
        <f>Table2[[#This Row],[SRS/Diff]]-Table2[[#This Row],[EV/Diff]]</f>
        <v>0</v>
      </c>
      <c r="AL375" s="18">
        <f>Table2[[#This Row],[SRS]]-Table2[[#This Row],[Spread]]</f>
        <v>3.7513114754098336</v>
      </c>
      <c r="AM375" s="21">
        <f>Table2[[#This Row],[(A) Err]]^2</f>
        <v>14.072337785541503</v>
      </c>
      <c r="AN375" s="6">
        <f>Table2[[#This Row],[EV]]-Table2[[#This Row],[Spread]]</f>
        <v>8.6497596722836363</v>
      </c>
      <c r="AO375" s="1">
        <f>Table2[[#This Row],[EV Err]]^2</f>
        <v>74.818342388264313</v>
      </c>
      <c r="AP375" s="1"/>
    </row>
    <row r="376" spans="1:42" x14ac:dyDescent="0.25">
      <c r="A376" s="34">
        <v>42718</v>
      </c>
      <c r="B376" t="s">
        <v>115</v>
      </c>
      <c r="C376" t="s">
        <v>117</v>
      </c>
      <c r="E376" s="21"/>
      <c r="G376" s="21"/>
      <c r="H376" s="7"/>
      <c r="I376" s="21"/>
      <c r="K376"/>
      <c r="L376" s="21">
        <f>(Table2[[#This Row],[H/Pace]]/100)*(VLOOKUP(Table2[[#This Row],[Home/Neutral]],home_lookup,8,FALSE)+VLOOKUP(Table2[[#This Row],[Home/Neutral]],OFR_lookup,2,FALSE)+VLOOKUP(Table2[[#This Row],[Visitor/Neutral]],def_diff_lookup,6,FALSE))</f>
        <v>91.782573115967764</v>
      </c>
      <c r="M376" s="21"/>
      <c r="N376" s="21">
        <f>(Table2[[#This Row],[A/Pace]]/100)*(VLOOKUP(Table2[[#This Row],[Visitor/Neutral]],OFR_lookup,2,FALSE)+VLOOKUP(Table2[[#This Row],[Home/Neutral]],def_diff_lookup,6,FALSE))</f>
        <v>97.408126666666661</v>
      </c>
      <c r="O376" s="21"/>
      <c r="P376" s="21"/>
      <c r="Q376">
        <f>VLOOKUP(Table2[[#This Row],[Home/Neutral]],pace_lookup,7,FALSE)</f>
        <v>92.9</v>
      </c>
      <c r="R376" s="5">
        <f>VLOOKUP(Table2[[#This Row],[Visitor/Neutral]],pace_lookup,7,FALSE)</f>
        <v>94</v>
      </c>
      <c r="S376" s="7"/>
      <c r="U376" s="15"/>
      <c r="W376" s="2">
        <f>-home-VLOOKUP(Table2[[#This Row],[Home/Neutral]],rtg_vlookup,4,FALSE)+VLOOKUP(Table2[[#This Row],[Visitor/Neutral]],rtg_vlookup,4,FALSE)</f>
        <v>7.6513114754098339</v>
      </c>
      <c r="X376" s="15"/>
      <c r="Y376" s="2"/>
      <c r="Z376" s="2">
        <f>Table2[[#This Row],[A/EV]]-Table2[[#This Row],[H/EV]]</f>
        <v>5.6255535506988963</v>
      </c>
      <c r="AA376" s="29"/>
      <c r="AB376" s="30"/>
      <c r="AC376" s="30"/>
      <c r="AD376" s="30"/>
      <c r="AE376" s="30"/>
      <c r="AF376" s="7" t="b">
        <f>IF(VLOOKUP(Table2[[#This Row],[Home/Neutral]],division_lookup,9,FALSE)=VLOOKUP(Table2[[#This Row],[Visitor/Neutral]],division_lookup,9,FALSE),TRUE,FALSE)</f>
        <v>0</v>
      </c>
      <c r="AG376" s="15" t="str">
        <f>VLOOKUP(Table2[[#This Row],[Home/Neutral]],division_lookup,9,FALSE)</f>
        <v>SW</v>
      </c>
      <c r="AH376" s="15" t="str">
        <f>IF(Table2[[#This Row],[Total/EV]]&lt;Table2[[#This Row],[Total/V]],"UNDER","OVER")</f>
        <v>OVER</v>
      </c>
      <c r="AI376" s="26">
        <f>Table2[[#This Row],[SRS/Real]]-Table2[[#This Row],[Spread/V]]</f>
        <v>0</v>
      </c>
      <c r="AJ376" s="2">
        <f>Table2[[#This Row],[EV/Real]]-Table2[[#This Row],[Spread/V]]</f>
        <v>0</v>
      </c>
      <c r="AK376" s="2">
        <f>Table2[[#This Row],[SRS/Diff]]-Table2[[#This Row],[EV/Diff]]</f>
        <v>0</v>
      </c>
      <c r="AL376" s="18">
        <f>Table2[[#This Row],[SRS]]-Table2[[#This Row],[Spread]]</f>
        <v>7.6513114754098339</v>
      </c>
      <c r="AM376" s="21">
        <f>Table2[[#This Row],[(A) Err]]^2</f>
        <v>58.542567293738209</v>
      </c>
      <c r="AN376" s="6">
        <f>Table2[[#This Row],[EV]]-Table2[[#This Row],[Spread]]</f>
        <v>5.6255535506988963</v>
      </c>
      <c r="AO376" s="1">
        <f>Table2[[#This Row],[EV Err]]^2</f>
        <v>31.646852751780958</v>
      </c>
      <c r="AP376" s="1"/>
    </row>
    <row r="377" spans="1:42" x14ac:dyDescent="0.25">
      <c r="A377" s="34">
        <v>42718</v>
      </c>
      <c r="B377" t="s">
        <v>119</v>
      </c>
      <c r="C377" t="s">
        <v>133</v>
      </c>
      <c r="E377" s="21"/>
      <c r="G377" s="21"/>
      <c r="H377" s="7"/>
      <c r="I377" s="21"/>
      <c r="K377"/>
      <c r="L377" s="21">
        <f>(Table2[[#This Row],[H/Pace]]/100)*(VLOOKUP(Table2[[#This Row],[Home/Neutral]],home_lookup,8,FALSE)+VLOOKUP(Table2[[#This Row],[Home/Neutral]],OFR_lookup,2,FALSE)+VLOOKUP(Table2[[#This Row],[Visitor/Neutral]],def_diff_lookup,6,FALSE))</f>
        <v>112.04937376977628</v>
      </c>
      <c r="M377" s="21"/>
      <c r="N377" s="21">
        <f>(Table2[[#This Row],[A/Pace]]/100)*(VLOOKUP(Table2[[#This Row],[Visitor/Neutral]],OFR_lookup,2,FALSE)+VLOOKUP(Table2[[#This Row],[Home/Neutral]],def_diff_lookup,6,FALSE))</f>
        <v>104.27531800000001</v>
      </c>
      <c r="O377" s="21"/>
      <c r="P377" s="21"/>
      <c r="Q377">
        <f>VLOOKUP(Table2[[#This Row],[Home/Neutral]],pace_lookup,7,FALSE)</f>
        <v>96.9</v>
      </c>
      <c r="R377" s="5">
        <f>VLOOKUP(Table2[[#This Row],[Visitor/Neutral]],pace_lookup,7,FALSE)</f>
        <v>94.2</v>
      </c>
      <c r="S377" s="7"/>
      <c r="U377" s="15"/>
      <c r="W377" s="2">
        <f>-home-VLOOKUP(Table2[[#This Row],[Home/Neutral]],rtg_vlookup,4,FALSE)+VLOOKUP(Table2[[#This Row],[Visitor/Neutral]],rtg_vlookup,4,FALSE)</f>
        <v>-8.3786885245901654</v>
      </c>
      <c r="X377" s="15"/>
      <c r="Y377" s="2"/>
      <c r="Z377" s="2">
        <f>Table2[[#This Row],[A/EV]]-Table2[[#This Row],[H/EV]]</f>
        <v>-7.7740557697762682</v>
      </c>
      <c r="AA377" s="29"/>
      <c r="AB377" s="30"/>
      <c r="AC377" s="30"/>
      <c r="AD377" s="30"/>
      <c r="AE377" s="30"/>
      <c r="AF377" s="7" t="b">
        <f>IF(VLOOKUP(Table2[[#This Row],[Home/Neutral]],division_lookup,9,FALSE)=VLOOKUP(Table2[[#This Row],[Visitor/Neutral]],division_lookup,9,FALSE),TRUE,FALSE)</f>
        <v>0</v>
      </c>
      <c r="AG377" s="15" t="str">
        <f>VLOOKUP(Table2[[#This Row],[Home/Neutral]],division_lookup,9,FALSE)</f>
        <v>SW</v>
      </c>
      <c r="AH377" s="15" t="str">
        <f>IF(Table2[[#This Row],[Total/EV]]&lt;Table2[[#This Row],[Total/V]],"UNDER","OVER")</f>
        <v>OVER</v>
      </c>
      <c r="AI377" s="26">
        <f>Table2[[#This Row],[SRS/Real]]-Table2[[#This Row],[Spread/V]]</f>
        <v>0</v>
      </c>
      <c r="AJ377" s="2">
        <f>Table2[[#This Row],[EV/Real]]-Table2[[#This Row],[Spread/V]]</f>
        <v>0</v>
      </c>
      <c r="AK377" s="2">
        <f>Table2[[#This Row],[SRS/Diff]]-Table2[[#This Row],[EV/Diff]]</f>
        <v>0</v>
      </c>
      <c r="AL377" s="18">
        <f>Table2[[#This Row],[SRS]]-Table2[[#This Row],[Spread]]</f>
        <v>-8.3786885245901654</v>
      </c>
      <c r="AM377" s="21">
        <f>Table2[[#This Row],[(A) Err]]^2</f>
        <v>70.202421392098927</v>
      </c>
      <c r="AN377" s="6">
        <f>Table2[[#This Row],[EV]]-Table2[[#This Row],[Spread]]</f>
        <v>-7.7740557697762682</v>
      </c>
      <c r="AO377" s="1">
        <f>Table2[[#This Row],[EV Err]]^2</f>
        <v>60.435943111591683</v>
      </c>
      <c r="AP377" s="1"/>
    </row>
    <row r="378" spans="1:42" x14ac:dyDescent="0.25">
      <c r="A378" s="34">
        <v>42718</v>
      </c>
      <c r="B378" t="s">
        <v>123</v>
      </c>
      <c r="C378" t="s">
        <v>114</v>
      </c>
      <c r="E378" s="21"/>
      <c r="G378" s="21"/>
      <c r="H378" s="7"/>
      <c r="I378" s="21"/>
      <c r="K378"/>
      <c r="L378" s="21">
        <f>(Table2[[#This Row],[H/Pace]]/100)*(VLOOKUP(Table2[[#This Row],[Home/Neutral]],home_lookup,8,FALSE)+VLOOKUP(Table2[[#This Row],[Home/Neutral]],OFR_lookup,2,FALSE)+VLOOKUP(Table2[[#This Row],[Visitor/Neutral]],def_diff_lookup,6,FALSE))</f>
        <v>101.26367709563918</v>
      </c>
      <c r="M378" s="21"/>
      <c r="N378" s="21">
        <f>(Table2[[#This Row],[A/Pace]]/100)*(VLOOKUP(Table2[[#This Row],[Visitor/Neutral]],OFR_lookup,2,FALSE)+VLOOKUP(Table2[[#This Row],[Home/Neutral]],def_diff_lookup,6,FALSE))</f>
        <v>108.22257366666665</v>
      </c>
      <c r="O378" s="21"/>
      <c r="P378" s="21"/>
      <c r="Q378">
        <f>VLOOKUP(Table2[[#This Row],[Home/Neutral]],pace_lookup,7,FALSE)</f>
        <v>92.5</v>
      </c>
      <c r="R378" s="5">
        <f>VLOOKUP(Table2[[#This Row],[Visitor/Neutral]],pace_lookup,7,FALSE)</f>
        <v>97.3</v>
      </c>
      <c r="S378" s="7"/>
      <c r="U378" s="15"/>
      <c r="W378" s="2">
        <f>-home-VLOOKUP(Table2[[#This Row],[Home/Neutral]],rtg_vlookup,4,FALSE)+VLOOKUP(Table2[[#This Row],[Visitor/Neutral]],rtg_vlookup,4,FALSE)</f>
        <v>5.1913114754098348</v>
      </c>
      <c r="X378" s="15"/>
      <c r="Y378" s="2"/>
      <c r="Z378" s="2">
        <f>Table2[[#This Row],[A/EV]]-Table2[[#This Row],[H/EV]]</f>
        <v>6.9588965710274664</v>
      </c>
      <c r="AA378" s="29"/>
      <c r="AB378" s="30"/>
      <c r="AC378" s="30"/>
      <c r="AD378" s="30"/>
      <c r="AE378" s="30"/>
      <c r="AF378" s="7" t="b">
        <f>IF(VLOOKUP(Table2[[#This Row],[Home/Neutral]],division_lookup,9,FALSE)=VLOOKUP(Table2[[#This Row],[Visitor/Neutral]],division_lookup,9,FALSE),TRUE,FALSE)</f>
        <v>0</v>
      </c>
      <c r="AG378" s="15" t="str">
        <f>VLOOKUP(Table2[[#This Row],[Home/Neutral]],division_lookup,9,FALSE)</f>
        <v>SW</v>
      </c>
      <c r="AH378" s="15" t="str">
        <f>IF(Table2[[#This Row],[Total/EV]]&lt;Table2[[#This Row],[Total/V]],"UNDER","OVER")</f>
        <v>OVER</v>
      </c>
      <c r="AI378" s="26">
        <f>Table2[[#This Row],[SRS/Real]]-Table2[[#This Row],[Spread/V]]</f>
        <v>0</v>
      </c>
      <c r="AJ378" s="2">
        <f>Table2[[#This Row],[EV/Real]]-Table2[[#This Row],[Spread/V]]</f>
        <v>0</v>
      </c>
      <c r="AK378" s="2">
        <f>Table2[[#This Row],[SRS/Diff]]-Table2[[#This Row],[EV/Diff]]</f>
        <v>0</v>
      </c>
      <c r="AL378" s="18">
        <f>Table2[[#This Row],[SRS]]-Table2[[#This Row],[Spread]]</f>
        <v>5.1913114754098348</v>
      </c>
      <c r="AM378" s="21">
        <f>Table2[[#This Row],[(A) Err]]^2</f>
        <v>26.949714834721835</v>
      </c>
      <c r="AN378" s="6">
        <f>Table2[[#This Row],[EV]]-Table2[[#This Row],[Spread]]</f>
        <v>6.9588965710274664</v>
      </c>
      <c r="AO378" s="1">
        <f>Table2[[#This Row],[EV Err]]^2</f>
        <v>48.42624148625783</v>
      </c>
      <c r="AP378" s="1"/>
    </row>
    <row r="379" spans="1:42" x14ac:dyDescent="0.25">
      <c r="A379" s="34">
        <v>42718</v>
      </c>
      <c r="B379" t="s">
        <v>124</v>
      </c>
      <c r="C379" t="s">
        <v>120</v>
      </c>
      <c r="E379" s="21"/>
      <c r="G379" s="21"/>
      <c r="H379" s="7"/>
      <c r="I379" s="21"/>
      <c r="K379"/>
      <c r="L379" s="21">
        <f>(Table2[[#This Row],[H/Pace]]/100)*(VLOOKUP(Table2[[#This Row],[Home/Neutral]],home_lookup,8,FALSE)+VLOOKUP(Table2[[#This Row],[Home/Neutral]],OFR_lookup,2,FALSE)+VLOOKUP(Table2[[#This Row],[Visitor/Neutral]],def_diff_lookup,6,FALSE))</f>
        <v>102.84105517723556</v>
      </c>
      <c r="M379" s="21"/>
      <c r="N379" s="21">
        <f>(Table2[[#This Row],[A/Pace]]/100)*(VLOOKUP(Table2[[#This Row],[Visitor/Neutral]],OFR_lookup,2,FALSE)+VLOOKUP(Table2[[#This Row],[Home/Neutral]],def_diff_lookup,6,FALSE))</f>
        <v>99.770240333333334</v>
      </c>
      <c r="O379" s="21"/>
      <c r="P379" s="21"/>
      <c r="Q379">
        <f>VLOOKUP(Table2[[#This Row],[Home/Neutral]],pace_lookup,7,FALSE)</f>
        <v>93.7</v>
      </c>
      <c r="R379" s="5">
        <f>VLOOKUP(Table2[[#This Row],[Visitor/Neutral]],pace_lookup,7,FALSE)</f>
        <v>98.3</v>
      </c>
      <c r="S379" s="7"/>
      <c r="U379" s="15"/>
      <c r="W379" s="2">
        <f>-home-VLOOKUP(Table2[[#This Row],[Home/Neutral]],rtg_vlookup,4,FALSE)+VLOOKUP(Table2[[#This Row],[Visitor/Neutral]],rtg_vlookup,4,FALSE)</f>
        <v>-6.2786885245901658</v>
      </c>
      <c r="X379" s="15"/>
      <c r="Y379" s="2"/>
      <c r="Z379" s="2">
        <f>Table2[[#This Row],[A/EV]]-Table2[[#This Row],[H/EV]]</f>
        <v>-3.0708148439022267</v>
      </c>
      <c r="AA379" s="29"/>
      <c r="AB379" s="30"/>
      <c r="AC379" s="30"/>
      <c r="AD379" s="30"/>
      <c r="AE379" s="30"/>
      <c r="AF379" s="7" t="b">
        <f>IF(VLOOKUP(Table2[[#This Row],[Home/Neutral]],division_lookup,9,FALSE)=VLOOKUP(Table2[[#This Row],[Visitor/Neutral]],division_lookup,9,FALSE),TRUE,FALSE)</f>
        <v>0</v>
      </c>
      <c r="AG379" s="15" t="str">
        <f>VLOOKUP(Table2[[#This Row],[Home/Neutral]],division_lookup,9,FALSE)</f>
        <v>SE</v>
      </c>
      <c r="AH379" s="15" t="str">
        <f>IF(Table2[[#This Row],[Total/EV]]&lt;Table2[[#This Row],[Total/V]],"UNDER","OVER")</f>
        <v>OVER</v>
      </c>
      <c r="AI379" s="26">
        <f>Table2[[#This Row],[SRS/Real]]-Table2[[#This Row],[Spread/V]]</f>
        <v>0</v>
      </c>
      <c r="AJ379" s="2">
        <f>Table2[[#This Row],[EV/Real]]-Table2[[#This Row],[Spread/V]]</f>
        <v>0</v>
      </c>
      <c r="AK379" s="2">
        <f>Table2[[#This Row],[SRS/Diff]]-Table2[[#This Row],[EV/Diff]]</f>
        <v>0</v>
      </c>
      <c r="AL379" s="18">
        <f>Table2[[#This Row],[SRS]]-Table2[[#This Row],[Spread]]</f>
        <v>-6.2786885245901658</v>
      </c>
      <c r="AM379" s="21">
        <f>Table2[[#This Row],[(A) Err]]^2</f>
        <v>39.421929588820234</v>
      </c>
      <c r="AN379" s="6">
        <f>Table2[[#This Row],[EV]]-Table2[[#This Row],[Spread]]</f>
        <v>-3.0708148439022267</v>
      </c>
      <c r="AO379" s="1">
        <f>Table2[[#This Row],[EV Err]]^2</f>
        <v>9.4299038055302571</v>
      </c>
      <c r="AP379" s="1"/>
    </row>
    <row r="380" spans="1:42" x14ac:dyDescent="0.25">
      <c r="A380" s="34">
        <v>42718</v>
      </c>
      <c r="B380" t="s">
        <v>130</v>
      </c>
      <c r="C380" t="s">
        <v>121</v>
      </c>
      <c r="E380" s="21"/>
      <c r="G380" s="21"/>
      <c r="H380" s="7"/>
      <c r="I380" s="21"/>
      <c r="K380"/>
      <c r="L380" s="21">
        <f>(Table2[[#This Row],[H/Pace]]/100)*(VLOOKUP(Table2[[#This Row],[Home/Neutral]],home_lookup,8,FALSE)+VLOOKUP(Table2[[#This Row],[Home/Neutral]],OFR_lookup,2,FALSE)+VLOOKUP(Table2[[#This Row],[Visitor/Neutral]],def_diff_lookup,6,FALSE))</f>
        <v>92.4560249671094</v>
      </c>
      <c r="M380" s="21"/>
      <c r="N380" s="21">
        <f>(Table2[[#This Row],[A/Pace]]/100)*(VLOOKUP(Table2[[#This Row],[Visitor/Neutral]],OFR_lookup,2,FALSE)+VLOOKUP(Table2[[#This Row],[Home/Neutral]],def_diff_lookup,6,FALSE))</f>
        <v>110.77870266666666</v>
      </c>
      <c r="O380" s="21"/>
      <c r="P380" s="21"/>
      <c r="Q380">
        <f>VLOOKUP(Table2[[#This Row],[Home/Neutral]],pace_lookup,7,FALSE)</f>
        <v>94.2</v>
      </c>
      <c r="R380" s="5">
        <f>VLOOKUP(Table2[[#This Row],[Visitor/Neutral]],pace_lookup,7,FALSE)</f>
        <v>96.4</v>
      </c>
      <c r="S380" s="7"/>
      <c r="U380" s="15"/>
      <c r="W380" s="2">
        <f>-home-VLOOKUP(Table2[[#This Row],[Home/Neutral]],rtg_vlookup,4,FALSE)+VLOOKUP(Table2[[#This Row],[Visitor/Neutral]],rtg_vlookup,4,FALSE)</f>
        <v>18.581311475409834</v>
      </c>
      <c r="X380" s="15"/>
      <c r="Y380" s="2"/>
      <c r="Z380" s="2">
        <f>Table2[[#This Row],[A/EV]]-Table2[[#This Row],[H/EV]]</f>
        <v>18.322677699557261</v>
      </c>
      <c r="AA380" s="29"/>
      <c r="AB380" s="30"/>
      <c r="AC380" s="30"/>
      <c r="AD380" s="30"/>
      <c r="AE380" s="30"/>
      <c r="AF380" s="7" t="b">
        <f>IF(VLOOKUP(Table2[[#This Row],[Home/Neutral]],division_lookup,9,FALSE)=VLOOKUP(Table2[[#This Row],[Visitor/Neutral]],division_lookup,9,FALSE),TRUE,FALSE)</f>
        <v>0</v>
      </c>
      <c r="AG380" s="15" t="str">
        <f>VLOOKUP(Table2[[#This Row],[Home/Neutral]],division_lookup,9,FALSE)</f>
        <v>SE</v>
      </c>
      <c r="AH380" s="15" t="str">
        <f>IF(Table2[[#This Row],[Total/EV]]&lt;Table2[[#This Row],[Total/V]],"UNDER","OVER")</f>
        <v>OVER</v>
      </c>
      <c r="AI380" s="26">
        <f>Table2[[#This Row],[SRS/Real]]-Table2[[#This Row],[Spread/V]]</f>
        <v>0</v>
      </c>
      <c r="AJ380" s="2">
        <f>Table2[[#This Row],[EV/Real]]-Table2[[#This Row],[Spread/V]]</f>
        <v>0</v>
      </c>
      <c r="AK380" s="2">
        <f>Table2[[#This Row],[SRS/Diff]]-Table2[[#This Row],[EV/Diff]]</f>
        <v>0</v>
      </c>
      <c r="AL380" s="18">
        <f>Table2[[#This Row],[SRS]]-Table2[[#This Row],[Spread]]</f>
        <v>18.581311475409834</v>
      </c>
      <c r="AM380" s="21">
        <f>Table2[[#This Row],[(A) Err]]^2</f>
        <v>345.26513614619716</v>
      </c>
      <c r="AN380" s="6">
        <f>Table2[[#This Row],[EV]]-Table2[[#This Row],[Spread]]</f>
        <v>18.322677699557261</v>
      </c>
      <c r="AO380" s="1">
        <f>Table2[[#This Row],[EV Err]]^2</f>
        <v>335.72051808185296</v>
      </c>
      <c r="AP380" s="1"/>
    </row>
    <row r="381" spans="1:42" x14ac:dyDescent="0.25">
      <c r="A381" s="77">
        <v>42718</v>
      </c>
      <c r="B381" t="s">
        <v>138</v>
      </c>
      <c r="C381" t="s">
        <v>135</v>
      </c>
      <c r="D381" s="49"/>
      <c r="E381" s="51"/>
      <c r="F381" s="49"/>
      <c r="G381" s="51"/>
      <c r="H381" s="50"/>
      <c r="I381" s="51"/>
      <c r="J381" s="49"/>
      <c r="K381" s="49"/>
      <c r="L381" s="51">
        <f>(Table2[[#This Row],[H/Pace]]/100)*(VLOOKUP(Table2[[#This Row],[Home/Neutral]],home_lookup,8,FALSE)+VLOOKUP(Table2[[#This Row],[Home/Neutral]],OFR_lookup,2,FALSE)+VLOOKUP(Table2[[#This Row],[Visitor/Neutral]],def_diff_lookup,6,FALSE))</f>
        <v>99.982533531240094</v>
      </c>
      <c r="M381" s="51"/>
      <c r="N381" s="51">
        <f>(Table2[[#This Row],[A/Pace]]/100)*(VLOOKUP(Table2[[#This Row],[Visitor/Neutral]],OFR_lookup,2,FALSE)+VLOOKUP(Table2[[#This Row],[Home/Neutral]],def_diff_lookup,6,FALSE))</f>
        <v>109.915746</v>
      </c>
      <c r="O381" s="51"/>
      <c r="P381" s="51"/>
      <c r="Q381" s="49">
        <f>VLOOKUP(Table2[[#This Row],[Home/Neutral]],pace_lookup,7,FALSE)</f>
        <v>97.5</v>
      </c>
      <c r="R381" s="52">
        <f>VLOOKUP(Table2[[#This Row],[Visitor/Neutral]],pace_lookup,7,FALSE)</f>
        <v>95.4</v>
      </c>
      <c r="S381" s="50"/>
      <c r="T381" s="49"/>
      <c r="U381" s="75"/>
      <c r="V381" s="49"/>
      <c r="W381" s="53">
        <f>-home-VLOOKUP(Table2[[#This Row],[Home/Neutral]],rtg_vlookup,4,FALSE)+VLOOKUP(Table2[[#This Row],[Visitor/Neutral]],rtg_vlookup,4,FALSE)</f>
        <v>12.791311475409834</v>
      </c>
      <c r="X381" s="75"/>
      <c r="Y381" s="53"/>
      <c r="Z381" s="2">
        <f>Table2[[#This Row],[A/EV]]-Table2[[#This Row],[H/EV]]</f>
        <v>9.9332124687599048</v>
      </c>
      <c r="AA381" s="29"/>
      <c r="AB381" s="30"/>
      <c r="AC381" s="30"/>
      <c r="AD381" s="30"/>
      <c r="AE381" s="30"/>
      <c r="AF381" s="7" t="b">
        <f>IF(VLOOKUP(Table2[[#This Row],[Home/Neutral]],division_lookup,9,FALSE)=VLOOKUP(Table2[[#This Row],[Visitor/Neutral]],division_lookup,9,FALSE),TRUE,FALSE)</f>
        <v>1</v>
      </c>
      <c r="AG381" s="15" t="str">
        <f>VLOOKUP(Table2[[#This Row],[Home/Neutral]],division_lookup,9,FALSE)</f>
        <v>A</v>
      </c>
      <c r="AH381" s="15" t="str">
        <f>IF(Table2[[#This Row],[Total/EV]]&lt;Table2[[#This Row],[Total/V]],"UNDER","OVER")</f>
        <v>OVER</v>
      </c>
      <c r="AI381" s="26">
        <f>Table2[[#This Row],[SRS/Real]]-Table2[[#This Row],[Spread/V]]</f>
        <v>0</v>
      </c>
      <c r="AJ381" s="2">
        <f>Table2[[#This Row],[EV/Real]]-Table2[[#This Row],[Spread/V]]</f>
        <v>0</v>
      </c>
      <c r="AK381" s="2">
        <f>Table2[[#This Row],[SRS/Diff]]-Table2[[#This Row],[EV/Diff]]</f>
        <v>0</v>
      </c>
      <c r="AL381" s="18">
        <f>Table2[[#This Row],[SRS]]-Table2[[#This Row],[Spread]]</f>
        <v>12.791311475409834</v>
      </c>
      <c r="AM381" s="21">
        <f>Table2[[#This Row],[(A) Err]]^2</f>
        <v>163.61764926095131</v>
      </c>
      <c r="AN381" s="6">
        <f>Table2[[#This Row],[EV]]-Table2[[#This Row],[Spread]]</f>
        <v>9.9332124687599048</v>
      </c>
      <c r="AO381" s="1">
        <f>Table2[[#This Row],[EV Err]]^2</f>
        <v>98.668709949527241</v>
      </c>
      <c r="AP381" s="1"/>
    </row>
    <row r="382" spans="1:42" x14ac:dyDescent="0.25">
      <c r="A382" s="34">
        <v>42718</v>
      </c>
      <c r="B382" t="s">
        <v>134</v>
      </c>
      <c r="C382" t="s">
        <v>110</v>
      </c>
      <c r="E382" s="21"/>
      <c r="G382" s="21"/>
      <c r="H382" s="7"/>
      <c r="I382" s="21"/>
      <c r="K382"/>
      <c r="L382" s="21">
        <f>(Table2[[#This Row],[H/Pace]]/100)*(VLOOKUP(Table2[[#This Row],[Home/Neutral]],home_lookup,8,FALSE)+VLOOKUP(Table2[[#This Row],[Home/Neutral]],OFR_lookup,2,FALSE)+VLOOKUP(Table2[[#This Row],[Visitor/Neutral]],def_diff_lookup,6,FALSE))</f>
        <v>101.34595343638193</v>
      </c>
      <c r="M382" s="21"/>
      <c r="N382" s="21">
        <f>(Table2[[#This Row],[A/Pace]]/100)*(VLOOKUP(Table2[[#This Row],[Visitor/Neutral]],OFR_lookup,2,FALSE)+VLOOKUP(Table2[[#This Row],[Home/Neutral]],def_diff_lookup,6,FALSE))</f>
        <v>102.43921133333335</v>
      </c>
      <c r="O382" s="21"/>
      <c r="P382" s="21"/>
      <c r="Q382">
        <f>VLOOKUP(Table2[[#This Row],[Home/Neutral]],pace_lookup,7,FALSE)</f>
        <v>93.4</v>
      </c>
      <c r="R382" s="5">
        <f>VLOOKUP(Table2[[#This Row],[Visitor/Neutral]],pace_lookup,7,FALSE)</f>
        <v>96.2</v>
      </c>
      <c r="S382" s="7"/>
      <c r="U382" s="15"/>
      <c r="W382" s="2">
        <f>-home-VLOOKUP(Table2[[#This Row],[Home/Neutral]],rtg_vlookup,4,FALSE)+VLOOKUP(Table2[[#This Row],[Visitor/Neutral]],rtg_vlookup,4,FALSE)</f>
        <v>-9.6886885245901642</v>
      </c>
      <c r="X382" s="15"/>
      <c r="Y382" s="2"/>
      <c r="Z382" s="2">
        <f>Table2[[#This Row],[A/EV]]-Table2[[#This Row],[H/EV]]</f>
        <v>1.093257896951414</v>
      </c>
      <c r="AA382" s="29"/>
      <c r="AB382" s="30"/>
      <c r="AC382" s="30"/>
      <c r="AD382" s="30"/>
      <c r="AE382" s="30"/>
      <c r="AF382" s="7" t="b">
        <f>IF(VLOOKUP(Table2[[#This Row],[Home/Neutral]],division_lookup,9,FALSE)=VLOOKUP(Table2[[#This Row],[Visitor/Neutral]],division_lookup,9,FALSE),TRUE,FALSE)</f>
        <v>0</v>
      </c>
      <c r="AG382" s="15" t="str">
        <f>VLOOKUP(Table2[[#This Row],[Home/Neutral]],division_lookup,9,FALSE)</f>
        <v>SW</v>
      </c>
      <c r="AH382" s="15" t="str">
        <f>IF(Table2[[#This Row],[Total/EV]]&lt;Table2[[#This Row],[Total/V]],"UNDER","OVER")</f>
        <v>OVER</v>
      </c>
      <c r="AI382" s="26">
        <f>Table2[[#This Row],[SRS/Real]]-Table2[[#This Row],[Spread/V]]</f>
        <v>0</v>
      </c>
      <c r="AJ382" s="2">
        <f>Table2[[#This Row],[EV/Real]]-Table2[[#This Row],[Spread/V]]</f>
        <v>0</v>
      </c>
      <c r="AK382" s="2">
        <f>Table2[[#This Row],[SRS/Diff]]-Table2[[#This Row],[EV/Diff]]</f>
        <v>0</v>
      </c>
      <c r="AL382" s="18">
        <f>Table2[[#This Row],[SRS]]-Table2[[#This Row],[Spread]]</f>
        <v>-9.6886885245901642</v>
      </c>
      <c r="AM382" s="21">
        <f>Table2[[#This Row],[(A) Err]]^2</f>
        <v>93.870685326525134</v>
      </c>
      <c r="AN382" s="6">
        <f>Table2[[#This Row],[EV]]-Table2[[#This Row],[Spread]]</f>
        <v>1.093257896951414</v>
      </c>
      <c r="AO382" s="1">
        <f>Table2[[#This Row],[EV Err]]^2</f>
        <v>1.1952128292466284</v>
      </c>
      <c r="AP382" s="1"/>
    </row>
    <row r="383" spans="1:42" x14ac:dyDescent="0.25">
      <c r="A383" s="77">
        <v>42718</v>
      </c>
      <c r="B383" t="s">
        <v>136</v>
      </c>
      <c r="C383" t="s">
        <v>129</v>
      </c>
      <c r="D383" s="49"/>
      <c r="E383" s="51"/>
      <c r="F383" s="49"/>
      <c r="G383" s="51"/>
      <c r="H383" s="50"/>
      <c r="I383" s="51"/>
      <c r="J383" s="49"/>
      <c r="K383" s="49"/>
      <c r="L383" s="51">
        <f>(Table2[[#This Row],[H/Pace]]/100)*(VLOOKUP(Table2[[#This Row],[Home/Neutral]],home_lookup,8,FALSE)+VLOOKUP(Table2[[#This Row],[Home/Neutral]],OFR_lookup,2,FALSE)+VLOOKUP(Table2[[#This Row],[Visitor/Neutral]],def_diff_lookup,6,FALSE))</f>
        <v>103.300335349919</v>
      </c>
      <c r="M383" s="51"/>
      <c r="N383" s="51">
        <f>(Table2[[#This Row],[A/Pace]]/100)*(VLOOKUP(Table2[[#This Row],[Visitor/Neutral]],OFR_lookup,2,FALSE)+VLOOKUP(Table2[[#This Row],[Home/Neutral]],def_diff_lookup,6,FALSE))</f>
        <v>100.73810999999999</v>
      </c>
      <c r="O383" s="51"/>
      <c r="P383" s="51"/>
      <c r="Q383" s="49">
        <f>VLOOKUP(Table2[[#This Row],[Home/Neutral]],pace_lookup,7,FALSE)</f>
        <v>91.5</v>
      </c>
      <c r="R383" s="52">
        <f>VLOOKUP(Table2[[#This Row],[Visitor/Neutral]],pace_lookup,7,FALSE)</f>
        <v>99</v>
      </c>
      <c r="S383" s="50"/>
      <c r="T383" s="49"/>
      <c r="U383" s="75"/>
      <c r="V383" s="49"/>
      <c r="W383" s="53">
        <f>-home-VLOOKUP(Table2[[#This Row],[Home/Neutral]],rtg_vlookup,4,FALSE)+VLOOKUP(Table2[[#This Row],[Visitor/Neutral]],rtg_vlookup,4,FALSE)</f>
        <v>-5.518688524590166</v>
      </c>
      <c r="X383" s="75"/>
      <c r="Y383" s="53"/>
      <c r="Z383" s="2">
        <f>Table2[[#This Row],[A/EV]]-Table2[[#This Row],[H/EV]]</f>
        <v>-2.5622253499190037</v>
      </c>
      <c r="AA383" s="29"/>
      <c r="AB383" s="30"/>
      <c r="AC383" s="30"/>
      <c r="AD383" s="30"/>
      <c r="AE383" s="30"/>
      <c r="AF383" s="7" t="b">
        <f>IF(VLOOKUP(Table2[[#This Row],[Home/Neutral]],division_lookup,9,FALSE)=VLOOKUP(Table2[[#This Row],[Visitor/Neutral]],division_lookup,9,FALSE),TRUE,FALSE)</f>
        <v>1</v>
      </c>
      <c r="AG383" s="15" t="str">
        <f>VLOOKUP(Table2[[#This Row],[Home/Neutral]],division_lookup,9,FALSE)</f>
        <v>NW</v>
      </c>
      <c r="AH383" s="15" t="str">
        <f>IF(Table2[[#This Row],[Total/EV]]&lt;Table2[[#This Row],[Total/V]],"UNDER","OVER")</f>
        <v>OVER</v>
      </c>
      <c r="AI383" s="26">
        <f>Table2[[#This Row],[SRS/Real]]-Table2[[#This Row],[Spread/V]]</f>
        <v>0</v>
      </c>
      <c r="AJ383" s="2">
        <f>Table2[[#This Row],[EV/Real]]-Table2[[#This Row],[Spread/V]]</f>
        <v>0</v>
      </c>
      <c r="AK383" s="2">
        <f>Table2[[#This Row],[SRS/Diff]]-Table2[[#This Row],[EV/Diff]]</f>
        <v>0</v>
      </c>
      <c r="AL383" s="18">
        <f>Table2[[#This Row],[SRS]]-Table2[[#This Row],[Spread]]</f>
        <v>-5.518688524590166</v>
      </c>
      <c r="AM383" s="21">
        <f>Table2[[#This Row],[(A) Err]]^2</f>
        <v>30.455923031443184</v>
      </c>
      <c r="AN383" s="6">
        <f>Table2[[#This Row],[EV]]-Table2[[#This Row],[Spread]]</f>
        <v>-2.5622253499190037</v>
      </c>
      <c r="AO383" s="1">
        <f>Table2[[#This Row],[EV Err]]^2</f>
        <v>6.5649987437675614</v>
      </c>
      <c r="AP383" s="1"/>
    </row>
    <row r="384" spans="1:42" ht="15.75" thickBot="1" x14ac:dyDescent="0.3">
      <c r="A384" s="102">
        <v>42718</v>
      </c>
      <c r="B384" s="3" t="s">
        <v>137</v>
      </c>
      <c r="C384" s="3" t="s">
        <v>112</v>
      </c>
      <c r="D384" s="54"/>
      <c r="E384" s="56"/>
      <c r="F384" s="54"/>
      <c r="G384" s="56"/>
      <c r="H384" s="55"/>
      <c r="I384" s="56"/>
      <c r="J384" s="54"/>
      <c r="K384" s="54"/>
      <c r="L384" s="56">
        <f>(Table2[[#This Row],[H/Pace]]/100)*(VLOOKUP(Table2[[#This Row],[Home/Neutral]],home_lookup,8,FALSE)+VLOOKUP(Table2[[#This Row],[Home/Neutral]],OFR_lookup,2,FALSE)+VLOOKUP(Table2[[#This Row],[Visitor/Neutral]],def_diff_lookup,6,FALSE))</f>
        <v>107.0041325542187</v>
      </c>
      <c r="M384" s="56"/>
      <c r="N384" s="56">
        <f>(Table2[[#This Row],[A/Pace]]/100)*(VLOOKUP(Table2[[#This Row],[Visitor/Neutral]],OFR_lookup,2,FALSE)+VLOOKUP(Table2[[#This Row],[Home/Neutral]],def_diff_lookup,6,FALSE))</f>
        <v>108.39223933333334</v>
      </c>
      <c r="O384" s="56"/>
      <c r="P384" s="56"/>
      <c r="Q384" s="54">
        <f>VLOOKUP(Table2[[#This Row],[Home/Neutral]],pace_lookup,7,FALSE)</f>
        <v>96</v>
      </c>
      <c r="R384" s="54">
        <f>VLOOKUP(Table2[[#This Row],[Visitor/Neutral]],pace_lookup,7,FALSE)</f>
        <v>97.4</v>
      </c>
      <c r="S384" s="55"/>
      <c r="T384" s="54"/>
      <c r="U384" s="73"/>
      <c r="V384" s="54"/>
      <c r="W384" s="57">
        <f>-home-VLOOKUP(Table2[[#This Row],[Home/Neutral]],rtg_vlookup,4,FALSE)+VLOOKUP(Table2[[#This Row],[Visitor/Neutral]],rtg_vlookup,4,FALSE)</f>
        <v>2.251311475409834</v>
      </c>
      <c r="X384" s="73"/>
      <c r="Y384" s="57"/>
      <c r="Z384" s="9">
        <f>Table2[[#This Row],[A/EV]]-Table2[[#This Row],[H/EV]]</f>
        <v>1.3881067791146364</v>
      </c>
      <c r="AA384" s="31"/>
      <c r="AB384" s="32"/>
      <c r="AC384" s="32"/>
      <c r="AD384" s="32"/>
      <c r="AE384" s="32"/>
      <c r="AF384" s="8" t="b">
        <f>IF(VLOOKUP(Table2[[#This Row],[Home/Neutral]],division_lookup,9,FALSE)=VLOOKUP(Table2[[#This Row],[Visitor/Neutral]],division_lookup,9,FALSE),TRUE,FALSE)</f>
        <v>1</v>
      </c>
      <c r="AG384" s="16" t="str">
        <f>VLOOKUP(Table2[[#This Row],[Home/Neutral]],division_lookup,9,FALSE)</f>
        <v>SE</v>
      </c>
      <c r="AH384" s="16" t="str">
        <f>IF(Table2[[#This Row],[Total/EV]]&lt;Table2[[#This Row],[Total/V]],"UNDER","OVER")</f>
        <v>OVER</v>
      </c>
      <c r="AI384" s="16">
        <f>Table2[[#This Row],[SRS/Real]]-Table2[[#This Row],[Spread/V]]</f>
        <v>0</v>
      </c>
      <c r="AJ384" s="9">
        <f>Table2[[#This Row],[EV/Real]]-Table2[[#This Row],[Spread/V]]</f>
        <v>0</v>
      </c>
      <c r="AK384" s="9">
        <f>Table2[[#This Row],[SRS/Diff]]-Table2[[#This Row],[EV/Diff]]</f>
        <v>0</v>
      </c>
      <c r="AL384" s="19">
        <f>Table2[[#This Row],[SRS]]-Table2[[#This Row],[Spread]]</f>
        <v>2.251311475409834</v>
      </c>
      <c r="AM384" s="22">
        <f>Table2[[#This Row],[(A) Err]]^2</f>
        <v>5.0684033593120033</v>
      </c>
      <c r="AN384" s="4">
        <f>Table2[[#This Row],[EV]]-Table2[[#This Row],[Spread]]</f>
        <v>1.3881067791146364</v>
      </c>
      <c r="AO384" s="4">
        <f>Table2[[#This Row],[EV Err]]^2</f>
        <v>1.9268404302240101</v>
      </c>
      <c r="AP384" s="1"/>
    </row>
    <row r="385" spans="1:42" x14ac:dyDescent="0.25">
      <c r="A385" s="77">
        <v>42719</v>
      </c>
      <c r="B385" t="s">
        <v>116</v>
      </c>
      <c r="C385" t="s">
        <v>132</v>
      </c>
      <c r="D385" s="49"/>
      <c r="E385" s="51"/>
      <c r="F385" s="49"/>
      <c r="G385" s="51"/>
      <c r="H385" s="50"/>
      <c r="I385" s="51"/>
      <c r="J385" s="49"/>
      <c r="K385" s="49"/>
      <c r="L385" s="51">
        <f>(Table2[[#This Row],[H/Pace]]/100)*(VLOOKUP(Table2[[#This Row],[Home/Neutral]],home_lookup,8,FALSE)+VLOOKUP(Table2[[#This Row],[Home/Neutral]],OFR_lookup,2,FALSE)+VLOOKUP(Table2[[#This Row],[Visitor/Neutral]],def_diff_lookup,6,FALSE))</f>
        <v>110.38601470161863</v>
      </c>
      <c r="M385" s="51"/>
      <c r="N385" s="51">
        <f>(Table2[[#This Row],[A/Pace]]/100)*(VLOOKUP(Table2[[#This Row],[Visitor/Neutral]],OFR_lookup,2,FALSE)+VLOOKUP(Table2[[#This Row],[Home/Neutral]],def_diff_lookup,6,FALSE))</f>
        <v>108.67571866666667</v>
      </c>
      <c r="O385" s="51"/>
      <c r="P385" s="51"/>
      <c r="Q385" s="49">
        <f>VLOOKUP(Table2[[#This Row],[Home/Neutral]],pace_lookup,7,FALSE)</f>
        <v>99.1</v>
      </c>
      <c r="R385" s="52">
        <f>VLOOKUP(Table2[[#This Row],[Visitor/Neutral]],pace_lookup,7,FALSE)</f>
        <v>98.8</v>
      </c>
      <c r="S385" s="50"/>
      <c r="T385" s="49"/>
      <c r="U385" s="75"/>
      <c r="V385" s="49"/>
      <c r="W385" s="53">
        <f>-home-VLOOKUP(Table2[[#This Row],[Home/Neutral]],rtg_vlookup,4,FALSE)+VLOOKUP(Table2[[#This Row],[Visitor/Neutral]],rtg_vlookup,4,FALSE)</f>
        <v>-4.478688524590166</v>
      </c>
      <c r="X385" s="75"/>
      <c r="Y385" s="53"/>
      <c r="Z385" s="2">
        <f>Table2[[#This Row],[A/EV]]-Table2[[#This Row],[H/EV]]</f>
        <v>-1.7102960349519662</v>
      </c>
      <c r="AA385" s="29"/>
      <c r="AB385" s="30"/>
      <c r="AC385" s="30"/>
      <c r="AD385" s="30"/>
      <c r="AE385" s="30"/>
      <c r="AF385" s="7" t="b">
        <f>IF(VLOOKUP(Table2[[#This Row],[Home/Neutral]],division_lookup,9,FALSE)=VLOOKUP(Table2[[#This Row],[Visitor/Neutral]],division_lookup,9,FALSE),TRUE,FALSE)</f>
        <v>1</v>
      </c>
      <c r="AG385" s="15" t="str">
        <f>VLOOKUP(Table2[[#This Row],[Home/Neutral]],division_lookup,9,FALSE)</f>
        <v>NW</v>
      </c>
      <c r="AH385" s="15" t="str">
        <f>IF(Table2[[#This Row],[Total/EV]]&lt;Table2[[#This Row],[Total/V]],"UNDER","OVER")</f>
        <v>OVER</v>
      </c>
      <c r="AI385" s="26">
        <f>Table2[[#This Row],[SRS/Real]]-Table2[[#This Row],[Spread/V]]</f>
        <v>0</v>
      </c>
      <c r="AJ385" s="2">
        <f>Table2[[#This Row],[EV/Real]]-Table2[[#This Row],[Spread/V]]</f>
        <v>0</v>
      </c>
      <c r="AK385" s="2">
        <f>Table2[[#This Row],[SRS/Diff]]-Table2[[#This Row],[EV/Diff]]</f>
        <v>0</v>
      </c>
      <c r="AL385" s="18">
        <f>Table2[[#This Row],[SRS]]-Table2[[#This Row],[Spread]]</f>
        <v>-4.478688524590166</v>
      </c>
      <c r="AM385" s="21">
        <f>Table2[[#This Row],[(A) Err]]^2</f>
        <v>20.058650900295639</v>
      </c>
      <c r="AN385" s="6">
        <f>Table2[[#This Row],[EV]]-Table2[[#This Row],[Spread]]</f>
        <v>-1.7102960349519662</v>
      </c>
      <c r="AO385" s="1">
        <f>Table2[[#This Row],[EV Err]]^2</f>
        <v>2.9251125271724172</v>
      </c>
      <c r="AP385" s="1"/>
    </row>
    <row r="386" spans="1:42" x14ac:dyDescent="0.25">
      <c r="A386" s="34">
        <v>42719</v>
      </c>
      <c r="B386" t="s">
        <v>118</v>
      </c>
      <c r="C386" t="s">
        <v>128</v>
      </c>
      <c r="E386" s="21"/>
      <c r="G386" s="21"/>
      <c r="H386" s="7"/>
      <c r="I386" s="21"/>
      <c r="K386"/>
      <c r="L386" s="21">
        <f>(Table2[[#This Row],[H/Pace]]/100)*(VLOOKUP(Table2[[#This Row],[Home/Neutral]],home_lookup,8,FALSE)+VLOOKUP(Table2[[#This Row],[Home/Neutral]],OFR_lookup,2,FALSE)+VLOOKUP(Table2[[#This Row],[Visitor/Neutral]],def_diff_lookup,6,FALSE))</f>
        <v>117.90507838078238</v>
      </c>
      <c r="M386" s="21"/>
      <c r="N386" s="21">
        <f>(Table2[[#This Row],[A/Pace]]/100)*(VLOOKUP(Table2[[#This Row],[Visitor/Neutral]],OFR_lookup,2,FALSE)+VLOOKUP(Table2[[#This Row],[Home/Neutral]],def_diff_lookup,6,FALSE))</f>
        <v>102.84422699999999</v>
      </c>
      <c r="O386" s="21"/>
      <c r="P386" s="21"/>
      <c r="Q386">
        <f>VLOOKUP(Table2[[#This Row],[Home/Neutral]],pace_lookup,7,FALSE)</f>
        <v>100.4</v>
      </c>
      <c r="R386" s="5">
        <f>VLOOKUP(Table2[[#This Row],[Visitor/Neutral]],pace_lookup,7,FALSE)</f>
        <v>96.3</v>
      </c>
      <c r="S386" s="7"/>
      <c r="U386" s="15"/>
      <c r="W386" s="2">
        <f>-home-VLOOKUP(Table2[[#This Row],[Home/Neutral]],rtg_vlookup,4,FALSE)+VLOOKUP(Table2[[#This Row],[Visitor/Neutral]],rtg_vlookup,4,FALSE)</f>
        <v>-16.058688524590167</v>
      </c>
      <c r="X386" s="15"/>
      <c r="Y386" s="2"/>
      <c r="Z386" s="2">
        <f>Table2[[#This Row],[A/EV]]-Table2[[#This Row],[H/EV]]</f>
        <v>-15.060851380782395</v>
      </c>
      <c r="AA386" s="29"/>
      <c r="AB386" s="30"/>
      <c r="AC386" s="30"/>
      <c r="AD386" s="30"/>
      <c r="AE386" s="30"/>
      <c r="AF386" s="7" t="b">
        <f>IF(VLOOKUP(Table2[[#This Row],[Home/Neutral]],division_lookup,9,FALSE)=VLOOKUP(Table2[[#This Row],[Visitor/Neutral]],division_lookup,9,FALSE),TRUE,FALSE)</f>
        <v>0</v>
      </c>
      <c r="AG386" s="15" t="str">
        <f>VLOOKUP(Table2[[#This Row],[Home/Neutral]],division_lookup,9,FALSE)</f>
        <v>P</v>
      </c>
      <c r="AH386" s="15" t="str">
        <f>IF(Table2[[#This Row],[Total/EV]]&lt;Table2[[#This Row],[Total/V]],"UNDER","OVER")</f>
        <v>OVER</v>
      </c>
      <c r="AI386" s="26">
        <f>Table2[[#This Row],[SRS/Real]]-Table2[[#This Row],[Spread/V]]</f>
        <v>0</v>
      </c>
      <c r="AJ386" s="2">
        <f>Table2[[#This Row],[EV/Real]]-Table2[[#This Row],[Spread/V]]</f>
        <v>0</v>
      </c>
      <c r="AK386" s="2">
        <f>Table2[[#This Row],[SRS/Diff]]-Table2[[#This Row],[EV/Diff]]</f>
        <v>0</v>
      </c>
      <c r="AL386" s="18">
        <f>Table2[[#This Row],[SRS]]-Table2[[#This Row],[Spread]]</f>
        <v>-16.058688524590167</v>
      </c>
      <c r="AM386" s="21">
        <f>Table2[[#This Row],[(A) Err]]^2</f>
        <v>257.8814771298039</v>
      </c>
      <c r="AN386" s="6">
        <f>Table2[[#This Row],[EV]]-Table2[[#This Row],[Spread]]</f>
        <v>-15.060851380782395</v>
      </c>
      <c r="AO386" s="1">
        <f>Table2[[#This Row],[EV Err]]^2</f>
        <v>226.82924431401497</v>
      </c>
      <c r="AP386" s="1"/>
    </row>
    <row r="387" spans="1:42" x14ac:dyDescent="0.25">
      <c r="A387" s="77">
        <v>42719</v>
      </c>
      <c r="B387" t="s">
        <v>125</v>
      </c>
      <c r="C387" t="s">
        <v>113</v>
      </c>
      <c r="D387" s="49"/>
      <c r="E387" s="51"/>
      <c r="F387" s="49"/>
      <c r="G387" s="51"/>
      <c r="H387" s="50"/>
      <c r="I387" s="51"/>
      <c r="J387" s="49"/>
      <c r="K387" s="49"/>
      <c r="L387" s="51">
        <f>(Table2[[#This Row],[H/Pace]]/100)*(VLOOKUP(Table2[[#This Row],[Home/Neutral]],home_lookup,8,FALSE)+VLOOKUP(Table2[[#This Row],[Home/Neutral]],OFR_lookup,2,FALSE)+VLOOKUP(Table2[[#This Row],[Visitor/Neutral]],def_diff_lookup,6,FALSE))</f>
        <v>108.06522550061908</v>
      </c>
      <c r="M387" s="51"/>
      <c r="N387" s="51">
        <f>(Table2[[#This Row],[A/Pace]]/100)*(VLOOKUP(Table2[[#This Row],[Visitor/Neutral]],OFR_lookup,2,FALSE)+VLOOKUP(Table2[[#This Row],[Home/Neutral]],def_diff_lookup,6,FALSE))</f>
        <v>107.38279899999999</v>
      </c>
      <c r="O387" s="51"/>
      <c r="P387" s="51"/>
      <c r="Q387" s="49">
        <f>VLOOKUP(Table2[[#This Row],[Home/Neutral]],pace_lookup,7,FALSE)</f>
        <v>96.1</v>
      </c>
      <c r="R387" s="52">
        <f>VLOOKUP(Table2[[#This Row],[Visitor/Neutral]],pace_lookup,7,FALSE)</f>
        <v>95.1</v>
      </c>
      <c r="S387" s="50"/>
      <c r="T387" s="49"/>
      <c r="U387" s="75"/>
      <c r="V387" s="49"/>
      <c r="W387" s="53">
        <f>-home-VLOOKUP(Table2[[#This Row],[Home/Neutral]],rtg_vlookup,4,FALSE)+VLOOKUP(Table2[[#This Row],[Visitor/Neutral]],rtg_vlookup,4,FALSE)</f>
        <v>4.351311475409835</v>
      </c>
      <c r="X387" s="75"/>
      <c r="Y387" s="53"/>
      <c r="Z387" s="2">
        <f>Table2[[#This Row],[A/EV]]-Table2[[#This Row],[H/EV]]</f>
        <v>-0.68242650061908705</v>
      </c>
      <c r="AA387" s="29"/>
      <c r="AB387" s="30"/>
      <c r="AC387" s="30"/>
      <c r="AD387" s="30"/>
      <c r="AE387" s="30"/>
      <c r="AF387" s="7" t="b">
        <f>IF(VLOOKUP(Table2[[#This Row],[Home/Neutral]],division_lookup,9,FALSE)=VLOOKUP(Table2[[#This Row],[Visitor/Neutral]],division_lookup,9,FALSE),TRUE,FALSE)</f>
        <v>1</v>
      </c>
      <c r="AG387" s="15" t="str">
        <f>VLOOKUP(Table2[[#This Row],[Home/Neutral]],division_lookup,9,FALSE)</f>
        <v>C</v>
      </c>
      <c r="AH387" s="15" t="str">
        <f>IF(Table2[[#This Row],[Total/EV]]&lt;Table2[[#This Row],[Total/V]],"UNDER","OVER")</f>
        <v>OVER</v>
      </c>
      <c r="AI387" s="26">
        <f>Table2[[#This Row],[SRS/Real]]-Table2[[#This Row],[Spread/V]]</f>
        <v>0</v>
      </c>
      <c r="AJ387" s="2">
        <f>Table2[[#This Row],[EV/Real]]-Table2[[#This Row],[Spread/V]]</f>
        <v>0</v>
      </c>
      <c r="AK387" s="2">
        <f>Table2[[#This Row],[SRS/Diff]]-Table2[[#This Row],[EV/Diff]]</f>
        <v>0</v>
      </c>
      <c r="AL387" s="18">
        <f>Table2[[#This Row],[SRS]]-Table2[[#This Row],[Spread]]</f>
        <v>4.351311475409835</v>
      </c>
      <c r="AM387" s="21">
        <f>Table2[[#This Row],[(A) Err]]^2</f>
        <v>18.933911556033316</v>
      </c>
      <c r="AN387" s="6">
        <f>Table2[[#This Row],[EV]]-Table2[[#This Row],[Spread]]</f>
        <v>-0.68242650061908705</v>
      </c>
      <c r="AO387" s="1">
        <f>Table2[[#This Row],[EV Err]]^2</f>
        <v>0.46570592874721284</v>
      </c>
      <c r="AP387" s="1"/>
    </row>
    <row r="388" spans="1:42" x14ac:dyDescent="0.25">
      <c r="A388" s="34">
        <v>42719</v>
      </c>
      <c r="B388" t="s">
        <v>127</v>
      </c>
      <c r="C388" t="s">
        <v>120</v>
      </c>
      <c r="E388" s="21"/>
      <c r="G388" s="21"/>
      <c r="H388" s="7"/>
      <c r="I388" s="21"/>
      <c r="K388"/>
      <c r="L388" s="21">
        <f>(Table2[[#This Row],[H/Pace]]/100)*(VLOOKUP(Table2[[#This Row],[Home/Neutral]],home_lookup,8,FALSE)+VLOOKUP(Table2[[#This Row],[Home/Neutral]],OFR_lookup,2,FALSE)+VLOOKUP(Table2[[#This Row],[Visitor/Neutral]],def_diff_lookup,6,FALSE))</f>
        <v>104.42718493743048</v>
      </c>
      <c r="M388" s="21"/>
      <c r="N388" s="21">
        <f>(Table2[[#This Row],[A/Pace]]/100)*(VLOOKUP(Table2[[#This Row],[Visitor/Neutral]],OFR_lookup,2,FALSE)+VLOOKUP(Table2[[#This Row],[Home/Neutral]],def_diff_lookup,6,FALSE))</f>
        <v>100.66477033333332</v>
      </c>
      <c r="O388" s="21"/>
      <c r="P388" s="21"/>
      <c r="Q388">
        <f>VLOOKUP(Table2[[#This Row],[Home/Neutral]],pace_lookup,7,FALSE)</f>
        <v>99.3</v>
      </c>
      <c r="R388" s="5">
        <f>VLOOKUP(Table2[[#This Row],[Visitor/Neutral]],pace_lookup,7,FALSE)</f>
        <v>98.3</v>
      </c>
      <c r="S388" s="7"/>
      <c r="U388" s="15"/>
      <c r="W388" s="2">
        <f>-home-VLOOKUP(Table2[[#This Row],[Home/Neutral]],rtg_vlookup,4,FALSE)+VLOOKUP(Table2[[#This Row],[Visitor/Neutral]],rtg_vlookup,4,FALSE)</f>
        <v>-4.8186885245901658</v>
      </c>
      <c r="X388" s="15"/>
      <c r="Y388" s="2"/>
      <c r="Z388" s="2">
        <f>Table2[[#This Row],[A/EV]]-Table2[[#This Row],[H/EV]]</f>
        <v>-3.7624146040971596</v>
      </c>
      <c r="AA388" s="29"/>
      <c r="AB388" s="30"/>
      <c r="AC388" s="30"/>
      <c r="AD388" s="30"/>
      <c r="AE388" s="30"/>
      <c r="AF388" s="7" t="b">
        <f>IF(VLOOKUP(Table2[[#This Row],[Home/Neutral]],division_lookup,9,FALSE)=VLOOKUP(Table2[[#This Row],[Visitor/Neutral]],division_lookup,9,FALSE),TRUE,FALSE)</f>
        <v>0</v>
      </c>
      <c r="AG388" s="15" t="str">
        <f>VLOOKUP(Table2[[#This Row],[Home/Neutral]],division_lookup,9,FALSE)</f>
        <v>SW</v>
      </c>
      <c r="AH388" s="15" t="str">
        <f>IF(Table2[[#This Row],[Total/EV]]&lt;Table2[[#This Row],[Total/V]],"UNDER","OVER")</f>
        <v>OVER</v>
      </c>
      <c r="AI388" s="26">
        <f>Table2[[#This Row],[SRS/Real]]-Table2[[#This Row],[Spread/V]]</f>
        <v>0</v>
      </c>
      <c r="AJ388" s="2">
        <f>Table2[[#This Row],[EV/Real]]-Table2[[#This Row],[Spread/V]]</f>
        <v>0</v>
      </c>
      <c r="AK388" s="2">
        <f>Table2[[#This Row],[SRS/Diff]]-Table2[[#This Row],[EV/Diff]]</f>
        <v>0</v>
      </c>
      <c r="AL388" s="18">
        <f>Table2[[#This Row],[SRS]]-Table2[[#This Row],[Spread]]</f>
        <v>-4.8186885245901658</v>
      </c>
      <c r="AM388" s="21">
        <f>Table2[[#This Row],[(A) Err]]^2</f>
        <v>23.219759097016951</v>
      </c>
      <c r="AN388" s="6">
        <f>Table2[[#This Row],[EV]]-Table2[[#This Row],[Spread]]</f>
        <v>-3.7624146040971596</v>
      </c>
      <c r="AO388" s="1">
        <f>Table2[[#This Row],[EV Err]]^2</f>
        <v>14.155763653123586</v>
      </c>
      <c r="AP388" s="1"/>
    </row>
    <row r="389" spans="1:42" ht="15.75" thickBot="1" x14ac:dyDescent="0.3">
      <c r="A389" s="100">
        <v>42719</v>
      </c>
      <c r="B389" s="3" t="s">
        <v>131</v>
      </c>
      <c r="C389" s="3" t="s">
        <v>134</v>
      </c>
      <c r="D389" s="3"/>
      <c r="E389" s="22"/>
      <c r="F389" s="3"/>
      <c r="G389" s="22"/>
      <c r="H389" s="8"/>
      <c r="I389" s="22"/>
      <c r="J389" s="3"/>
      <c r="K389" s="3"/>
      <c r="L389" s="22">
        <f>(Table2[[#This Row],[H/Pace]]/100)*(VLOOKUP(Table2[[#This Row],[Home/Neutral]],home_lookup,8,FALSE)+VLOOKUP(Table2[[#This Row],[Home/Neutral]],OFR_lookup,2,FALSE)+VLOOKUP(Table2[[#This Row],[Visitor/Neutral]],def_diff_lookup,6,FALSE))</f>
        <v>95.580709791197663</v>
      </c>
      <c r="M389" s="22"/>
      <c r="N389" s="22">
        <f>(Table2[[#This Row],[A/Pace]]/100)*(VLOOKUP(Table2[[#This Row],[Visitor/Neutral]],OFR_lookup,2,FALSE)+VLOOKUP(Table2[[#This Row],[Home/Neutral]],def_diff_lookup,6,FALSE))</f>
        <v>106.30383266666666</v>
      </c>
      <c r="O389" s="22"/>
      <c r="P389" s="22"/>
      <c r="Q389" s="3">
        <f>VLOOKUP(Table2[[#This Row],[Home/Neutral]],pace_lookup,7,FALSE)</f>
        <v>101.7</v>
      </c>
      <c r="R389" s="3">
        <f>VLOOKUP(Table2[[#This Row],[Visitor/Neutral]],pace_lookup,7,FALSE)</f>
        <v>93.4</v>
      </c>
      <c r="S389" s="8"/>
      <c r="T389" s="3"/>
      <c r="U389" s="16"/>
      <c r="V389" s="3"/>
      <c r="W389" s="9">
        <f>-home-VLOOKUP(Table2[[#This Row],[Home/Neutral]],rtg_vlookup,4,FALSE)+VLOOKUP(Table2[[#This Row],[Visitor/Neutral]],rtg_vlookup,4,FALSE)</f>
        <v>10.991311475409834</v>
      </c>
      <c r="X389" s="16"/>
      <c r="Y389" s="9"/>
      <c r="Z389" s="9">
        <f>Table2[[#This Row],[A/EV]]-Table2[[#This Row],[H/EV]]</f>
        <v>10.723122875469002</v>
      </c>
      <c r="AA389" s="31"/>
      <c r="AB389" s="32"/>
      <c r="AC389" s="32"/>
      <c r="AD389" s="32"/>
      <c r="AE389" s="32"/>
      <c r="AF389" s="8" t="b">
        <f>IF(VLOOKUP(Table2[[#This Row],[Home/Neutral]],division_lookup,9,FALSE)=VLOOKUP(Table2[[#This Row],[Visitor/Neutral]],division_lookup,9,FALSE),TRUE,FALSE)</f>
        <v>0</v>
      </c>
      <c r="AG389" s="16" t="str">
        <f>VLOOKUP(Table2[[#This Row],[Home/Neutral]],division_lookup,9,FALSE)</f>
        <v>P</v>
      </c>
      <c r="AH389" s="16" t="str">
        <f>IF(Table2[[#This Row],[Total/EV]]&lt;Table2[[#This Row],[Total/V]],"UNDER","OVER")</f>
        <v>OVER</v>
      </c>
      <c r="AI389" s="16">
        <f>Table2[[#This Row],[SRS/Real]]-Table2[[#This Row],[Spread/V]]</f>
        <v>0</v>
      </c>
      <c r="AJ389" s="9">
        <f>Table2[[#This Row],[EV/Real]]-Table2[[#This Row],[Spread/V]]</f>
        <v>0</v>
      </c>
      <c r="AK389" s="9">
        <f>Table2[[#This Row],[SRS/Diff]]-Table2[[#This Row],[EV/Diff]]</f>
        <v>0</v>
      </c>
      <c r="AL389" s="19">
        <f>Table2[[#This Row],[SRS]]-Table2[[#This Row],[Spread]]</f>
        <v>10.991311475409834</v>
      </c>
      <c r="AM389" s="22">
        <f>Table2[[#This Row],[(A) Err]]^2</f>
        <v>120.8089279494759</v>
      </c>
      <c r="AN389" s="4">
        <f>Table2[[#This Row],[EV]]-Table2[[#This Row],[Spread]]</f>
        <v>10.723122875469002</v>
      </c>
      <c r="AO389" s="4">
        <f>Table2[[#This Row],[EV Err]]^2</f>
        <v>114.9853642024066</v>
      </c>
      <c r="AP389" s="1"/>
    </row>
    <row r="390" spans="1:42" x14ac:dyDescent="0.25">
      <c r="A390" s="34">
        <v>42720</v>
      </c>
      <c r="B390" t="s">
        <v>110</v>
      </c>
      <c r="C390" t="s">
        <v>112</v>
      </c>
      <c r="E390" s="21"/>
      <c r="G390" s="21"/>
      <c r="H390" s="7"/>
      <c r="I390" s="21"/>
      <c r="K390"/>
      <c r="L390" s="21">
        <f>(Table2[[#This Row],[H/Pace]]/100)*(VLOOKUP(Table2[[#This Row],[Home/Neutral]],home_lookup,8,FALSE)+VLOOKUP(Table2[[#This Row],[Home/Neutral]],OFR_lookup,2,FALSE)+VLOOKUP(Table2[[#This Row],[Visitor/Neutral]],def_diff_lookup,6,FALSE))</f>
        <v>104.86841118900939</v>
      </c>
      <c r="M390" s="21"/>
      <c r="N390" s="21">
        <f>(Table2[[#This Row],[A/Pace]]/100)*(VLOOKUP(Table2[[#This Row],[Visitor/Neutral]],OFR_lookup,2,FALSE)+VLOOKUP(Table2[[#This Row],[Home/Neutral]],def_diff_lookup,6,FALSE))</f>
        <v>105.67477933333335</v>
      </c>
      <c r="O390" s="21"/>
      <c r="P390" s="21"/>
      <c r="Q390">
        <f>VLOOKUP(Table2[[#This Row],[Home/Neutral]],pace_lookup,7,FALSE)</f>
        <v>96.2</v>
      </c>
      <c r="R390" s="5">
        <f>VLOOKUP(Table2[[#This Row],[Visitor/Neutral]],pace_lookup,7,FALSE)</f>
        <v>97.4</v>
      </c>
      <c r="S390" s="7"/>
      <c r="U390" s="15"/>
      <c r="W390" s="2">
        <f>-home-VLOOKUP(Table2[[#This Row],[Home/Neutral]],rtg_vlookup,4,FALSE)+VLOOKUP(Table2[[#This Row],[Visitor/Neutral]],rtg_vlookup,4,FALSE)</f>
        <v>-1.2186885245901657</v>
      </c>
      <c r="X390" s="15"/>
      <c r="Y390" s="2"/>
      <c r="Z390" s="2">
        <f>Table2[[#This Row],[A/EV]]-Table2[[#This Row],[H/EV]]</f>
        <v>0.80636814432395454</v>
      </c>
      <c r="AA390" s="29"/>
      <c r="AB390" s="30"/>
      <c r="AC390" s="30"/>
      <c r="AD390" s="30"/>
      <c r="AE390" s="30"/>
      <c r="AF390" s="7" t="b">
        <f>IF(VLOOKUP(Table2[[#This Row],[Home/Neutral]],division_lookup,9,FALSE)=VLOOKUP(Table2[[#This Row],[Visitor/Neutral]],division_lookup,9,FALSE),TRUE,FALSE)</f>
        <v>0</v>
      </c>
      <c r="AG390" s="15" t="str">
        <f>VLOOKUP(Table2[[#This Row],[Home/Neutral]],division_lookup,9,FALSE)</f>
        <v>A</v>
      </c>
      <c r="AH390" s="15" t="str">
        <f>IF(Table2[[#This Row],[Total/EV]]&lt;Table2[[#This Row],[Total/V]],"UNDER","OVER")</f>
        <v>OVER</v>
      </c>
      <c r="AI390" s="26">
        <f>Table2[[#This Row],[SRS/Real]]-Table2[[#This Row],[Spread/V]]</f>
        <v>0</v>
      </c>
      <c r="AJ390" s="2">
        <f>Table2[[#This Row],[EV/Real]]-Table2[[#This Row],[Spread/V]]</f>
        <v>0</v>
      </c>
      <c r="AK390" s="2">
        <f>Table2[[#This Row],[SRS/Diff]]-Table2[[#This Row],[EV/Diff]]</f>
        <v>0</v>
      </c>
      <c r="AL390" s="18">
        <f>Table2[[#This Row],[SRS]]-Table2[[#This Row],[Spread]]</f>
        <v>-1.2186885245901657</v>
      </c>
      <c r="AM390" s="21">
        <f>Table2[[#This Row],[(A) Err]]^2</f>
        <v>1.485201719967755</v>
      </c>
      <c r="AN390" s="6">
        <f>Table2[[#This Row],[EV]]-Table2[[#This Row],[Spread]]</f>
        <v>0.80636814432395454</v>
      </c>
      <c r="AO390" s="1">
        <f>Table2[[#This Row],[EV Err]]^2</f>
        <v>0.65022958418045795</v>
      </c>
      <c r="AP390" s="1"/>
    </row>
    <row r="391" spans="1:42" x14ac:dyDescent="0.25">
      <c r="A391" s="77">
        <v>42720</v>
      </c>
      <c r="B391" t="s">
        <v>113</v>
      </c>
      <c r="C391" t="s">
        <v>125</v>
      </c>
      <c r="D391" s="49"/>
      <c r="E391" s="51"/>
      <c r="F391" s="49"/>
      <c r="G391" s="51"/>
      <c r="H391" s="50"/>
      <c r="I391" s="51"/>
      <c r="J391" s="49"/>
      <c r="K391" s="49"/>
      <c r="L391" s="51">
        <f>(Table2[[#This Row],[H/Pace]]/100)*(VLOOKUP(Table2[[#This Row],[Home/Neutral]],home_lookup,8,FALSE)+VLOOKUP(Table2[[#This Row],[Home/Neutral]],OFR_lookup,2,FALSE)+VLOOKUP(Table2[[#This Row],[Visitor/Neutral]],def_diff_lookup,6,FALSE))</f>
        <v>111.10654388016279</v>
      </c>
      <c r="M391" s="51"/>
      <c r="N391" s="51">
        <f>(Table2[[#This Row],[A/Pace]]/100)*(VLOOKUP(Table2[[#This Row],[Visitor/Neutral]],OFR_lookup,2,FALSE)+VLOOKUP(Table2[[#This Row],[Home/Neutral]],def_diff_lookup,6,FALSE))</f>
        <v>101.66963566666666</v>
      </c>
      <c r="O391" s="51"/>
      <c r="P391" s="51"/>
      <c r="Q391" s="49">
        <f>VLOOKUP(Table2[[#This Row],[Home/Neutral]],pace_lookup,7,FALSE)</f>
        <v>95.1</v>
      </c>
      <c r="R391" s="52">
        <f>VLOOKUP(Table2[[#This Row],[Visitor/Neutral]],pace_lookup,7,FALSE)</f>
        <v>96.1</v>
      </c>
      <c r="S391" s="50"/>
      <c r="T391" s="49"/>
      <c r="U391" s="75"/>
      <c r="V391" s="49"/>
      <c r="W391" s="53">
        <f>-home-VLOOKUP(Table2[[#This Row],[Home/Neutral]],rtg_vlookup,4,FALSE)+VLOOKUP(Table2[[#This Row],[Visitor/Neutral]],rtg_vlookup,4,FALSE)</f>
        <v>-9.9086885245901666</v>
      </c>
      <c r="X391" s="75"/>
      <c r="Y391" s="53"/>
      <c r="Z391" s="2">
        <f>Table2[[#This Row],[A/EV]]-Table2[[#This Row],[H/EV]]</f>
        <v>-9.4369082134961246</v>
      </c>
      <c r="AA391" s="29"/>
      <c r="AB391" s="30"/>
      <c r="AC391" s="30"/>
      <c r="AD391" s="30"/>
      <c r="AE391" s="30"/>
      <c r="AF391" s="7" t="b">
        <f>IF(VLOOKUP(Table2[[#This Row],[Home/Neutral]],division_lookup,9,FALSE)=VLOOKUP(Table2[[#This Row],[Visitor/Neutral]],division_lookup,9,FALSE),TRUE,FALSE)</f>
        <v>1</v>
      </c>
      <c r="AG391" s="15" t="str">
        <f>VLOOKUP(Table2[[#This Row],[Home/Neutral]],division_lookup,9,FALSE)</f>
        <v>C</v>
      </c>
      <c r="AH391" s="15" t="str">
        <f>IF(Table2[[#This Row],[Total/EV]]&lt;Table2[[#This Row],[Total/V]],"UNDER","OVER")</f>
        <v>OVER</v>
      </c>
      <c r="AI391" s="26">
        <f>Table2[[#This Row],[SRS/Real]]-Table2[[#This Row],[Spread/V]]</f>
        <v>0</v>
      </c>
      <c r="AJ391" s="2">
        <f>Table2[[#This Row],[EV/Real]]-Table2[[#This Row],[Spread/V]]</f>
        <v>0</v>
      </c>
      <c r="AK391" s="2">
        <f>Table2[[#This Row],[SRS/Diff]]-Table2[[#This Row],[EV/Diff]]</f>
        <v>0</v>
      </c>
      <c r="AL391" s="18">
        <f>Table2[[#This Row],[SRS]]-Table2[[#This Row],[Spread]]</f>
        <v>-9.9086885245901666</v>
      </c>
      <c r="AM391" s="21">
        <f>Table2[[#This Row],[(A) Err]]^2</f>
        <v>98.182108277344852</v>
      </c>
      <c r="AN391" s="6">
        <f>Table2[[#This Row],[EV]]-Table2[[#This Row],[Spread]]</f>
        <v>-9.4369082134961246</v>
      </c>
      <c r="AO391" s="1">
        <f>Table2[[#This Row],[EV Err]]^2</f>
        <v>89.055236629950613</v>
      </c>
      <c r="AP391" s="1"/>
    </row>
    <row r="392" spans="1:42" x14ac:dyDescent="0.25">
      <c r="A392" s="77">
        <v>42720</v>
      </c>
      <c r="B392" t="s">
        <v>119</v>
      </c>
      <c r="C392" t="s">
        <v>127</v>
      </c>
      <c r="D392" s="49"/>
      <c r="E392" s="51"/>
      <c r="F392" s="49"/>
      <c r="G392" s="51"/>
      <c r="H392" s="50"/>
      <c r="I392" s="51"/>
      <c r="J392" s="49"/>
      <c r="K392" s="49"/>
      <c r="L392" s="51">
        <f>(Table2[[#This Row],[H/Pace]]/100)*(VLOOKUP(Table2[[#This Row],[Home/Neutral]],home_lookup,8,FALSE)+VLOOKUP(Table2[[#This Row],[Home/Neutral]],OFR_lookup,2,FALSE)+VLOOKUP(Table2[[#This Row],[Visitor/Neutral]],def_diff_lookup,6,FALSE))</f>
        <v>107.65011376977627</v>
      </c>
      <c r="M392" s="51"/>
      <c r="N392" s="51">
        <f>(Table2[[#This Row],[A/Pace]]/100)*(VLOOKUP(Table2[[#This Row],[Visitor/Neutral]],OFR_lookup,2,FALSE)+VLOOKUP(Table2[[#This Row],[Home/Neutral]],def_diff_lookup,6,FALSE))</f>
        <v>104.677757</v>
      </c>
      <c r="O392" s="51"/>
      <c r="P392" s="51"/>
      <c r="Q392" s="49">
        <f>VLOOKUP(Table2[[#This Row],[Home/Neutral]],pace_lookup,7,FALSE)</f>
        <v>96.9</v>
      </c>
      <c r="R392" s="52">
        <f>VLOOKUP(Table2[[#This Row],[Visitor/Neutral]],pace_lookup,7,FALSE)</f>
        <v>99.3</v>
      </c>
      <c r="S392" s="50"/>
      <c r="T392" s="49"/>
      <c r="U392" s="75"/>
      <c r="V392" s="49"/>
      <c r="W392" s="53">
        <f>-home-VLOOKUP(Table2[[#This Row],[Home/Neutral]],rtg_vlookup,4,FALSE)+VLOOKUP(Table2[[#This Row],[Visitor/Neutral]],rtg_vlookup,4,FALSE)</f>
        <v>-9.1186885245901657</v>
      </c>
      <c r="X392" s="75"/>
      <c r="Y392" s="53"/>
      <c r="Z392" s="2">
        <f>Table2[[#This Row],[A/EV]]-Table2[[#This Row],[H/EV]]</f>
        <v>-2.9723567697762689</v>
      </c>
      <c r="AA392" s="29"/>
      <c r="AB392" s="30"/>
      <c r="AC392" s="30"/>
      <c r="AD392" s="30"/>
      <c r="AE392" s="30"/>
      <c r="AF392" s="7" t="b">
        <f>IF(VLOOKUP(Table2[[#This Row],[Home/Neutral]],division_lookup,9,FALSE)=VLOOKUP(Table2[[#This Row],[Visitor/Neutral]],division_lookup,9,FALSE),TRUE,FALSE)</f>
        <v>1</v>
      </c>
      <c r="AG392" s="15" t="str">
        <f>VLOOKUP(Table2[[#This Row],[Home/Neutral]],division_lookup,9,FALSE)</f>
        <v>SW</v>
      </c>
      <c r="AH392" s="15" t="str">
        <f>IF(Table2[[#This Row],[Total/EV]]&lt;Table2[[#This Row],[Total/V]],"UNDER","OVER")</f>
        <v>OVER</v>
      </c>
      <c r="AI392" s="26">
        <f>Table2[[#This Row],[SRS/Real]]-Table2[[#This Row],[Spread/V]]</f>
        <v>0</v>
      </c>
      <c r="AJ392" s="2">
        <f>Table2[[#This Row],[EV/Real]]-Table2[[#This Row],[Spread/V]]</f>
        <v>0</v>
      </c>
      <c r="AK392" s="2">
        <f>Table2[[#This Row],[SRS/Diff]]-Table2[[#This Row],[EV/Diff]]</f>
        <v>0</v>
      </c>
      <c r="AL392" s="18">
        <f>Table2[[#This Row],[SRS]]-Table2[[#This Row],[Spread]]</f>
        <v>-9.1186885245901657</v>
      </c>
      <c r="AM392" s="21">
        <f>Table2[[#This Row],[(A) Err]]^2</f>
        <v>83.150480408492371</v>
      </c>
      <c r="AN392" s="6">
        <f>Table2[[#This Row],[EV]]-Table2[[#This Row],[Spread]]</f>
        <v>-2.9723567697762689</v>
      </c>
      <c r="AO392" s="1">
        <f>Table2[[#This Row],[EV Err]]^2</f>
        <v>8.834904766834816</v>
      </c>
      <c r="AP392" s="1"/>
    </row>
    <row r="393" spans="1:42" x14ac:dyDescent="0.25">
      <c r="A393" s="34">
        <v>42720</v>
      </c>
      <c r="B393" t="s">
        <v>123</v>
      </c>
      <c r="C393" t="s">
        <v>133</v>
      </c>
      <c r="E393" s="21"/>
      <c r="G393" s="21"/>
      <c r="H393" s="7"/>
      <c r="I393" s="21"/>
      <c r="K393"/>
      <c r="L393" s="21">
        <f>(Table2[[#This Row],[H/Pace]]/100)*(VLOOKUP(Table2[[#This Row],[Home/Neutral]],home_lookup,8,FALSE)+VLOOKUP(Table2[[#This Row],[Home/Neutral]],OFR_lookup,2,FALSE)+VLOOKUP(Table2[[#This Row],[Visitor/Neutral]],def_diff_lookup,6,FALSE))</f>
        <v>104.75092709563918</v>
      </c>
      <c r="M393" s="21"/>
      <c r="N393" s="21">
        <f>(Table2[[#This Row],[A/Pace]]/100)*(VLOOKUP(Table2[[#This Row],[Visitor/Neutral]],OFR_lookup,2,FALSE)+VLOOKUP(Table2[[#This Row],[Home/Neutral]],def_diff_lookup,6,FALSE))</f>
        <v>98.368977999999998</v>
      </c>
      <c r="O393" s="21"/>
      <c r="P393" s="21"/>
      <c r="Q393">
        <f>VLOOKUP(Table2[[#This Row],[Home/Neutral]],pace_lookup,7,FALSE)</f>
        <v>92.5</v>
      </c>
      <c r="R393" s="5">
        <f>VLOOKUP(Table2[[#This Row],[Visitor/Neutral]],pace_lookup,7,FALSE)</f>
        <v>94.2</v>
      </c>
      <c r="S393" s="7"/>
      <c r="U393" s="15"/>
      <c r="W393" s="2">
        <f>-home-VLOOKUP(Table2[[#This Row],[Home/Neutral]],rtg_vlookup,4,FALSE)+VLOOKUP(Table2[[#This Row],[Visitor/Neutral]],rtg_vlookup,4,FALSE)</f>
        <v>-5.3786885245901654</v>
      </c>
      <c r="X393" s="15"/>
      <c r="Y393" s="2"/>
      <c r="Z393" s="2">
        <f>Table2[[#This Row],[A/EV]]-Table2[[#This Row],[H/EV]]</f>
        <v>-6.381949095639186</v>
      </c>
      <c r="AA393" s="29"/>
      <c r="AB393" s="30"/>
      <c r="AC393" s="30"/>
      <c r="AD393" s="30"/>
      <c r="AE393" s="30"/>
      <c r="AF393" s="7" t="b">
        <f>IF(VLOOKUP(Table2[[#This Row],[Home/Neutral]],division_lookup,9,FALSE)=VLOOKUP(Table2[[#This Row],[Visitor/Neutral]],division_lookup,9,FALSE),TRUE,FALSE)</f>
        <v>0</v>
      </c>
      <c r="AG393" s="15" t="str">
        <f>VLOOKUP(Table2[[#This Row],[Home/Neutral]],division_lookup,9,FALSE)</f>
        <v>SW</v>
      </c>
      <c r="AH393" s="15" t="str">
        <f>IF(Table2[[#This Row],[Total/EV]]&lt;Table2[[#This Row],[Total/V]],"UNDER","OVER")</f>
        <v>OVER</v>
      </c>
      <c r="AI393" s="26">
        <f>Table2[[#This Row],[SRS/Real]]-Table2[[#This Row],[Spread/V]]</f>
        <v>0</v>
      </c>
      <c r="AJ393" s="2">
        <f>Table2[[#This Row],[EV/Real]]-Table2[[#This Row],[Spread/V]]</f>
        <v>0</v>
      </c>
      <c r="AK393" s="2">
        <f>Table2[[#This Row],[SRS/Diff]]-Table2[[#This Row],[EV/Diff]]</f>
        <v>0</v>
      </c>
      <c r="AL393" s="18">
        <f>Table2[[#This Row],[SRS]]-Table2[[#This Row],[Spread]]</f>
        <v>-5.3786885245901654</v>
      </c>
      <c r="AM393" s="21">
        <f>Table2[[#This Row],[(A) Err]]^2</f>
        <v>28.930290244557931</v>
      </c>
      <c r="AN393" s="6">
        <f>Table2[[#This Row],[EV]]-Table2[[#This Row],[Spread]]</f>
        <v>-6.381949095639186</v>
      </c>
      <c r="AO393" s="1">
        <f>Table2[[#This Row],[EV Err]]^2</f>
        <v>40.729274259329827</v>
      </c>
      <c r="AP393" s="1"/>
    </row>
    <row r="394" spans="1:42" x14ac:dyDescent="0.25">
      <c r="A394" s="34">
        <v>42720</v>
      </c>
      <c r="B394" t="s">
        <v>124</v>
      </c>
      <c r="C394" t="s">
        <v>121</v>
      </c>
      <c r="E394" s="21"/>
      <c r="G394" s="21"/>
      <c r="H394" s="7"/>
      <c r="I394" s="21"/>
      <c r="K394"/>
      <c r="L394" s="21">
        <f>(Table2[[#This Row],[H/Pace]]/100)*(VLOOKUP(Table2[[#This Row],[Home/Neutral]],home_lookup,8,FALSE)+VLOOKUP(Table2[[#This Row],[Home/Neutral]],OFR_lookup,2,FALSE)+VLOOKUP(Table2[[#This Row],[Visitor/Neutral]],def_diff_lookup,6,FALSE))</f>
        <v>97.181575177235572</v>
      </c>
      <c r="M394" s="21"/>
      <c r="N394" s="21">
        <f>(Table2[[#This Row],[A/Pace]]/100)*(VLOOKUP(Table2[[#This Row],[Visitor/Neutral]],OFR_lookup,2,FALSE)+VLOOKUP(Table2[[#This Row],[Home/Neutral]],def_diff_lookup,6,FALSE))</f>
        <v>108.83142266666667</v>
      </c>
      <c r="O394" s="21"/>
      <c r="P394" s="21"/>
      <c r="Q394">
        <f>VLOOKUP(Table2[[#This Row],[Home/Neutral]],pace_lookup,7,FALSE)</f>
        <v>93.7</v>
      </c>
      <c r="R394" s="5">
        <f>VLOOKUP(Table2[[#This Row],[Visitor/Neutral]],pace_lookup,7,FALSE)</f>
        <v>96.4</v>
      </c>
      <c r="S394" s="7"/>
      <c r="U394" s="15"/>
      <c r="W394" s="2">
        <f>-home-VLOOKUP(Table2[[#This Row],[Home/Neutral]],rtg_vlookup,4,FALSE)+VLOOKUP(Table2[[#This Row],[Visitor/Neutral]],rtg_vlookup,4,FALSE)</f>
        <v>11.151311475409834</v>
      </c>
      <c r="X394" s="15"/>
      <c r="Y394" s="2"/>
      <c r="Z394" s="2">
        <f>Table2[[#This Row],[A/EV]]-Table2[[#This Row],[H/EV]]</f>
        <v>11.649847489431096</v>
      </c>
      <c r="AA394" s="29"/>
      <c r="AB394" s="30"/>
      <c r="AC394" s="30"/>
      <c r="AD394" s="30"/>
      <c r="AE394" s="30"/>
      <c r="AF394" s="7" t="b">
        <f>IF(VLOOKUP(Table2[[#This Row],[Home/Neutral]],division_lookup,9,FALSE)=VLOOKUP(Table2[[#This Row],[Visitor/Neutral]],division_lookup,9,FALSE),TRUE,FALSE)</f>
        <v>0</v>
      </c>
      <c r="AG394" s="15" t="str">
        <f>VLOOKUP(Table2[[#This Row],[Home/Neutral]],division_lookup,9,FALSE)</f>
        <v>SE</v>
      </c>
      <c r="AH394" s="15" t="str">
        <f>IF(Table2[[#This Row],[Total/EV]]&lt;Table2[[#This Row],[Total/V]],"UNDER","OVER")</f>
        <v>OVER</v>
      </c>
      <c r="AI394" s="26">
        <f>Table2[[#This Row],[SRS/Real]]-Table2[[#This Row],[Spread/V]]</f>
        <v>0</v>
      </c>
      <c r="AJ394" s="2">
        <f>Table2[[#This Row],[EV/Real]]-Table2[[#This Row],[Spread/V]]</f>
        <v>0</v>
      </c>
      <c r="AK394" s="2">
        <f>Table2[[#This Row],[SRS/Diff]]-Table2[[#This Row],[EV/Diff]]</f>
        <v>0</v>
      </c>
      <c r="AL394" s="18">
        <f>Table2[[#This Row],[SRS]]-Table2[[#This Row],[Spread]]</f>
        <v>11.151311475409834</v>
      </c>
      <c r="AM394" s="21">
        <f>Table2[[#This Row],[(A) Err]]^2</f>
        <v>124.35174762160705</v>
      </c>
      <c r="AN394" s="6">
        <f>Table2[[#This Row],[EV]]-Table2[[#This Row],[Spread]]</f>
        <v>11.649847489431096</v>
      </c>
      <c r="AO394" s="1">
        <f>Table2[[#This Row],[EV Err]]^2</f>
        <v>135.71894652700402</v>
      </c>
      <c r="AP394" s="1"/>
    </row>
    <row r="395" spans="1:42" x14ac:dyDescent="0.25">
      <c r="A395" s="34">
        <v>42720</v>
      </c>
      <c r="B395" t="s">
        <v>130</v>
      </c>
      <c r="C395" t="s">
        <v>111</v>
      </c>
      <c r="E395" s="21"/>
      <c r="G395" s="21"/>
      <c r="H395" s="7"/>
      <c r="I395" s="21"/>
      <c r="K395"/>
      <c r="L395" s="21">
        <f>(Table2[[#This Row],[H/Pace]]/100)*(VLOOKUP(Table2[[#This Row],[Home/Neutral]],home_lookup,8,FALSE)+VLOOKUP(Table2[[#This Row],[Home/Neutral]],OFR_lookup,2,FALSE)+VLOOKUP(Table2[[#This Row],[Visitor/Neutral]],def_diff_lookup,6,FALSE))</f>
        <v>100.5289649671094</v>
      </c>
      <c r="M395" s="21"/>
      <c r="N395" s="21">
        <f>(Table2[[#This Row],[A/Pace]]/100)*(VLOOKUP(Table2[[#This Row],[Visitor/Neutral]],OFR_lookup,2,FALSE)+VLOOKUP(Table2[[#This Row],[Home/Neutral]],def_diff_lookup,6,FALSE))</f>
        <v>104.01517999999999</v>
      </c>
      <c r="O395" s="21"/>
      <c r="P395" s="21"/>
      <c r="Q395">
        <f>VLOOKUP(Table2[[#This Row],[Home/Neutral]],pace_lookup,7,FALSE)</f>
        <v>94.2</v>
      </c>
      <c r="R395" s="5">
        <f>VLOOKUP(Table2[[#This Row],[Visitor/Neutral]],pace_lookup,7,FALSE)</f>
        <v>102</v>
      </c>
      <c r="S395" s="7"/>
      <c r="U395" s="15"/>
      <c r="W395" s="2">
        <f>-home-VLOOKUP(Table2[[#This Row],[Home/Neutral]],rtg_vlookup,4,FALSE)+VLOOKUP(Table2[[#This Row],[Visitor/Neutral]],rtg_vlookup,4,FALSE)</f>
        <v>-2.9286885245901644</v>
      </c>
      <c r="X395" s="15"/>
      <c r="Y395" s="2"/>
      <c r="Z395" s="2">
        <f>Table2[[#This Row],[A/EV]]-Table2[[#This Row],[H/EV]]</f>
        <v>3.4862150328905841</v>
      </c>
      <c r="AA395" s="29"/>
      <c r="AB395" s="30"/>
      <c r="AC395" s="30"/>
      <c r="AD395" s="30"/>
      <c r="AE395" s="30"/>
      <c r="AF395" s="7" t="b">
        <f>IF(VLOOKUP(Table2[[#This Row],[Home/Neutral]],division_lookup,9,FALSE)=VLOOKUP(Table2[[#This Row],[Visitor/Neutral]],division_lookup,9,FALSE),TRUE,FALSE)</f>
        <v>0</v>
      </c>
      <c r="AG395" s="15" t="str">
        <f>VLOOKUP(Table2[[#This Row],[Home/Neutral]],division_lookup,9,FALSE)</f>
        <v>SE</v>
      </c>
      <c r="AH395" s="15" t="str">
        <f>IF(Table2[[#This Row],[Total/EV]]&lt;Table2[[#This Row],[Total/V]],"UNDER","OVER")</f>
        <v>OVER</v>
      </c>
      <c r="AI395" s="26">
        <f>Table2[[#This Row],[SRS/Real]]-Table2[[#This Row],[Spread/V]]</f>
        <v>0</v>
      </c>
      <c r="AJ395" s="2">
        <f>Table2[[#This Row],[EV/Real]]-Table2[[#This Row],[Spread/V]]</f>
        <v>0</v>
      </c>
      <c r="AK395" s="2">
        <f>Table2[[#This Row],[SRS/Diff]]-Table2[[#This Row],[EV/Diff]]</f>
        <v>0</v>
      </c>
      <c r="AL395" s="18">
        <f>Table2[[#This Row],[SRS]]-Table2[[#This Row],[Spread]]</f>
        <v>-2.9286885245901644</v>
      </c>
      <c r="AM395" s="21">
        <f>Table2[[#This Row],[(A) Err]]^2</f>
        <v>8.5772164740661143</v>
      </c>
      <c r="AN395" s="6">
        <f>Table2[[#This Row],[EV]]-Table2[[#This Row],[Spread]]</f>
        <v>3.4862150328905841</v>
      </c>
      <c r="AO395" s="1">
        <f>Table2[[#This Row],[EV Err]]^2</f>
        <v>12.153695255552297</v>
      </c>
      <c r="AP395" s="1"/>
    </row>
    <row r="396" spans="1:42" x14ac:dyDescent="0.25">
      <c r="A396" s="34">
        <v>42720</v>
      </c>
      <c r="B396" t="s">
        <v>138</v>
      </c>
      <c r="C396" t="s">
        <v>122</v>
      </c>
      <c r="E396" s="21"/>
      <c r="G396" s="21"/>
      <c r="H396" s="7"/>
      <c r="I396" s="21"/>
      <c r="K396"/>
      <c r="L396" s="21">
        <f>(Table2[[#This Row],[H/Pace]]/100)*(VLOOKUP(Table2[[#This Row],[Home/Neutral]],home_lookup,8,FALSE)+VLOOKUP(Table2[[#This Row],[Home/Neutral]],OFR_lookup,2,FALSE)+VLOOKUP(Table2[[#This Row],[Visitor/Neutral]],def_diff_lookup,6,FALSE))</f>
        <v>103.55103353124009</v>
      </c>
      <c r="M396" s="21"/>
      <c r="N396" s="21">
        <f>(Table2[[#This Row],[A/Pace]]/100)*(VLOOKUP(Table2[[#This Row],[Visitor/Neutral]],OFR_lookup,2,FALSE)+VLOOKUP(Table2[[#This Row],[Home/Neutral]],def_diff_lookup,6,FALSE))</f>
        <v>110.907038</v>
      </c>
      <c r="O396" s="21"/>
      <c r="P396" s="21"/>
      <c r="Q396">
        <f>VLOOKUP(Table2[[#This Row],[Home/Neutral]],pace_lookup,7,FALSE)</f>
        <v>97.5</v>
      </c>
      <c r="R396" s="5">
        <f>VLOOKUP(Table2[[#This Row],[Visitor/Neutral]],pace_lookup,7,FALSE)</f>
        <v>100.2</v>
      </c>
      <c r="S396" s="7"/>
      <c r="U396" s="15"/>
      <c r="W396" s="2">
        <f>-home-VLOOKUP(Table2[[#This Row],[Home/Neutral]],rtg_vlookup,4,FALSE)+VLOOKUP(Table2[[#This Row],[Visitor/Neutral]],rtg_vlookup,4,FALSE)</f>
        <v>4.601311475409835</v>
      </c>
      <c r="X396" s="15"/>
      <c r="Y396" s="2"/>
      <c r="Z396" s="2">
        <f>Table2[[#This Row],[A/EV]]-Table2[[#This Row],[H/EV]]</f>
        <v>7.356004468759906</v>
      </c>
      <c r="AA396" s="29"/>
      <c r="AB396" s="30"/>
      <c r="AC396" s="30"/>
      <c r="AD396" s="30"/>
      <c r="AE396" s="30"/>
      <c r="AF396" s="7" t="b">
        <f>IF(VLOOKUP(Table2[[#This Row],[Home/Neutral]],division_lookup,9,FALSE)=VLOOKUP(Table2[[#This Row],[Visitor/Neutral]],division_lookup,9,FALSE),TRUE,FALSE)</f>
        <v>0</v>
      </c>
      <c r="AG396" s="15" t="str">
        <f>VLOOKUP(Table2[[#This Row],[Home/Neutral]],division_lookup,9,FALSE)</f>
        <v>A</v>
      </c>
      <c r="AH396" s="15" t="str">
        <f>IF(Table2[[#This Row],[Total/EV]]&lt;Table2[[#This Row],[Total/V]],"UNDER","OVER")</f>
        <v>OVER</v>
      </c>
      <c r="AI396" s="26">
        <f>Table2[[#This Row],[SRS/Real]]-Table2[[#This Row],[Spread/V]]</f>
        <v>0</v>
      </c>
      <c r="AJ396" s="2">
        <f>Table2[[#This Row],[EV/Real]]-Table2[[#This Row],[Spread/V]]</f>
        <v>0</v>
      </c>
      <c r="AK396" s="2">
        <f>Table2[[#This Row],[SRS/Diff]]-Table2[[#This Row],[EV/Diff]]</f>
        <v>0</v>
      </c>
      <c r="AL396" s="18">
        <f>Table2[[#This Row],[SRS]]-Table2[[#This Row],[Spread]]</f>
        <v>4.601311475409835</v>
      </c>
      <c r="AM396" s="21">
        <f>Table2[[#This Row],[(A) Err]]^2</f>
        <v>21.172067293738234</v>
      </c>
      <c r="AN396" s="6">
        <f>Table2[[#This Row],[EV]]-Table2[[#This Row],[Spread]]</f>
        <v>7.356004468759906</v>
      </c>
      <c r="AO396" s="1">
        <f>Table2[[#This Row],[EV Err]]^2</f>
        <v>54.11080174441571</v>
      </c>
      <c r="AP396" s="1"/>
    </row>
    <row r="397" spans="1:42" x14ac:dyDescent="0.25">
      <c r="A397" s="34">
        <v>42720</v>
      </c>
      <c r="B397" t="s">
        <v>135</v>
      </c>
      <c r="C397" t="s">
        <v>109</v>
      </c>
      <c r="E397" s="21"/>
      <c r="G397" s="21"/>
      <c r="H397" s="7"/>
      <c r="I397" s="21"/>
      <c r="K397"/>
      <c r="L397" s="21">
        <f>(Table2[[#This Row],[H/Pace]]/100)*(VLOOKUP(Table2[[#This Row],[Home/Neutral]],home_lookup,8,FALSE)+VLOOKUP(Table2[[#This Row],[Home/Neutral]],OFR_lookup,2,FALSE)+VLOOKUP(Table2[[#This Row],[Visitor/Neutral]],def_diff_lookup,6,FALSE))</f>
        <v>103.10502035324615</v>
      </c>
      <c r="M397" s="21"/>
      <c r="N397" s="21">
        <f>(Table2[[#This Row],[A/Pace]]/100)*(VLOOKUP(Table2[[#This Row],[Visitor/Neutral]],OFR_lookup,2,FALSE)+VLOOKUP(Table2[[#This Row],[Home/Neutral]],def_diff_lookup,6,FALSE))</f>
        <v>102.15186133333331</v>
      </c>
      <c r="O397" s="21"/>
      <c r="P397" s="21"/>
      <c r="Q397">
        <f>VLOOKUP(Table2[[#This Row],[Home/Neutral]],pace_lookup,7,FALSE)</f>
        <v>95.4</v>
      </c>
      <c r="R397" s="5">
        <f>VLOOKUP(Table2[[#This Row],[Visitor/Neutral]],pace_lookup,7,FALSE)</f>
        <v>99.2</v>
      </c>
      <c r="S397" s="7"/>
      <c r="U397" s="15"/>
      <c r="W397" s="2">
        <f>-home-VLOOKUP(Table2[[#This Row],[Home/Neutral]],rtg_vlookup,4,FALSE)+VLOOKUP(Table2[[#This Row],[Visitor/Neutral]],rtg_vlookup,4,FALSE)</f>
        <v>-6.4386885245901651</v>
      </c>
      <c r="X397" s="15"/>
      <c r="Y397" s="2"/>
      <c r="Z397" s="2">
        <f>Table2[[#This Row],[A/EV]]-Table2[[#This Row],[H/EV]]</f>
        <v>-0.9531590199128317</v>
      </c>
      <c r="AA397" s="29"/>
      <c r="AB397" s="30"/>
      <c r="AC397" s="30"/>
      <c r="AD397" s="30"/>
      <c r="AE397" s="30"/>
      <c r="AF397" s="7" t="b">
        <f>IF(VLOOKUP(Table2[[#This Row],[Home/Neutral]],division_lookup,9,FALSE)=VLOOKUP(Table2[[#This Row],[Visitor/Neutral]],division_lookup,9,FALSE),TRUE,FALSE)</f>
        <v>0</v>
      </c>
      <c r="AG397" s="15" t="str">
        <f>VLOOKUP(Table2[[#This Row],[Home/Neutral]],division_lookup,9,FALSE)</f>
        <v>A</v>
      </c>
      <c r="AH397" s="15" t="str">
        <f>IF(Table2[[#This Row],[Total/EV]]&lt;Table2[[#This Row],[Total/V]],"UNDER","OVER")</f>
        <v>OVER</v>
      </c>
      <c r="AI397" s="26">
        <f>Table2[[#This Row],[SRS/Real]]-Table2[[#This Row],[Spread/V]]</f>
        <v>0</v>
      </c>
      <c r="AJ397" s="2">
        <f>Table2[[#This Row],[EV/Real]]-Table2[[#This Row],[Spread/V]]</f>
        <v>0</v>
      </c>
      <c r="AK397" s="2">
        <f>Table2[[#This Row],[SRS/Diff]]-Table2[[#This Row],[EV/Diff]]</f>
        <v>0</v>
      </c>
      <c r="AL397" s="18">
        <f>Table2[[#This Row],[SRS]]-Table2[[#This Row],[Spread]]</f>
        <v>-6.4386885245901651</v>
      </c>
      <c r="AM397" s="21">
        <f>Table2[[#This Row],[(A) Err]]^2</f>
        <v>41.456709916689078</v>
      </c>
      <c r="AN397" s="6">
        <f>Table2[[#This Row],[EV]]-Table2[[#This Row],[Spread]]</f>
        <v>-0.9531590199128317</v>
      </c>
      <c r="AO397" s="1">
        <f>Table2[[#This Row],[EV Err]]^2</f>
        <v>0.90851211724118985</v>
      </c>
      <c r="AP397" s="1"/>
    </row>
    <row r="398" spans="1:42" x14ac:dyDescent="0.25">
      <c r="A398" s="34">
        <v>42720</v>
      </c>
      <c r="B398" t="s">
        <v>136</v>
      </c>
      <c r="C398" t="s">
        <v>115</v>
      </c>
      <c r="E398" s="21"/>
      <c r="G398" s="21"/>
      <c r="H398" s="7"/>
      <c r="I398" s="21"/>
      <c r="K398"/>
      <c r="L398" s="21">
        <f>(Table2[[#This Row],[H/Pace]]/100)*(VLOOKUP(Table2[[#This Row],[Home/Neutral]],home_lookup,8,FALSE)+VLOOKUP(Table2[[#This Row],[Home/Neutral]],OFR_lookup,2,FALSE)+VLOOKUP(Table2[[#This Row],[Visitor/Neutral]],def_diff_lookup,6,FALSE))</f>
        <v>104.41663534991899</v>
      </c>
      <c r="M398" s="21"/>
      <c r="N398" s="21">
        <f>(Table2[[#This Row],[A/Pace]]/100)*(VLOOKUP(Table2[[#This Row],[Visitor/Neutral]],OFR_lookup,2,FALSE)+VLOOKUP(Table2[[#This Row],[Home/Neutral]],def_diff_lookup,6,FALSE))</f>
        <v>86.030664333333334</v>
      </c>
      <c r="O398" s="21"/>
      <c r="P398" s="21"/>
      <c r="Q398">
        <f>VLOOKUP(Table2[[#This Row],[Home/Neutral]],pace_lookup,7,FALSE)</f>
        <v>91.5</v>
      </c>
      <c r="R398" s="5">
        <f>VLOOKUP(Table2[[#This Row],[Visitor/Neutral]],pace_lookup,7,FALSE)</f>
        <v>92.9</v>
      </c>
      <c r="S398" s="7"/>
      <c r="U398" s="15"/>
      <c r="W398" s="2">
        <f>-home-VLOOKUP(Table2[[#This Row],[Home/Neutral]],rtg_vlookup,4,FALSE)+VLOOKUP(Table2[[#This Row],[Visitor/Neutral]],rtg_vlookup,4,FALSE)</f>
        <v>-15.888688524590165</v>
      </c>
      <c r="X398" s="15"/>
      <c r="Y398" s="2"/>
      <c r="Z398" s="2">
        <f>Table2[[#This Row],[A/EV]]-Table2[[#This Row],[H/EV]]</f>
        <v>-18.385971016585657</v>
      </c>
      <c r="AA398" s="29"/>
      <c r="AB398" s="30"/>
      <c r="AC398" s="30"/>
      <c r="AD398" s="30"/>
      <c r="AE398" s="30"/>
      <c r="AF398" s="7" t="b">
        <f>IF(VLOOKUP(Table2[[#This Row],[Home/Neutral]],division_lookup,9,FALSE)=VLOOKUP(Table2[[#This Row],[Visitor/Neutral]],division_lookup,9,FALSE),TRUE,FALSE)</f>
        <v>0</v>
      </c>
      <c r="AG398" s="15" t="str">
        <f>VLOOKUP(Table2[[#This Row],[Home/Neutral]],division_lookup,9,FALSE)</f>
        <v>NW</v>
      </c>
      <c r="AH398" s="15" t="str">
        <f>IF(Table2[[#This Row],[Total/EV]]&lt;Table2[[#This Row],[Total/V]],"UNDER","OVER")</f>
        <v>OVER</v>
      </c>
      <c r="AI398" s="26">
        <f>Table2[[#This Row],[SRS/Real]]-Table2[[#This Row],[Spread/V]]</f>
        <v>0</v>
      </c>
      <c r="AJ398" s="2">
        <f>Table2[[#This Row],[EV/Real]]-Table2[[#This Row],[Spread/V]]</f>
        <v>0</v>
      </c>
      <c r="AK398" s="2">
        <f>Table2[[#This Row],[SRS/Diff]]-Table2[[#This Row],[EV/Diff]]</f>
        <v>0</v>
      </c>
      <c r="AL398" s="18">
        <f>Table2[[#This Row],[SRS]]-Table2[[#This Row],[Spread]]</f>
        <v>-15.888688524590165</v>
      </c>
      <c r="AM398" s="21">
        <f>Table2[[#This Row],[(A) Err]]^2</f>
        <v>252.45042303144319</v>
      </c>
      <c r="AN398" s="6">
        <f>Table2[[#This Row],[EV]]-Table2[[#This Row],[Spread]]</f>
        <v>-18.385971016585657</v>
      </c>
      <c r="AO398" s="1">
        <f>Table2[[#This Row],[EV Err]]^2</f>
        <v>338.04393022272779</v>
      </c>
      <c r="AP398" s="1"/>
    </row>
    <row r="399" spans="1:42" ht="15.75" thickBot="1" x14ac:dyDescent="0.3">
      <c r="A399" s="100">
        <v>42720</v>
      </c>
      <c r="B399" s="3" t="s">
        <v>137</v>
      </c>
      <c r="C399" s="3" t="s">
        <v>117</v>
      </c>
      <c r="D399" s="3"/>
      <c r="E399" s="22"/>
      <c r="F399" s="3"/>
      <c r="G399" s="22"/>
      <c r="H399" s="8"/>
      <c r="I399" s="22"/>
      <c r="J399" s="3"/>
      <c r="K399" s="3"/>
      <c r="L399" s="22">
        <f>(Table2[[#This Row],[H/Pace]]/100)*(VLOOKUP(Table2[[#This Row],[Home/Neutral]],home_lookup,8,FALSE)+VLOOKUP(Table2[[#This Row],[Home/Neutral]],OFR_lookup,2,FALSE)+VLOOKUP(Table2[[#This Row],[Visitor/Neutral]],def_diff_lookup,6,FALSE))</f>
        <v>104.15293255421871</v>
      </c>
      <c r="M399" s="22"/>
      <c r="N399" s="22">
        <f>(Table2[[#This Row],[A/Pace]]/100)*(VLOOKUP(Table2[[#This Row],[Visitor/Neutral]],OFR_lookup,2,FALSE)+VLOOKUP(Table2[[#This Row],[Home/Neutral]],def_diff_lookup,6,FALSE))</f>
        <v>101.36552666666665</v>
      </c>
      <c r="O399" s="22"/>
      <c r="P399" s="22"/>
      <c r="Q399" s="3">
        <f>VLOOKUP(Table2[[#This Row],[Home/Neutral]],pace_lookup,7,FALSE)</f>
        <v>96</v>
      </c>
      <c r="R399" s="3">
        <f>VLOOKUP(Table2[[#This Row],[Visitor/Neutral]],pace_lookup,7,FALSE)</f>
        <v>94</v>
      </c>
      <c r="S399" s="8"/>
      <c r="T399" s="3"/>
      <c r="U399" s="16"/>
      <c r="V399" s="3"/>
      <c r="W399" s="9">
        <f>-home-VLOOKUP(Table2[[#This Row],[Home/Neutral]],rtg_vlookup,4,FALSE)+VLOOKUP(Table2[[#This Row],[Visitor/Neutral]],rtg_vlookup,4,FALSE)</f>
        <v>1.781311475409834</v>
      </c>
      <c r="X399" s="16"/>
      <c r="Y399" s="9"/>
      <c r="Z399" s="9">
        <f>Table2[[#This Row],[A/EV]]-Table2[[#This Row],[H/EV]]</f>
        <v>-2.7874058875520547</v>
      </c>
      <c r="AA399" s="31"/>
      <c r="AB399" s="32"/>
      <c r="AC399" s="32"/>
      <c r="AD399" s="32"/>
      <c r="AE399" s="32"/>
      <c r="AF399" s="8" t="b">
        <f>IF(VLOOKUP(Table2[[#This Row],[Home/Neutral]],division_lookup,9,FALSE)=VLOOKUP(Table2[[#This Row],[Visitor/Neutral]],division_lookup,9,FALSE),TRUE,FALSE)</f>
        <v>0</v>
      </c>
      <c r="AG399" s="16" t="str">
        <f>VLOOKUP(Table2[[#This Row],[Home/Neutral]],division_lookup,9,FALSE)</f>
        <v>SE</v>
      </c>
      <c r="AH399" s="16" t="str">
        <f>IF(Table2[[#This Row],[Total/EV]]&lt;Table2[[#This Row],[Total/V]],"UNDER","OVER")</f>
        <v>OVER</v>
      </c>
      <c r="AI399" s="16">
        <f>Table2[[#This Row],[SRS/Real]]-Table2[[#This Row],[Spread/V]]</f>
        <v>0</v>
      </c>
      <c r="AJ399" s="9">
        <f>Table2[[#This Row],[EV/Real]]-Table2[[#This Row],[Spread/V]]</f>
        <v>0</v>
      </c>
      <c r="AK399" s="9">
        <f>Table2[[#This Row],[SRS/Diff]]-Table2[[#This Row],[EV/Diff]]</f>
        <v>0</v>
      </c>
      <c r="AL399" s="19">
        <f>Table2[[#This Row],[SRS]]-Table2[[#This Row],[Spread]]</f>
        <v>1.781311475409834</v>
      </c>
      <c r="AM399" s="22">
        <f>Table2[[#This Row],[(A) Err]]^2</f>
        <v>3.1730705724267598</v>
      </c>
      <c r="AN399" s="4">
        <f>Table2[[#This Row],[EV]]-Table2[[#This Row],[Spread]]</f>
        <v>-2.7874058875520547</v>
      </c>
      <c r="AO399" s="4">
        <f>Table2[[#This Row],[EV Err]]^2</f>
        <v>7.7696315819598576</v>
      </c>
      <c r="AP399" s="1"/>
    </row>
    <row r="400" spans="1:42" x14ac:dyDescent="0.25">
      <c r="A400" s="77">
        <v>42721</v>
      </c>
      <c r="B400" t="s">
        <v>109</v>
      </c>
      <c r="C400" t="s">
        <v>112</v>
      </c>
      <c r="D400" s="49"/>
      <c r="E400" s="51"/>
      <c r="F400" s="49"/>
      <c r="G400" s="51"/>
      <c r="H400" s="50"/>
      <c r="I400" s="51"/>
      <c r="J400" s="49"/>
      <c r="K400" s="49"/>
      <c r="L400" s="51">
        <f>(Table2[[#This Row],[H/Pace]]/100)*(VLOOKUP(Table2[[#This Row],[Home/Neutral]],home_lookup,8,FALSE)+VLOOKUP(Table2[[#This Row],[Home/Neutral]],OFR_lookup,2,FALSE)+VLOOKUP(Table2[[#This Row],[Visitor/Neutral]],def_diff_lookup,6,FALSE))</f>
        <v>99.482886607286375</v>
      </c>
      <c r="M400" s="51"/>
      <c r="N400" s="51">
        <f>(Table2[[#This Row],[A/Pace]]/100)*(VLOOKUP(Table2[[#This Row],[Visitor/Neutral]],OFR_lookup,2,FALSE)+VLOOKUP(Table2[[#This Row],[Home/Neutral]],def_diff_lookup,6,FALSE))</f>
        <v>98.282119333333341</v>
      </c>
      <c r="O400" s="51"/>
      <c r="P400" s="51"/>
      <c r="Q400" s="49">
        <f>VLOOKUP(Table2[[#This Row],[Home/Neutral]],pace_lookup,7,FALSE)</f>
        <v>99.2</v>
      </c>
      <c r="R400" s="52">
        <f>VLOOKUP(Table2[[#This Row],[Visitor/Neutral]],pace_lookup,7,FALSE)</f>
        <v>97.4</v>
      </c>
      <c r="S400" s="50"/>
      <c r="T400" s="49"/>
      <c r="U400" s="75"/>
      <c r="V400" s="49"/>
      <c r="W400" s="53">
        <f>-home-VLOOKUP(Table2[[#This Row],[Home/Neutral]],rtg_vlookup,4,FALSE)+VLOOKUP(Table2[[#This Row],[Visitor/Neutral]],rtg_vlookup,4,FALSE)</f>
        <v>-3.018688524590166</v>
      </c>
      <c r="X400" s="75"/>
      <c r="Y400" s="53"/>
      <c r="Z400" s="2">
        <f>Table2[[#This Row],[A/EV]]-Table2[[#This Row],[H/EV]]</f>
        <v>-1.2007672739530335</v>
      </c>
      <c r="AA400" s="29"/>
      <c r="AB400" s="30"/>
      <c r="AC400" s="30"/>
      <c r="AD400" s="30"/>
      <c r="AE400" s="30"/>
      <c r="AF400" s="7" t="b">
        <f>IF(VLOOKUP(Table2[[#This Row],[Home/Neutral]],division_lookup,9,FALSE)=VLOOKUP(Table2[[#This Row],[Visitor/Neutral]],division_lookup,9,FALSE),TRUE,FALSE)</f>
        <v>1</v>
      </c>
      <c r="AG400" s="15" t="str">
        <f>VLOOKUP(Table2[[#This Row],[Home/Neutral]],division_lookup,9,FALSE)</f>
        <v>SE</v>
      </c>
      <c r="AH400" s="15" t="str">
        <f>IF(Table2[[#This Row],[Total/EV]]&lt;Table2[[#This Row],[Total/V]],"UNDER","OVER")</f>
        <v>OVER</v>
      </c>
      <c r="AI400" s="26">
        <f>Table2[[#This Row],[SRS/Real]]-Table2[[#This Row],[Spread/V]]</f>
        <v>0</v>
      </c>
      <c r="AJ400" s="2">
        <f>Table2[[#This Row],[EV/Real]]-Table2[[#This Row],[Spread/V]]</f>
        <v>0</v>
      </c>
      <c r="AK400" s="2">
        <f>Table2[[#This Row],[SRS/Diff]]-Table2[[#This Row],[EV/Diff]]</f>
        <v>0</v>
      </c>
      <c r="AL400" s="18">
        <f>Table2[[#This Row],[SRS]]-Table2[[#This Row],[Spread]]</f>
        <v>-3.018688524590166</v>
      </c>
      <c r="AM400" s="21">
        <f>Table2[[#This Row],[(A) Err]]^2</f>
        <v>9.1124804084923525</v>
      </c>
      <c r="AN400" s="6">
        <f>Table2[[#This Row],[EV]]-Table2[[#This Row],[Spread]]</f>
        <v>-1.2007672739530335</v>
      </c>
      <c r="AO400" s="1">
        <f>Table2[[#This Row],[EV Err]]^2</f>
        <v>1.4418420461965995</v>
      </c>
      <c r="AP400" s="1"/>
    </row>
    <row r="401" spans="1:42" x14ac:dyDescent="0.25">
      <c r="A401" s="34">
        <v>42721</v>
      </c>
      <c r="B401" t="s">
        <v>114</v>
      </c>
      <c r="C401" t="s">
        <v>122</v>
      </c>
      <c r="E401" s="21"/>
      <c r="G401" s="21"/>
      <c r="H401" s="7"/>
      <c r="I401" s="21"/>
      <c r="K401"/>
      <c r="L401" s="21">
        <f>(Table2[[#This Row],[H/Pace]]/100)*(VLOOKUP(Table2[[#This Row],[Home/Neutral]],home_lookup,8,FALSE)+VLOOKUP(Table2[[#This Row],[Home/Neutral]],OFR_lookup,2,FALSE)+VLOOKUP(Table2[[#This Row],[Visitor/Neutral]],def_diff_lookup,6,FALSE))</f>
        <v>118.71749276756465</v>
      </c>
      <c r="M401" s="21"/>
      <c r="N401" s="21">
        <f>(Table2[[#This Row],[A/Pace]]/100)*(VLOOKUP(Table2[[#This Row],[Visitor/Neutral]],OFR_lookup,2,FALSE)+VLOOKUP(Table2[[#This Row],[Home/Neutral]],def_diff_lookup,6,FALSE))</f>
        <v>108.65253799999999</v>
      </c>
      <c r="O401" s="21"/>
      <c r="P401" s="21"/>
      <c r="Q401">
        <f>VLOOKUP(Table2[[#This Row],[Home/Neutral]],pace_lookup,7,FALSE)</f>
        <v>97.3</v>
      </c>
      <c r="R401" s="5">
        <f>VLOOKUP(Table2[[#This Row],[Visitor/Neutral]],pace_lookup,7,FALSE)</f>
        <v>100.2</v>
      </c>
      <c r="S401" s="7"/>
      <c r="U401" s="15"/>
      <c r="W401" s="2">
        <f>-home-VLOOKUP(Table2[[#This Row],[Home/Neutral]],rtg_vlookup,4,FALSE)+VLOOKUP(Table2[[#This Row],[Visitor/Neutral]],rtg_vlookup,4,FALSE)</f>
        <v>-13.678688524590166</v>
      </c>
      <c r="X401" s="15"/>
      <c r="Y401" s="2"/>
      <c r="Z401" s="2">
        <f>Table2[[#This Row],[A/EV]]-Table2[[#This Row],[H/EV]]</f>
        <v>-10.064954767564657</v>
      </c>
      <c r="AA401" s="29"/>
      <c r="AB401" s="30"/>
      <c r="AC401" s="30"/>
      <c r="AD401" s="30"/>
      <c r="AE401" s="30"/>
      <c r="AF401" s="7" t="b">
        <f>IF(VLOOKUP(Table2[[#This Row],[Home/Neutral]],division_lookup,9,FALSE)=VLOOKUP(Table2[[#This Row],[Visitor/Neutral]],division_lookup,9,FALSE),TRUE,FALSE)</f>
        <v>0</v>
      </c>
      <c r="AG401" s="15" t="str">
        <f>VLOOKUP(Table2[[#This Row],[Home/Neutral]],division_lookup,9,FALSE)</f>
        <v>C</v>
      </c>
      <c r="AH401" s="15" t="str">
        <f>IF(Table2[[#This Row],[Total/EV]]&lt;Table2[[#This Row],[Total/V]],"UNDER","OVER")</f>
        <v>OVER</v>
      </c>
      <c r="AI401" s="26">
        <f>Table2[[#This Row],[SRS/Real]]-Table2[[#This Row],[Spread/V]]</f>
        <v>0</v>
      </c>
      <c r="AJ401" s="2">
        <f>Table2[[#This Row],[EV/Real]]-Table2[[#This Row],[Spread/V]]</f>
        <v>0</v>
      </c>
      <c r="AK401" s="2">
        <f>Table2[[#This Row],[SRS/Diff]]-Table2[[#This Row],[EV/Diff]]</f>
        <v>0</v>
      </c>
      <c r="AL401" s="18">
        <f>Table2[[#This Row],[SRS]]-Table2[[#This Row],[Spread]]</f>
        <v>-13.678688524590166</v>
      </c>
      <c r="AM401" s="21">
        <f>Table2[[#This Row],[(A) Err]]^2</f>
        <v>187.10651975275471</v>
      </c>
      <c r="AN401" s="6">
        <f>Table2[[#This Row],[EV]]-Table2[[#This Row],[Spread]]</f>
        <v>-10.064954767564657</v>
      </c>
      <c r="AO401" s="1">
        <f>Table2[[#This Row],[EV Err]]^2</f>
        <v>101.30331447312253</v>
      </c>
      <c r="AP401" s="1"/>
    </row>
    <row r="402" spans="1:42" x14ac:dyDescent="0.25">
      <c r="A402" s="34">
        <v>42721</v>
      </c>
      <c r="B402" t="s">
        <v>116</v>
      </c>
      <c r="C402" t="s">
        <v>128</v>
      </c>
      <c r="E402" s="21"/>
      <c r="G402" s="21"/>
      <c r="H402" s="7"/>
      <c r="I402" s="21"/>
      <c r="K402"/>
      <c r="L402" s="21">
        <f>(Table2[[#This Row],[H/Pace]]/100)*(VLOOKUP(Table2[[#This Row],[Home/Neutral]],home_lookup,8,FALSE)+VLOOKUP(Table2[[#This Row],[Home/Neutral]],OFR_lookup,2,FALSE)+VLOOKUP(Table2[[#This Row],[Visitor/Neutral]],def_diff_lookup,6,FALSE))</f>
        <v>108.02743470161865</v>
      </c>
      <c r="M402" s="21"/>
      <c r="N402" s="21">
        <f>(Table2[[#This Row],[A/Pace]]/100)*(VLOOKUP(Table2[[#This Row],[Visitor/Neutral]],OFR_lookup,2,FALSE)+VLOOKUP(Table2[[#This Row],[Home/Neutral]],def_diff_lookup,6,FALSE))</f>
        <v>104.19242699999998</v>
      </c>
      <c r="O402" s="21"/>
      <c r="P402" s="21"/>
      <c r="Q402">
        <f>VLOOKUP(Table2[[#This Row],[Home/Neutral]],pace_lookup,7,FALSE)</f>
        <v>99.1</v>
      </c>
      <c r="R402" s="5">
        <f>VLOOKUP(Table2[[#This Row],[Visitor/Neutral]],pace_lookup,7,FALSE)</f>
        <v>96.3</v>
      </c>
      <c r="S402" s="7"/>
      <c r="U402" s="15"/>
      <c r="W402" s="2">
        <f>-home-VLOOKUP(Table2[[#This Row],[Home/Neutral]],rtg_vlookup,4,FALSE)+VLOOKUP(Table2[[#This Row],[Visitor/Neutral]],rtg_vlookup,4,FALSE)</f>
        <v>-3.8986885245901659</v>
      </c>
      <c r="X402" s="15"/>
      <c r="Y402" s="2"/>
      <c r="Z402" s="2">
        <f>Table2[[#This Row],[A/EV]]-Table2[[#This Row],[H/EV]]</f>
        <v>-3.8350077016186646</v>
      </c>
      <c r="AA402" s="29"/>
      <c r="AB402" s="30"/>
      <c r="AC402" s="30"/>
      <c r="AD402" s="30"/>
      <c r="AE402" s="30"/>
      <c r="AF402" s="7" t="b">
        <f>IF(VLOOKUP(Table2[[#This Row],[Home/Neutral]],division_lookup,9,FALSE)=VLOOKUP(Table2[[#This Row],[Visitor/Neutral]],division_lookup,9,FALSE),TRUE,FALSE)</f>
        <v>0</v>
      </c>
      <c r="AG402" s="15" t="str">
        <f>VLOOKUP(Table2[[#This Row],[Home/Neutral]],division_lookup,9,FALSE)</f>
        <v>NW</v>
      </c>
      <c r="AH402" s="15" t="str">
        <f>IF(Table2[[#This Row],[Total/EV]]&lt;Table2[[#This Row],[Total/V]],"UNDER","OVER")</f>
        <v>OVER</v>
      </c>
      <c r="AI402" s="26">
        <f>Table2[[#This Row],[SRS/Real]]-Table2[[#This Row],[Spread/V]]</f>
        <v>0</v>
      </c>
      <c r="AJ402" s="2">
        <f>Table2[[#This Row],[EV/Real]]-Table2[[#This Row],[Spread/V]]</f>
        <v>0</v>
      </c>
      <c r="AK402" s="2">
        <f>Table2[[#This Row],[SRS/Diff]]-Table2[[#This Row],[EV/Diff]]</f>
        <v>0</v>
      </c>
      <c r="AL402" s="18">
        <f>Table2[[#This Row],[SRS]]-Table2[[#This Row],[Spread]]</f>
        <v>-3.8986885245901659</v>
      </c>
      <c r="AM402" s="21">
        <f>Table2[[#This Row],[(A) Err]]^2</f>
        <v>15.199772211771045</v>
      </c>
      <c r="AN402" s="6">
        <f>Table2[[#This Row],[EV]]-Table2[[#This Row],[Spread]]</f>
        <v>-3.8350077016186646</v>
      </c>
      <c r="AO402" s="1">
        <f>Table2[[#This Row],[EV Err]]^2</f>
        <v>14.707284071474472</v>
      </c>
      <c r="AP402" s="1"/>
    </row>
    <row r="403" spans="1:42" x14ac:dyDescent="0.25">
      <c r="A403" s="77">
        <v>42721</v>
      </c>
      <c r="B403" t="s">
        <v>117</v>
      </c>
      <c r="C403" t="s">
        <v>120</v>
      </c>
      <c r="D403" s="49"/>
      <c r="E403" s="51"/>
      <c r="F403" s="49"/>
      <c r="G403" s="51"/>
      <c r="H403" s="50"/>
      <c r="I403" s="51"/>
      <c r="J403" s="49"/>
      <c r="K403" s="49"/>
      <c r="L403" s="51">
        <f>(Table2[[#This Row],[H/Pace]]/100)*(VLOOKUP(Table2[[#This Row],[Home/Neutral]],home_lookup,8,FALSE)+VLOOKUP(Table2[[#This Row],[Home/Neutral]],OFR_lookup,2,FALSE)+VLOOKUP(Table2[[#This Row],[Visitor/Neutral]],def_diff_lookup,6,FALSE))</f>
        <v>113.89099591446428</v>
      </c>
      <c r="M403" s="51"/>
      <c r="N403" s="51">
        <f>(Table2[[#This Row],[A/Pace]]/100)*(VLOOKUP(Table2[[#This Row],[Visitor/Neutral]],OFR_lookup,2,FALSE)+VLOOKUP(Table2[[#This Row],[Home/Neutral]],def_diff_lookup,6,FALSE))</f>
        <v>98.108970333333332</v>
      </c>
      <c r="O403" s="51"/>
      <c r="P403" s="51"/>
      <c r="Q403" s="49">
        <f>VLOOKUP(Table2[[#This Row],[Home/Neutral]],pace_lookup,7,FALSE)</f>
        <v>94</v>
      </c>
      <c r="R403" s="52">
        <f>VLOOKUP(Table2[[#This Row],[Visitor/Neutral]],pace_lookup,7,FALSE)</f>
        <v>98.3</v>
      </c>
      <c r="S403" s="50"/>
      <c r="T403" s="49"/>
      <c r="U403" s="75"/>
      <c r="V403" s="49"/>
      <c r="W403" s="53">
        <f>-home-VLOOKUP(Table2[[#This Row],[Home/Neutral]],rtg_vlookup,4,FALSE)+VLOOKUP(Table2[[#This Row],[Visitor/Neutral]],rtg_vlookup,4,FALSE)</f>
        <v>-9.0486885245901654</v>
      </c>
      <c r="X403" s="75"/>
      <c r="Y403" s="53"/>
      <c r="Z403" s="2">
        <f>Table2[[#This Row],[A/EV]]-Table2[[#This Row],[H/EV]]</f>
        <v>-15.782025581130952</v>
      </c>
      <c r="AA403" s="29"/>
      <c r="AB403" s="30"/>
      <c r="AC403" s="30"/>
      <c r="AD403" s="30"/>
      <c r="AE403" s="30"/>
      <c r="AF403" s="7" t="b">
        <f>IF(VLOOKUP(Table2[[#This Row],[Home/Neutral]],division_lookup,9,FALSE)=VLOOKUP(Table2[[#This Row],[Visitor/Neutral]],division_lookup,9,FALSE),TRUE,FALSE)</f>
        <v>1</v>
      </c>
      <c r="AG403" s="15" t="str">
        <f>VLOOKUP(Table2[[#This Row],[Home/Neutral]],division_lookup,9,FALSE)</f>
        <v>C</v>
      </c>
      <c r="AH403" s="15" t="str">
        <f>IF(Table2[[#This Row],[Total/EV]]&lt;Table2[[#This Row],[Total/V]],"UNDER","OVER")</f>
        <v>OVER</v>
      </c>
      <c r="AI403" s="26">
        <f>Table2[[#This Row],[SRS/Real]]-Table2[[#This Row],[Spread/V]]</f>
        <v>0</v>
      </c>
      <c r="AJ403" s="2">
        <f>Table2[[#This Row],[EV/Real]]-Table2[[#This Row],[Spread/V]]</f>
        <v>0</v>
      </c>
      <c r="AK403" s="2">
        <f>Table2[[#This Row],[SRS/Diff]]-Table2[[#This Row],[EV/Diff]]</f>
        <v>0</v>
      </c>
      <c r="AL403" s="18">
        <f>Table2[[#This Row],[SRS]]-Table2[[#This Row],[Spread]]</f>
        <v>-9.0486885245901654</v>
      </c>
      <c r="AM403" s="21">
        <f>Table2[[#This Row],[(A) Err]]^2</f>
        <v>81.87876401504974</v>
      </c>
      <c r="AN403" s="6">
        <f>Table2[[#This Row],[EV]]-Table2[[#This Row],[Spread]]</f>
        <v>-15.782025581130952</v>
      </c>
      <c r="AO403" s="1">
        <f>Table2[[#This Row],[EV Err]]^2</f>
        <v>249.07233144347177</v>
      </c>
      <c r="AP403" s="1"/>
    </row>
    <row r="404" spans="1:42" x14ac:dyDescent="0.25">
      <c r="A404" s="34">
        <v>42721</v>
      </c>
      <c r="B404" t="s">
        <v>118</v>
      </c>
      <c r="C404" t="s">
        <v>132</v>
      </c>
      <c r="E404" s="21"/>
      <c r="G404" s="21"/>
      <c r="H404" s="7"/>
      <c r="I404" s="21"/>
      <c r="K404"/>
      <c r="L404" s="21">
        <f>(Table2[[#This Row],[H/Pace]]/100)*(VLOOKUP(Table2[[#This Row],[Home/Neutral]],home_lookup,8,FALSE)+VLOOKUP(Table2[[#This Row],[Home/Neutral]],OFR_lookup,2,FALSE)+VLOOKUP(Table2[[#This Row],[Visitor/Neutral]],def_diff_lookup,6,FALSE))</f>
        <v>120.29459838078238</v>
      </c>
      <c r="M404" s="21"/>
      <c r="N404" s="21">
        <f>(Table2[[#This Row],[A/Pace]]/100)*(VLOOKUP(Table2[[#This Row],[Visitor/Neutral]],OFR_lookup,2,FALSE)+VLOOKUP(Table2[[#This Row],[Home/Neutral]],def_diff_lookup,6,FALSE))</f>
        <v>107.29251866666667</v>
      </c>
      <c r="O404" s="21"/>
      <c r="P404" s="21"/>
      <c r="Q404">
        <f>VLOOKUP(Table2[[#This Row],[Home/Neutral]],pace_lookup,7,FALSE)</f>
        <v>100.4</v>
      </c>
      <c r="R404" s="5">
        <f>VLOOKUP(Table2[[#This Row],[Visitor/Neutral]],pace_lookup,7,FALSE)</f>
        <v>98.8</v>
      </c>
      <c r="S404" s="7"/>
      <c r="U404" s="15"/>
      <c r="W404" s="2">
        <f>-home-VLOOKUP(Table2[[#This Row],[Home/Neutral]],rtg_vlookup,4,FALSE)+VLOOKUP(Table2[[#This Row],[Visitor/Neutral]],rtg_vlookup,4,FALSE)</f>
        <v>-16.638688524590165</v>
      </c>
      <c r="X404" s="15"/>
      <c r="Y404" s="2"/>
      <c r="Z404" s="2">
        <f>Table2[[#This Row],[A/EV]]-Table2[[#This Row],[H/EV]]</f>
        <v>-13.002079714115709</v>
      </c>
      <c r="AA404" s="29"/>
      <c r="AB404" s="30"/>
      <c r="AC404" s="30"/>
      <c r="AD404" s="30"/>
      <c r="AE404" s="30"/>
      <c r="AF404" s="7" t="b">
        <f>IF(VLOOKUP(Table2[[#This Row],[Home/Neutral]],division_lookup,9,FALSE)=VLOOKUP(Table2[[#This Row],[Visitor/Neutral]],division_lookup,9,FALSE),TRUE,FALSE)</f>
        <v>0</v>
      </c>
      <c r="AG404" s="15" t="str">
        <f>VLOOKUP(Table2[[#This Row],[Home/Neutral]],division_lookup,9,FALSE)</f>
        <v>P</v>
      </c>
      <c r="AH404" s="15" t="str">
        <f>IF(Table2[[#This Row],[Total/EV]]&lt;Table2[[#This Row],[Total/V]],"UNDER","OVER")</f>
        <v>OVER</v>
      </c>
      <c r="AI404" s="26">
        <f>Table2[[#This Row],[SRS/Real]]-Table2[[#This Row],[Spread/V]]</f>
        <v>0</v>
      </c>
      <c r="AJ404" s="2">
        <f>Table2[[#This Row],[EV/Real]]-Table2[[#This Row],[Spread/V]]</f>
        <v>0</v>
      </c>
      <c r="AK404" s="2">
        <f>Table2[[#This Row],[SRS/Diff]]-Table2[[#This Row],[EV/Diff]]</f>
        <v>0</v>
      </c>
      <c r="AL404" s="18">
        <f>Table2[[#This Row],[SRS]]-Table2[[#This Row],[Spread]]</f>
        <v>-16.638688524590165</v>
      </c>
      <c r="AM404" s="21">
        <f>Table2[[#This Row],[(A) Err]]^2</f>
        <v>276.84595581832843</v>
      </c>
      <c r="AN404" s="6">
        <f>Table2[[#This Row],[EV]]-Table2[[#This Row],[Spread]]</f>
        <v>-13.002079714115709</v>
      </c>
      <c r="AO404" s="1">
        <f>Table2[[#This Row],[EV Err]]^2</f>
        <v>169.05407689221923</v>
      </c>
      <c r="AP404" s="1"/>
    </row>
    <row r="405" spans="1:42" x14ac:dyDescent="0.25">
      <c r="A405" s="34">
        <v>42721</v>
      </c>
      <c r="B405" t="s">
        <v>126</v>
      </c>
      <c r="C405" t="s">
        <v>119</v>
      </c>
      <c r="E405" s="21"/>
      <c r="G405" s="21"/>
      <c r="H405" s="7"/>
      <c r="I405" s="21"/>
      <c r="K405"/>
      <c r="L405" s="21">
        <f>(Table2[[#This Row],[H/Pace]]/100)*(VLOOKUP(Table2[[#This Row],[Home/Neutral]],home_lookup,8,FALSE)+VLOOKUP(Table2[[#This Row],[Home/Neutral]],OFR_lookup,2,FALSE)+VLOOKUP(Table2[[#This Row],[Visitor/Neutral]],def_diff_lookup,6,FALSE))</f>
        <v>117.50549777050786</v>
      </c>
      <c r="M405" s="21"/>
      <c r="N405" s="21">
        <f>(Table2[[#This Row],[A/Pace]]/100)*(VLOOKUP(Table2[[#This Row],[Visitor/Neutral]],OFR_lookup,2,FALSE)+VLOOKUP(Table2[[#This Row],[Home/Neutral]],def_diff_lookup,6,FALSE))</f>
        <v>112.66143100000001</v>
      </c>
      <c r="O405" s="21"/>
      <c r="P405" s="21"/>
      <c r="Q405">
        <f>VLOOKUP(Table2[[#This Row],[Home/Neutral]],pace_lookup,7,FALSE)</f>
        <v>95.7</v>
      </c>
      <c r="R405" s="5">
        <f>VLOOKUP(Table2[[#This Row],[Visitor/Neutral]],pace_lookup,7,FALSE)</f>
        <v>96.9</v>
      </c>
      <c r="S405" s="7"/>
      <c r="U405" s="15"/>
      <c r="W405" s="2">
        <f>-home-VLOOKUP(Table2[[#This Row],[Home/Neutral]],rtg_vlookup,4,FALSE)+VLOOKUP(Table2[[#This Row],[Visitor/Neutral]],rtg_vlookup,4,FALSE)</f>
        <v>2.0813114754098345</v>
      </c>
      <c r="X405" s="15"/>
      <c r="Y405" s="2"/>
      <c r="Z405" s="2">
        <f>Table2[[#This Row],[A/EV]]-Table2[[#This Row],[H/EV]]</f>
        <v>-4.8440667705078511</v>
      </c>
      <c r="AA405" s="29"/>
      <c r="AB405" s="30"/>
      <c r="AC405" s="30"/>
      <c r="AD405" s="30"/>
      <c r="AE405" s="30"/>
      <c r="AF405" s="7" t="b">
        <f>IF(VLOOKUP(Table2[[#This Row],[Home/Neutral]],division_lookup,9,FALSE)=VLOOKUP(Table2[[#This Row],[Visitor/Neutral]],division_lookup,9,FALSE),TRUE,FALSE)</f>
        <v>0</v>
      </c>
      <c r="AG405" s="15" t="str">
        <f>VLOOKUP(Table2[[#This Row],[Home/Neutral]],division_lookup,9,FALSE)</f>
        <v>NW</v>
      </c>
      <c r="AH405" s="15" t="str">
        <f>IF(Table2[[#This Row],[Total/EV]]&lt;Table2[[#This Row],[Total/V]],"UNDER","OVER")</f>
        <v>OVER</v>
      </c>
      <c r="AI405" s="26">
        <f>Table2[[#This Row],[SRS/Real]]-Table2[[#This Row],[Spread/V]]</f>
        <v>0</v>
      </c>
      <c r="AJ405" s="2">
        <f>Table2[[#This Row],[EV/Real]]-Table2[[#This Row],[Spread/V]]</f>
        <v>0</v>
      </c>
      <c r="AK405" s="2">
        <f>Table2[[#This Row],[SRS/Diff]]-Table2[[#This Row],[EV/Diff]]</f>
        <v>0</v>
      </c>
      <c r="AL405" s="18">
        <f>Table2[[#This Row],[SRS]]-Table2[[#This Row],[Spread]]</f>
        <v>2.0813114754098345</v>
      </c>
      <c r="AM405" s="21">
        <f>Table2[[#This Row],[(A) Err]]^2</f>
        <v>4.3318574576726618</v>
      </c>
      <c r="AN405" s="6">
        <f>Table2[[#This Row],[EV]]-Table2[[#This Row],[Spread]]</f>
        <v>-4.8440667705078511</v>
      </c>
      <c r="AO405" s="1">
        <f>Table2[[#This Row],[EV Err]]^2</f>
        <v>23.464982877138361</v>
      </c>
      <c r="AP405" s="1"/>
    </row>
    <row r="406" spans="1:42" ht="15.75" thickBot="1" x14ac:dyDescent="0.3">
      <c r="A406" s="100">
        <v>42721</v>
      </c>
      <c r="B406" s="3" t="s">
        <v>129</v>
      </c>
      <c r="C406" s="3" t="s">
        <v>131</v>
      </c>
      <c r="D406" s="3"/>
      <c r="E406" s="22"/>
      <c r="F406" s="3"/>
      <c r="G406" s="22"/>
      <c r="H406" s="8"/>
      <c r="I406" s="22"/>
      <c r="J406" s="3"/>
      <c r="K406" s="3"/>
      <c r="L406" s="22">
        <f>(Table2[[#This Row],[H/Pace]]/100)*(VLOOKUP(Table2[[#This Row],[Home/Neutral]],home_lookup,8,FALSE)+VLOOKUP(Table2[[#This Row],[Home/Neutral]],OFR_lookup,2,FALSE)+VLOOKUP(Table2[[#This Row],[Visitor/Neutral]],def_diff_lookup,6,FALSE))</f>
        <v>108.53000376890108</v>
      </c>
      <c r="M406" s="22"/>
      <c r="N406" s="22">
        <f>(Table2[[#This Row],[A/Pace]]/100)*(VLOOKUP(Table2[[#This Row],[Visitor/Neutral]],OFR_lookup,2,FALSE)+VLOOKUP(Table2[[#This Row],[Home/Neutral]],def_diff_lookup,6,FALSE))</f>
        <v>101.176923</v>
      </c>
      <c r="O406" s="22"/>
      <c r="P406" s="22"/>
      <c r="Q406" s="3">
        <f>VLOOKUP(Table2[[#This Row],[Home/Neutral]],pace_lookup,7,FALSE)</f>
        <v>99</v>
      </c>
      <c r="R406" s="3">
        <f>VLOOKUP(Table2[[#This Row],[Visitor/Neutral]],pace_lookup,7,FALSE)</f>
        <v>101.7</v>
      </c>
      <c r="S406" s="8"/>
      <c r="T406" s="3"/>
      <c r="U406" s="16"/>
      <c r="V406" s="3"/>
      <c r="W406" s="9">
        <f>-home-VLOOKUP(Table2[[#This Row],[Home/Neutral]],rtg_vlookup,4,FALSE)+VLOOKUP(Table2[[#This Row],[Visitor/Neutral]],rtg_vlookup,4,FALSE)</f>
        <v>-10.668688524590166</v>
      </c>
      <c r="X406" s="16"/>
      <c r="Y406" s="9"/>
      <c r="Z406" s="9">
        <f>Table2[[#This Row],[A/EV]]-Table2[[#This Row],[H/EV]]</f>
        <v>-7.35308076890108</v>
      </c>
      <c r="AA406" s="31"/>
      <c r="AB406" s="32"/>
      <c r="AC406" s="32"/>
      <c r="AD406" s="32"/>
      <c r="AE406" s="32"/>
      <c r="AF406" s="8" t="b">
        <f>IF(VLOOKUP(Table2[[#This Row],[Home/Neutral]],division_lookup,9,FALSE)=VLOOKUP(Table2[[#This Row],[Visitor/Neutral]],division_lookup,9,FALSE),TRUE,FALSE)</f>
        <v>0</v>
      </c>
      <c r="AG406" s="16" t="str">
        <f>VLOOKUP(Table2[[#This Row],[Home/Neutral]],division_lookup,9,FALSE)</f>
        <v>NW</v>
      </c>
      <c r="AH406" s="16" t="str">
        <f>IF(Table2[[#This Row],[Total/EV]]&lt;Table2[[#This Row],[Total/V]],"UNDER","OVER")</f>
        <v>OVER</v>
      </c>
      <c r="AI406" s="16">
        <f>Table2[[#This Row],[SRS/Real]]-Table2[[#This Row],[Spread/V]]</f>
        <v>0</v>
      </c>
      <c r="AJ406" s="9">
        <f>Table2[[#This Row],[EV/Real]]-Table2[[#This Row],[Spread/V]]</f>
        <v>0</v>
      </c>
      <c r="AK406" s="9">
        <f>Table2[[#This Row],[SRS/Diff]]-Table2[[#This Row],[EV/Diff]]</f>
        <v>0</v>
      </c>
      <c r="AL406" s="19">
        <f>Table2[[#This Row],[SRS]]-Table2[[#This Row],[Spread]]</f>
        <v>-10.668688524590166</v>
      </c>
      <c r="AM406" s="22">
        <f>Table2[[#This Row],[(A) Err]]^2</f>
        <v>113.8209148347219</v>
      </c>
      <c r="AN406" s="4">
        <f>Table2[[#This Row],[EV]]-Table2[[#This Row],[Spread]]</f>
        <v>-7.35308076890108</v>
      </c>
      <c r="AO406" s="4">
        <f>Table2[[#This Row],[EV Err]]^2</f>
        <v>54.0677967939829</v>
      </c>
      <c r="AP406" s="1"/>
    </row>
    <row r="407" spans="1:42" x14ac:dyDescent="0.25">
      <c r="A407" s="34">
        <v>42722</v>
      </c>
      <c r="B407" t="s">
        <v>115</v>
      </c>
      <c r="C407" t="s">
        <v>133</v>
      </c>
      <c r="E407" s="21"/>
      <c r="G407" s="21"/>
      <c r="H407" s="7"/>
      <c r="I407" s="21"/>
      <c r="K407"/>
      <c r="L407" s="21">
        <f>(Table2[[#This Row],[H/Pace]]/100)*(VLOOKUP(Table2[[#This Row],[Home/Neutral]],home_lookup,8,FALSE)+VLOOKUP(Table2[[#This Row],[Home/Neutral]],OFR_lookup,2,FALSE)+VLOOKUP(Table2[[#This Row],[Visitor/Neutral]],def_diff_lookup,6,FALSE))</f>
        <v>98.415633115967765</v>
      </c>
      <c r="M407" s="21"/>
      <c r="N407" s="21">
        <f>(Table2[[#This Row],[A/Pace]]/100)*(VLOOKUP(Table2[[#This Row],[Visitor/Neutral]],OFR_lookup,2,FALSE)+VLOOKUP(Table2[[#This Row],[Home/Neutral]],def_diff_lookup,6,FALSE))</f>
        <v>101.053678</v>
      </c>
      <c r="O407" s="21"/>
      <c r="P407" s="21"/>
      <c r="Q407">
        <f>VLOOKUP(Table2[[#This Row],[Home/Neutral]],pace_lookup,7,FALSE)</f>
        <v>92.9</v>
      </c>
      <c r="R407" s="5">
        <f>VLOOKUP(Table2[[#This Row],[Visitor/Neutral]],pace_lookup,7,FALSE)</f>
        <v>94.2</v>
      </c>
      <c r="S407" s="7"/>
      <c r="U407" s="15"/>
      <c r="W407" s="2">
        <f>-home-VLOOKUP(Table2[[#This Row],[Home/Neutral]],rtg_vlookup,4,FALSE)+VLOOKUP(Table2[[#This Row],[Visitor/Neutral]],rtg_vlookup,4,FALSE)</f>
        <v>4.1613114754098337</v>
      </c>
      <c r="X407" s="15"/>
      <c r="Y407" s="2"/>
      <c r="Z407" s="2">
        <f>Table2[[#This Row],[A/EV]]-Table2[[#This Row],[H/EV]]</f>
        <v>2.6380448840322401</v>
      </c>
      <c r="AA407" s="29"/>
      <c r="AB407" s="30"/>
      <c r="AC407" s="30"/>
      <c r="AD407" s="30"/>
      <c r="AE407" s="30"/>
      <c r="AF407" s="7" t="b">
        <f>IF(VLOOKUP(Table2[[#This Row],[Home/Neutral]],division_lookup,9,FALSE)=VLOOKUP(Table2[[#This Row],[Visitor/Neutral]],division_lookup,9,FALSE),TRUE,FALSE)</f>
        <v>0</v>
      </c>
      <c r="AG407" s="15" t="str">
        <f>VLOOKUP(Table2[[#This Row],[Home/Neutral]],division_lookup,9,FALSE)</f>
        <v>SW</v>
      </c>
      <c r="AH407" s="15" t="str">
        <f>IF(Table2[[#This Row],[Total/EV]]&lt;Table2[[#This Row],[Total/V]],"UNDER","OVER")</f>
        <v>OVER</v>
      </c>
      <c r="AI407" s="26">
        <f>Table2[[#This Row],[SRS/Real]]-Table2[[#This Row],[Spread/V]]</f>
        <v>0</v>
      </c>
      <c r="AJ407" s="2">
        <f>Table2[[#This Row],[EV/Real]]-Table2[[#This Row],[Spread/V]]</f>
        <v>0</v>
      </c>
      <c r="AK407" s="2">
        <f>Table2[[#This Row],[SRS/Diff]]-Table2[[#This Row],[EV/Diff]]</f>
        <v>0</v>
      </c>
      <c r="AL407" s="18">
        <f>Table2[[#This Row],[SRS]]-Table2[[#This Row],[Spread]]</f>
        <v>4.1613114754098337</v>
      </c>
      <c r="AM407" s="21">
        <f>Table2[[#This Row],[(A) Err]]^2</f>
        <v>17.316513195377567</v>
      </c>
      <c r="AN407" s="6">
        <f>Table2[[#This Row],[EV]]-Table2[[#This Row],[Spread]]</f>
        <v>2.6380448840322401</v>
      </c>
      <c r="AO407" s="1">
        <f>Table2[[#This Row],[EV Err]]^2</f>
        <v>6.9592808101686749</v>
      </c>
      <c r="AP407" s="1"/>
    </row>
    <row r="408" spans="1:42" x14ac:dyDescent="0.25">
      <c r="A408" s="34">
        <v>42722</v>
      </c>
      <c r="B408" t="s">
        <v>123</v>
      </c>
      <c r="C408" t="s">
        <v>136</v>
      </c>
      <c r="E408" s="21"/>
      <c r="G408" s="21"/>
      <c r="H408" s="7"/>
      <c r="I408" s="21"/>
      <c r="K408"/>
      <c r="L408" s="21">
        <f>(Table2[[#This Row],[H/Pace]]/100)*(VLOOKUP(Table2[[#This Row],[Home/Neutral]],home_lookup,8,FALSE)+VLOOKUP(Table2[[#This Row],[Home/Neutral]],OFR_lookup,2,FALSE)+VLOOKUP(Table2[[#This Row],[Visitor/Neutral]],def_diff_lookup,6,FALSE))</f>
        <v>97.600677095639185</v>
      </c>
      <c r="M408" s="21"/>
      <c r="N408" s="21">
        <f>(Table2[[#This Row],[A/Pace]]/100)*(VLOOKUP(Table2[[#This Row],[Visitor/Neutral]],OFR_lookup,2,FALSE)+VLOOKUP(Table2[[#This Row],[Home/Neutral]],def_diff_lookup,6,FALSE))</f>
        <v>94.122084999999998</v>
      </c>
      <c r="O408" s="21"/>
      <c r="P408" s="21"/>
      <c r="Q408">
        <f>VLOOKUP(Table2[[#This Row],[Home/Neutral]],pace_lookup,7,FALSE)</f>
        <v>92.5</v>
      </c>
      <c r="R408" s="5">
        <f>VLOOKUP(Table2[[#This Row],[Visitor/Neutral]],pace_lookup,7,FALSE)</f>
        <v>91.5</v>
      </c>
      <c r="S408" s="7"/>
      <c r="U408" s="15"/>
      <c r="W408" s="2">
        <f>-home-VLOOKUP(Table2[[#This Row],[Home/Neutral]],rtg_vlookup,4,FALSE)+VLOOKUP(Table2[[#This Row],[Visitor/Neutral]],rtg_vlookup,4,FALSE)</f>
        <v>0.79131147540983404</v>
      </c>
      <c r="X408" s="15"/>
      <c r="Y408" s="2"/>
      <c r="Z408" s="2">
        <f>Table2[[#This Row],[A/EV]]-Table2[[#This Row],[H/EV]]</f>
        <v>-3.4785920956391863</v>
      </c>
      <c r="AA408" s="29"/>
      <c r="AB408" s="30"/>
      <c r="AC408" s="30"/>
      <c r="AD408" s="30"/>
      <c r="AE408" s="30"/>
      <c r="AF408" s="7" t="b">
        <f>IF(VLOOKUP(Table2[[#This Row],[Home/Neutral]],division_lookup,9,FALSE)=VLOOKUP(Table2[[#This Row],[Visitor/Neutral]],division_lookup,9,FALSE),TRUE,FALSE)</f>
        <v>0</v>
      </c>
      <c r="AG408" s="15" t="str">
        <f>VLOOKUP(Table2[[#This Row],[Home/Neutral]],division_lookup,9,FALSE)</f>
        <v>SW</v>
      </c>
      <c r="AH408" s="15" t="str">
        <f>IF(Table2[[#This Row],[Total/EV]]&lt;Table2[[#This Row],[Total/V]],"UNDER","OVER")</f>
        <v>OVER</v>
      </c>
      <c r="AI408" s="26">
        <f>Table2[[#This Row],[SRS/Real]]-Table2[[#This Row],[Spread/V]]</f>
        <v>0</v>
      </c>
      <c r="AJ408" s="2">
        <f>Table2[[#This Row],[EV/Real]]-Table2[[#This Row],[Spread/V]]</f>
        <v>0</v>
      </c>
      <c r="AK408" s="2">
        <f>Table2[[#This Row],[SRS/Diff]]-Table2[[#This Row],[EV/Diff]]</f>
        <v>0</v>
      </c>
      <c r="AL408" s="18">
        <f>Table2[[#This Row],[SRS]]-Table2[[#This Row],[Spread]]</f>
        <v>0.79131147540983404</v>
      </c>
      <c r="AM408" s="21">
        <f>Table2[[#This Row],[(A) Err]]^2</f>
        <v>0.62617385111528834</v>
      </c>
      <c r="AN408" s="6">
        <f>Table2[[#This Row],[EV]]-Table2[[#This Row],[Spread]]</f>
        <v>-3.4785920956391863</v>
      </c>
      <c r="AO408" s="1">
        <f>Table2[[#This Row],[EV Err]]^2</f>
        <v>12.100602967843425</v>
      </c>
      <c r="AP408" s="1"/>
    </row>
    <row r="409" spans="1:42" x14ac:dyDescent="0.25">
      <c r="A409" s="34">
        <v>42722</v>
      </c>
      <c r="B409" t="s">
        <v>124</v>
      </c>
      <c r="C409" t="s">
        <v>110</v>
      </c>
      <c r="E409" s="21"/>
      <c r="G409" s="21"/>
      <c r="H409" s="7"/>
      <c r="I409" s="21"/>
      <c r="K409"/>
      <c r="L409" s="21">
        <f>(Table2[[#This Row],[H/Pace]]/100)*(VLOOKUP(Table2[[#This Row],[Home/Neutral]],home_lookup,8,FALSE)+VLOOKUP(Table2[[#This Row],[Home/Neutral]],OFR_lookup,2,FALSE)+VLOOKUP(Table2[[#This Row],[Visitor/Neutral]],def_diff_lookup,6,FALSE))</f>
        <v>101.86657517723557</v>
      </c>
      <c r="M409" s="21"/>
      <c r="N409" s="21">
        <f>(Table2[[#This Row],[A/Pace]]/100)*(VLOOKUP(Table2[[#This Row],[Visitor/Neutral]],OFR_lookup,2,FALSE)+VLOOKUP(Table2[[#This Row],[Home/Neutral]],def_diff_lookup,6,FALSE))</f>
        <v>101.62151133333334</v>
      </c>
      <c r="O409" s="21"/>
      <c r="P409" s="21"/>
      <c r="Q409">
        <f>VLOOKUP(Table2[[#This Row],[Home/Neutral]],pace_lookup,7,FALSE)</f>
        <v>93.7</v>
      </c>
      <c r="R409" s="5">
        <f>VLOOKUP(Table2[[#This Row],[Visitor/Neutral]],pace_lookup,7,FALSE)</f>
        <v>96.2</v>
      </c>
      <c r="S409" s="7"/>
      <c r="U409" s="15"/>
      <c r="W409" s="2">
        <f>-home-VLOOKUP(Table2[[#This Row],[Home/Neutral]],rtg_vlookup,4,FALSE)+VLOOKUP(Table2[[#This Row],[Visitor/Neutral]],rtg_vlookup,4,FALSE)</f>
        <v>-1.0986885245901656</v>
      </c>
      <c r="X409" s="15"/>
      <c r="Y409" s="2"/>
      <c r="Z409" s="2">
        <f>Table2[[#This Row],[A/EV]]-Table2[[#This Row],[H/EV]]</f>
        <v>-0.24506384390222991</v>
      </c>
      <c r="AA409" s="29"/>
      <c r="AB409" s="30"/>
      <c r="AC409" s="30"/>
      <c r="AD409" s="30"/>
      <c r="AE409" s="30"/>
      <c r="AF409" s="7" t="b">
        <f>IF(VLOOKUP(Table2[[#This Row],[Home/Neutral]],division_lookup,9,FALSE)=VLOOKUP(Table2[[#This Row],[Visitor/Neutral]],division_lookup,9,FALSE),TRUE,FALSE)</f>
        <v>0</v>
      </c>
      <c r="AG409" s="15" t="str">
        <f>VLOOKUP(Table2[[#This Row],[Home/Neutral]],division_lookup,9,FALSE)</f>
        <v>SE</v>
      </c>
      <c r="AH409" s="15" t="str">
        <f>IF(Table2[[#This Row],[Total/EV]]&lt;Table2[[#This Row],[Total/V]],"UNDER","OVER")</f>
        <v>OVER</v>
      </c>
      <c r="AI409" s="26">
        <f>Table2[[#This Row],[SRS/Real]]-Table2[[#This Row],[Spread/V]]</f>
        <v>0</v>
      </c>
      <c r="AJ409" s="2">
        <f>Table2[[#This Row],[EV/Real]]-Table2[[#This Row],[Spread/V]]</f>
        <v>0</v>
      </c>
      <c r="AK409" s="2">
        <f>Table2[[#This Row],[SRS/Diff]]-Table2[[#This Row],[EV/Diff]]</f>
        <v>0</v>
      </c>
      <c r="AL409" s="18">
        <f>Table2[[#This Row],[SRS]]-Table2[[#This Row],[Spread]]</f>
        <v>-1.0986885245901656</v>
      </c>
      <c r="AM409" s="21">
        <f>Table2[[#This Row],[(A) Err]]^2</f>
        <v>1.2071164740661151</v>
      </c>
      <c r="AN409" s="6">
        <f>Table2[[#This Row],[EV]]-Table2[[#This Row],[Spread]]</f>
        <v>-0.24506384390222991</v>
      </c>
      <c r="AO409" s="1">
        <f>Table2[[#This Row],[EV Err]]^2</f>
        <v>6.0056287588136505E-2</v>
      </c>
      <c r="AP409" s="1"/>
    </row>
    <row r="410" spans="1:42" x14ac:dyDescent="0.25">
      <c r="A410" s="34">
        <v>42722</v>
      </c>
      <c r="B410" t="s">
        <v>130</v>
      </c>
      <c r="C410" t="s">
        <v>135</v>
      </c>
      <c r="E410" s="21"/>
      <c r="G410" s="21"/>
      <c r="H410" s="7"/>
      <c r="I410" s="21"/>
      <c r="K410"/>
      <c r="L410" s="21">
        <f>(Table2[[#This Row],[H/Pace]]/100)*(VLOOKUP(Table2[[#This Row],[Home/Neutral]],home_lookup,8,FALSE)+VLOOKUP(Table2[[#This Row],[Home/Neutral]],OFR_lookup,2,FALSE)+VLOOKUP(Table2[[#This Row],[Visitor/Neutral]],def_diff_lookup,6,FALSE))</f>
        <v>97.335584967109398</v>
      </c>
      <c r="M410" s="21"/>
      <c r="N410" s="21">
        <f>(Table2[[#This Row],[A/Pace]]/100)*(VLOOKUP(Table2[[#This Row],[Visitor/Neutral]],OFR_lookup,2,FALSE)+VLOOKUP(Table2[[#This Row],[Home/Neutral]],def_diff_lookup,6,FALSE))</f>
        <v>108.09360599999999</v>
      </c>
      <c r="O410" s="21"/>
      <c r="P410" s="21"/>
      <c r="Q410">
        <f>VLOOKUP(Table2[[#This Row],[Home/Neutral]],pace_lookup,7,FALSE)</f>
        <v>94.2</v>
      </c>
      <c r="R410" s="5">
        <f>VLOOKUP(Table2[[#This Row],[Visitor/Neutral]],pace_lookup,7,FALSE)</f>
        <v>95.4</v>
      </c>
      <c r="S410" s="7"/>
      <c r="U410" s="15"/>
      <c r="W410" s="2">
        <f>-home-VLOOKUP(Table2[[#This Row],[Home/Neutral]],rtg_vlookup,4,FALSE)+VLOOKUP(Table2[[#This Row],[Visitor/Neutral]],rtg_vlookup,4,FALSE)</f>
        <v>11.791311475409834</v>
      </c>
      <c r="X410" s="15"/>
      <c r="Y410" s="2"/>
      <c r="Z410" s="2">
        <f>Table2[[#This Row],[A/EV]]-Table2[[#This Row],[H/EV]]</f>
        <v>10.758021032890596</v>
      </c>
      <c r="AA410" s="29"/>
      <c r="AB410" s="30"/>
      <c r="AC410" s="30"/>
      <c r="AD410" s="30"/>
      <c r="AE410" s="30"/>
      <c r="AF410" s="7" t="b">
        <f>IF(VLOOKUP(Table2[[#This Row],[Home/Neutral]],division_lookup,9,FALSE)=VLOOKUP(Table2[[#This Row],[Visitor/Neutral]],division_lookup,9,FALSE),TRUE,FALSE)</f>
        <v>0</v>
      </c>
      <c r="AG410" s="15" t="str">
        <f>VLOOKUP(Table2[[#This Row],[Home/Neutral]],division_lookup,9,FALSE)</f>
        <v>SE</v>
      </c>
      <c r="AH410" s="15" t="str">
        <f>IF(Table2[[#This Row],[Total/EV]]&lt;Table2[[#This Row],[Total/V]],"UNDER","OVER")</f>
        <v>OVER</v>
      </c>
      <c r="AI410" s="26">
        <f>Table2[[#This Row],[SRS/Real]]-Table2[[#This Row],[Spread/V]]</f>
        <v>0</v>
      </c>
      <c r="AJ410" s="2">
        <f>Table2[[#This Row],[EV/Real]]-Table2[[#This Row],[Spread/V]]</f>
        <v>0</v>
      </c>
      <c r="AK410" s="2">
        <f>Table2[[#This Row],[SRS/Diff]]-Table2[[#This Row],[EV/Diff]]</f>
        <v>0</v>
      </c>
      <c r="AL410" s="18">
        <f>Table2[[#This Row],[SRS]]-Table2[[#This Row],[Spread]]</f>
        <v>11.791311475409834</v>
      </c>
      <c r="AM410" s="21">
        <f>Table2[[#This Row],[(A) Err]]^2</f>
        <v>139.03502631013166</v>
      </c>
      <c r="AN410" s="6">
        <f>Table2[[#This Row],[EV]]-Table2[[#This Row],[Spread]]</f>
        <v>10.758021032890596</v>
      </c>
      <c r="AO410" s="1">
        <f>Table2[[#This Row],[EV Err]]^2</f>
        <v>115.73501654411645</v>
      </c>
      <c r="AP410" s="1"/>
    </row>
    <row r="411" spans="1:42" x14ac:dyDescent="0.25">
      <c r="A411" s="34">
        <v>42722</v>
      </c>
      <c r="B411" t="s">
        <v>138</v>
      </c>
      <c r="C411" t="s">
        <v>111</v>
      </c>
      <c r="E411" s="21"/>
      <c r="G411" s="21"/>
      <c r="H411" s="7"/>
      <c r="I411" s="21"/>
      <c r="K411"/>
      <c r="L411" s="21">
        <f>(Table2[[#This Row],[H/Pace]]/100)*(VLOOKUP(Table2[[#This Row],[Home/Neutral]],home_lookup,8,FALSE)+VLOOKUP(Table2[[#This Row],[Home/Neutral]],OFR_lookup,2,FALSE)+VLOOKUP(Table2[[#This Row],[Visitor/Neutral]],def_diff_lookup,6,FALSE))</f>
        <v>103.28778353124009</v>
      </c>
      <c r="M411" s="21"/>
      <c r="N411" s="21">
        <f>(Table2[[#This Row],[A/Pace]]/100)*(VLOOKUP(Table2[[#This Row],[Visitor/Neutral]],OFR_lookup,2,FALSE)+VLOOKUP(Table2[[#This Row],[Home/Neutral]],def_diff_lookup,6,FALSE))</f>
        <v>105.96338</v>
      </c>
      <c r="O411" s="21"/>
      <c r="P411" s="21"/>
      <c r="Q411">
        <f>VLOOKUP(Table2[[#This Row],[Home/Neutral]],pace_lookup,7,FALSE)</f>
        <v>97.5</v>
      </c>
      <c r="R411" s="5">
        <f>VLOOKUP(Table2[[#This Row],[Visitor/Neutral]],pace_lookup,7,FALSE)</f>
        <v>102</v>
      </c>
      <c r="S411" s="7"/>
      <c r="U411" s="15"/>
      <c r="W411" s="2">
        <f>-home-VLOOKUP(Table2[[#This Row],[Home/Neutral]],rtg_vlookup,4,FALSE)+VLOOKUP(Table2[[#This Row],[Visitor/Neutral]],rtg_vlookup,4,FALSE)</f>
        <v>-1.9286885245901644</v>
      </c>
      <c r="X411" s="15"/>
      <c r="Y411" s="2"/>
      <c r="Z411" s="2">
        <f>Table2[[#This Row],[A/EV]]-Table2[[#This Row],[H/EV]]</f>
        <v>2.6755964687599061</v>
      </c>
      <c r="AA411" s="29"/>
      <c r="AB411" s="30"/>
      <c r="AC411" s="30"/>
      <c r="AD411" s="30"/>
      <c r="AE411" s="30"/>
      <c r="AF411" s="7" t="b">
        <f>IF(VLOOKUP(Table2[[#This Row],[Home/Neutral]],division_lookup,9,FALSE)=VLOOKUP(Table2[[#This Row],[Visitor/Neutral]],division_lookup,9,FALSE),TRUE,FALSE)</f>
        <v>1</v>
      </c>
      <c r="AG411" s="15" t="str">
        <f>VLOOKUP(Table2[[#This Row],[Home/Neutral]],division_lookup,9,FALSE)</f>
        <v>A</v>
      </c>
      <c r="AH411" s="15" t="str">
        <f>IF(Table2[[#This Row],[Total/EV]]&lt;Table2[[#This Row],[Total/V]],"UNDER","OVER")</f>
        <v>OVER</v>
      </c>
      <c r="AI411" s="26">
        <f>Table2[[#This Row],[SRS/Real]]-Table2[[#This Row],[Spread/V]]</f>
        <v>0</v>
      </c>
      <c r="AJ411" s="2">
        <f>Table2[[#This Row],[EV/Real]]-Table2[[#This Row],[Spread/V]]</f>
        <v>0</v>
      </c>
      <c r="AK411" s="2">
        <f>Table2[[#This Row],[SRS/Diff]]-Table2[[#This Row],[EV/Diff]]</f>
        <v>0</v>
      </c>
      <c r="AL411" s="18">
        <f>Table2[[#This Row],[SRS]]-Table2[[#This Row],[Spread]]</f>
        <v>-1.9286885245901644</v>
      </c>
      <c r="AM411" s="21">
        <f>Table2[[#This Row],[(A) Err]]^2</f>
        <v>3.7198394248857851</v>
      </c>
      <c r="AN411" s="6">
        <f>Table2[[#This Row],[EV]]-Table2[[#This Row],[Spread]]</f>
        <v>2.6755964687599061</v>
      </c>
      <c r="AO411" s="1">
        <f>Table2[[#This Row],[EV Err]]^2</f>
        <v>7.1588164636404787</v>
      </c>
      <c r="AP411" s="1"/>
    </row>
    <row r="412" spans="1:42" x14ac:dyDescent="0.25">
      <c r="A412" s="34">
        <v>42722</v>
      </c>
      <c r="B412" t="s">
        <v>134</v>
      </c>
      <c r="C412" t="s">
        <v>127</v>
      </c>
      <c r="E412" s="21"/>
      <c r="G412" s="21"/>
      <c r="H412" s="7"/>
      <c r="I412" s="21"/>
      <c r="K412"/>
      <c r="L412" s="21">
        <f>(Table2[[#This Row],[H/Pace]]/100)*(VLOOKUP(Table2[[#This Row],[Home/Neutral]],home_lookup,8,FALSE)+VLOOKUP(Table2[[#This Row],[Home/Neutral]],OFR_lookup,2,FALSE)+VLOOKUP(Table2[[#This Row],[Visitor/Neutral]],def_diff_lookup,6,FALSE))</f>
        <v>99.459273436381935</v>
      </c>
      <c r="M412" s="21"/>
      <c r="N412" s="21">
        <f>(Table2[[#This Row],[A/Pace]]/100)*(VLOOKUP(Table2[[#This Row],[Visitor/Neutral]],OFR_lookup,2,FALSE)+VLOOKUP(Table2[[#This Row],[Home/Neutral]],def_diff_lookup,6,FALSE))</f>
        <v>100.626317</v>
      </c>
      <c r="O412" s="21"/>
      <c r="P412" s="21"/>
      <c r="Q412">
        <f>VLOOKUP(Table2[[#This Row],[Home/Neutral]],pace_lookup,7,FALSE)</f>
        <v>93.4</v>
      </c>
      <c r="R412" s="5">
        <f>VLOOKUP(Table2[[#This Row],[Visitor/Neutral]],pace_lookup,7,FALSE)</f>
        <v>99.3</v>
      </c>
      <c r="S412" s="7"/>
      <c r="U412" s="15"/>
      <c r="W412" s="2">
        <f>-home-VLOOKUP(Table2[[#This Row],[Home/Neutral]],rtg_vlookup,4,FALSE)+VLOOKUP(Table2[[#This Row],[Visitor/Neutral]],rtg_vlookup,4,FALSE)</f>
        <v>-12.828688524590165</v>
      </c>
      <c r="X412" s="15"/>
      <c r="Y412" s="2"/>
      <c r="Z412" s="2">
        <f>Table2[[#This Row],[A/EV]]-Table2[[#This Row],[H/EV]]</f>
        <v>1.1670435636180656</v>
      </c>
      <c r="AA412" s="29"/>
      <c r="AB412" s="30"/>
      <c r="AC412" s="30"/>
      <c r="AD412" s="30"/>
      <c r="AE412" s="30"/>
      <c r="AF412" s="7" t="b">
        <f>IF(VLOOKUP(Table2[[#This Row],[Home/Neutral]],division_lookup,9,FALSE)=VLOOKUP(Table2[[#This Row],[Visitor/Neutral]],division_lookup,9,FALSE),TRUE,FALSE)</f>
        <v>1</v>
      </c>
      <c r="AG412" s="15" t="str">
        <f>VLOOKUP(Table2[[#This Row],[Home/Neutral]],division_lookup,9,FALSE)</f>
        <v>SW</v>
      </c>
      <c r="AH412" s="15" t="str">
        <f>IF(Table2[[#This Row],[Total/EV]]&lt;Table2[[#This Row],[Total/V]],"UNDER","OVER")</f>
        <v>OVER</v>
      </c>
      <c r="AI412" s="26">
        <f>Table2[[#This Row],[SRS/Real]]-Table2[[#This Row],[Spread/V]]</f>
        <v>0</v>
      </c>
      <c r="AJ412" s="2">
        <f>Table2[[#This Row],[EV/Real]]-Table2[[#This Row],[Spread/V]]</f>
        <v>0</v>
      </c>
      <c r="AK412" s="2">
        <f>Table2[[#This Row],[SRS/Diff]]-Table2[[#This Row],[EV/Diff]]</f>
        <v>0</v>
      </c>
      <c r="AL412" s="18">
        <f>Table2[[#This Row],[SRS]]-Table2[[#This Row],[Spread]]</f>
        <v>-12.828688524590165</v>
      </c>
      <c r="AM412" s="21">
        <f>Table2[[#This Row],[(A) Err]]^2</f>
        <v>164.57524926095138</v>
      </c>
      <c r="AN412" s="6">
        <f>Table2[[#This Row],[EV]]-Table2[[#This Row],[Spread]]</f>
        <v>1.1670435636180656</v>
      </c>
      <c r="AO412" s="1">
        <f>Table2[[#This Row],[EV Err]]^2</f>
        <v>1.361990679382354</v>
      </c>
      <c r="AP412" s="1"/>
    </row>
    <row r="413" spans="1:42" ht="15.75" thickBot="1" x14ac:dyDescent="0.3">
      <c r="A413" s="100">
        <v>42722</v>
      </c>
      <c r="B413" s="3" t="s">
        <v>137</v>
      </c>
      <c r="C413" s="3" t="s">
        <v>121</v>
      </c>
      <c r="D413" s="3"/>
      <c r="E413" s="22"/>
      <c r="F413" s="3"/>
      <c r="G413" s="22"/>
      <c r="H413" s="8"/>
      <c r="I413" s="22"/>
      <c r="J413" s="3"/>
      <c r="K413" s="3"/>
      <c r="L413" s="22">
        <f>(Table2[[#This Row],[H/Pace]]/100)*(VLOOKUP(Table2[[#This Row],[Home/Neutral]],home_lookup,8,FALSE)+VLOOKUP(Table2[[#This Row],[Home/Neutral]],OFR_lookup,2,FALSE)+VLOOKUP(Table2[[#This Row],[Visitor/Neutral]],def_diff_lookup,6,FALSE))</f>
        <v>103.78813255421871</v>
      </c>
      <c r="M413" s="22"/>
      <c r="N413" s="22">
        <f>(Table2[[#This Row],[A/Pace]]/100)*(VLOOKUP(Table2[[#This Row],[Visitor/Neutral]],OFR_lookup,2,FALSE)+VLOOKUP(Table2[[#This Row],[Home/Neutral]],def_diff_lookup,6,FALSE))</f>
        <v>114.34550266666666</v>
      </c>
      <c r="O413" s="22"/>
      <c r="P413" s="22"/>
      <c r="Q413" s="3">
        <f>VLOOKUP(Table2[[#This Row],[Home/Neutral]],pace_lookup,7,FALSE)</f>
        <v>96</v>
      </c>
      <c r="R413" s="3">
        <f>VLOOKUP(Table2[[#This Row],[Visitor/Neutral]],pace_lookup,7,FALSE)</f>
        <v>96.4</v>
      </c>
      <c r="S413" s="8"/>
      <c r="T413" s="3"/>
      <c r="U413" s="16"/>
      <c r="V413" s="3"/>
      <c r="W413" s="9">
        <f>-home-VLOOKUP(Table2[[#This Row],[Home/Neutral]],rtg_vlookup,4,FALSE)+VLOOKUP(Table2[[#This Row],[Visitor/Neutral]],rtg_vlookup,4,FALSE)</f>
        <v>12.941311475409835</v>
      </c>
      <c r="X413" s="16"/>
      <c r="Y413" s="9"/>
      <c r="Z413" s="9">
        <f>Table2[[#This Row],[A/EV]]-Table2[[#This Row],[H/EV]]</f>
        <v>10.557370112447956</v>
      </c>
      <c r="AA413" s="31"/>
      <c r="AB413" s="32"/>
      <c r="AC413" s="32"/>
      <c r="AD413" s="32"/>
      <c r="AE413" s="32"/>
      <c r="AF413" s="8" t="b">
        <f>IF(VLOOKUP(Table2[[#This Row],[Home/Neutral]],division_lookup,9,FALSE)=VLOOKUP(Table2[[#This Row],[Visitor/Neutral]],division_lookup,9,FALSE),TRUE,FALSE)</f>
        <v>0</v>
      </c>
      <c r="AG413" s="16" t="str">
        <f>VLOOKUP(Table2[[#This Row],[Home/Neutral]],division_lookup,9,FALSE)</f>
        <v>SE</v>
      </c>
      <c r="AH413" s="16" t="str">
        <f>IF(Table2[[#This Row],[Total/EV]]&lt;Table2[[#This Row],[Total/V]],"UNDER","OVER")</f>
        <v>OVER</v>
      </c>
      <c r="AI413" s="16">
        <f>Table2[[#This Row],[SRS/Real]]-Table2[[#This Row],[Spread/V]]</f>
        <v>0</v>
      </c>
      <c r="AJ413" s="9">
        <f>Table2[[#This Row],[EV/Real]]-Table2[[#This Row],[Spread/V]]</f>
        <v>0</v>
      </c>
      <c r="AK413" s="9">
        <f>Table2[[#This Row],[SRS/Diff]]-Table2[[#This Row],[EV/Diff]]</f>
        <v>0</v>
      </c>
      <c r="AL413" s="19">
        <f>Table2[[#This Row],[SRS]]-Table2[[#This Row],[Spread]]</f>
        <v>12.941311475409835</v>
      </c>
      <c r="AM413" s="22">
        <f>Table2[[#This Row],[(A) Err]]^2</f>
        <v>167.47754270357427</v>
      </c>
      <c r="AN413" s="4">
        <f>Table2[[#This Row],[EV]]-Table2[[#This Row],[Spread]]</f>
        <v>10.557370112447956</v>
      </c>
      <c r="AO413" s="4">
        <f>Table2[[#This Row],[EV Err]]^2</f>
        <v>111.45806369120936</v>
      </c>
      <c r="AP413" s="1"/>
    </row>
    <row r="414" spans="1:42" x14ac:dyDescent="0.25">
      <c r="A414" s="34">
        <v>42723</v>
      </c>
      <c r="B414" t="s">
        <v>113</v>
      </c>
      <c r="C414" t="s">
        <v>117</v>
      </c>
      <c r="E414" s="21"/>
      <c r="G414" s="21"/>
      <c r="H414" s="7"/>
      <c r="I414" s="21"/>
      <c r="K414"/>
      <c r="L414" s="21">
        <f>(Table2[[#This Row],[H/Pace]]/100)*(VLOOKUP(Table2[[#This Row],[Home/Neutral]],home_lookup,8,FALSE)+VLOOKUP(Table2[[#This Row],[Home/Neutral]],OFR_lookup,2,FALSE)+VLOOKUP(Table2[[#This Row],[Visitor/Neutral]],def_diff_lookup,6,FALSE))</f>
        <v>105.42907388016279</v>
      </c>
      <c r="M414" s="21"/>
      <c r="N414" s="21">
        <f>(Table2[[#This Row],[A/Pace]]/100)*(VLOOKUP(Table2[[#This Row],[Visitor/Neutral]],OFR_lookup,2,FALSE)+VLOOKUP(Table2[[#This Row],[Home/Neutral]],def_diff_lookup,6,FALSE))</f>
        <v>97.64312666666666</v>
      </c>
      <c r="O414" s="21"/>
      <c r="P414" s="21"/>
      <c r="Q414">
        <f>VLOOKUP(Table2[[#This Row],[Home/Neutral]],pace_lookup,7,FALSE)</f>
        <v>95.1</v>
      </c>
      <c r="R414" s="5">
        <f>VLOOKUP(Table2[[#This Row],[Visitor/Neutral]],pace_lookup,7,FALSE)</f>
        <v>94</v>
      </c>
      <c r="S414" s="7"/>
      <c r="U414" s="15"/>
      <c r="W414" s="2">
        <f>-home-VLOOKUP(Table2[[#This Row],[Home/Neutral]],rtg_vlookup,4,FALSE)+VLOOKUP(Table2[[#This Row],[Visitor/Neutral]],rtg_vlookup,4,FALSE)</f>
        <v>-5.8586885245901659</v>
      </c>
      <c r="X414" s="15"/>
      <c r="Y414" s="2"/>
      <c r="Z414" s="2">
        <f>Table2[[#This Row],[A/EV]]-Table2[[#This Row],[H/EV]]</f>
        <v>-7.7859472134961294</v>
      </c>
      <c r="AA414" s="29"/>
      <c r="AB414" s="30"/>
      <c r="AC414" s="30"/>
      <c r="AD414" s="30"/>
      <c r="AE414" s="30"/>
      <c r="AF414" s="7" t="b">
        <f>IF(VLOOKUP(Table2[[#This Row],[Home/Neutral]],division_lookup,9,FALSE)=VLOOKUP(Table2[[#This Row],[Visitor/Neutral]],division_lookup,9,FALSE),TRUE,FALSE)</f>
        <v>1</v>
      </c>
      <c r="AG414" s="15" t="str">
        <f>VLOOKUP(Table2[[#This Row],[Home/Neutral]],division_lookup,9,FALSE)</f>
        <v>C</v>
      </c>
      <c r="AH414" s="15" t="str">
        <f>IF(Table2[[#This Row],[Total/EV]]&lt;Table2[[#This Row],[Total/V]],"UNDER","OVER")</f>
        <v>OVER</v>
      </c>
      <c r="AI414" s="26">
        <f>Table2[[#This Row],[SRS/Real]]-Table2[[#This Row],[Spread/V]]</f>
        <v>0</v>
      </c>
      <c r="AJ414" s="2">
        <f>Table2[[#This Row],[EV/Real]]-Table2[[#This Row],[Spread/V]]</f>
        <v>0</v>
      </c>
      <c r="AK414" s="2">
        <f>Table2[[#This Row],[SRS/Diff]]-Table2[[#This Row],[EV/Diff]]</f>
        <v>0</v>
      </c>
      <c r="AL414" s="18">
        <f>Table2[[#This Row],[SRS]]-Table2[[#This Row],[Spread]]</f>
        <v>-5.8586885245901659</v>
      </c>
      <c r="AM414" s="21">
        <f>Table2[[#This Row],[(A) Err]]^2</f>
        <v>34.324231228164493</v>
      </c>
      <c r="AN414" s="6">
        <f>Table2[[#This Row],[EV]]-Table2[[#This Row],[Spread]]</f>
        <v>-7.7859472134961294</v>
      </c>
      <c r="AO414" s="1">
        <f>Table2[[#This Row],[EV Err]]^2</f>
        <v>60.620974011348139</v>
      </c>
      <c r="AP414" s="1"/>
    </row>
    <row r="415" spans="1:42" x14ac:dyDescent="0.25">
      <c r="A415" s="34">
        <v>42723</v>
      </c>
      <c r="B415" t="s">
        <v>116</v>
      </c>
      <c r="C415" t="s">
        <v>115</v>
      </c>
      <c r="E415" s="21"/>
      <c r="G415" s="21"/>
      <c r="H415" s="7"/>
      <c r="I415" s="21"/>
      <c r="K415"/>
      <c r="L415" s="21">
        <f>(Table2[[#This Row],[H/Pace]]/100)*(VLOOKUP(Table2[[#This Row],[Home/Neutral]],home_lookup,8,FALSE)+VLOOKUP(Table2[[#This Row],[Home/Neutral]],OFR_lookup,2,FALSE)+VLOOKUP(Table2[[#This Row],[Visitor/Neutral]],def_diff_lookup,6,FALSE))</f>
        <v>104.22199470161864</v>
      </c>
      <c r="M415" s="21"/>
      <c r="N415" s="21">
        <f>(Table2[[#This Row],[A/Pace]]/100)*(VLOOKUP(Table2[[#This Row],[Visitor/Neutral]],OFR_lookup,2,FALSE)+VLOOKUP(Table2[[#This Row],[Home/Neutral]],def_diff_lookup,6,FALSE))</f>
        <v>90.443414333333337</v>
      </c>
      <c r="O415" s="21"/>
      <c r="P415" s="21"/>
      <c r="Q415">
        <f>VLOOKUP(Table2[[#This Row],[Home/Neutral]],pace_lookup,7,FALSE)</f>
        <v>99.1</v>
      </c>
      <c r="R415" s="5">
        <f>VLOOKUP(Table2[[#This Row],[Visitor/Neutral]],pace_lookup,7,FALSE)</f>
        <v>92.9</v>
      </c>
      <c r="S415" s="7"/>
      <c r="U415" s="15"/>
      <c r="W415" s="2">
        <f>-home-VLOOKUP(Table2[[#This Row],[Home/Neutral]],rtg_vlookup,4,FALSE)+VLOOKUP(Table2[[#This Row],[Visitor/Neutral]],rtg_vlookup,4,FALSE)</f>
        <v>-10.898688524590165</v>
      </c>
      <c r="X415" s="15"/>
      <c r="Y415" s="2"/>
      <c r="Z415" s="2">
        <f>Table2[[#This Row],[A/EV]]-Table2[[#This Row],[H/EV]]</f>
        <v>-13.778580368285304</v>
      </c>
      <c r="AA415" s="29"/>
      <c r="AB415" s="30"/>
      <c r="AC415" s="30"/>
      <c r="AD415" s="30"/>
      <c r="AE415" s="30"/>
      <c r="AF415" s="7" t="b">
        <f>IF(VLOOKUP(Table2[[#This Row],[Home/Neutral]],division_lookup,9,FALSE)=VLOOKUP(Table2[[#This Row],[Visitor/Neutral]],division_lookup,9,FALSE),TRUE,FALSE)</f>
        <v>0</v>
      </c>
      <c r="AG415" s="15" t="str">
        <f>VLOOKUP(Table2[[#This Row],[Home/Neutral]],division_lookup,9,FALSE)</f>
        <v>NW</v>
      </c>
      <c r="AH415" s="15" t="str">
        <f>IF(Table2[[#This Row],[Total/EV]]&lt;Table2[[#This Row],[Total/V]],"UNDER","OVER")</f>
        <v>OVER</v>
      </c>
      <c r="AI415" s="26">
        <f>Table2[[#This Row],[SRS/Real]]-Table2[[#This Row],[Spread/V]]</f>
        <v>0</v>
      </c>
      <c r="AJ415" s="2">
        <f>Table2[[#This Row],[EV/Real]]-Table2[[#This Row],[Spread/V]]</f>
        <v>0</v>
      </c>
      <c r="AK415" s="2">
        <f>Table2[[#This Row],[SRS/Diff]]-Table2[[#This Row],[EV/Diff]]</f>
        <v>0</v>
      </c>
      <c r="AL415" s="18">
        <f>Table2[[#This Row],[SRS]]-Table2[[#This Row],[Spread]]</f>
        <v>-10.898688524590165</v>
      </c>
      <c r="AM415" s="21">
        <f>Table2[[#This Row],[(A) Err]]^2</f>
        <v>118.78141155603335</v>
      </c>
      <c r="AN415" s="6">
        <f>Table2[[#This Row],[EV]]-Table2[[#This Row],[Spread]]</f>
        <v>-13.778580368285304</v>
      </c>
      <c r="AO415" s="1">
        <f>Table2[[#This Row],[EV Err]]^2</f>
        <v>189.84927696529718</v>
      </c>
      <c r="AP415" s="1"/>
    </row>
    <row r="416" spans="1:42" x14ac:dyDescent="0.25">
      <c r="A416" s="34">
        <v>42723</v>
      </c>
      <c r="B416" t="s">
        <v>120</v>
      </c>
      <c r="C416" t="s">
        <v>137</v>
      </c>
      <c r="E416" s="21"/>
      <c r="G416" s="21"/>
      <c r="H416" s="7"/>
      <c r="I416" s="21"/>
      <c r="K416"/>
      <c r="L416" s="21">
        <f>(Table2[[#This Row],[H/Pace]]/100)*(VLOOKUP(Table2[[#This Row],[Home/Neutral]],home_lookup,8,FALSE)+VLOOKUP(Table2[[#This Row],[Home/Neutral]],OFR_lookup,2,FALSE)+VLOOKUP(Table2[[#This Row],[Visitor/Neutral]],def_diff_lookup,6,FALSE))</f>
        <v>109.4360654293086</v>
      </c>
      <c r="M416" s="21"/>
      <c r="N416" s="21">
        <f>(Table2[[#This Row],[A/Pace]]/100)*(VLOOKUP(Table2[[#This Row],[Visitor/Neutral]],OFR_lookup,2,FALSE)+VLOOKUP(Table2[[#This Row],[Home/Neutral]],def_diff_lookup,6,FALSE))</f>
        <v>104.57823999999999</v>
      </c>
      <c r="O416" s="21"/>
      <c r="P416" s="21"/>
      <c r="Q416">
        <f>VLOOKUP(Table2[[#This Row],[Home/Neutral]],pace_lookup,7,FALSE)</f>
        <v>98.3</v>
      </c>
      <c r="R416" s="5">
        <f>VLOOKUP(Table2[[#This Row],[Visitor/Neutral]],pace_lookup,7,FALSE)</f>
        <v>96</v>
      </c>
      <c r="S416" s="7"/>
      <c r="U416" s="15"/>
      <c r="W416" s="2">
        <f>-home-VLOOKUP(Table2[[#This Row],[Home/Neutral]],rtg_vlookup,4,FALSE)+VLOOKUP(Table2[[#This Row],[Visitor/Neutral]],rtg_vlookup,4,FALSE)</f>
        <v>-1.0686885245901654</v>
      </c>
      <c r="X416" s="15"/>
      <c r="Y416" s="2"/>
      <c r="Z416" s="2">
        <f>Table2[[#This Row],[A/EV]]-Table2[[#This Row],[H/EV]]</f>
        <v>-4.8578254293086047</v>
      </c>
      <c r="AA416" s="29"/>
      <c r="AB416" s="30"/>
      <c r="AC416" s="30"/>
      <c r="AD416" s="30"/>
      <c r="AE416" s="30"/>
      <c r="AF416" s="7" t="b">
        <f>IF(VLOOKUP(Table2[[#This Row],[Home/Neutral]],division_lookup,9,FALSE)=VLOOKUP(Table2[[#This Row],[Visitor/Neutral]],division_lookup,9,FALSE),TRUE,FALSE)</f>
        <v>0</v>
      </c>
      <c r="AG416" s="15" t="str">
        <f>VLOOKUP(Table2[[#This Row],[Home/Neutral]],division_lookup,9,FALSE)</f>
        <v>C</v>
      </c>
      <c r="AH416" s="15" t="str">
        <f>IF(Table2[[#This Row],[Total/EV]]&lt;Table2[[#This Row],[Total/V]],"UNDER","OVER")</f>
        <v>OVER</v>
      </c>
      <c r="AI416" s="26">
        <f>Table2[[#This Row],[SRS/Real]]-Table2[[#This Row],[Spread/V]]</f>
        <v>0</v>
      </c>
      <c r="AJ416" s="2">
        <f>Table2[[#This Row],[EV/Real]]-Table2[[#This Row],[Spread/V]]</f>
        <v>0</v>
      </c>
      <c r="AK416" s="2">
        <f>Table2[[#This Row],[SRS/Diff]]-Table2[[#This Row],[EV/Diff]]</f>
        <v>0</v>
      </c>
      <c r="AL416" s="18">
        <f>Table2[[#This Row],[SRS]]-Table2[[#This Row],[Spread]]</f>
        <v>-1.0686885245901654</v>
      </c>
      <c r="AM416" s="21">
        <f>Table2[[#This Row],[(A) Err]]^2</f>
        <v>1.1420951625907045</v>
      </c>
      <c r="AN416" s="6">
        <f>Table2[[#This Row],[EV]]-Table2[[#This Row],[Spread]]</f>
        <v>-4.8578254293086047</v>
      </c>
      <c r="AO416" s="1">
        <f>Table2[[#This Row],[EV Err]]^2</f>
        <v>23.598467901637331</v>
      </c>
      <c r="AP416" s="1"/>
    </row>
    <row r="417" spans="1:42" x14ac:dyDescent="0.25">
      <c r="A417" s="34">
        <v>42723</v>
      </c>
      <c r="B417" t="s">
        <v>126</v>
      </c>
      <c r="C417" t="s">
        <v>131</v>
      </c>
      <c r="E417" s="21"/>
      <c r="G417" s="21"/>
      <c r="H417" s="7"/>
      <c r="I417" s="21"/>
      <c r="K417"/>
      <c r="L417" s="21">
        <f>(Table2[[#This Row],[H/Pace]]/100)*(VLOOKUP(Table2[[#This Row],[Home/Neutral]],home_lookup,8,FALSE)+VLOOKUP(Table2[[#This Row],[Home/Neutral]],OFR_lookup,2,FALSE)+VLOOKUP(Table2[[#This Row],[Visitor/Neutral]],def_diff_lookup,6,FALSE))</f>
        <v>115.98386777050786</v>
      </c>
      <c r="M417" s="21"/>
      <c r="N417" s="21">
        <f>(Table2[[#This Row],[A/Pace]]/100)*(VLOOKUP(Table2[[#This Row],[Visitor/Neutral]],OFR_lookup,2,FALSE)+VLOOKUP(Table2[[#This Row],[Home/Neutral]],def_diff_lookup,6,FALSE))</f>
        <v>106.394133</v>
      </c>
      <c r="O417" s="21"/>
      <c r="P417" s="21"/>
      <c r="Q417">
        <f>VLOOKUP(Table2[[#This Row],[Home/Neutral]],pace_lookup,7,FALSE)</f>
        <v>95.7</v>
      </c>
      <c r="R417" s="5">
        <f>VLOOKUP(Table2[[#This Row],[Visitor/Neutral]],pace_lookup,7,FALSE)</f>
        <v>101.7</v>
      </c>
      <c r="S417" s="7"/>
      <c r="U417" s="15"/>
      <c r="W417" s="2">
        <f>-home-VLOOKUP(Table2[[#This Row],[Home/Neutral]],rtg_vlookup,4,FALSE)+VLOOKUP(Table2[[#This Row],[Visitor/Neutral]],rtg_vlookup,4,FALSE)</f>
        <v>-7.978688524590166</v>
      </c>
      <c r="X417" s="15"/>
      <c r="Y417" s="2"/>
      <c r="Z417" s="2">
        <f>Table2[[#This Row],[A/EV]]-Table2[[#This Row],[H/EV]]</f>
        <v>-9.5897347705078602</v>
      </c>
      <c r="AA417" s="29"/>
      <c r="AB417" s="30"/>
      <c r="AC417" s="30"/>
      <c r="AD417" s="30"/>
      <c r="AE417" s="30"/>
      <c r="AF417" s="7" t="b">
        <f>IF(VLOOKUP(Table2[[#This Row],[Home/Neutral]],division_lookup,9,FALSE)=VLOOKUP(Table2[[#This Row],[Visitor/Neutral]],division_lookup,9,FALSE),TRUE,FALSE)</f>
        <v>0</v>
      </c>
      <c r="AG417" s="15" t="str">
        <f>VLOOKUP(Table2[[#This Row],[Home/Neutral]],division_lookup,9,FALSE)</f>
        <v>NW</v>
      </c>
      <c r="AH417" s="15" t="str">
        <f>IF(Table2[[#This Row],[Total/EV]]&lt;Table2[[#This Row],[Total/V]],"UNDER","OVER")</f>
        <v>OVER</v>
      </c>
      <c r="AI417" s="26">
        <f>Table2[[#This Row],[SRS/Real]]-Table2[[#This Row],[Spread/V]]</f>
        <v>0</v>
      </c>
      <c r="AJ417" s="2">
        <f>Table2[[#This Row],[EV/Real]]-Table2[[#This Row],[Spread/V]]</f>
        <v>0</v>
      </c>
      <c r="AK417" s="2">
        <f>Table2[[#This Row],[SRS/Diff]]-Table2[[#This Row],[EV/Diff]]</f>
        <v>0</v>
      </c>
      <c r="AL417" s="18">
        <f>Table2[[#This Row],[SRS]]-Table2[[#This Row],[Spread]]</f>
        <v>-7.978688524590166</v>
      </c>
      <c r="AM417" s="21">
        <f>Table2[[#This Row],[(A) Err]]^2</f>
        <v>63.659470572426798</v>
      </c>
      <c r="AN417" s="6">
        <f>Table2[[#This Row],[EV]]-Table2[[#This Row],[Spread]]</f>
        <v>-9.5897347705078602</v>
      </c>
      <c r="AO417" s="1">
        <f>Table2[[#This Row],[EV Err]]^2</f>
        <v>91.963012968687437</v>
      </c>
      <c r="AP417" s="1"/>
    </row>
    <row r="418" spans="1:42" ht="15.75" thickBot="1" x14ac:dyDescent="0.3">
      <c r="A418" s="100">
        <v>42723</v>
      </c>
      <c r="B418" s="3" t="s">
        <v>129</v>
      </c>
      <c r="C418" s="3" t="s">
        <v>109</v>
      </c>
      <c r="D418" s="3"/>
      <c r="E418" s="22"/>
      <c r="F418" s="3"/>
      <c r="G418" s="22"/>
      <c r="H418" s="8"/>
      <c r="I418" s="22"/>
      <c r="J418" s="3"/>
      <c r="K418" s="3"/>
      <c r="L418" s="22">
        <f>(Table2[[#This Row],[H/Pace]]/100)*(VLOOKUP(Table2[[#This Row],[Home/Neutral]],home_lookup,8,FALSE)+VLOOKUP(Table2[[#This Row],[Home/Neutral]],OFR_lookup,2,FALSE)+VLOOKUP(Table2[[#This Row],[Visitor/Neutral]],def_diff_lookup,6,FALSE))</f>
        <v>100.61000376890108</v>
      </c>
      <c r="M418" s="22"/>
      <c r="N418" s="22">
        <f>(Table2[[#This Row],[A/Pace]]/100)*(VLOOKUP(Table2[[#This Row],[Visitor/Neutral]],OFR_lookup,2,FALSE)+VLOOKUP(Table2[[#This Row],[Home/Neutral]],def_diff_lookup,6,FALSE))</f>
        <v>99.354421333333335</v>
      </c>
      <c r="O418" s="22"/>
      <c r="P418" s="22"/>
      <c r="Q418" s="3">
        <f>VLOOKUP(Table2[[#This Row],[Home/Neutral]],pace_lookup,7,FALSE)</f>
        <v>99</v>
      </c>
      <c r="R418" s="3">
        <f>VLOOKUP(Table2[[#This Row],[Visitor/Neutral]],pace_lookup,7,FALSE)</f>
        <v>99.2</v>
      </c>
      <c r="S418" s="8"/>
      <c r="T418" s="3"/>
      <c r="U418" s="16"/>
      <c r="V418" s="3"/>
      <c r="W418" s="9">
        <f>-home-VLOOKUP(Table2[[#This Row],[Home/Neutral]],rtg_vlookup,4,FALSE)+VLOOKUP(Table2[[#This Row],[Visitor/Neutral]],rtg_vlookup,4,FALSE)</f>
        <v>-2.0086885245901653</v>
      </c>
      <c r="X418" s="16"/>
      <c r="Y418" s="9"/>
      <c r="Z418" s="9">
        <f>Table2[[#This Row],[A/EV]]-Table2[[#This Row],[H/EV]]</f>
        <v>-1.2555824355677458</v>
      </c>
      <c r="AA418" s="31"/>
      <c r="AB418" s="32"/>
      <c r="AC418" s="32"/>
      <c r="AD418" s="32"/>
      <c r="AE418" s="32"/>
      <c r="AF418" s="8" t="b">
        <f>IF(VLOOKUP(Table2[[#This Row],[Home/Neutral]],division_lookup,9,FALSE)=VLOOKUP(Table2[[#This Row],[Visitor/Neutral]],division_lookup,9,FALSE),TRUE,FALSE)</f>
        <v>0</v>
      </c>
      <c r="AG418" s="16" t="str">
        <f>VLOOKUP(Table2[[#This Row],[Home/Neutral]],division_lookup,9,FALSE)</f>
        <v>NW</v>
      </c>
      <c r="AH418" s="16" t="str">
        <f>IF(Table2[[#This Row],[Total/EV]]&lt;Table2[[#This Row],[Total/V]],"UNDER","OVER")</f>
        <v>OVER</v>
      </c>
      <c r="AI418" s="16">
        <f>Table2[[#This Row],[SRS/Real]]-Table2[[#This Row],[Spread/V]]</f>
        <v>0</v>
      </c>
      <c r="AJ418" s="9">
        <f>Table2[[#This Row],[EV/Real]]-Table2[[#This Row],[Spread/V]]</f>
        <v>0</v>
      </c>
      <c r="AK418" s="9">
        <f>Table2[[#This Row],[SRS/Diff]]-Table2[[#This Row],[EV/Diff]]</f>
        <v>0</v>
      </c>
      <c r="AL418" s="19">
        <f>Table2[[#This Row],[SRS]]-Table2[[#This Row],[Spread]]</f>
        <v>-2.0086885245901653</v>
      </c>
      <c r="AM418" s="22">
        <f>Table2[[#This Row],[(A) Err]]^2</f>
        <v>4.034829588820215</v>
      </c>
      <c r="AN418" s="4">
        <f>Table2[[#This Row],[EV]]-Table2[[#This Row],[Spread]]</f>
        <v>-1.2555824355677458</v>
      </c>
      <c r="AO418" s="4">
        <f>Table2[[#This Row],[EV Err]]^2</f>
        <v>1.5764872525062326</v>
      </c>
      <c r="AP418" s="1"/>
    </row>
    <row r="419" spans="1:42" x14ac:dyDescent="0.25">
      <c r="A419" s="34">
        <v>42724</v>
      </c>
      <c r="B419" t="s">
        <v>112</v>
      </c>
      <c r="C419" t="s">
        <v>122</v>
      </c>
      <c r="E419" s="21"/>
      <c r="G419" s="21"/>
      <c r="H419" s="7"/>
      <c r="I419" s="21"/>
      <c r="K419"/>
      <c r="L419" s="21">
        <f>(Table2[[#This Row],[H/Pace]]/100)*(VLOOKUP(Table2[[#This Row],[Home/Neutral]],home_lookup,8,FALSE)+VLOOKUP(Table2[[#This Row],[Home/Neutral]],OFR_lookup,2,FALSE)+VLOOKUP(Table2[[#This Row],[Visitor/Neutral]],def_diff_lookup,6,FALSE))</f>
        <v>108.62120195313483</v>
      </c>
      <c r="M419" s="21"/>
      <c r="N419" s="21">
        <f>(Table2[[#This Row],[A/Pace]]/100)*(VLOOKUP(Table2[[#This Row],[Visitor/Neutral]],OFR_lookup,2,FALSE)+VLOOKUP(Table2[[#This Row],[Home/Neutral]],def_diff_lookup,6,FALSE))</f>
        <v>108.25173799999999</v>
      </c>
      <c r="O419" s="21"/>
      <c r="P419" s="21"/>
      <c r="Q419">
        <f>VLOOKUP(Table2[[#This Row],[Home/Neutral]],pace_lookup,7,FALSE)</f>
        <v>97.4</v>
      </c>
      <c r="R419" s="5">
        <f>VLOOKUP(Table2[[#This Row],[Visitor/Neutral]],pace_lookup,7,FALSE)</f>
        <v>100.2</v>
      </c>
      <c r="S419" s="7"/>
      <c r="U419" s="15"/>
      <c r="W419" s="2">
        <f>-home-VLOOKUP(Table2[[#This Row],[Home/Neutral]],rtg_vlookup,4,FALSE)+VLOOKUP(Table2[[#This Row],[Visitor/Neutral]],rtg_vlookup,4,FALSE)</f>
        <v>-7.0686885245901658</v>
      </c>
      <c r="X419" s="15"/>
      <c r="Y419" s="2"/>
      <c r="Z419" s="2">
        <f>Table2[[#This Row],[A/EV]]-Table2[[#This Row],[H/EV]]</f>
        <v>-0.36946395313484004</v>
      </c>
      <c r="AA419" s="29"/>
      <c r="AB419" s="30"/>
      <c r="AC419" s="30"/>
      <c r="AD419" s="30"/>
      <c r="AE419" s="30"/>
      <c r="AF419" s="7" t="b">
        <f>IF(VLOOKUP(Table2[[#This Row],[Home/Neutral]],division_lookup,9,FALSE)=VLOOKUP(Table2[[#This Row],[Visitor/Neutral]],division_lookup,9,FALSE),TRUE,FALSE)</f>
        <v>0</v>
      </c>
      <c r="AG419" s="15" t="str">
        <f>VLOOKUP(Table2[[#This Row],[Home/Neutral]],division_lookup,9,FALSE)</f>
        <v>SE</v>
      </c>
      <c r="AH419" s="15" t="str">
        <f>IF(Table2[[#This Row],[Total/EV]]&lt;Table2[[#This Row],[Total/V]],"UNDER","OVER")</f>
        <v>OVER</v>
      </c>
      <c r="AI419" s="26">
        <f>Table2[[#This Row],[SRS/Real]]-Table2[[#This Row],[Spread/V]]</f>
        <v>0</v>
      </c>
      <c r="AJ419" s="2">
        <f>Table2[[#This Row],[EV/Real]]-Table2[[#This Row],[Spread/V]]</f>
        <v>0</v>
      </c>
      <c r="AK419" s="2">
        <f>Table2[[#This Row],[SRS/Diff]]-Table2[[#This Row],[EV/Diff]]</f>
        <v>0</v>
      </c>
      <c r="AL419" s="18">
        <f>Table2[[#This Row],[SRS]]-Table2[[#This Row],[Spread]]</f>
        <v>-7.0686885245901658</v>
      </c>
      <c r="AM419" s="21">
        <f>Table2[[#This Row],[(A) Err]]^2</f>
        <v>49.966357457672693</v>
      </c>
      <c r="AN419" s="6">
        <f>Table2[[#This Row],[EV]]-Table2[[#This Row],[Spread]]</f>
        <v>-0.36946395313484004</v>
      </c>
      <c r="AO419" s="1">
        <f>Table2[[#This Row],[EV Err]]^2</f>
        <v>0.13650361266602329</v>
      </c>
      <c r="AP419" s="1"/>
    </row>
    <row r="420" spans="1:42" x14ac:dyDescent="0.25">
      <c r="A420" s="34">
        <v>42724</v>
      </c>
      <c r="B420" t="s">
        <v>118</v>
      </c>
      <c r="C420" t="s">
        <v>136</v>
      </c>
      <c r="E420" s="21"/>
      <c r="G420" s="21"/>
      <c r="H420" s="7"/>
      <c r="I420" s="21"/>
      <c r="K420"/>
      <c r="L420" s="21">
        <f>(Table2[[#This Row],[H/Pace]]/100)*(VLOOKUP(Table2[[#This Row],[Home/Neutral]],home_lookup,8,FALSE)+VLOOKUP(Table2[[#This Row],[Home/Neutral]],OFR_lookup,2,FALSE)+VLOOKUP(Table2[[#This Row],[Visitor/Neutral]],def_diff_lookup,6,FALSE))</f>
        <v>110.24455838078237</v>
      </c>
      <c r="M420" s="21"/>
      <c r="N420" s="21">
        <f>(Table2[[#This Row],[A/Pace]]/100)*(VLOOKUP(Table2[[#This Row],[Visitor/Neutral]],OFR_lookup,2,FALSE)+VLOOKUP(Table2[[#This Row],[Home/Neutral]],def_diff_lookup,6,FALSE))</f>
        <v>96.327235000000002</v>
      </c>
      <c r="O420" s="21"/>
      <c r="P420" s="21"/>
      <c r="Q420">
        <f>VLOOKUP(Table2[[#This Row],[Home/Neutral]],pace_lookup,7,FALSE)</f>
        <v>100.4</v>
      </c>
      <c r="R420" s="5">
        <f>VLOOKUP(Table2[[#This Row],[Visitor/Neutral]],pace_lookup,7,FALSE)</f>
        <v>91.5</v>
      </c>
      <c r="S420" s="7"/>
      <c r="U420" s="15"/>
      <c r="W420" s="2">
        <f>-home-VLOOKUP(Table2[[#This Row],[Home/Neutral]],rtg_vlookup,4,FALSE)+VLOOKUP(Table2[[#This Row],[Visitor/Neutral]],rtg_vlookup,4,FALSE)</f>
        <v>-9.9486885245901657</v>
      </c>
      <c r="X420" s="15"/>
      <c r="Y420" s="2"/>
      <c r="Z420" s="2">
        <f>Table2[[#This Row],[A/EV]]-Table2[[#This Row],[H/EV]]</f>
        <v>-13.917323380782364</v>
      </c>
      <c r="AA420" s="29"/>
      <c r="AB420" s="30"/>
      <c r="AC420" s="30"/>
      <c r="AD420" s="30"/>
      <c r="AE420" s="30"/>
      <c r="AF420" s="7" t="b">
        <f>IF(VLOOKUP(Table2[[#This Row],[Home/Neutral]],division_lookup,9,FALSE)=VLOOKUP(Table2[[#This Row],[Visitor/Neutral]],division_lookup,9,FALSE),TRUE,FALSE)</f>
        <v>0</v>
      </c>
      <c r="AG420" s="15" t="str">
        <f>VLOOKUP(Table2[[#This Row],[Home/Neutral]],division_lookup,9,FALSE)</f>
        <v>P</v>
      </c>
      <c r="AH420" s="15" t="str">
        <f>IF(Table2[[#This Row],[Total/EV]]&lt;Table2[[#This Row],[Total/V]],"UNDER","OVER")</f>
        <v>OVER</v>
      </c>
      <c r="AI420" s="26">
        <f>Table2[[#This Row],[SRS/Real]]-Table2[[#This Row],[Spread/V]]</f>
        <v>0</v>
      </c>
      <c r="AJ420" s="2">
        <f>Table2[[#This Row],[EV/Real]]-Table2[[#This Row],[Spread/V]]</f>
        <v>0</v>
      </c>
      <c r="AK420" s="2">
        <f>Table2[[#This Row],[SRS/Diff]]-Table2[[#This Row],[EV/Diff]]</f>
        <v>0</v>
      </c>
      <c r="AL420" s="18">
        <f>Table2[[#This Row],[SRS]]-Table2[[#This Row],[Spread]]</f>
        <v>-9.9486885245901657</v>
      </c>
      <c r="AM420" s="21">
        <f>Table2[[#This Row],[(A) Err]]^2</f>
        <v>98.976403359312044</v>
      </c>
      <c r="AN420" s="6">
        <f>Table2[[#This Row],[EV]]-Table2[[#This Row],[Spread]]</f>
        <v>-13.917323380782364</v>
      </c>
      <c r="AO420" s="1">
        <f>Table2[[#This Row],[EV Err]]^2</f>
        <v>193.69189008527144</v>
      </c>
      <c r="AP420" s="1"/>
    </row>
    <row r="421" spans="1:42" x14ac:dyDescent="0.25">
      <c r="A421" s="34">
        <v>42724</v>
      </c>
      <c r="B421" t="s">
        <v>119</v>
      </c>
      <c r="C421" t="s">
        <v>134</v>
      </c>
      <c r="E421" s="21"/>
      <c r="G421" s="21"/>
      <c r="H421" s="7"/>
      <c r="I421" s="21"/>
      <c r="K421"/>
      <c r="L421" s="21">
        <f>(Table2[[#This Row],[H/Pace]]/100)*(VLOOKUP(Table2[[#This Row],[Home/Neutral]],home_lookup,8,FALSE)+VLOOKUP(Table2[[#This Row],[Home/Neutral]],OFR_lookup,2,FALSE)+VLOOKUP(Table2[[#This Row],[Visitor/Neutral]],def_diff_lookup,6,FALSE))</f>
        <v>107.59197376977629</v>
      </c>
      <c r="M421" s="21"/>
      <c r="N421" s="21">
        <f>(Table2[[#This Row],[A/Pace]]/100)*(VLOOKUP(Table2[[#This Row],[Visitor/Neutral]],OFR_lookup,2,FALSE)+VLOOKUP(Table2[[#This Row],[Home/Neutral]],def_diff_lookup,6,FALSE))</f>
        <v>107.78889266666667</v>
      </c>
      <c r="O421" s="21"/>
      <c r="P421" s="21"/>
      <c r="Q421">
        <f>VLOOKUP(Table2[[#This Row],[Home/Neutral]],pace_lookup,7,FALSE)</f>
        <v>96.9</v>
      </c>
      <c r="R421" s="5">
        <f>VLOOKUP(Table2[[#This Row],[Visitor/Neutral]],pace_lookup,7,FALSE)</f>
        <v>93.4</v>
      </c>
      <c r="S421" s="7"/>
      <c r="U421" s="15"/>
      <c r="W421" s="2">
        <f>-home-VLOOKUP(Table2[[#This Row],[Home/Neutral]],rtg_vlookup,4,FALSE)+VLOOKUP(Table2[[#This Row],[Visitor/Neutral]],rtg_vlookup,4,FALSE)</f>
        <v>0.93131147540983417</v>
      </c>
      <c r="X421" s="15"/>
      <c r="Y421" s="2"/>
      <c r="Z421" s="2">
        <f>Table2[[#This Row],[A/EV]]-Table2[[#This Row],[H/EV]]</f>
        <v>0.19691889689038078</v>
      </c>
      <c r="AA421" s="29"/>
      <c r="AB421" s="30"/>
      <c r="AC421" s="30"/>
      <c r="AD421" s="30"/>
      <c r="AE421" s="30"/>
      <c r="AF421" s="7" t="b">
        <f>IF(VLOOKUP(Table2[[#This Row],[Home/Neutral]],division_lookup,9,FALSE)=VLOOKUP(Table2[[#This Row],[Visitor/Neutral]],division_lookup,9,FALSE),TRUE,FALSE)</f>
        <v>1</v>
      </c>
      <c r="AG421" s="15" t="str">
        <f>VLOOKUP(Table2[[#This Row],[Home/Neutral]],division_lookup,9,FALSE)</f>
        <v>SW</v>
      </c>
      <c r="AH421" s="15" t="str">
        <f>IF(Table2[[#This Row],[Total/EV]]&lt;Table2[[#This Row],[Total/V]],"UNDER","OVER")</f>
        <v>OVER</v>
      </c>
      <c r="AI421" s="26">
        <f>Table2[[#This Row],[SRS/Real]]-Table2[[#This Row],[Spread/V]]</f>
        <v>0</v>
      </c>
      <c r="AJ421" s="2">
        <f>Table2[[#This Row],[EV/Real]]-Table2[[#This Row],[Spread/V]]</f>
        <v>0</v>
      </c>
      <c r="AK421" s="2">
        <f>Table2[[#This Row],[SRS/Diff]]-Table2[[#This Row],[EV/Diff]]</f>
        <v>0</v>
      </c>
      <c r="AL421" s="18">
        <f>Table2[[#This Row],[SRS]]-Table2[[#This Row],[Spread]]</f>
        <v>0.93131147540983417</v>
      </c>
      <c r="AM421" s="21">
        <f>Table2[[#This Row],[(A) Err]]^2</f>
        <v>0.8673410642300422</v>
      </c>
      <c r="AN421" s="6">
        <f>Table2[[#This Row],[EV]]-Table2[[#This Row],[Spread]]</f>
        <v>0.19691889689038078</v>
      </c>
      <c r="AO421" s="1">
        <f>Table2[[#This Row],[EV Err]]^2</f>
        <v>3.8777051952524413E-2</v>
      </c>
      <c r="AP421" s="1"/>
    </row>
    <row r="422" spans="1:42" x14ac:dyDescent="0.25">
      <c r="A422" s="34">
        <v>42724</v>
      </c>
      <c r="B422" t="s">
        <v>121</v>
      </c>
      <c r="C422" t="s">
        <v>116</v>
      </c>
      <c r="E422" s="21"/>
      <c r="G422" s="21"/>
      <c r="H422" s="7"/>
      <c r="I422" s="21"/>
      <c r="K422"/>
      <c r="L422" s="21">
        <f>(Table2[[#This Row],[H/Pace]]/100)*(VLOOKUP(Table2[[#This Row],[Home/Neutral]],home_lookup,8,FALSE)+VLOOKUP(Table2[[#This Row],[Home/Neutral]],OFR_lookup,2,FALSE)+VLOOKUP(Table2[[#This Row],[Visitor/Neutral]],def_diff_lookup,6,FALSE))</f>
        <v>114.13104060751253</v>
      </c>
      <c r="M422" s="21"/>
      <c r="N422" s="21">
        <f>(Table2[[#This Row],[A/Pace]]/100)*(VLOOKUP(Table2[[#This Row],[Visitor/Neutral]],OFR_lookup,2,FALSE)+VLOOKUP(Table2[[#This Row],[Home/Neutral]],def_diff_lookup,6,FALSE))</f>
        <v>100.97860566666667</v>
      </c>
      <c r="O422" s="21"/>
      <c r="P422" s="21"/>
      <c r="Q422">
        <f>VLOOKUP(Table2[[#This Row],[Home/Neutral]],pace_lookup,7,FALSE)</f>
        <v>96.4</v>
      </c>
      <c r="R422" s="5">
        <f>VLOOKUP(Table2[[#This Row],[Visitor/Neutral]],pace_lookup,7,FALSE)</f>
        <v>99.1</v>
      </c>
      <c r="S422" s="7"/>
      <c r="U422" s="15"/>
      <c r="W422" s="2">
        <f>-home-VLOOKUP(Table2[[#This Row],[Home/Neutral]],rtg_vlookup,4,FALSE)+VLOOKUP(Table2[[#This Row],[Visitor/Neutral]],rtg_vlookup,4,FALSE)</f>
        <v>-16.248688524590165</v>
      </c>
      <c r="X422" s="15"/>
      <c r="Y422" s="2"/>
      <c r="Z422" s="2">
        <f>Table2[[#This Row],[A/EV]]-Table2[[#This Row],[H/EV]]</f>
        <v>-13.152434940845865</v>
      </c>
      <c r="AA422" s="29"/>
      <c r="AB422" s="30"/>
      <c r="AC422" s="30"/>
      <c r="AD422" s="30"/>
      <c r="AE422" s="30"/>
      <c r="AF422" s="7" t="b">
        <f>IF(VLOOKUP(Table2[[#This Row],[Home/Neutral]],division_lookup,9,FALSE)=VLOOKUP(Table2[[#This Row],[Visitor/Neutral]],division_lookup,9,FALSE),TRUE,FALSE)</f>
        <v>0</v>
      </c>
      <c r="AG422" s="15" t="str">
        <f>VLOOKUP(Table2[[#This Row],[Home/Neutral]],division_lookup,9,FALSE)</f>
        <v>P</v>
      </c>
      <c r="AH422" s="15" t="str">
        <f>IF(Table2[[#This Row],[Total/EV]]&lt;Table2[[#This Row],[Total/V]],"UNDER","OVER")</f>
        <v>OVER</v>
      </c>
      <c r="AI422" s="26">
        <f>Table2[[#This Row],[SRS/Real]]-Table2[[#This Row],[Spread/V]]</f>
        <v>0</v>
      </c>
      <c r="AJ422" s="2">
        <f>Table2[[#This Row],[EV/Real]]-Table2[[#This Row],[Spread/V]]</f>
        <v>0</v>
      </c>
      <c r="AK422" s="2">
        <f>Table2[[#This Row],[SRS/Diff]]-Table2[[#This Row],[EV/Diff]]</f>
        <v>0</v>
      </c>
      <c r="AL422" s="18">
        <f>Table2[[#This Row],[SRS]]-Table2[[#This Row],[Spread]]</f>
        <v>-16.248688524590165</v>
      </c>
      <c r="AM422" s="21">
        <f>Table2[[#This Row],[(A) Err]]^2</f>
        <v>264.01987876914808</v>
      </c>
      <c r="AN422" s="6">
        <f>Table2[[#This Row],[EV]]-Table2[[#This Row],[Spread]]</f>
        <v>-13.152434940845865</v>
      </c>
      <c r="AO422" s="1">
        <f>Table2[[#This Row],[EV Err]]^2</f>
        <v>172.98654487318316</v>
      </c>
      <c r="AP422" s="1"/>
    </row>
    <row r="423" spans="1:42" x14ac:dyDescent="0.25">
      <c r="A423" s="34">
        <v>42724</v>
      </c>
      <c r="B423" t="s">
        <v>123</v>
      </c>
      <c r="C423" t="s">
        <v>110</v>
      </c>
      <c r="E423" s="21"/>
      <c r="G423" s="21"/>
      <c r="H423" s="7"/>
      <c r="I423" s="21"/>
      <c r="K423"/>
      <c r="L423" s="21">
        <f>(Table2[[#This Row],[H/Pace]]/100)*(VLOOKUP(Table2[[#This Row],[Home/Neutral]],home_lookup,8,FALSE)+VLOOKUP(Table2[[#This Row],[Home/Neutral]],OFR_lookup,2,FALSE)+VLOOKUP(Table2[[#This Row],[Visitor/Neutral]],def_diff_lookup,6,FALSE))</f>
        <v>102.41992709563918</v>
      </c>
      <c r="M423" s="21"/>
      <c r="N423" s="21">
        <f>(Table2[[#This Row],[A/Pace]]/100)*(VLOOKUP(Table2[[#This Row],[Visitor/Neutral]],OFR_lookup,2,FALSE)+VLOOKUP(Table2[[#This Row],[Home/Neutral]],def_diff_lookup,6,FALSE))</f>
        <v>100.33243133333333</v>
      </c>
      <c r="O423" s="21"/>
      <c r="P423" s="21"/>
      <c r="Q423">
        <f>VLOOKUP(Table2[[#This Row],[Home/Neutral]],pace_lookup,7,FALSE)</f>
        <v>92.5</v>
      </c>
      <c r="R423" s="5">
        <f>VLOOKUP(Table2[[#This Row],[Visitor/Neutral]],pace_lookup,7,FALSE)</f>
        <v>96.2</v>
      </c>
      <c r="S423" s="7"/>
      <c r="U423" s="15"/>
      <c r="W423" s="2">
        <f>-home-VLOOKUP(Table2[[#This Row],[Home/Neutral]],rtg_vlookup,4,FALSE)+VLOOKUP(Table2[[#This Row],[Visitor/Neutral]],rtg_vlookup,4,FALSE)</f>
        <v>-2.978688524590166</v>
      </c>
      <c r="X423" s="15"/>
      <c r="Y423" s="2"/>
      <c r="Z423" s="2">
        <f>Table2[[#This Row],[A/EV]]-Table2[[#This Row],[H/EV]]</f>
        <v>-2.0874957623058492</v>
      </c>
      <c r="AA423" s="29"/>
      <c r="AB423" s="30"/>
      <c r="AC423" s="30"/>
      <c r="AD423" s="30"/>
      <c r="AE423" s="30"/>
      <c r="AF423" s="7" t="b">
        <f>IF(VLOOKUP(Table2[[#This Row],[Home/Neutral]],division_lookup,9,FALSE)=VLOOKUP(Table2[[#This Row],[Visitor/Neutral]],division_lookup,9,FALSE),TRUE,FALSE)</f>
        <v>0</v>
      </c>
      <c r="AG423" s="15" t="str">
        <f>VLOOKUP(Table2[[#This Row],[Home/Neutral]],division_lookup,9,FALSE)</f>
        <v>SW</v>
      </c>
      <c r="AH423" s="15" t="str">
        <f>IF(Table2[[#This Row],[Total/EV]]&lt;Table2[[#This Row],[Total/V]],"UNDER","OVER")</f>
        <v>OVER</v>
      </c>
      <c r="AI423" s="26">
        <f>Table2[[#This Row],[SRS/Real]]-Table2[[#This Row],[Spread/V]]</f>
        <v>0</v>
      </c>
      <c r="AJ423" s="2">
        <f>Table2[[#This Row],[EV/Real]]-Table2[[#This Row],[Spread/V]]</f>
        <v>0</v>
      </c>
      <c r="AK423" s="2">
        <f>Table2[[#This Row],[SRS/Diff]]-Table2[[#This Row],[EV/Diff]]</f>
        <v>0</v>
      </c>
      <c r="AL423" s="18">
        <f>Table2[[#This Row],[SRS]]-Table2[[#This Row],[Spread]]</f>
        <v>-2.978688524590166</v>
      </c>
      <c r="AM423" s="21">
        <f>Table2[[#This Row],[(A) Err]]^2</f>
        <v>8.8725853265251402</v>
      </c>
      <c r="AN423" s="6">
        <f>Table2[[#This Row],[EV]]-Table2[[#This Row],[Spread]]</f>
        <v>-2.0874957623058492</v>
      </c>
      <c r="AO423" s="1">
        <f>Table2[[#This Row],[EV Err]]^2</f>
        <v>4.3576385576448784</v>
      </c>
      <c r="AP423" s="1"/>
    </row>
    <row r="424" spans="1:42" x14ac:dyDescent="0.25">
      <c r="A424" s="34">
        <v>42724</v>
      </c>
      <c r="B424" t="s">
        <v>124</v>
      </c>
      <c r="C424" t="s">
        <v>130</v>
      </c>
      <c r="E424" s="21"/>
      <c r="G424" s="21"/>
      <c r="H424" s="7"/>
      <c r="I424" s="21"/>
      <c r="K424"/>
      <c r="L424" s="21">
        <f>(Table2[[#This Row],[H/Pace]]/100)*(VLOOKUP(Table2[[#This Row],[Home/Neutral]],home_lookup,8,FALSE)+VLOOKUP(Table2[[#This Row],[Home/Neutral]],OFR_lookup,2,FALSE)+VLOOKUP(Table2[[#This Row],[Visitor/Neutral]],def_diff_lookup,6,FALSE))</f>
        <v>101.01390517723556</v>
      </c>
      <c r="M424" s="21"/>
      <c r="N424" s="21">
        <f>(Table2[[#This Row],[A/Pace]]/100)*(VLOOKUP(Table2[[#This Row],[Visitor/Neutral]],OFR_lookup,2,FALSE)+VLOOKUP(Table2[[#This Row],[Home/Neutral]],def_diff_lookup,6,FALSE))</f>
        <v>90.069958</v>
      </c>
      <c r="O424" s="21"/>
      <c r="P424" s="21"/>
      <c r="Q424">
        <f>VLOOKUP(Table2[[#This Row],[Home/Neutral]],pace_lookup,7,FALSE)</f>
        <v>93.7</v>
      </c>
      <c r="R424" s="5">
        <f>VLOOKUP(Table2[[#This Row],[Visitor/Neutral]],pace_lookup,7,FALSE)</f>
        <v>94.2</v>
      </c>
      <c r="S424" s="7"/>
      <c r="U424" s="15"/>
      <c r="W424" s="2">
        <f>-home-VLOOKUP(Table2[[#This Row],[Home/Neutral]],rtg_vlookup,4,FALSE)+VLOOKUP(Table2[[#This Row],[Visitor/Neutral]],rtg_vlookup,4,FALSE)</f>
        <v>-10.208688524590167</v>
      </c>
      <c r="X424" s="15"/>
      <c r="Y424" s="2"/>
      <c r="Z424" s="2">
        <f>Table2[[#This Row],[A/EV]]-Table2[[#This Row],[H/EV]]</f>
        <v>-10.943947177235557</v>
      </c>
      <c r="AA424" s="29"/>
      <c r="AB424" s="30"/>
      <c r="AC424" s="30"/>
      <c r="AD424" s="30"/>
      <c r="AE424" s="30"/>
      <c r="AF424" s="7" t="b">
        <f>IF(VLOOKUP(Table2[[#This Row],[Home/Neutral]],division_lookup,9,FALSE)=VLOOKUP(Table2[[#This Row],[Visitor/Neutral]],division_lookup,9,FALSE),TRUE,FALSE)</f>
        <v>1</v>
      </c>
      <c r="AG424" s="15" t="str">
        <f>VLOOKUP(Table2[[#This Row],[Home/Neutral]],division_lookup,9,FALSE)</f>
        <v>SE</v>
      </c>
      <c r="AH424" s="15" t="str">
        <f>IF(Table2[[#This Row],[Total/EV]]&lt;Table2[[#This Row],[Total/V]],"UNDER","OVER")</f>
        <v>OVER</v>
      </c>
      <c r="AI424" s="26">
        <f>Table2[[#This Row],[SRS/Real]]-Table2[[#This Row],[Spread/V]]</f>
        <v>0</v>
      </c>
      <c r="AJ424" s="2">
        <f>Table2[[#This Row],[EV/Real]]-Table2[[#This Row],[Spread/V]]</f>
        <v>0</v>
      </c>
      <c r="AK424" s="2">
        <f>Table2[[#This Row],[SRS/Diff]]-Table2[[#This Row],[EV/Diff]]</f>
        <v>0</v>
      </c>
      <c r="AL424" s="18">
        <f>Table2[[#This Row],[SRS]]-Table2[[#This Row],[Spread]]</f>
        <v>-10.208688524590167</v>
      </c>
      <c r="AM424" s="21">
        <f>Table2[[#This Row],[(A) Err]]^2</f>
        <v>104.21732139209897</v>
      </c>
      <c r="AN424" s="6">
        <f>Table2[[#This Row],[EV]]-Table2[[#This Row],[Spread]]</f>
        <v>-10.943947177235557</v>
      </c>
      <c r="AO424" s="1">
        <f>Table2[[#This Row],[EV Err]]^2</f>
        <v>119.76997981812212</v>
      </c>
      <c r="AP424" s="1"/>
    </row>
    <row r="425" spans="1:42" x14ac:dyDescent="0.25">
      <c r="A425" s="34">
        <v>42724</v>
      </c>
      <c r="B425" t="s">
        <v>125</v>
      </c>
      <c r="C425" t="s">
        <v>114</v>
      </c>
      <c r="E425" s="21"/>
      <c r="G425" s="21"/>
      <c r="H425" s="7"/>
      <c r="I425" s="21"/>
      <c r="K425"/>
      <c r="L425" s="21">
        <f>(Table2[[#This Row],[H/Pace]]/100)*(VLOOKUP(Table2[[#This Row],[Home/Neutral]],home_lookup,8,FALSE)+VLOOKUP(Table2[[#This Row],[Home/Neutral]],OFR_lookup,2,FALSE)+VLOOKUP(Table2[[#This Row],[Visitor/Neutral]],def_diff_lookup,6,FALSE))</f>
        <v>107.98834550061909</v>
      </c>
      <c r="M425" s="21"/>
      <c r="N425" s="21">
        <f>(Table2[[#This Row],[A/Pace]]/100)*(VLOOKUP(Table2[[#This Row],[Visitor/Neutral]],OFR_lookup,2,FALSE)+VLOOKUP(Table2[[#This Row],[Home/Neutral]],def_diff_lookup,6,FALSE))</f>
        <v>113.69083366666666</v>
      </c>
      <c r="O425" s="21"/>
      <c r="P425" s="21"/>
      <c r="Q425">
        <f>VLOOKUP(Table2[[#This Row],[Home/Neutral]],pace_lookup,7,FALSE)</f>
        <v>96.1</v>
      </c>
      <c r="R425" s="5">
        <f>VLOOKUP(Table2[[#This Row],[Visitor/Neutral]],pace_lookup,7,FALSE)</f>
        <v>97.3</v>
      </c>
      <c r="S425" s="7"/>
      <c r="U425" s="15"/>
      <c r="W425" s="2">
        <f>-home-VLOOKUP(Table2[[#This Row],[Home/Neutral]],rtg_vlookup,4,FALSE)+VLOOKUP(Table2[[#This Row],[Visitor/Neutral]],rtg_vlookup,4,FALSE)</f>
        <v>8.351311475409835</v>
      </c>
      <c r="X425" s="15"/>
      <c r="Y425" s="2"/>
      <c r="Z425" s="2">
        <f>Table2[[#This Row],[A/EV]]-Table2[[#This Row],[H/EV]]</f>
        <v>5.7024881660475728</v>
      </c>
      <c r="AA425" s="29"/>
      <c r="AB425" s="30"/>
      <c r="AC425" s="30"/>
      <c r="AD425" s="30"/>
      <c r="AE425" s="30"/>
      <c r="AF425" s="7" t="b">
        <f>IF(VLOOKUP(Table2[[#This Row],[Home/Neutral]],division_lookup,9,FALSE)=VLOOKUP(Table2[[#This Row],[Visitor/Neutral]],division_lookup,9,FALSE),TRUE,FALSE)</f>
        <v>1</v>
      </c>
      <c r="AG425" s="15" t="str">
        <f>VLOOKUP(Table2[[#This Row],[Home/Neutral]],division_lookup,9,FALSE)</f>
        <v>C</v>
      </c>
      <c r="AH425" s="15" t="str">
        <f>IF(Table2[[#This Row],[Total/EV]]&lt;Table2[[#This Row],[Total/V]],"UNDER","OVER")</f>
        <v>OVER</v>
      </c>
      <c r="AI425" s="26">
        <f>Table2[[#This Row],[SRS/Real]]-Table2[[#This Row],[Spread/V]]</f>
        <v>0</v>
      </c>
      <c r="AJ425" s="2">
        <f>Table2[[#This Row],[EV/Real]]-Table2[[#This Row],[Spread/V]]</f>
        <v>0</v>
      </c>
      <c r="AK425" s="2">
        <f>Table2[[#This Row],[SRS/Diff]]-Table2[[#This Row],[EV/Diff]]</f>
        <v>0</v>
      </c>
      <c r="AL425" s="18">
        <f>Table2[[#This Row],[SRS]]-Table2[[#This Row],[Spread]]</f>
        <v>8.351311475409835</v>
      </c>
      <c r="AM425" s="21">
        <f>Table2[[#This Row],[(A) Err]]^2</f>
        <v>69.744403359311988</v>
      </c>
      <c r="AN425" s="6">
        <f>Table2[[#This Row],[EV]]-Table2[[#This Row],[Spread]]</f>
        <v>5.7024881660475728</v>
      </c>
      <c r="AO425" s="1">
        <f>Table2[[#This Row],[EV Err]]^2</f>
        <v>32.518371283912607</v>
      </c>
      <c r="AP425" s="1"/>
    </row>
    <row r="426" spans="1:42" x14ac:dyDescent="0.25">
      <c r="A426" s="34">
        <v>42724</v>
      </c>
      <c r="B426" t="s">
        <v>128</v>
      </c>
      <c r="C426" t="s">
        <v>120</v>
      </c>
      <c r="E426" s="21"/>
      <c r="G426" s="21"/>
      <c r="H426" s="7"/>
      <c r="I426" s="21"/>
      <c r="K426"/>
      <c r="L426" s="21">
        <f>(Table2[[#This Row],[H/Pace]]/100)*(VLOOKUP(Table2[[#This Row],[Home/Neutral]],home_lookup,8,FALSE)+VLOOKUP(Table2[[#This Row],[Home/Neutral]],OFR_lookup,2,FALSE)+VLOOKUP(Table2[[#This Row],[Visitor/Neutral]],def_diff_lookup,6,FALSE))</f>
        <v>110.0887998778302</v>
      </c>
      <c r="M426" s="21"/>
      <c r="N426" s="21">
        <f>(Table2[[#This Row],[A/Pace]]/100)*(VLOOKUP(Table2[[#This Row],[Visitor/Neutral]],OFR_lookup,2,FALSE)+VLOOKUP(Table2[[#This Row],[Home/Neutral]],def_diff_lookup,6,FALSE))</f>
        <v>105.02929033333334</v>
      </c>
      <c r="O426" s="21"/>
      <c r="P426" s="21"/>
      <c r="Q426">
        <f>VLOOKUP(Table2[[#This Row],[Home/Neutral]],pace_lookup,7,FALSE)</f>
        <v>96.3</v>
      </c>
      <c r="R426" s="5">
        <f>VLOOKUP(Table2[[#This Row],[Visitor/Neutral]],pace_lookup,7,FALSE)</f>
        <v>98.3</v>
      </c>
      <c r="S426" s="7"/>
      <c r="U426" s="15"/>
      <c r="W426" s="2">
        <f>-home-VLOOKUP(Table2[[#This Row],[Home/Neutral]],rtg_vlookup,4,FALSE)+VLOOKUP(Table2[[#This Row],[Visitor/Neutral]],rtg_vlookup,4,FALSE)</f>
        <v>-5.6186885245901657</v>
      </c>
      <c r="X426" s="15"/>
      <c r="Y426" s="2"/>
      <c r="Z426" s="2">
        <f>Table2[[#This Row],[A/EV]]-Table2[[#This Row],[H/EV]]</f>
        <v>-5.0595095444968621</v>
      </c>
      <c r="AA426" s="29"/>
      <c r="AB426" s="30"/>
      <c r="AC426" s="30"/>
      <c r="AD426" s="30"/>
      <c r="AE426" s="30"/>
      <c r="AF426" s="7" t="b">
        <f>IF(VLOOKUP(Table2[[#This Row],[Home/Neutral]],division_lookup,9,FALSE)=VLOOKUP(Table2[[#This Row],[Visitor/Neutral]],division_lookup,9,FALSE),TRUE,FALSE)</f>
        <v>0</v>
      </c>
      <c r="AG426" s="15" t="str">
        <f>VLOOKUP(Table2[[#This Row],[Home/Neutral]],division_lookup,9,FALSE)</f>
        <v>A</v>
      </c>
      <c r="AH426" s="15" t="str">
        <f>IF(Table2[[#This Row],[Total/EV]]&lt;Table2[[#This Row],[Total/V]],"UNDER","OVER")</f>
        <v>OVER</v>
      </c>
      <c r="AI426" s="26">
        <f>Table2[[#This Row],[SRS/Real]]-Table2[[#This Row],[Spread/V]]</f>
        <v>0</v>
      </c>
      <c r="AJ426" s="2">
        <f>Table2[[#This Row],[EV/Real]]-Table2[[#This Row],[Spread/V]]</f>
        <v>0</v>
      </c>
      <c r="AK426" s="2">
        <f>Table2[[#This Row],[SRS/Diff]]-Table2[[#This Row],[EV/Diff]]</f>
        <v>0</v>
      </c>
      <c r="AL426" s="18">
        <f>Table2[[#This Row],[SRS]]-Table2[[#This Row],[Spread]]</f>
        <v>-5.6186885245901657</v>
      </c>
      <c r="AM426" s="21">
        <f>Table2[[#This Row],[(A) Err]]^2</f>
        <v>31.569660736361211</v>
      </c>
      <c r="AN426" s="6">
        <f>Table2[[#This Row],[EV]]-Table2[[#This Row],[Spread]]</f>
        <v>-5.0595095444968621</v>
      </c>
      <c r="AO426" s="1">
        <f>Table2[[#This Row],[EV Err]]^2</f>
        <v>25.598636830854844</v>
      </c>
      <c r="AP426" s="1"/>
    </row>
    <row r="427" spans="1:42" x14ac:dyDescent="0.25">
      <c r="A427" s="34">
        <v>42724</v>
      </c>
      <c r="B427" t="s">
        <v>138</v>
      </c>
      <c r="C427" t="s">
        <v>127</v>
      </c>
      <c r="E427" s="21"/>
      <c r="G427" s="21"/>
      <c r="H427" s="7"/>
      <c r="I427" s="21"/>
      <c r="K427"/>
      <c r="L427" s="21">
        <f>(Table2[[#This Row],[H/Pace]]/100)*(VLOOKUP(Table2[[#This Row],[Home/Neutral]],home_lookup,8,FALSE)+VLOOKUP(Table2[[#This Row],[Home/Neutral]],OFR_lookup,2,FALSE)+VLOOKUP(Table2[[#This Row],[Visitor/Neutral]],def_diff_lookup,6,FALSE))</f>
        <v>97.837533531240098</v>
      </c>
      <c r="M427" s="21"/>
      <c r="N427" s="21">
        <f>(Table2[[#This Row],[A/Pace]]/100)*(VLOOKUP(Table2[[#This Row],[Visitor/Neutral]],OFR_lookup,2,FALSE)+VLOOKUP(Table2[[#This Row],[Home/Neutral]],def_diff_lookup,6,FALSE))</f>
        <v>103.684757</v>
      </c>
      <c r="O427" s="21"/>
      <c r="P427" s="21"/>
      <c r="Q427">
        <f>VLOOKUP(Table2[[#This Row],[Home/Neutral]],pace_lookup,7,FALSE)</f>
        <v>97.5</v>
      </c>
      <c r="R427" s="5">
        <f>VLOOKUP(Table2[[#This Row],[Visitor/Neutral]],pace_lookup,7,FALSE)</f>
        <v>99.3</v>
      </c>
      <c r="S427" s="7"/>
      <c r="U427" s="15"/>
      <c r="W427" s="2">
        <f>-home-VLOOKUP(Table2[[#This Row],[Home/Neutral]],rtg_vlookup,4,FALSE)+VLOOKUP(Table2[[#This Row],[Visitor/Neutral]],rtg_vlookup,4,FALSE)</f>
        <v>4.1913114754098348</v>
      </c>
      <c r="X427" s="15"/>
      <c r="Y427" s="2"/>
      <c r="Z427" s="2">
        <f>Table2[[#This Row],[A/EV]]-Table2[[#This Row],[H/EV]]</f>
        <v>5.847223468759907</v>
      </c>
      <c r="AA427" s="29"/>
      <c r="AB427" s="30"/>
      <c r="AC427" s="30"/>
      <c r="AD427" s="30"/>
      <c r="AE427" s="30"/>
      <c r="AF427" s="7" t="b">
        <f>IF(VLOOKUP(Table2[[#This Row],[Home/Neutral]],division_lookup,9,FALSE)=VLOOKUP(Table2[[#This Row],[Visitor/Neutral]],division_lookup,9,FALSE),TRUE,FALSE)</f>
        <v>0</v>
      </c>
      <c r="AG427" s="15" t="str">
        <f>VLOOKUP(Table2[[#This Row],[Home/Neutral]],division_lookup,9,FALSE)</f>
        <v>A</v>
      </c>
      <c r="AH427" s="15" t="str">
        <f>IF(Table2[[#This Row],[Total/EV]]&lt;Table2[[#This Row],[Total/V]],"UNDER","OVER")</f>
        <v>OVER</v>
      </c>
      <c r="AI427" s="26">
        <f>Table2[[#This Row],[SRS/Real]]-Table2[[#This Row],[Spread/V]]</f>
        <v>0</v>
      </c>
      <c r="AJ427" s="2">
        <f>Table2[[#This Row],[EV/Real]]-Table2[[#This Row],[Spread/V]]</f>
        <v>0</v>
      </c>
      <c r="AK427" s="2">
        <f>Table2[[#This Row],[SRS/Diff]]-Table2[[#This Row],[EV/Diff]]</f>
        <v>0</v>
      </c>
      <c r="AL427" s="18">
        <f>Table2[[#This Row],[SRS]]-Table2[[#This Row],[Spread]]</f>
        <v>4.1913114754098348</v>
      </c>
      <c r="AM427" s="21">
        <f>Table2[[#This Row],[(A) Err]]^2</f>
        <v>17.567091883902165</v>
      </c>
      <c r="AN427" s="6">
        <f>Table2[[#This Row],[EV]]-Table2[[#This Row],[Spread]]</f>
        <v>5.847223468759907</v>
      </c>
      <c r="AO427" s="1">
        <f>Table2[[#This Row],[EV Err]]^2</f>
        <v>34.190022293616636</v>
      </c>
      <c r="AP427" s="1"/>
    </row>
    <row r="428" spans="1:42" x14ac:dyDescent="0.25">
      <c r="A428" s="34">
        <v>42724</v>
      </c>
      <c r="B428" t="s">
        <v>133</v>
      </c>
      <c r="C428" t="s">
        <v>132</v>
      </c>
      <c r="E428" s="21"/>
      <c r="G428" s="21"/>
      <c r="H428" s="7"/>
      <c r="I428" s="21"/>
      <c r="K428"/>
      <c r="L428" s="21">
        <f>(Table2[[#This Row],[H/Pace]]/100)*(VLOOKUP(Table2[[#This Row],[Home/Neutral]],home_lookup,8,FALSE)+VLOOKUP(Table2[[#This Row],[Home/Neutral]],OFR_lookup,2,FALSE)+VLOOKUP(Table2[[#This Row],[Visitor/Neutral]],def_diff_lookup,6,FALSE))</f>
        <v>113.24182748279979</v>
      </c>
      <c r="M428" s="21"/>
      <c r="N428" s="21">
        <f>(Table2[[#This Row],[A/Pace]]/100)*(VLOOKUP(Table2[[#This Row],[Visitor/Neutral]],OFR_lookup,2,FALSE)+VLOOKUP(Table2[[#This Row],[Home/Neutral]],def_diff_lookup,6,FALSE))</f>
        <v>111.61995866666666</v>
      </c>
      <c r="O428" s="21"/>
      <c r="P428" s="21"/>
      <c r="Q428">
        <f>VLOOKUP(Table2[[#This Row],[Home/Neutral]],pace_lookup,7,FALSE)</f>
        <v>94.2</v>
      </c>
      <c r="R428" s="5">
        <f>VLOOKUP(Table2[[#This Row],[Visitor/Neutral]],pace_lookup,7,FALSE)</f>
        <v>98.8</v>
      </c>
      <c r="S428" s="7"/>
      <c r="U428" s="15"/>
      <c r="W428" s="2">
        <f>-home-VLOOKUP(Table2[[#This Row],[Home/Neutral]],rtg_vlookup,4,FALSE)+VLOOKUP(Table2[[#This Row],[Visitor/Neutral]],rtg_vlookup,4,FALSE)</f>
        <v>-3.2986885245901658</v>
      </c>
      <c r="X428" s="15"/>
      <c r="Y428" s="2"/>
      <c r="Z428" s="2">
        <f>Table2[[#This Row],[A/EV]]-Table2[[#This Row],[H/EV]]</f>
        <v>-1.6218688161331301</v>
      </c>
      <c r="AA428" s="29"/>
      <c r="AB428" s="30"/>
      <c r="AC428" s="30"/>
      <c r="AD428" s="30"/>
      <c r="AE428" s="30"/>
      <c r="AF428" s="7" t="b">
        <f>IF(VLOOKUP(Table2[[#This Row],[Home/Neutral]],division_lookup,9,FALSE)=VLOOKUP(Table2[[#This Row],[Visitor/Neutral]],division_lookup,9,FALSE),TRUE,FALSE)</f>
        <v>0</v>
      </c>
      <c r="AG428" s="15" t="str">
        <f>VLOOKUP(Table2[[#This Row],[Home/Neutral]],division_lookup,9,FALSE)</f>
        <v>P</v>
      </c>
      <c r="AH428" s="15" t="str">
        <f>IF(Table2[[#This Row],[Total/EV]]&lt;Table2[[#This Row],[Total/V]],"UNDER","OVER")</f>
        <v>OVER</v>
      </c>
      <c r="AI428" s="26">
        <f>Table2[[#This Row],[SRS/Real]]-Table2[[#This Row],[Spread/V]]</f>
        <v>0</v>
      </c>
      <c r="AJ428" s="2">
        <f>Table2[[#This Row],[EV/Real]]-Table2[[#This Row],[Spread/V]]</f>
        <v>0</v>
      </c>
      <c r="AK428" s="2">
        <f>Table2[[#This Row],[SRS/Diff]]-Table2[[#This Row],[EV/Diff]]</f>
        <v>0</v>
      </c>
      <c r="AL428" s="18">
        <f>Table2[[#This Row],[SRS]]-Table2[[#This Row],[Spread]]</f>
        <v>-3.2986885245901658</v>
      </c>
      <c r="AM428" s="21">
        <f>Table2[[#This Row],[(A) Err]]^2</f>
        <v>10.881345982262845</v>
      </c>
      <c r="AN428" s="6">
        <f>Table2[[#This Row],[EV]]-Table2[[#This Row],[Spread]]</f>
        <v>-1.6218688161331301</v>
      </c>
      <c r="AO428" s="1">
        <f>Table2[[#This Row],[EV Err]]^2</f>
        <v>2.6304584567450808</v>
      </c>
      <c r="AP428" s="1"/>
    </row>
    <row r="429" spans="1:42" ht="15.75" thickBot="1" x14ac:dyDescent="0.3">
      <c r="A429" s="100">
        <v>42724</v>
      </c>
      <c r="B429" s="3" t="s">
        <v>135</v>
      </c>
      <c r="C429" s="3" t="s">
        <v>111</v>
      </c>
      <c r="D429" s="3"/>
      <c r="E429" s="22"/>
      <c r="F429" s="3"/>
      <c r="G429" s="22"/>
      <c r="H429" s="8"/>
      <c r="I429" s="22"/>
      <c r="J429" s="3"/>
      <c r="K429" s="3"/>
      <c r="L429" s="22">
        <f>(Table2[[#This Row],[H/Pace]]/100)*(VLOOKUP(Table2[[#This Row],[Home/Neutral]],home_lookup,8,FALSE)+VLOOKUP(Table2[[#This Row],[Home/Neutral]],OFR_lookup,2,FALSE)+VLOOKUP(Table2[[#This Row],[Visitor/Neutral]],def_diff_lookup,6,FALSE))</f>
        <v>113.75166035324614</v>
      </c>
      <c r="M429" s="22"/>
      <c r="N429" s="22">
        <f>(Table2[[#This Row],[A/Pace]]/100)*(VLOOKUP(Table2[[#This Row],[Visitor/Neutral]],OFR_lookup,2,FALSE)+VLOOKUP(Table2[[#This Row],[Home/Neutral]],def_diff_lookup,6,FALSE))</f>
        <v>105.12697999999999</v>
      </c>
      <c r="O429" s="22"/>
      <c r="P429" s="22"/>
      <c r="Q429" s="3">
        <f>VLOOKUP(Table2[[#This Row],[Home/Neutral]],pace_lookup,7,FALSE)</f>
        <v>95.4</v>
      </c>
      <c r="R429" s="3">
        <f>VLOOKUP(Table2[[#This Row],[Visitor/Neutral]],pace_lookup,7,FALSE)</f>
        <v>102</v>
      </c>
      <c r="S429" s="8"/>
      <c r="T429" s="3"/>
      <c r="U429" s="16"/>
      <c r="V429" s="3"/>
      <c r="W429" s="9">
        <f>-home-VLOOKUP(Table2[[#This Row],[Home/Neutral]],rtg_vlookup,4,FALSE)+VLOOKUP(Table2[[#This Row],[Visitor/Neutral]],rtg_vlookup,4,FALSE)</f>
        <v>-17.498688524590165</v>
      </c>
      <c r="X429" s="16"/>
      <c r="Y429" s="9"/>
      <c r="Z429" s="9">
        <f>Table2[[#This Row],[A/EV]]-Table2[[#This Row],[H/EV]]</f>
        <v>-8.6246803532461485</v>
      </c>
      <c r="AA429" s="31"/>
      <c r="AB429" s="32"/>
      <c r="AC429" s="32"/>
      <c r="AD429" s="32"/>
      <c r="AE429" s="32"/>
      <c r="AF429" s="8" t="b">
        <f>IF(VLOOKUP(Table2[[#This Row],[Home/Neutral]],division_lookup,9,FALSE)=VLOOKUP(Table2[[#This Row],[Visitor/Neutral]],division_lookup,9,FALSE),TRUE,FALSE)</f>
        <v>1</v>
      </c>
      <c r="AG429" s="16" t="str">
        <f>VLOOKUP(Table2[[#This Row],[Home/Neutral]],division_lookup,9,FALSE)</f>
        <v>A</v>
      </c>
      <c r="AH429" s="16" t="str">
        <f>IF(Table2[[#This Row],[Total/EV]]&lt;Table2[[#This Row],[Total/V]],"UNDER","OVER")</f>
        <v>OVER</v>
      </c>
      <c r="AI429" s="16">
        <f>Table2[[#This Row],[SRS/Real]]-Table2[[#This Row],[Spread/V]]</f>
        <v>0</v>
      </c>
      <c r="AJ429" s="9">
        <f>Table2[[#This Row],[EV/Real]]-Table2[[#This Row],[Spread/V]]</f>
        <v>0</v>
      </c>
      <c r="AK429" s="9">
        <f>Table2[[#This Row],[SRS/Diff]]-Table2[[#This Row],[EV/Diff]]</f>
        <v>0</v>
      </c>
      <c r="AL429" s="19">
        <f>Table2[[#This Row],[SRS]]-Table2[[#This Row],[Spread]]</f>
        <v>-17.498688524590165</v>
      </c>
      <c r="AM429" s="22">
        <f>Table2[[#This Row],[(A) Err]]^2</f>
        <v>306.2041000806235</v>
      </c>
      <c r="AN429" s="4">
        <f>Table2[[#This Row],[EV]]-Table2[[#This Row],[Spread]]</f>
        <v>-8.6246803532461485</v>
      </c>
      <c r="AO429" s="4">
        <f>Table2[[#This Row],[EV Err]]^2</f>
        <v>74.385111195670106</v>
      </c>
      <c r="AP429" s="1"/>
    </row>
    <row r="430" spans="1:42" x14ac:dyDescent="0.25">
      <c r="A430" s="34">
        <v>42725</v>
      </c>
      <c r="B430" t="s">
        <v>109</v>
      </c>
      <c r="C430" t="s">
        <v>126</v>
      </c>
      <c r="E430" s="21"/>
      <c r="G430" s="21"/>
      <c r="H430" s="7"/>
      <c r="I430" s="21"/>
      <c r="K430"/>
      <c r="L430" s="21">
        <f>(Table2[[#This Row],[H/Pace]]/100)*(VLOOKUP(Table2[[#This Row],[Home/Neutral]],home_lookup,8,FALSE)+VLOOKUP(Table2[[#This Row],[Home/Neutral]],OFR_lookup,2,FALSE)+VLOOKUP(Table2[[#This Row],[Visitor/Neutral]],def_diff_lookup,6,FALSE))</f>
        <v>103.58976660728638</v>
      </c>
      <c r="M430" s="21"/>
      <c r="N430" s="21">
        <f>(Table2[[#This Row],[A/Pace]]/100)*(VLOOKUP(Table2[[#This Row],[Visitor/Neutral]],OFR_lookup,2,FALSE)+VLOOKUP(Table2[[#This Row],[Home/Neutral]],def_diff_lookup,6,FALSE))</f>
        <v>97.42802300000001</v>
      </c>
      <c r="O430" s="21"/>
      <c r="P430" s="21"/>
      <c r="Q430">
        <f>VLOOKUP(Table2[[#This Row],[Home/Neutral]],pace_lookup,7,FALSE)</f>
        <v>99.2</v>
      </c>
      <c r="R430" s="5">
        <f>VLOOKUP(Table2[[#This Row],[Visitor/Neutral]],pace_lookup,7,FALSE)</f>
        <v>95.7</v>
      </c>
      <c r="S430" s="7"/>
      <c r="U430" s="15"/>
      <c r="W430" s="2">
        <f>-home-VLOOKUP(Table2[[#This Row],[Home/Neutral]],rtg_vlookup,4,FALSE)+VLOOKUP(Table2[[#This Row],[Visitor/Neutral]],rtg_vlookup,4,FALSE)</f>
        <v>-6.2386885245901658</v>
      </c>
      <c r="X430" s="15"/>
      <c r="Y430" s="2"/>
      <c r="Z430" s="2">
        <f>Table2[[#This Row],[A/EV]]-Table2[[#This Row],[H/EV]]</f>
        <v>-6.1617436072863683</v>
      </c>
      <c r="AA430" s="29"/>
      <c r="AB430" s="30"/>
      <c r="AC430" s="30"/>
      <c r="AD430" s="30"/>
      <c r="AE430" s="30"/>
      <c r="AF430" s="7" t="b">
        <f>IF(VLOOKUP(Table2[[#This Row],[Home/Neutral]],division_lookup,9,FALSE)=VLOOKUP(Table2[[#This Row],[Visitor/Neutral]],division_lookup,9,FALSE),TRUE,FALSE)</f>
        <v>0</v>
      </c>
      <c r="AG430" s="15" t="str">
        <f>VLOOKUP(Table2[[#This Row],[Home/Neutral]],division_lookup,9,FALSE)</f>
        <v>SE</v>
      </c>
      <c r="AH430" s="15" t="str">
        <f>IF(Table2[[#This Row],[Total/EV]]&lt;Table2[[#This Row],[Total/V]],"UNDER","OVER")</f>
        <v>OVER</v>
      </c>
      <c r="AI430" s="26">
        <f>Table2[[#This Row],[SRS/Real]]-Table2[[#This Row],[Spread/V]]</f>
        <v>0</v>
      </c>
      <c r="AJ430" s="2">
        <f>Table2[[#This Row],[EV/Real]]-Table2[[#This Row],[Spread/V]]</f>
        <v>0</v>
      </c>
      <c r="AK430" s="2">
        <f>Table2[[#This Row],[SRS/Diff]]-Table2[[#This Row],[EV/Diff]]</f>
        <v>0</v>
      </c>
      <c r="AL430" s="18">
        <f>Table2[[#This Row],[SRS]]-Table2[[#This Row],[Spread]]</f>
        <v>-6.2386885245901658</v>
      </c>
      <c r="AM430" s="21">
        <f>Table2[[#This Row],[(A) Err]]^2</f>
        <v>38.921234506853018</v>
      </c>
      <c r="AN430" s="6">
        <f>Table2[[#This Row],[EV]]-Table2[[#This Row],[Spread]]</f>
        <v>-6.1617436072863683</v>
      </c>
      <c r="AO430" s="1">
        <f>Table2[[#This Row],[EV Err]]^2</f>
        <v>37.967084281934426</v>
      </c>
      <c r="AP430" s="1"/>
    </row>
    <row r="431" spans="1:42" x14ac:dyDescent="0.25">
      <c r="A431" s="34">
        <v>42725</v>
      </c>
      <c r="B431" t="s">
        <v>113</v>
      </c>
      <c r="C431" t="s">
        <v>137</v>
      </c>
      <c r="E431" s="21"/>
      <c r="G431" s="21"/>
      <c r="H431" s="7"/>
      <c r="I431" s="21"/>
      <c r="K431"/>
      <c r="L431" s="21">
        <f>(Table2[[#This Row],[H/Pace]]/100)*(VLOOKUP(Table2[[#This Row],[Home/Neutral]],home_lookup,8,FALSE)+VLOOKUP(Table2[[#This Row],[Home/Neutral]],OFR_lookup,2,FALSE)+VLOOKUP(Table2[[#This Row],[Visitor/Neutral]],def_diff_lookup,6,FALSE))</f>
        <v>112.47598388016279</v>
      </c>
      <c r="M431" s="21"/>
      <c r="N431" s="21">
        <f>(Table2[[#This Row],[A/Pace]]/100)*(VLOOKUP(Table2[[#This Row],[Visitor/Neutral]],OFR_lookup,2,FALSE)+VLOOKUP(Table2[[#This Row],[Home/Neutral]],def_diff_lookup,6,FALSE))</f>
        <v>102.45663999999999</v>
      </c>
      <c r="O431" s="21"/>
      <c r="P431" s="21"/>
      <c r="Q431">
        <f>VLOOKUP(Table2[[#This Row],[Home/Neutral]],pace_lookup,7,FALSE)</f>
        <v>95.1</v>
      </c>
      <c r="R431" s="5">
        <f>VLOOKUP(Table2[[#This Row],[Visitor/Neutral]],pace_lookup,7,FALSE)</f>
        <v>96</v>
      </c>
      <c r="S431" s="7"/>
      <c r="U431" s="15"/>
      <c r="W431" s="2">
        <f>-home-VLOOKUP(Table2[[#This Row],[Home/Neutral]],rtg_vlookup,4,FALSE)+VLOOKUP(Table2[[#This Row],[Visitor/Neutral]],rtg_vlookup,4,FALSE)</f>
        <v>-10.418688524590166</v>
      </c>
      <c r="X431" s="15"/>
      <c r="Y431" s="2"/>
      <c r="Z431" s="2">
        <f>Table2[[#This Row],[A/EV]]-Table2[[#This Row],[H/EV]]</f>
        <v>-10.019343880162793</v>
      </c>
      <c r="AA431" s="29"/>
      <c r="AB431" s="30"/>
      <c r="AC431" s="30"/>
      <c r="AD431" s="30"/>
      <c r="AE431" s="30"/>
      <c r="AF431" s="7" t="b">
        <f>IF(VLOOKUP(Table2[[#This Row],[Home/Neutral]],division_lookup,9,FALSE)=VLOOKUP(Table2[[#This Row],[Visitor/Neutral]],division_lookup,9,FALSE),TRUE,FALSE)</f>
        <v>0</v>
      </c>
      <c r="AG431" s="15" t="str">
        <f>VLOOKUP(Table2[[#This Row],[Home/Neutral]],division_lookup,9,FALSE)</f>
        <v>C</v>
      </c>
      <c r="AH431" s="15" t="str">
        <f>IF(Table2[[#This Row],[Total/EV]]&lt;Table2[[#This Row],[Total/V]],"UNDER","OVER")</f>
        <v>OVER</v>
      </c>
      <c r="AI431" s="26">
        <f>Table2[[#This Row],[SRS/Real]]-Table2[[#This Row],[Spread/V]]</f>
        <v>0</v>
      </c>
      <c r="AJ431" s="2">
        <f>Table2[[#This Row],[EV/Real]]-Table2[[#This Row],[Spread/V]]</f>
        <v>0</v>
      </c>
      <c r="AK431" s="2">
        <f>Table2[[#This Row],[SRS/Diff]]-Table2[[#This Row],[EV/Diff]]</f>
        <v>0</v>
      </c>
      <c r="AL431" s="18">
        <f>Table2[[#This Row],[SRS]]-Table2[[#This Row],[Spread]]</f>
        <v>-10.418688524590166</v>
      </c>
      <c r="AM431" s="21">
        <f>Table2[[#This Row],[(A) Err]]^2</f>
        <v>108.54907057242681</v>
      </c>
      <c r="AN431" s="6">
        <f>Table2[[#This Row],[EV]]-Table2[[#This Row],[Spread]]</f>
        <v>-10.019343880162793</v>
      </c>
      <c r="AO431" s="1">
        <f>Table2[[#This Row],[EV Err]]^2</f>
        <v>100.38725178895562</v>
      </c>
      <c r="AP431" s="1"/>
    </row>
    <row r="432" spans="1:42" x14ac:dyDescent="0.25">
      <c r="A432" s="34">
        <v>42725</v>
      </c>
      <c r="B432" t="s">
        <v>114</v>
      </c>
      <c r="C432" t="s">
        <v>125</v>
      </c>
      <c r="E432" s="21"/>
      <c r="G432" s="21"/>
      <c r="H432" s="7"/>
      <c r="I432" s="21"/>
      <c r="K432"/>
      <c r="L432" s="21">
        <f>(Table2[[#This Row],[H/Pace]]/100)*(VLOOKUP(Table2[[#This Row],[Home/Neutral]],home_lookup,8,FALSE)+VLOOKUP(Table2[[#This Row],[Home/Neutral]],OFR_lookup,2,FALSE)+VLOOKUP(Table2[[#This Row],[Visitor/Neutral]],def_diff_lookup,6,FALSE))</f>
        <v>116.29472276756466</v>
      </c>
      <c r="M432" s="21"/>
      <c r="N432" s="21">
        <f>(Table2[[#This Row],[A/Pace]]/100)*(VLOOKUP(Table2[[#This Row],[Visitor/Neutral]],OFR_lookup,2,FALSE)+VLOOKUP(Table2[[#This Row],[Home/Neutral]],def_diff_lookup,6,FALSE))</f>
        <v>101.59275566666666</v>
      </c>
      <c r="O432" s="21"/>
      <c r="P432" s="21"/>
      <c r="Q432">
        <f>VLOOKUP(Table2[[#This Row],[Home/Neutral]],pace_lookup,7,FALSE)</f>
        <v>97.3</v>
      </c>
      <c r="R432" s="5">
        <f>VLOOKUP(Table2[[#This Row],[Visitor/Neutral]],pace_lookup,7,FALSE)</f>
        <v>96.1</v>
      </c>
      <c r="S432" s="7"/>
      <c r="U432" s="15"/>
      <c r="W432" s="2">
        <f>-home-VLOOKUP(Table2[[#This Row],[Home/Neutral]],rtg_vlookup,4,FALSE)+VLOOKUP(Table2[[#This Row],[Visitor/Neutral]],rtg_vlookup,4,FALSE)</f>
        <v>-13.908688524590167</v>
      </c>
      <c r="X432" s="15"/>
      <c r="Y432" s="2"/>
      <c r="Z432" s="2">
        <f>Table2[[#This Row],[A/EV]]-Table2[[#This Row],[H/EV]]</f>
        <v>-14.701967100898003</v>
      </c>
      <c r="AA432" s="29"/>
      <c r="AB432" s="30"/>
      <c r="AC432" s="30"/>
      <c r="AD432" s="30"/>
      <c r="AE432" s="30"/>
      <c r="AF432" s="7" t="b">
        <f>IF(VLOOKUP(Table2[[#This Row],[Home/Neutral]],division_lookup,9,FALSE)=VLOOKUP(Table2[[#This Row],[Visitor/Neutral]],division_lookup,9,FALSE),TRUE,FALSE)</f>
        <v>1</v>
      </c>
      <c r="AG432" s="15" t="str">
        <f>VLOOKUP(Table2[[#This Row],[Home/Neutral]],division_lookup,9,FALSE)</f>
        <v>C</v>
      </c>
      <c r="AH432" s="15" t="str">
        <f>IF(Table2[[#This Row],[Total/EV]]&lt;Table2[[#This Row],[Total/V]],"UNDER","OVER")</f>
        <v>OVER</v>
      </c>
      <c r="AI432" s="26">
        <f>Table2[[#This Row],[SRS/Real]]-Table2[[#This Row],[Spread/V]]</f>
        <v>0</v>
      </c>
      <c r="AJ432" s="2">
        <f>Table2[[#This Row],[EV/Real]]-Table2[[#This Row],[Spread/V]]</f>
        <v>0</v>
      </c>
      <c r="AK432" s="2">
        <f>Table2[[#This Row],[SRS/Diff]]-Table2[[#This Row],[EV/Diff]]</f>
        <v>0</v>
      </c>
      <c r="AL432" s="18">
        <f>Table2[[#This Row],[SRS]]-Table2[[#This Row],[Spread]]</f>
        <v>-13.908688524590167</v>
      </c>
      <c r="AM432" s="21">
        <f>Table2[[#This Row],[(A) Err]]^2</f>
        <v>193.45161647406618</v>
      </c>
      <c r="AN432" s="6">
        <f>Table2[[#This Row],[EV]]-Table2[[#This Row],[Spread]]</f>
        <v>-14.701967100898003</v>
      </c>
      <c r="AO432" s="1">
        <f>Table2[[#This Row],[EV Err]]^2</f>
        <v>216.14783663588722</v>
      </c>
      <c r="AP432" s="1"/>
    </row>
    <row r="433" spans="1:42" x14ac:dyDescent="0.25">
      <c r="A433" s="34">
        <v>42725</v>
      </c>
      <c r="B433" t="s">
        <v>117</v>
      </c>
      <c r="C433" t="s">
        <v>123</v>
      </c>
      <c r="E433" s="21"/>
      <c r="G433" s="21"/>
      <c r="H433" s="7"/>
      <c r="I433" s="21"/>
      <c r="K433"/>
      <c r="L433" s="21">
        <f>(Table2[[#This Row],[H/Pace]]/100)*(VLOOKUP(Table2[[#This Row],[Home/Neutral]],home_lookup,8,FALSE)+VLOOKUP(Table2[[#This Row],[Home/Neutral]],OFR_lookup,2,FALSE)+VLOOKUP(Table2[[#This Row],[Visitor/Neutral]],def_diff_lookup,6,FALSE))</f>
        <v>108.89959591446429</v>
      </c>
      <c r="M433" s="21"/>
      <c r="N433" s="21">
        <f>(Table2[[#This Row],[A/Pace]]/100)*(VLOOKUP(Table2[[#This Row],[Visitor/Neutral]],OFR_lookup,2,FALSE)+VLOOKUP(Table2[[#This Row],[Home/Neutral]],def_diff_lookup,6,FALSE))</f>
        <v>92.403491666666667</v>
      </c>
      <c r="O433" s="21"/>
      <c r="P433" s="21"/>
      <c r="Q433">
        <f>VLOOKUP(Table2[[#This Row],[Home/Neutral]],pace_lookup,7,FALSE)</f>
        <v>94</v>
      </c>
      <c r="R433" s="5">
        <f>VLOOKUP(Table2[[#This Row],[Visitor/Neutral]],pace_lookup,7,FALSE)</f>
        <v>92.5</v>
      </c>
      <c r="S433" s="7"/>
      <c r="U433" s="15"/>
      <c r="W433" s="2">
        <f>-home-VLOOKUP(Table2[[#This Row],[Home/Neutral]],rtg_vlookup,4,FALSE)+VLOOKUP(Table2[[#This Row],[Visitor/Neutral]],rtg_vlookup,4,FALSE)</f>
        <v>-3.6686885245901659</v>
      </c>
      <c r="X433" s="15"/>
      <c r="Y433" s="2"/>
      <c r="Z433" s="2">
        <f>Table2[[#This Row],[A/EV]]-Table2[[#This Row],[H/EV]]</f>
        <v>-16.496104247797618</v>
      </c>
      <c r="AA433" s="29"/>
      <c r="AB433" s="30"/>
      <c r="AC433" s="30"/>
      <c r="AD433" s="30"/>
      <c r="AE433" s="30"/>
      <c r="AF433" s="7" t="b">
        <f>IF(VLOOKUP(Table2[[#This Row],[Home/Neutral]],division_lookup,9,FALSE)=VLOOKUP(Table2[[#This Row],[Visitor/Neutral]],division_lookup,9,FALSE),TRUE,FALSE)</f>
        <v>0</v>
      </c>
      <c r="AG433" s="15" t="str">
        <f>VLOOKUP(Table2[[#This Row],[Home/Neutral]],division_lookup,9,FALSE)</f>
        <v>C</v>
      </c>
      <c r="AH433" s="15" t="str">
        <f>IF(Table2[[#This Row],[Total/EV]]&lt;Table2[[#This Row],[Total/V]],"UNDER","OVER")</f>
        <v>OVER</v>
      </c>
      <c r="AI433" s="26">
        <f>Table2[[#This Row],[SRS/Real]]-Table2[[#This Row],[Spread/V]]</f>
        <v>0</v>
      </c>
      <c r="AJ433" s="2">
        <f>Table2[[#This Row],[EV/Real]]-Table2[[#This Row],[Spread/V]]</f>
        <v>0</v>
      </c>
      <c r="AK433" s="2">
        <f>Table2[[#This Row],[SRS/Diff]]-Table2[[#This Row],[EV/Diff]]</f>
        <v>0</v>
      </c>
      <c r="AL433" s="18">
        <f>Table2[[#This Row],[SRS]]-Table2[[#This Row],[Spread]]</f>
        <v>-3.6686885245901659</v>
      </c>
      <c r="AM433" s="21">
        <f>Table2[[#This Row],[(A) Err]]^2</f>
        <v>13.459275490459568</v>
      </c>
      <c r="AN433" s="6">
        <f>Table2[[#This Row],[EV]]-Table2[[#This Row],[Spread]]</f>
        <v>-16.496104247797618</v>
      </c>
      <c r="AO433" s="1">
        <f>Table2[[#This Row],[EV Err]]^2</f>
        <v>272.1214553542066</v>
      </c>
      <c r="AP433" s="1"/>
    </row>
    <row r="434" spans="1:42" x14ac:dyDescent="0.25">
      <c r="A434" s="34">
        <v>42725</v>
      </c>
      <c r="B434" t="s">
        <v>127</v>
      </c>
      <c r="C434" t="s">
        <v>129</v>
      </c>
      <c r="E434" s="21"/>
      <c r="G434" s="21"/>
      <c r="H434" s="7"/>
      <c r="I434" s="21"/>
      <c r="K434"/>
      <c r="L434" s="21">
        <f>(Table2[[#This Row],[H/Pace]]/100)*(VLOOKUP(Table2[[#This Row],[Home/Neutral]],home_lookup,8,FALSE)+VLOOKUP(Table2[[#This Row],[Home/Neutral]],OFR_lookup,2,FALSE)+VLOOKUP(Table2[[#This Row],[Visitor/Neutral]],def_diff_lookup,6,FALSE))</f>
        <v>100.77294493743048</v>
      </c>
      <c r="M434" s="21"/>
      <c r="N434" s="21">
        <f>(Table2[[#This Row],[A/Pace]]/100)*(VLOOKUP(Table2[[#This Row],[Visitor/Neutral]],OFR_lookup,2,FALSE)+VLOOKUP(Table2[[#This Row],[Home/Neutral]],def_diff_lookup,6,FALSE))</f>
        <v>103.89620999999998</v>
      </c>
      <c r="O434" s="21"/>
      <c r="P434" s="21"/>
      <c r="Q434">
        <f>VLOOKUP(Table2[[#This Row],[Home/Neutral]],pace_lookup,7,FALSE)</f>
        <v>99.3</v>
      </c>
      <c r="R434" s="5">
        <f>VLOOKUP(Table2[[#This Row],[Visitor/Neutral]],pace_lookup,7,FALSE)</f>
        <v>99</v>
      </c>
      <c r="S434" s="7"/>
      <c r="U434" s="15"/>
      <c r="W434" s="2">
        <f>-home-VLOOKUP(Table2[[#This Row],[Home/Neutral]],rtg_vlookup,4,FALSE)+VLOOKUP(Table2[[#This Row],[Visitor/Neutral]],rtg_vlookup,4,FALSE)</f>
        <v>1.3913114754098344</v>
      </c>
      <c r="X434" s="15"/>
      <c r="Y434" s="2"/>
      <c r="Z434" s="2">
        <f>Table2[[#This Row],[A/EV]]-Table2[[#This Row],[H/EV]]</f>
        <v>3.1232650625695015</v>
      </c>
      <c r="AA434" s="29"/>
      <c r="AB434" s="30"/>
      <c r="AC434" s="30"/>
      <c r="AD434" s="30"/>
      <c r="AE434" s="30"/>
      <c r="AF434" s="7" t="b">
        <f>IF(VLOOKUP(Table2[[#This Row],[Home/Neutral]],division_lookup,9,FALSE)=VLOOKUP(Table2[[#This Row],[Visitor/Neutral]],division_lookup,9,FALSE),TRUE,FALSE)</f>
        <v>0</v>
      </c>
      <c r="AG434" s="15" t="str">
        <f>VLOOKUP(Table2[[#This Row],[Home/Neutral]],division_lookup,9,FALSE)</f>
        <v>SW</v>
      </c>
      <c r="AH434" s="15" t="str">
        <f>IF(Table2[[#This Row],[Total/EV]]&lt;Table2[[#This Row],[Total/V]],"UNDER","OVER")</f>
        <v>OVER</v>
      </c>
      <c r="AI434" s="26">
        <f>Table2[[#This Row],[SRS/Real]]-Table2[[#This Row],[Spread/V]]</f>
        <v>0</v>
      </c>
      <c r="AJ434" s="2">
        <f>Table2[[#This Row],[EV/Real]]-Table2[[#This Row],[Spread/V]]</f>
        <v>0</v>
      </c>
      <c r="AK434" s="2">
        <f>Table2[[#This Row],[SRS/Diff]]-Table2[[#This Row],[EV/Diff]]</f>
        <v>0</v>
      </c>
      <c r="AL434" s="18">
        <f>Table2[[#This Row],[SRS]]-Table2[[#This Row],[Spread]]</f>
        <v>1.3913114754098344</v>
      </c>
      <c r="AM434" s="21">
        <f>Table2[[#This Row],[(A) Err]]^2</f>
        <v>1.9357476216070901</v>
      </c>
      <c r="AN434" s="6">
        <f>Table2[[#This Row],[EV]]-Table2[[#This Row],[Spread]]</f>
        <v>3.1232650625695015</v>
      </c>
      <c r="AO434" s="1">
        <f>Table2[[#This Row],[EV Err]]^2</f>
        <v>9.754784651067272</v>
      </c>
      <c r="AP434" s="1"/>
    </row>
    <row r="435" spans="1:42" x14ac:dyDescent="0.25">
      <c r="A435" s="34">
        <v>42725</v>
      </c>
      <c r="B435" t="s">
        <v>131</v>
      </c>
      <c r="C435" t="s">
        <v>119</v>
      </c>
      <c r="E435" s="21"/>
      <c r="G435" s="21"/>
      <c r="H435" s="7"/>
      <c r="I435" s="21"/>
      <c r="K435"/>
      <c r="L435" s="21">
        <f>(Table2[[#This Row],[H/Pace]]/100)*(VLOOKUP(Table2[[#This Row],[Home/Neutral]],home_lookup,8,FALSE)+VLOOKUP(Table2[[#This Row],[Home/Neutral]],OFR_lookup,2,FALSE)+VLOOKUP(Table2[[#This Row],[Visitor/Neutral]],def_diff_lookup,6,FALSE))</f>
        <v>99.730069791197664</v>
      </c>
      <c r="M435" s="21"/>
      <c r="N435" s="21">
        <f>(Table2[[#This Row],[A/Pace]]/100)*(VLOOKUP(Table2[[#This Row],[Visitor/Neutral]],OFR_lookup,2,FALSE)+VLOOKUP(Table2[[#This Row],[Home/Neutral]],def_diff_lookup,6,FALSE))</f>
        <v>110.64591100000001</v>
      </c>
      <c r="O435" s="21"/>
      <c r="P435" s="21"/>
      <c r="Q435">
        <f>VLOOKUP(Table2[[#This Row],[Home/Neutral]],pace_lookup,7,FALSE)</f>
        <v>101.7</v>
      </c>
      <c r="R435" s="5">
        <f>VLOOKUP(Table2[[#This Row],[Visitor/Neutral]],pace_lookup,7,FALSE)</f>
        <v>96.9</v>
      </c>
      <c r="S435" s="7"/>
      <c r="U435" s="15"/>
      <c r="W435" s="2">
        <f>-home-VLOOKUP(Table2[[#This Row],[Home/Neutral]],rtg_vlookup,4,FALSE)+VLOOKUP(Table2[[#This Row],[Visitor/Neutral]],rtg_vlookup,4,FALSE)</f>
        <v>7.2813114754098347</v>
      </c>
      <c r="X435" s="15"/>
      <c r="Y435" s="2"/>
      <c r="Z435" s="2">
        <f>Table2[[#This Row],[A/EV]]-Table2[[#This Row],[H/EV]]</f>
        <v>10.915841208802348</v>
      </c>
      <c r="AA435" s="29"/>
      <c r="AB435" s="30"/>
      <c r="AC435" s="30"/>
      <c r="AD435" s="30"/>
      <c r="AE435" s="30"/>
      <c r="AF435" s="7" t="b">
        <f>IF(VLOOKUP(Table2[[#This Row],[Home/Neutral]],division_lookup,9,FALSE)=VLOOKUP(Table2[[#This Row],[Visitor/Neutral]],division_lookup,9,FALSE),TRUE,FALSE)</f>
        <v>0</v>
      </c>
      <c r="AG435" s="15" t="str">
        <f>VLOOKUP(Table2[[#This Row],[Home/Neutral]],division_lookup,9,FALSE)</f>
        <v>P</v>
      </c>
      <c r="AH435" s="15" t="str">
        <f>IF(Table2[[#This Row],[Total/EV]]&lt;Table2[[#This Row],[Total/V]],"UNDER","OVER")</f>
        <v>OVER</v>
      </c>
      <c r="AI435" s="26">
        <f>Table2[[#This Row],[SRS/Real]]-Table2[[#This Row],[Spread/V]]</f>
        <v>0</v>
      </c>
      <c r="AJ435" s="2">
        <f>Table2[[#This Row],[EV/Real]]-Table2[[#This Row],[Spread/V]]</f>
        <v>0</v>
      </c>
      <c r="AK435" s="2">
        <f>Table2[[#This Row],[SRS/Diff]]-Table2[[#This Row],[EV/Diff]]</f>
        <v>0</v>
      </c>
      <c r="AL435" s="18">
        <f>Table2[[#This Row],[SRS]]-Table2[[#This Row],[Spread]]</f>
        <v>7.2813114754098347</v>
      </c>
      <c r="AM435" s="21">
        <f>Table2[[#This Row],[(A) Err]]^2</f>
        <v>53.017496801934946</v>
      </c>
      <c r="AN435" s="6">
        <f>Table2[[#This Row],[EV]]-Table2[[#This Row],[Spread]]</f>
        <v>10.915841208802348</v>
      </c>
      <c r="AO435" s="1">
        <f>Table2[[#This Row],[EV Err]]^2</f>
        <v>119.15558929578751</v>
      </c>
      <c r="AP435" s="1"/>
    </row>
    <row r="436" spans="1:42" x14ac:dyDescent="0.25">
      <c r="A436" s="34">
        <v>42725</v>
      </c>
      <c r="B436" t="s">
        <v>132</v>
      </c>
      <c r="C436" t="s">
        <v>115</v>
      </c>
      <c r="E436" s="21"/>
      <c r="G436" s="21"/>
      <c r="H436" s="7"/>
      <c r="I436" s="21"/>
      <c r="K436"/>
      <c r="L436" s="21">
        <f>(Table2[[#This Row],[H/Pace]]/100)*(VLOOKUP(Table2[[#This Row],[Home/Neutral]],home_lookup,8,FALSE)+VLOOKUP(Table2[[#This Row],[Home/Neutral]],OFR_lookup,2,FALSE)+VLOOKUP(Table2[[#This Row],[Visitor/Neutral]],def_diff_lookup,6,FALSE))</f>
        <v>108.2830214460698</v>
      </c>
      <c r="M436" s="21"/>
      <c r="N436" s="21">
        <f>(Table2[[#This Row],[A/Pace]]/100)*(VLOOKUP(Table2[[#This Row],[Visitor/Neutral]],OFR_lookup,2,FALSE)+VLOOKUP(Table2[[#This Row],[Home/Neutral]],def_diff_lookup,6,FALSE))</f>
        <v>95.329954333333347</v>
      </c>
      <c r="O436" s="21"/>
      <c r="P436" s="21"/>
      <c r="Q436">
        <f>VLOOKUP(Table2[[#This Row],[Home/Neutral]],pace_lookup,7,FALSE)</f>
        <v>98.8</v>
      </c>
      <c r="R436" s="5">
        <f>VLOOKUP(Table2[[#This Row],[Visitor/Neutral]],pace_lookup,7,FALSE)</f>
        <v>92.9</v>
      </c>
      <c r="S436" s="7"/>
      <c r="U436" s="15"/>
      <c r="W436" s="2">
        <f>-home-VLOOKUP(Table2[[#This Row],[Home/Neutral]],rtg_vlookup,4,FALSE)+VLOOKUP(Table2[[#This Row],[Visitor/Neutral]],rtg_vlookup,4,FALSE)</f>
        <v>-9.1986885245901657</v>
      </c>
      <c r="X436" s="15"/>
      <c r="Y436" s="2"/>
      <c r="Z436" s="2">
        <f>Table2[[#This Row],[A/EV]]-Table2[[#This Row],[H/EV]]</f>
        <v>-12.953067112736449</v>
      </c>
      <c r="AA436" s="29"/>
      <c r="AB436" s="30"/>
      <c r="AC436" s="30"/>
      <c r="AD436" s="30"/>
      <c r="AE436" s="30"/>
      <c r="AF436" s="7" t="b">
        <f>IF(VLOOKUP(Table2[[#This Row],[Home/Neutral]],division_lookup,9,FALSE)=VLOOKUP(Table2[[#This Row],[Visitor/Neutral]],division_lookup,9,FALSE),TRUE,FALSE)</f>
        <v>0</v>
      </c>
      <c r="AG436" s="15" t="str">
        <f>VLOOKUP(Table2[[#This Row],[Home/Neutral]],division_lookup,9,FALSE)</f>
        <v>NW</v>
      </c>
      <c r="AH436" s="15" t="str">
        <f>IF(Table2[[#This Row],[Total/EV]]&lt;Table2[[#This Row],[Total/V]],"UNDER","OVER")</f>
        <v>OVER</v>
      </c>
      <c r="AI436" s="26">
        <f>Table2[[#This Row],[SRS/Real]]-Table2[[#This Row],[Spread/V]]</f>
        <v>0</v>
      </c>
      <c r="AJ436" s="2">
        <f>Table2[[#This Row],[EV/Real]]-Table2[[#This Row],[Spread/V]]</f>
        <v>0</v>
      </c>
      <c r="AK436" s="2">
        <f>Table2[[#This Row],[SRS/Diff]]-Table2[[#This Row],[EV/Diff]]</f>
        <v>0</v>
      </c>
      <c r="AL436" s="18">
        <f>Table2[[#This Row],[SRS]]-Table2[[#This Row],[Spread]]</f>
        <v>-9.1986885245901657</v>
      </c>
      <c r="AM436" s="21">
        <f>Table2[[#This Row],[(A) Err]]^2</f>
        <v>84.6158705724268</v>
      </c>
      <c r="AN436" s="6">
        <f>Table2[[#This Row],[EV]]-Table2[[#This Row],[Spread]]</f>
        <v>-12.953067112736449</v>
      </c>
      <c r="AO436" s="1">
        <f>Table2[[#This Row],[EV Err]]^2</f>
        <v>167.78194762705456</v>
      </c>
      <c r="AP436" s="1"/>
    </row>
    <row r="437" spans="1:42" ht="15.75" thickBot="1" x14ac:dyDescent="0.3">
      <c r="A437" s="100">
        <v>42725</v>
      </c>
      <c r="B437" s="3" t="s">
        <v>136</v>
      </c>
      <c r="C437" s="3" t="s">
        <v>133</v>
      </c>
      <c r="D437" s="3"/>
      <c r="E437" s="22"/>
      <c r="F437" s="3"/>
      <c r="G437" s="22"/>
      <c r="H437" s="8"/>
      <c r="I437" s="22"/>
      <c r="J437" s="3"/>
      <c r="K437" s="3"/>
      <c r="L437" s="22">
        <f>(Table2[[#This Row],[H/Pace]]/100)*(VLOOKUP(Table2[[#This Row],[Home/Neutral]],home_lookup,8,FALSE)+VLOOKUP(Table2[[#This Row],[Home/Neutral]],OFR_lookup,2,FALSE)+VLOOKUP(Table2[[#This Row],[Visitor/Neutral]],def_diff_lookup,6,FALSE))</f>
        <v>108.021735349919</v>
      </c>
      <c r="M437" s="22"/>
      <c r="N437" s="22">
        <f>(Table2[[#This Row],[A/Pace]]/100)*(VLOOKUP(Table2[[#This Row],[Visitor/Neutral]],OFR_lookup,2,FALSE)+VLOOKUP(Table2[[#This Row],[Home/Neutral]],def_diff_lookup,6,FALSE))</f>
        <v>97.483497999999997</v>
      </c>
      <c r="O437" s="22"/>
      <c r="P437" s="22"/>
      <c r="Q437" s="3">
        <f>VLOOKUP(Table2[[#This Row],[Home/Neutral]],pace_lookup,7,FALSE)</f>
        <v>91.5</v>
      </c>
      <c r="R437" s="3">
        <f>VLOOKUP(Table2[[#This Row],[Visitor/Neutral]],pace_lookup,7,FALSE)</f>
        <v>94.2</v>
      </c>
      <c r="S437" s="8"/>
      <c r="T437" s="3"/>
      <c r="U437" s="16"/>
      <c r="V437" s="3"/>
      <c r="W437" s="9">
        <f>-home-VLOOKUP(Table2[[#This Row],[Home/Neutral]],rtg_vlookup,4,FALSE)+VLOOKUP(Table2[[#This Row],[Visitor/Neutral]],rtg_vlookup,4,FALSE)</f>
        <v>-8.9486885245901657</v>
      </c>
      <c r="X437" s="16"/>
      <c r="Y437" s="9"/>
      <c r="Z437" s="9">
        <f>Table2[[#This Row],[A/EV]]-Table2[[#This Row],[H/EV]]</f>
        <v>-10.538237349919001</v>
      </c>
      <c r="AA437" s="31"/>
      <c r="AB437" s="32"/>
      <c r="AC437" s="32"/>
      <c r="AD437" s="32"/>
      <c r="AE437" s="32"/>
      <c r="AF437" s="8" t="b">
        <f>IF(VLOOKUP(Table2[[#This Row],[Home/Neutral]],division_lookup,9,FALSE)=VLOOKUP(Table2[[#This Row],[Visitor/Neutral]],division_lookup,9,FALSE),TRUE,FALSE)</f>
        <v>0</v>
      </c>
      <c r="AG437" s="16" t="str">
        <f>VLOOKUP(Table2[[#This Row],[Home/Neutral]],division_lookup,9,FALSE)</f>
        <v>NW</v>
      </c>
      <c r="AH437" s="16" t="str">
        <f>IF(Table2[[#This Row],[Total/EV]]&lt;Table2[[#This Row],[Total/V]],"UNDER","OVER")</f>
        <v>OVER</v>
      </c>
      <c r="AI437" s="16">
        <f>Table2[[#This Row],[SRS/Real]]-Table2[[#This Row],[Spread/V]]</f>
        <v>0</v>
      </c>
      <c r="AJ437" s="9">
        <f>Table2[[#This Row],[EV/Real]]-Table2[[#This Row],[Spread/V]]</f>
        <v>0</v>
      </c>
      <c r="AK437" s="9">
        <f>Table2[[#This Row],[SRS/Diff]]-Table2[[#This Row],[EV/Diff]]</f>
        <v>0</v>
      </c>
      <c r="AL437" s="19">
        <f>Table2[[#This Row],[SRS]]-Table2[[#This Row],[Spread]]</f>
        <v>-8.9486885245901657</v>
      </c>
      <c r="AM437" s="22">
        <f>Table2[[#This Row],[(A) Err]]^2</f>
        <v>80.079026310131724</v>
      </c>
      <c r="AN437" s="4">
        <f>Table2[[#This Row],[EV]]-Table2[[#This Row],[Spread]]</f>
        <v>-10.538237349919001</v>
      </c>
      <c r="AO437" s="4">
        <f>Table2[[#This Row],[EV Err]]^2</f>
        <v>111.05444644322785</v>
      </c>
      <c r="AP437" s="1"/>
    </row>
    <row r="438" spans="1:42" x14ac:dyDescent="0.25">
      <c r="A438" s="34">
        <v>42726</v>
      </c>
      <c r="B438" t="s">
        <v>111</v>
      </c>
      <c r="C438" t="s">
        <v>118</v>
      </c>
      <c r="E438" s="21"/>
      <c r="G438" s="21"/>
      <c r="H438" s="7"/>
      <c r="I438" s="21"/>
      <c r="K438"/>
      <c r="L438" s="21">
        <f>(Table2[[#This Row],[H/Pace]]/100)*(VLOOKUP(Table2[[#This Row],[Home/Neutral]],home_lookup,8,FALSE)+VLOOKUP(Table2[[#This Row],[Home/Neutral]],OFR_lookup,2,FALSE)+VLOOKUP(Table2[[#This Row],[Visitor/Neutral]],def_diff_lookup,6,FALSE))</f>
        <v>99.018418327716361</v>
      </c>
      <c r="M438" s="21"/>
      <c r="N438" s="21">
        <f>(Table2[[#This Row],[A/Pace]]/100)*(VLOOKUP(Table2[[#This Row],[Visitor/Neutral]],OFR_lookup,2,FALSE)+VLOOKUP(Table2[[#This Row],[Home/Neutral]],def_diff_lookup,6,FALSE))</f>
        <v>121.71056933333332</v>
      </c>
      <c r="O438" s="21"/>
      <c r="P438" s="21"/>
      <c r="Q438">
        <f>VLOOKUP(Table2[[#This Row],[Home/Neutral]],pace_lookup,7,FALSE)</f>
        <v>102</v>
      </c>
      <c r="R438" s="5">
        <f>VLOOKUP(Table2[[#This Row],[Visitor/Neutral]],pace_lookup,7,FALSE)</f>
        <v>100.4</v>
      </c>
      <c r="S438" s="7"/>
      <c r="U438" s="15"/>
      <c r="W438" s="2">
        <f>-home-VLOOKUP(Table2[[#This Row],[Home/Neutral]],rtg_vlookup,4,FALSE)+VLOOKUP(Table2[[#This Row],[Visitor/Neutral]],rtg_vlookup,4,FALSE)</f>
        <v>17.421311475409833</v>
      </c>
      <c r="X438" s="15"/>
      <c r="Y438" s="2"/>
      <c r="Z438" s="2">
        <f>Table2[[#This Row],[A/EV]]-Table2[[#This Row],[H/EV]]</f>
        <v>22.692151005616964</v>
      </c>
      <c r="AA438" s="29"/>
      <c r="AB438" s="30"/>
      <c r="AC438" s="30"/>
      <c r="AD438" s="30"/>
      <c r="AE438" s="30"/>
      <c r="AF438" s="7" t="b">
        <f>IF(VLOOKUP(Table2[[#This Row],[Home/Neutral]],division_lookup,9,FALSE)=VLOOKUP(Table2[[#This Row],[Visitor/Neutral]],division_lookup,9,FALSE),TRUE,FALSE)</f>
        <v>0</v>
      </c>
      <c r="AG438" s="15" t="str">
        <f>VLOOKUP(Table2[[#This Row],[Home/Neutral]],division_lookup,9,FALSE)</f>
        <v>A</v>
      </c>
      <c r="AH438" s="15" t="str">
        <f>IF(Table2[[#This Row],[Total/EV]]&lt;Table2[[#This Row],[Total/V]],"UNDER","OVER")</f>
        <v>OVER</v>
      </c>
      <c r="AI438" s="26">
        <f>Table2[[#This Row],[SRS/Real]]-Table2[[#This Row],[Spread/V]]</f>
        <v>0</v>
      </c>
      <c r="AJ438" s="2">
        <f>Table2[[#This Row],[EV/Real]]-Table2[[#This Row],[Spread/V]]</f>
        <v>0</v>
      </c>
      <c r="AK438" s="2">
        <f>Table2[[#This Row],[SRS/Diff]]-Table2[[#This Row],[EV/Diff]]</f>
        <v>0</v>
      </c>
      <c r="AL438" s="18">
        <f>Table2[[#This Row],[SRS]]-Table2[[#This Row],[Spread]]</f>
        <v>17.421311475409833</v>
      </c>
      <c r="AM438" s="21">
        <f>Table2[[#This Row],[(A) Err]]^2</f>
        <v>303.50209352324634</v>
      </c>
      <c r="AN438" s="6">
        <f>Table2[[#This Row],[EV]]-Table2[[#This Row],[Spread]]</f>
        <v>22.692151005616964</v>
      </c>
      <c r="AO438" s="1">
        <f>Table2[[#This Row],[EV Err]]^2</f>
        <v>514.93371726172302</v>
      </c>
      <c r="AP438" s="1"/>
    </row>
    <row r="439" spans="1:42" x14ac:dyDescent="0.25">
      <c r="A439" s="34">
        <v>42726</v>
      </c>
      <c r="B439" t="s">
        <v>120</v>
      </c>
      <c r="C439" t="s">
        <v>110</v>
      </c>
      <c r="E439" s="21"/>
      <c r="G439" s="21"/>
      <c r="H439" s="7"/>
      <c r="I439" s="21"/>
      <c r="K439"/>
      <c r="L439" s="21">
        <f>(Table2[[#This Row],[H/Pace]]/100)*(VLOOKUP(Table2[[#This Row],[Home/Neutral]],home_lookup,8,FALSE)+VLOOKUP(Table2[[#This Row],[Home/Neutral]],OFR_lookup,2,FALSE)+VLOOKUP(Table2[[#This Row],[Visitor/Neutral]],def_diff_lookup,6,FALSE))</f>
        <v>106.69349542930861</v>
      </c>
      <c r="M439" s="21"/>
      <c r="N439" s="21">
        <f>(Table2[[#This Row],[A/Pace]]/100)*(VLOOKUP(Table2[[#This Row],[Visitor/Neutral]],OFR_lookup,2,FALSE)+VLOOKUP(Table2[[#This Row],[Home/Neutral]],def_diff_lookup,6,FALSE))</f>
        <v>105.44065133333334</v>
      </c>
      <c r="O439" s="21"/>
      <c r="P439" s="21"/>
      <c r="Q439">
        <f>VLOOKUP(Table2[[#This Row],[Home/Neutral]],pace_lookup,7,FALSE)</f>
        <v>98.3</v>
      </c>
      <c r="R439" s="5">
        <f>VLOOKUP(Table2[[#This Row],[Visitor/Neutral]],pace_lookup,7,FALSE)</f>
        <v>96.2</v>
      </c>
      <c r="S439" s="7"/>
      <c r="U439" s="15"/>
      <c r="W439" s="2">
        <f>-home-VLOOKUP(Table2[[#This Row],[Home/Neutral]],rtg_vlookup,4,FALSE)+VLOOKUP(Table2[[#This Row],[Visitor/Neutral]],rtg_vlookup,4,FALSE)</f>
        <v>2.4013114754098344</v>
      </c>
      <c r="X439" s="15"/>
      <c r="Y439" s="2"/>
      <c r="Z439" s="2">
        <f>Table2[[#This Row],[A/EV]]-Table2[[#This Row],[H/EV]]</f>
        <v>-1.2528440959752771</v>
      </c>
      <c r="AA439" s="29"/>
      <c r="AB439" s="30"/>
      <c r="AC439" s="30"/>
      <c r="AD439" s="30"/>
      <c r="AE439" s="30"/>
      <c r="AF439" s="7" t="b">
        <f>IF(VLOOKUP(Table2[[#This Row],[Home/Neutral]],division_lookup,9,FALSE)=VLOOKUP(Table2[[#This Row],[Visitor/Neutral]],division_lookup,9,FALSE),TRUE,FALSE)</f>
        <v>0</v>
      </c>
      <c r="AG439" s="15" t="str">
        <f>VLOOKUP(Table2[[#This Row],[Home/Neutral]],division_lookup,9,FALSE)</f>
        <v>C</v>
      </c>
      <c r="AH439" s="15" t="str">
        <f>IF(Table2[[#This Row],[Total/EV]]&lt;Table2[[#This Row],[Total/V]],"UNDER","OVER")</f>
        <v>OVER</v>
      </c>
      <c r="AI439" s="26">
        <f>Table2[[#This Row],[SRS/Real]]-Table2[[#This Row],[Spread/V]]</f>
        <v>0</v>
      </c>
      <c r="AJ439" s="2">
        <f>Table2[[#This Row],[EV/Real]]-Table2[[#This Row],[Spread/V]]</f>
        <v>0</v>
      </c>
      <c r="AK439" s="2">
        <f>Table2[[#This Row],[SRS/Diff]]-Table2[[#This Row],[EV/Diff]]</f>
        <v>0</v>
      </c>
      <c r="AL439" s="18">
        <f>Table2[[#This Row],[SRS]]-Table2[[#This Row],[Spread]]</f>
        <v>2.4013114754098344</v>
      </c>
      <c r="AM439" s="21">
        <f>Table2[[#This Row],[(A) Err]]^2</f>
        <v>5.7662968019349554</v>
      </c>
      <c r="AN439" s="6">
        <f>Table2[[#This Row],[EV]]-Table2[[#This Row],[Spread]]</f>
        <v>-1.2528440959752771</v>
      </c>
      <c r="AO439" s="1">
        <f>Table2[[#This Row],[EV Err]]^2</f>
        <v>1.5696183288201093</v>
      </c>
      <c r="AP439" s="1"/>
    </row>
    <row r="440" spans="1:42" x14ac:dyDescent="0.25">
      <c r="A440" s="34">
        <v>42726</v>
      </c>
      <c r="B440" t="s">
        <v>121</v>
      </c>
      <c r="C440" t="s">
        <v>134</v>
      </c>
      <c r="E440" s="21"/>
      <c r="G440" s="21"/>
      <c r="H440" s="7"/>
      <c r="I440" s="21"/>
      <c r="K440"/>
      <c r="L440" s="21">
        <f>(Table2[[#This Row],[H/Pace]]/100)*(VLOOKUP(Table2[[#This Row],[Home/Neutral]],home_lookup,8,FALSE)+VLOOKUP(Table2[[#This Row],[Home/Neutral]],OFR_lookup,2,FALSE)+VLOOKUP(Table2[[#This Row],[Visitor/Neutral]],def_diff_lookup,6,FALSE))</f>
        <v>112.56936060751254</v>
      </c>
      <c r="M440" s="21"/>
      <c r="N440" s="21">
        <f>(Table2[[#This Row],[A/Pace]]/100)*(VLOOKUP(Table2[[#This Row],[Visitor/Neutral]],OFR_lookup,2,FALSE)+VLOOKUP(Table2[[#This Row],[Home/Neutral]],def_diff_lookup,6,FALSE))</f>
        <v>101.25089266666667</v>
      </c>
      <c r="O440" s="21"/>
      <c r="P440" s="21"/>
      <c r="Q440">
        <f>VLOOKUP(Table2[[#This Row],[Home/Neutral]],pace_lookup,7,FALSE)</f>
        <v>96.4</v>
      </c>
      <c r="R440" s="5">
        <f>VLOOKUP(Table2[[#This Row],[Visitor/Neutral]],pace_lookup,7,FALSE)</f>
        <v>93.4</v>
      </c>
      <c r="S440" s="7"/>
      <c r="U440" s="15"/>
      <c r="W440" s="2">
        <f>-home-VLOOKUP(Table2[[#This Row],[Home/Neutral]],rtg_vlookup,4,FALSE)+VLOOKUP(Table2[[#This Row],[Visitor/Neutral]],rtg_vlookup,4,FALSE)</f>
        <v>-8.1186885245901657</v>
      </c>
      <c r="X440" s="15"/>
      <c r="Y440" s="2"/>
      <c r="Z440" s="2">
        <f>Table2[[#This Row],[A/EV]]-Table2[[#This Row],[H/EV]]</f>
        <v>-11.318467940845863</v>
      </c>
      <c r="AA440" s="29"/>
      <c r="AB440" s="30"/>
      <c r="AC440" s="30"/>
      <c r="AD440" s="30"/>
      <c r="AE440" s="30"/>
      <c r="AF440" s="7" t="b">
        <f>IF(VLOOKUP(Table2[[#This Row],[Home/Neutral]],division_lookup,9,FALSE)=VLOOKUP(Table2[[#This Row],[Visitor/Neutral]],division_lookup,9,FALSE),TRUE,FALSE)</f>
        <v>0</v>
      </c>
      <c r="AG440" s="15" t="str">
        <f>VLOOKUP(Table2[[#This Row],[Home/Neutral]],division_lookup,9,FALSE)</f>
        <v>P</v>
      </c>
      <c r="AH440" s="15" t="str">
        <f>IF(Table2[[#This Row],[Total/EV]]&lt;Table2[[#This Row],[Total/V]],"UNDER","OVER")</f>
        <v>OVER</v>
      </c>
      <c r="AI440" s="26">
        <f>Table2[[#This Row],[SRS/Real]]-Table2[[#This Row],[Spread/V]]</f>
        <v>0</v>
      </c>
      <c r="AJ440" s="2">
        <f>Table2[[#This Row],[EV/Real]]-Table2[[#This Row],[Spread/V]]</f>
        <v>0</v>
      </c>
      <c r="AK440" s="2">
        <f>Table2[[#This Row],[SRS/Diff]]-Table2[[#This Row],[EV/Diff]]</f>
        <v>0</v>
      </c>
      <c r="AL440" s="18">
        <f>Table2[[#This Row],[SRS]]-Table2[[#This Row],[Spread]]</f>
        <v>-8.1186885245901657</v>
      </c>
      <c r="AM440" s="21">
        <f>Table2[[#This Row],[(A) Err]]^2</f>
        <v>65.913103359312046</v>
      </c>
      <c r="AN440" s="6">
        <f>Table2[[#This Row],[EV]]-Table2[[#This Row],[Spread]]</f>
        <v>-11.318467940845863</v>
      </c>
      <c r="AO440" s="1">
        <f>Table2[[#This Row],[EV Err]]^2</f>
        <v>128.1077165279556</v>
      </c>
      <c r="AP440" s="1"/>
    </row>
    <row r="441" spans="1:42" x14ac:dyDescent="0.25">
      <c r="A441" s="34">
        <v>42726</v>
      </c>
      <c r="B441" t="s">
        <v>124</v>
      </c>
      <c r="C441" t="s">
        <v>122</v>
      </c>
      <c r="E441" s="21"/>
      <c r="G441" s="21"/>
      <c r="H441" s="7"/>
      <c r="I441" s="21"/>
      <c r="K441"/>
      <c r="L441" s="21">
        <f>(Table2[[#This Row],[H/Pace]]/100)*(VLOOKUP(Table2[[#This Row],[Home/Neutral]],home_lookup,8,FALSE)+VLOOKUP(Table2[[#This Row],[Home/Neutral]],OFR_lookup,2,FALSE)+VLOOKUP(Table2[[#This Row],[Visitor/Neutral]],def_diff_lookup,6,FALSE))</f>
        <v>105.46465517723557</v>
      </c>
      <c r="M441" s="21"/>
      <c r="N441" s="21">
        <f>(Table2[[#This Row],[A/Pace]]/100)*(VLOOKUP(Table2[[#This Row],[Visitor/Neutral]],OFR_lookup,2,FALSE)+VLOOKUP(Table2[[#This Row],[Home/Neutral]],def_diff_lookup,6,FALSE))</f>
        <v>106.96917799999999</v>
      </c>
      <c r="O441" s="21"/>
      <c r="P441" s="21"/>
      <c r="Q441">
        <f>VLOOKUP(Table2[[#This Row],[Home/Neutral]],pace_lookup,7,FALSE)</f>
        <v>93.7</v>
      </c>
      <c r="R441" s="5">
        <f>VLOOKUP(Table2[[#This Row],[Visitor/Neutral]],pace_lookup,7,FALSE)</f>
        <v>100.2</v>
      </c>
      <c r="S441" s="7"/>
      <c r="U441" s="15"/>
      <c r="W441" s="2">
        <f>-home-VLOOKUP(Table2[[#This Row],[Home/Neutral]],rtg_vlookup,4,FALSE)+VLOOKUP(Table2[[#This Row],[Visitor/Neutral]],rtg_vlookup,4,FALSE)</f>
        <v>-3.8286885245901656</v>
      </c>
      <c r="X441" s="15"/>
      <c r="Y441" s="2"/>
      <c r="Z441" s="2">
        <f>Table2[[#This Row],[A/EV]]-Table2[[#This Row],[H/EV]]</f>
        <v>1.5045228227644145</v>
      </c>
      <c r="AA441" s="29"/>
      <c r="AB441" s="30"/>
      <c r="AC441" s="30"/>
      <c r="AD441" s="30"/>
      <c r="AE441" s="30"/>
      <c r="AF441" s="7" t="b">
        <f>IF(VLOOKUP(Table2[[#This Row],[Home/Neutral]],division_lookup,9,FALSE)=VLOOKUP(Table2[[#This Row],[Visitor/Neutral]],division_lookup,9,FALSE),TRUE,FALSE)</f>
        <v>0</v>
      </c>
      <c r="AG441" s="15" t="str">
        <f>VLOOKUP(Table2[[#This Row],[Home/Neutral]],division_lookup,9,FALSE)</f>
        <v>SE</v>
      </c>
      <c r="AH441" s="15" t="str">
        <f>IF(Table2[[#This Row],[Total/EV]]&lt;Table2[[#This Row],[Total/V]],"UNDER","OVER")</f>
        <v>OVER</v>
      </c>
      <c r="AI441" s="26">
        <f>Table2[[#This Row],[SRS/Real]]-Table2[[#This Row],[Spread/V]]</f>
        <v>0</v>
      </c>
      <c r="AJ441" s="2">
        <f>Table2[[#This Row],[EV/Real]]-Table2[[#This Row],[Spread/V]]</f>
        <v>0</v>
      </c>
      <c r="AK441" s="2">
        <f>Table2[[#This Row],[SRS/Diff]]-Table2[[#This Row],[EV/Diff]]</f>
        <v>0</v>
      </c>
      <c r="AL441" s="18">
        <f>Table2[[#This Row],[SRS]]-Table2[[#This Row],[Spread]]</f>
        <v>-3.8286885245901656</v>
      </c>
      <c r="AM441" s="21">
        <f>Table2[[#This Row],[(A) Err]]^2</f>
        <v>14.658855818328419</v>
      </c>
      <c r="AN441" s="6">
        <f>Table2[[#This Row],[EV]]-Table2[[#This Row],[Spread]]</f>
        <v>1.5045228227644145</v>
      </c>
      <c r="AO441" s="1">
        <f>Table2[[#This Row],[EV Err]]^2</f>
        <v>2.2635889242190017</v>
      </c>
      <c r="AP441" s="1"/>
    </row>
    <row r="442" spans="1:42" ht="15.75" thickBot="1" x14ac:dyDescent="0.3">
      <c r="A442" s="100">
        <v>42726</v>
      </c>
      <c r="B442" s="3" t="s">
        <v>128</v>
      </c>
      <c r="C442" s="3" t="s">
        <v>130</v>
      </c>
      <c r="D442" s="3"/>
      <c r="E442" s="22"/>
      <c r="F442" s="3"/>
      <c r="G442" s="22"/>
      <c r="H442" s="8"/>
      <c r="I442" s="22"/>
      <c r="J442" s="3"/>
      <c r="K442" s="3"/>
      <c r="L442" s="22">
        <f>(Table2[[#This Row],[H/Pace]]/100)*(VLOOKUP(Table2[[#This Row],[Home/Neutral]],home_lookup,8,FALSE)+VLOOKUP(Table2[[#This Row],[Home/Neutral]],OFR_lookup,2,FALSE)+VLOOKUP(Table2[[#This Row],[Visitor/Neutral]],def_diff_lookup,6,FALSE))</f>
        <v>108.2109498778302</v>
      </c>
      <c r="M442" s="22"/>
      <c r="N442" s="22">
        <f>(Table2[[#This Row],[A/Pace]]/100)*(VLOOKUP(Table2[[#This Row],[Visitor/Neutral]],OFR_lookup,2,FALSE)+VLOOKUP(Table2[[#This Row],[Home/Neutral]],def_diff_lookup,6,FALSE))</f>
        <v>95.10965800000001</v>
      </c>
      <c r="O442" s="22"/>
      <c r="P442" s="22"/>
      <c r="Q442" s="3">
        <f>VLOOKUP(Table2[[#This Row],[Home/Neutral]],pace_lookup,7,FALSE)</f>
        <v>96.3</v>
      </c>
      <c r="R442" s="3">
        <f>VLOOKUP(Table2[[#This Row],[Visitor/Neutral]],pace_lookup,7,FALSE)</f>
        <v>94.2</v>
      </c>
      <c r="S442" s="8"/>
      <c r="T442" s="3"/>
      <c r="U442" s="16"/>
      <c r="V442" s="3"/>
      <c r="W442" s="9">
        <f>-home-VLOOKUP(Table2[[#This Row],[Home/Neutral]],rtg_vlookup,4,FALSE)+VLOOKUP(Table2[[#This Row],[Visitor/Neutral]],rtg_vlookup,4,FALSE)</f>
        <v>-9.5486885245901671</v>
      </c>
      <c r="X442" s="16"/>
      <c r="Y442" s="9"/>
      <c r="Z442" s="9">
        <f>Table2[[#This Row],[A/EV]]-Table2[[#This Row],[H/EV]]</f>
        <v>-13.101291877830192</v>
      </c>
      <c r="AA442" s="31"/>
      <c r="AB442" s="32"/>
      <c r="AC442" s="32"/>
      <c r="AD442" s="32"/>
      <c r="AE442" s="32"/>
      <c r="AF442" s="8" t="b">
        <f>IF(VLOOKUP(Table2[[#This Row],[Home/Neutral]],division_lookup,9,FALSE)=VLOOKUP(Table2[[#This Row],[Visitor/Neutral]],division_lookup,9,FALSE),TRUE,FALSE)</f>
        <v>0</v>
      </c>
      <c r="AG442" s="16" t="str">
        <f>VLOOKUP(Table2[[#This Row],[Home/Neutral]],division_lookup,9,FALSE)</f>
        <v>A</v>
      </c>
      <c r="AH442" s="16" t="str">
        <f>IF(Table2[[#This Row],[Total/EV]]&lt;Table2[[#This Row],[Total/V]],"UNDER","OVER")</f>
        <v>OVER</v>
      </c>
      <c r="AI442" s="16">
        <f>Table2[[#This Row],[SRS/Real]]-Table2[[#This Row],[Spread/V]]</f>
        <v>0</v>
      </c>
      <c r="AJ442" s="9">
        <f>Table2[[#This Row],[EV/Real]]-Table2[[#This Row],[Spread/V]]</f>
        <v>0</v>
      </c>
      <c r="AK442" s="9">
        <f>Table2[[#This Row],[SRS/Diff]]-Table2[[#This Row],[EV/Diff]]</f>
        <v>0</v>
      </c>
      <c r="AL442" s="19">
        <f>Table2[[#This Row],[SRS]]-Table2[[#This Row],[Spread]]</f>
        <v>-9.5486885245901671</v>
      </c>
      <c r="AM442" s="22">
        <f>Table2[[#This Row],[(A) Err]]^2</f>
        <v>91.177452539639944</v>
      </c>
      <c r="AN442" s="4">
        <f>Table2[[#This Row],[EV]]-Table2[[#This Row],[Spread]]</f>
        <v>-13.101291877830192</v>
      </c>
      <c r="AO442" s="4">
        <f>Table2[[#This Row],[EV Err]]^2</f>
        <v>171.64384886809935</v>
      </c>
      <c r="AP442" s="1"/>
    </row>
    <row r="443" spans="1:42" x14ac:dyDescent="0.25">
      <c r="A443" s="34">
        <v>42727</v>
      </c>
      <c r="B443" t="s">
        <v>110</v>
      </c>
      <c r="C443" t="s">
        <v>129</v>
      </c>
      <c r="E443" s="21"/>
      <c r="G443" s="21"/>
      <c r="H443" s="7"/>
      <c r="I443" s="21"/>
      <c r="K443"/>
      <c r="L443" s="21">
        <f>(Table2[[#This Row],[H/Pace]]/100)*(VLOOKUP(Table2[[#This Row],[Home/Neutral]],home_lookup,8,FALSE)+VLOOKUP(Table2[[#This Row],[Home/Neutral]],OFR_lookup,2,FALSE)+VLOOKUP(Table2[[#This Row],[Visitor/Neutral]],def_diff_lookup,6,FALSE))</f>
        <v>103.9160311890094</v>
      </c>
      <c r="M443" s="21"/>
      <c r="N443" s="21">
        <f>(Table2[[#This Row],[A/Pace]]/100)*(VLOOKUP(Table2[[#This Row],[Visitor/Neutral]],OFR_lookup,2,FALSE)+VLOOKUP(Table2[[#This Row],[Home/Neutral]],def_diff_lookup,6,FALSE))</f>
        <v>105.89600999999999</v>
      </c>
      <c r="O443" s="21"/>
      <c r="P443" s="21"/>
      <c r="Q443">
        <f>VLOOKUP(Table2[[#This Row],[Home/Neutral]],pace_lookup,7,FALSE)</f>
        <v>96.2</v>
      </c>
      <c r="R443" s="5">
        <f>VLOOKUP(Table2[[#This Row],[Visitor/Neutral]],pace_lookup,7,FALSE)</f>
        <v>99</v>
      </c>
      <c r="S443" s="7"/>
      <c r="U443" s="15"/>
      <c r="W443" s="2">
        <f>-home-VLOOKUP(Table2[[#This Row],[Home/Neutral]],rtg_vlookup,4,FALSE)+VLOOKUP(Table2[[#This Row],[Visitor/Neutral]],rtg_vlookup,4,FALSE)</f>
        <v>-1.7486885245901658</v>
      </c>
      <c r="X443" s="15"/>
      <c r="Y443" s="2"/>
      <c r="Z443" s="2">
        <f>Table2[[#This Row],[A/EV]]-Table2[[#This Row],[H/EV]]</f>
        <v>1.9799788109905876</v>
      </c>
      <c r="AA443" s="29"/>
      <c r="AB443" s="30"/>
      <c r="AC443" s="30"/>
      <c r="AD443" s="30"/>
      <c r="AE443" s="30"/>
      <c r="AF443" s="7" t="b">
        <f>IF(VLOOKUP(Table2[[#This Row],[Home/Neutral]],division_lookup,9,FALSE)=VLOOKUP(Table2[[#This Row],[Visitor/Neutral]],division_lookup,9,FALSE),TRUE,FALSE)</f>
        <v>0</v>
      </c>
      <c r="AG443" s="15" t="str">
        <f>VLOOKUP(Table2[[#This Row],[Home/Neutral]],division_lookup,9,FALSE)</f>
        <v>A</v>
      </c>
      <c r="AH443" s="15" t="str">
        <f>IF(Table2[[#This Row],[Total/EV]]&lt;Table2[[#This Row],[Total/V]],"UNDER","OVER")</f>
        <v>OVER</v>
      </c>
      <c r="AI443" s="26">
        <f>Table2[[#This Row],[SRS/Real]]-Table2[[#This Row],[Spread/V]]</f>
        <v>0</v>
      </c>
      <c r="AJ443" s="2">
        <f>Table2[[#This Row],[EV/Real]]-Table2[[#This Row],[Spread/V]]</f>
        <v>0</v>
      </c>
      <c r="AK443" s="2">
        <f>Table2[[#This Row],[SRS/Diff]]-Table2[[#This Row],[EV/Diff]]</f>
        <v>0</v>
      </c>
      <c r="AL443" s="18">
        <f>Table2[[#This Row],[SRS]]-Table2[[#This Row],[Spread]]</f>
        <v>-1.7486885245901658</v>
      </c>
      <c r="AM443" s="21">
        <f>Table2[[#This Row],[(A) Err]]^2</f>
        <v>3.0579115560333308</v>
      </c>
      <c r="AN443" s="6">
        <f>Table2[[#This Row],[EV]]-Table2[[#This Row],[Spread]]</f>
        <v>1.9799788109905876</v>
      </c>
      <c r="AO443" s="1">
        <f>Table2[[#This Row],[EV Err]]^2</f>
        <v>3.9203160919717011</v>
      </c>
      <c r="AP443" s="1"/>
    </row>
    <row r="444" spans="1:42" x14ac:dyDescent="0.25">
      <c r="A444" s="34">
        <v>42727</v>
      </c>
      <c r="B444" t="s">
        <v>112</v>
      </c>
      <c r="C444" t="s">
        <v>113</v>
      </c>
      <c r="E444" s="21"/>
      <c r="G444" s="21"/>
      <c r="H444" s="7"/>
      <c r="I444" s="21"/>
      <c r="K444"/>
      <c r="L444" s="21">
        <f>(Table2[[#This Row],[H/Pace]]/100)*(VLOOKUP(Table2[[#This Row],[Home/Neutral]],home_lookup,8,FALSE)+VLOOKUP(Table2[[#This Row],[Home/Neutral]],OFR_lookup,2,FALSE)+VLOOKUP(Table2[[#This Row],[Visitor/Neutral]],def_diff_lookup,6,FALSE))</f>
        <v>103.74146195313484</v>
      </c>
      <c r="M444" s="21"/>
      <c r="N444" s="21">
        <f>(Table2[[#This Row],[A/Pace]]/100)*(VLOOKUP(Table2[[#This Row],[Visitor/Neutral]],OFR_lookup,2,FALSE)+VLOOKUP(Table2[[#This Row],[Home/Neutral]],def_diff_lookup,6,FALSE))</f>
        <v>104.529799</v>
      </c>
      <c r="O444" s="21"/>
      <c r="P444" s="21"/>
      <c r="Q444">
        <f>VLOOKUP(Table2[[#This Row],[Home/Neutral]],pace_lookup,7,FALSE)</f>
        <v>97.4</v>
      </c>
      <c r="R444" s="5">
        <f>VLOOKUP(Table2[[#This Row],[Visitor/Neutral]],pace_lookup,7,FALSE)</f>
        <v>95.1</v>
      </c>
      <c r="S444" s="7"/>
      <c r="U444" s="15"/>
      <c r="W444" s="2">
        <f>-home-VLOOKUP(Table2[[#This Row],[Home/Neutral]],rtg_vlookup,4,FALSE)+VLOOKUP(Table2[[#This Row],[Visitor/Neutral]],rtg_vlookup,4,FALSE)</f>
        <v>-0.16868852459016548</v>
      </c>
      <c r="X444" s="15"/>
      <c r="Y444" s="2"/>
      <c r="Z444" s="2">
        <f>Table2[[#This Row],[A/EV]]-Table2[[#This Row],[H/EV]]</f>
        <v>0.78833704686515205</v>
      </c>
      <c r="AA444" s="29"/>
      <c r="AB444" s="30"/>
      <c r="AC444" s="30"/>
      <c r="AD444" s="30"/>
      <c r="AE444" s="30"/>
      <c r="AF444" s="7" t="b">
        <f>IF(VLOOKUP(Table2[[#This Row],[Home/Neutral]],division_lookup,9,FALSE)=VLOOKUP(Table2[[#This Row],[Visitor/Neutral]],division_lookup,9,FALSE),TRUE,FALSE)</f>
        <v>0</v>
      </c>
      <c r="AG444" s="15" t="str">
        <f>VLOOKUP(Table2[[#This Row],[Home/Neutral]],division_lookup,9,FALSE)</f>
        <v>SE</v>
      </c>
      <c r="AH444" s="15" t="str">
        <f>IF(Table2[[#This Row],[Total/EV]]&lt;Table2[[#This Row],[Total/V]],"UNDER","OVER")</f>
        <v>OVER</v>
      </c>
      <c r="AI444" s="26">
        <f>Table2[[#This Row],[SRS/Real]]-Table2[[#This Row],[Spread/V]]</f>
        <v>0</v>
      </c>
      <c r="AJ444" s="2">
        <f>Table2[[#This Row],[EV/Real]]-Table2[[#This Row],[Spread/V]]</f>
        <v>0</v>
      </c>
      <c r="AK444" s="2">
        <f>Table2[[#This Row],[SRS/Diff]]-Table2[[#This Row],[EV/Diff]]</f>
        <v>0</v>
      </c>
      <c r="AL444" s="18">
        <f>Table2[[#This Row],[SRS]]-Table2[[#This Row],[Spread]]</f>
        <v>-0.16868852459016548</v>
      </c>
      <c r="AM444" s="21">
        <f>Table2[[#This Row],[(A) Err]]^2</f>
        <v>2.8455818328406865E-2</v>
      </c>
      <c r="AN444" s="6">
        <f>Table2[[#This Row],[EV]]-Table2[[#This Row],[Spread]]</f>
        <v>0.78833704686515205</v>
      </c>
      <c r="AO444" s="1">
        <f>Table2[[#This Row],[EV Err]]^2</f>
        <v>0.62147529946006896</v>
      </c>
      <c r="AP444" s="1"/>
    </row>
    <row r="445" spans="1:42" x14ac:dyDescent="0.25">
      <c r="A445" s="34">
        <v>42727</v>
      </c>
      <c r="B445" t="s">
        <v>114</v>
      </c>
      <c r="C445" t="s">
        <v>111</v>
      </c>
      <c r="E445" s="21"/>
      <c r="G445" s="21"/>
      <c r="H445" s="7"/>
      <c r="I445" s="21"/>
      <c r="K445"/>
      <c r="L445" s="21">
        <f>(Table2[[#This Row],[H/Pace]]/100)*(VLOOKUP(Table2[[#This Row],[Home/Neutral]],home_lookup,8,FALSE)+VLOOKUP(Table2[[#This Row],[Home/Neutral]],OFR_lookup,2,FALSE)+VLOOKUP(Table2[[#This Row],[Visitor/Neutral]],def_diff_lookup,6,FALSE))</f>
        <v>118.45478276756467</v>
      </c>
      <c r="M445" s="21"/>
      <c r="N445" s="21">
        <f>(Table2[[#This Row],[A/Pace]]/100)*(VLOOKUP(Table2[[#This Row],[Visitor/Neutral]],OFR_lookup,2,FALSE)+VLOOKUP(Table2[[#This Row],[Home/Neutral]],def_diff_lookup,6,FALSE))</f>
        <v>103.66838</v>
      </c>
      <c r="O445" s="21"/>
      <c r="P445" s="21"/>
      <c r="Q445">
        <f>VLOOKUP(Table2[[#This Row],[Home/Neutral]],pace_lookup,7,FALSE)</f>
        <v>97.3</v>
      </c>
      <c r="R445" s="5">
        <f>VLOOKUP(Table2[[#This Row],[Visitor/Neutral]],pace_lookup,7,FALSE)</f>
        <v>102</v>
      </c>
      <c r="S445" s="7"/>
      <c r="U445" s="15"/>
      <c r="W445" s="2">
        <f>-home-VLOOKUP(Table2[[#This Row],[Home/Neutral]],rtg_vlookup,4,FALSE)+VLOOKUP(Table2[[#This Row],[Visitor/Neutral]],rtg_vlookup,4,FALSE)</f>
        <v>-20.208688524590166</v>
      </c>
      <c r="X445" s="15"/>
      <c r="Y445" s="2"/>
      <c r="Z445" s="2">
        <f>Table2[[#This Row],[A/EV]]-Table2[[#This Row],[H/EV]]</f>
        <v>-14.786402767564667</v>
      </c>
      <c r="AA445" s="29"/>
      <c r="AB445" s="30"/>
      <c r="AC445" s="30"/>
      <c r="AD445" s="30"/>
      <c r="AE445" s="30"/>
      <c r="AF445" s="7" t="b">
        <f>IF(VLOOKUP(Table2[[#This Row],[Home/Neutral]],division_lookup,9,FALSE)=VLOOKUP(Table2[[#This Row],[Visitor/Neutral]],division_lookup,9,FALSE),TRUE,FALSE)</f>
        <v>0</v>
      </c>
      <c r="AG445" s="15" t="str">
        <f>VLOOKUP(Table2[[#This Row],[Home/Neutral]],division_lookup,9,FALSE)</f>
        <v>C</v>
      </c>
      <c r="AH445" s="15" t="str">
        <f>IF(Table2[[#This Row],[Total/EV]]&lt;Table2[[#This Row],[Total/V]],"UNDER","OVER")</f>
        <v>OVER</v>
      </c>
      <c r="AI445" s="26">
        <f>Table2[[#This Row],[SRS/Real]]-Table2[[#This Row],[Spread/V]]</f>
        <v>0</v>
      </c>
      <c r="AJ445" s="2">
        <f>Table2[[#This Row],[EV/Real]]-Table2[[#This Row],[Spread/V]]</f>
        <v>0</v>
      </c>
      <c r="AK445" s="2">
        <f>Table2[[#This Row],[SRS/Diff]]-Table2[[#This Row],[EV/Diff]]</f>
        <v>0</v>
      </c>
      <c r="AL445" s="18">
        <f>Table2[[#This Row],[SRS]]-Table2[[#This Row],[Spread]]</f>
        <v>-20.208688524590166</v>
      </c>
      <c r="AM445" s="21">
        <f>Table2[[#This Row],[(A) Err]]^2</f>
        <v>408.39109188390222</v>
      </c>
      <c r="AN445" s="6">
        <f>Table2[[#This Row],[EV]]-Table2[[#This Row],[Spread]]</f>
        <v>-14.786402767564667</v>
      </c>
      <c r="AO445" s="1">
        <f>Table2[[#This Row],[EV Err]]^2</f>
        <v>218.63770680464404</v>
      </c>
      <c r="AP445" s="1"/>
    </row>
    <row r="446" spans="1:42" x14ac:dyDescent="0.25">
      <c r="A446" s="34">
        <v>42727</v>
      </c>
      <c r="B446" t="s">
        <v>116</v>
      </c>
      <c r="C446" t="s">
        <v>109</v>
      </c>
      <c r="E446" s="21"/>
      <c r="G446" s="21"/>
      <c r="H446" s="7"/>
      <c r="I446" s="21"/>
      <c r="K446"/>
      <c r="L446" s="21">
        <f>(Table2[[#This Row],[H/Pace]]/100)*(VLOOKUP(Table2[[#This Row],[Home/Neutral]],home_lookup,8,FALSE)+VLOOKUP(Table2[[#This Row],[Home/Neutral]],OFR_lookup,2,FALSE)+VLOOKUP(Table2[[#This Row],[Visitor/Neutral]],def_diff_lookup,6,FALSE))</f>
        <v>98.107524701618644</v>
      </c>
      <c r="M446" s="21"/>
      <c r="N446" s="21">
        <f>(Table2[[#This Row],[A/Pace]]/100)*(VLOOKUP(Table2[[#This Row],[Visitor/Neutral]],OFR_lookup,2,FALSE)+VLOOKUP(Table2[[#This Row],[Home/Neutral]],def_diff_lookup,6,FALSE))</f>
        <v>101.51698133333332</v>
      </c>
      <c r="O446" s="21"/>
      <c r="P446" s="21"/>
      <c r="Q446">
        <f>VLOOKUP(Table2[[#This Row],[Home/Neutral]],pace_lookup,7,FALSE)</f>
        <v>99.1</v>
      </c>
      <c r="R446" s="5">
        <f>VLOOKUP(Table2[[#This Row],[Visitor/Neutral]],pace_lookup,7,FALSE)</f>
        <v>99.2</v>
      </c>
      <c r="S446" s="7"/>
      <c r="U446" s="15"/>
      <c r="W446" s="2">
        <f>-home-VLOOKUP(Table2[[#This Row],[Home/Neutral]],rtg_vlookup,4,FALSE)+VLOOKUP(Table2[[#This Row],[Visitor/Neutral]],rtg_vlookup,4,FALSE)</f>
        <v>0.24131147540983422</v>
      </c>
      <c r="X446" s="15"/>
      <c r="Y446" s="2"/>
      <c r="Z446" s="2">
        <f>Table2[[#This Row],[A/EV]]-Table2[[#This Row],[H/EV]]</f>
        <v>3.4094566317146757</v>
      </c>
      <c r="AA446" s="29"/>
      <c r="AB446" s="30"/>
      <c r="AC446" s="30"/>
      <c r="AD446" s="30"/>
      <c r="AE446" s="30"/>
      <c r="AF446" s="7" t="b">
        <f>IF(VLOOKUP(Table2[[#This Row],[Home/Neutral]],division_lookup,9,FALSE)=VLOOKUP(Table2[[#This Row],[Visitor/Neutral]],division_lookup,9,FALSE),TRUE,FALSE)</f>
        <v>0</v>
      </c>
      <c r="AG446" s="15" t="str">
        <f>VLOOKUP(Table2[[#This Row],[Home/Neutral]],division_lookup,9,FALSE)</f>
        <v>NW</v>
      </c>
      <c r="AH446" s="15" t="str">
        <f>IF(Table2[[#This Row],[Total/EV]]&lt;Table2[[#This Row],[Total/V]],"UNDER","OVER")</f>
        <v>OVER</v>
      </c>
      <c r="AI446" s="26">
        <f>Table2[[#This Row],[SRS/Real]]-Table2[[#This Row],[Spread/V]]</f>
        <v>0</v>
      </c>
      <c r="AJ446" s="2">
        <f>Table2[[#This Row],[EV/Real]]-Table2[[#This Row],[Spread/V]]</f>
        <v>0</v>
      </c>
      <c r="AK446" s="2">
        <f>Table2[[#This Row],[SRS/Diff]]-Table2[[#This Row],[EV/Diff]]</f>
        <v>0</v>
      </c>
      <c r="AL446" s="18">
        <f>Table2[[#This Row],[SRS]]-Table2[[#This Row],[Spread]]</f>
        <v>0.24131147540983422</v>
      </c>
      <c r="AM446" s="21">
        <f>Table2[[#This Row],[(A) Err]]^2</f>
        <v>5.8231228164471023E-2</v>
      </c>
      <c r="AN446" s="6">
        <f>Table2[[#This Row],[EV]]-Table2[[#This Row],[Spread]]</f>
        <v>3.4094566317146757</v>
      </c>
      <c r="AO446" s="1">
        <f>Table2[[#This Row],[EV Err]]^2</f>
        <v>11.624394523543183</v>
      </c>
      <c r="AP446" s="1"/>
    </row>
    <row r="447" spans="1:42" x14ac:dyDescent="0.25">
      <c r="A447" s="34">
        <v>42727</v>
      </c>
      <c r="B447" t="s">
        <v>117</v>
      </c>
      <c r="C447" t="s">
        <v>118</v>
      </c>
      <c r="E447" s="21"/>
      <c r="G447" s="21"/>
      <c r="H447" s="7"/>
      <c r="I447" s="21"/>
      <c r="K447"/>
      <c r="L447" s="21">
        <f>(Table2[[#This Row],[H/Pace]]/100)*(VLOOKUP(Table2[[#This Row],[Home/Neutral]],home_lookup,8,FALSE)+VLOOKUP(Table2[[#This Row],[Home/Neutral]],OFR_lookup,2,FALSE)+VLOOKUP(Table2[[#This Row],[Visitor/Neutral]],def_diff_lookup,6,FALSE))</f>
        <v>111.1649959144643</v>
      </c>
      <c r="M447" s="21"/>
      <c r="N447" s="21">
        <f>(Table2[[#This Row],[A/Pace]]/100)*(VLOOKUP(Table2[[#This Row],[Visitor/Neutral]],OFR_lookup,2,FALSE)+VLOOKUP(Table2[[#This Row],[Home/Neutral]],def_diff_lookup,6,FALSE))</f>
        <v>113.48780933333333</v>
      </c>
      <c r="O447" s="21"/>
      <c r="P447" s="21"/>
      <c r="Q447">
        <f>VLOOKUP(Table2[[#This Row],[Home/Neutral]],pace_lookup,7,FALSE)</f>
        <v>94</v>
      </c>
      <c r="R447" s="5">
        <f>VLOOKUP(Table2[[#This Row],[Visitor/Neutral]],pace_lookup,7,FALSE)</f>
        <v>100.4</v>
      </c>
      <c r="S447" s="7"/>
      <c r="U447" s="15"/>
      <c r="W447" s="2">
        <f>-home-VLOOKUP(Table2[[#This Row],[Home/Neutral]],rtg_vlookup,4,FALSE)+VLOOKUP(Table2[[#This Row],[Visitor/Neutral]],rtg_vlookup,4,FALSE)</f>
        <v>7.0713114754098338</v>
      </c>
      <c r="X447" s="15"/>
      <c r="Y447" s="2"/>
      <c r="Z447" s="2">
        <f>Table2[[#This Row],[A/EV]]-Table2[[#This Row],[H/EV]]</f>
        <v>2.3228134188690319</v>
      </c>
      <c r="AA447" s="29"/>
      <c r="AB447" s="30"/>
      <c r="AC447" s="30"/>
      <c r="AD447" s="30"/>
      <c r="AE447" s="30"/>
      <c r="AF447" s="7" t="b">
        <f>IF(VLOOKUP(Table2[[#This Row],[Home/Neutral]],division_lookup,9,FALSE)=VLOOKUP(Table2[[#This Row],[Visitor/Neutral]],division_lookup,9,FALSE),TRUE,FALSE)</f>
        <v>0</v>
      </c>
      <c r="AG447" s="15" t="str">
        <f>VLOOKUP(Table2[[#This Row],[Home/Neutral]],division_lookup,9,FALSE)</f>
        <v>C</v>
      </c>
      <c r="AH447" s="15" t="str">
        <f>IF(Table2[[#This Row],[Total/EV]]&lt;Table2[[#This Row],[Total/V]],"UNDER","OVER")</f>
        <v>OVER</v>
      </c>
      <c r="AI447" s="26">
        <f>Table2[[#This Row],[SRS/Real]]-Table2[[#This Row],[Spread/V]]</f>
        <v>0</v>
      </c>
      <c r="AJ447" s="2">
        <f>Table2[[#This Row],[EV/Real]]-Table2[[#This Row],[Spread/V]]</f>
        <v>0</v>
      </c>
      <c r="AK447" s="2">
        <f>Table2[[#This Row],[SRS/Diff]]-Table2[[#This Row],[EV/Diff]]</f>
        <v>0</v>
      </c>
      <c r="AL447" s="18">
        <f>Table2[[#This Row],[SRS]]-Table2[[#This Row],[Spread]]</f>
        <v>7.0713114754098338</v>
      </c>
      <c r="AM447" s="21">
        <f>Table2[[#This Row],[(A) Err]]^2</f>
        <v>50.003445982262804</v>
      </c>
      <c r="AN447" s="6">
        <f>Table2[[#This Row],[EV]]-Table2[[#This Row],[Spread]]</f>
        <v>2.3228134188690319</v>
      </c>
      <c r="AO447" s="1">
        <f>Table2[[#This Row],[EV Err]]^2</f>
        <v>5.3954621788780406</v>
      </c>
      <c r="AP447" s="1"/>
    </row>
    <row r="448" spans="1:42" x14ac:dyDescent="0.25">
      <c r="A448" s="34">
        <v>42727</v>
      </c>
      <c r="B448" t="s">
        <v>121</v>
      </c>
      <c r="C448" t="s">
        <v>115</v>
      </c>
      <c r="E448" s="21"/>
      <c r="G448" s="21"/>
      <c r="H448" s="7"/>
      <c r="I448" s="21"/>
      <c r="K448"/>
      <c r="L448" s="21">
        <f>(Table2[[#This Row],[H/Pace]]/100)*(VLOOKUP(Table2[[#This Row],[Home/Neutral]],home_lookup,8,FALSE)+VLOOKUP(Table2[[#This Row],[Home/Neutral]],OFR_lookup,2,FALSE)+VLOOKUP(Table2[[#This Row],[Visitor/Neutral]],def_diff_lookup,6,FALSE))</f>
        <v>113.20560060751254</v>
      </c>
      <c r="M448" s="21"/>
      <c r="N448" s="21">
        <f>(Table2[[#This Row],[A/Pace]]/100)*(VLOOKUP(Table2[[#This Row],[Visitor/Neutral]],OFR_lookup,2,FALSE)+VLOOKUP(Table2[[#This Row],[Home/Neutral]],def_diff_lookup,6,FALSE))</f>
        <v>86.225754333333342</v>
      </c>
      <c r="O448" s="21"/>
      <c r="P448" s="21"/>
      <c r="Q448">
        <f>VLOOKUP(Table2[[#This Row],[Home/Neutral]],pace_lookup,7,FALSE)</f>
        <v>96.4</v>
      </c>
      <c r="R448" s="5">
        <f>VLOOKUP(Table2[[#This Row],[Visitor/Neutral]],pace_lookup,7,FALSE)</f>
        <v>92.9</v>
      </c>
      <c r="S448" s="7"/>
      <c r="U448" s="15"/>
      <c r="W448" s="2">
        <f>-home-VLOOKUP(Table2[[#This Row],[Home/Neutral]],rtg_vlookup,4,FALSE)+VLOOKUP(Table2[[#This Row],[Visitor/Neutral]],rtg_vlookup,4,FALSE)</f>
        <v>-24.368688524590166</v>
      </c>
      <c r="X448" s="15"/>
      <c r="Y448" s="2"/>
      <c r="Z448" s="2">
        <f>Table2[[#This Row],[A/EV]]-Table2[[#This Row],[H/EV]]</f>
        <v>-26.979846274179195</v>
      </c>
      <c r="AA448" s="29"/>
      <c r="AB448" s="30"/>
      <c r="AC448" s="30"/>
      <c r="AD448" s="30"/>
      <c r="AE448" s="30"/>
      <c r="AF448" s="7" t="b">
        <f>IF(VLOOKUP(Table2[[#This Row],[Home/Neutral]],division_lookup,9,FALSE)=VLOOKUP(Table2[[#This Row],[Visitor/Neutral]],division_lookup,9,FALSE),TRUE,FALSE)</f>
        <v>0</v>
      </c>
      <c r="AG448" s="15" t="str">
        <f>VLOOKUP(Table2[[#This Row],[Home/Neutral]],division_lookup,9,FALSE)</f>
        <v>P</v>
      </c>
      <c r="AH448" s="15" t="str">
        <f>IF(Table2[[#This Row],[Total/EV]]&lt;Table2[[#This Row],[Total/V]],"UNDER","OVER")</f>
        <v>OVER</v>
      </c>
      <c r="AI448" s="26">
        <f>Table2[[#This Row],[SRS/Real]]-Table2[[#This Row],[Spread/V]]</f>
        <v>0</v>
      </c>
      <c r="AJ448" s="2">
        <f>Table2[[#This Row],[EV/Real]]-Table2[[#This Row],[Spread/V]]</f>
        <v>0</v>
      </c>
      <c r="AK448" s="2">
        <f>Table2[[#This Row],[SRS/Diff]]-Table2[[#This Row],[EV/Diff]]</f>
        <v>0</v>
      </c>
      <c r="AL448" s="18">
        <f>Table2[[#This Row],[SRS]]-Table2[[#This Row],[Spread]]</f>
        <v>-24.368688524590166</v>
      </c>
      <c r="AM448" s="21">
        <f>Table2[[#This Row],[(A) Err]]^2</f>
        <v>593.8329804084924</v>
      </c>
      <c r="AN448" s="6">
        <f>Table2[[#This Row],[EV]]-Table2[[#This Row],[Spread]]</f>
        <v>-26.979846274179195</v>
      </c>
      <c r="AO448" s="1">
        <f>Table2[[#This Row],[EV Err]]^2</f>
        <v>727.91210497834095</v>
      </c>
      <c r="AP448" s="1"/>
    </row>
    <row r="449" spans="1:42" x14ac:dyDescent="0.25">
      <c r="A449" s="34">
        <v>42727</v>
      </c>
      <c r="B449" t="s">
        <v>123</v>
      </c>
      <c r="C449" t="s">
        <v>119</v>
      </c>
      <c r="E449" s="21"/>
      <c r="G449" s="21"/>
      <c r="H449" s="7"/>
      <c r="I449" s="21"/>
      <c r="K449"/>
      <c r="L449" s="21">
        <f>(Table2[[#This Row],[H/Pace]]/100)*(VLOOKUP(Table2[[#This Row],[Home/Neutral]],home_lookup,8,FALSE)+VLOOKUP(Table2[[#This Row],[Home/Neutral]],OFR_lookup,2,FALSE)+VLOOKUP(Table2[[#This Row],[Visitor/Neutral]],def_diff_lookup,6,FALSE))</f>
        <v>104.26992709563919</v>
      </c>
      <c r="M449" s="21"/>
      <c r="N449" s="21">
        <f>(Table2[[#This Row],[A/Pace]]/100)*(VLOOKUP(Table2[[#This Row],[Visitor/Neutral]],OFR_lookup,2,FALSE)+VLOOKUP(Table2[[#This Row],[Home/Neutral]],def_diff_lookup,6,FALSE))</f>
        <v>106.110991</v>
      </c>
      <c r="O449" s="21"/>
      <c r="P449" s="21"/>
      <c r="Q449">
        <f>VLOOKUP(Table2[[#This Row],[Home/Neutral]],pace_lookup,7,FALSE)</f>
        <v>92.5</v>
      </c>
      <c r="R449" s="5">
        <f>VLOOKUP(Table2[[#This Row],[Visitor/Neutral]],pace_lookup,7,FALSE)</f>
        <v>96.9</v>
      </c>
      <c r="S449" s="7"/>
      <c r="U449" s="15"/>
      <c r="W449" s="2">
        <f>-home-VLOOKUP(Table2[[#This Row],[Home/Neutral]],rtg_vlookup,4,FALSE)+VLOOKUP(Table2[[#This Row],[Visitor/Neutral]],rtg_vlookup,4,FALSE)</f>
        <v>0.2213114754098342</v>
      </c>
      <c r="X449" s="15"/>
      <c r="Y449" s="2"/>
      <c r="Z449" s="2">
        <f>Table2[[#This Row],[A/EV]]-Table2[[#This Row],[H/EV]]</f>
        <v>1.8410639043608086</v>
      </c>
      <c r="AA449" s="29"/>
      <c r="AB449" s="30"/>
      <c r="AC449" s="30"/>
      <c r="AD449" s="30"/>
      <c r="AE449" s="30"/>
      <c r="AF449" s="7" t="b">
        <f>IF(VLOOKUP(Table2[[#This Row],[Home/Neutral]],division_lookup,9,FALSE)=VLOOKUP(Table2[[#This Row],[Visitor/Neutral]],division_lookup,9,FALSE),TRUE,FALSE)</f>
        <v>1</v>
      </c>
      <c r="AG449" s="15" t="str">
        <f>VLOOKUP(Table2[[#This Row],[Home/Neutral]],division_lookup,9,FALSE)</f>
        <v>SW</v>
      </c>
      <c r="AH449" s="15" t="str">
        <f>IF(Table2[[#This Row],[Total/EV]]&lt;Table2[[#This Row],[Total/V]],"UNDER","OVER")</f>
        <v>OVER</v>
      </c>
      <c r="AI449" s="26">
        <f>Table2[[#This Row],[SRS/Real]]-Table2[[#This Row],[Spread/V]]</f>
        <v>0</v>
      </c>
      <c r="AJ449" s="2">
        <f>Table2[[#This Row],[EV/Real]]-Table2[[#This Row],[Spread/V]]</f>
        <v>0</v>
      </c>
      <c r="AK449" s="2">
        <f>Table2[[#This Row],[SRS/Diff]]-Table2[[#This Row],[EV/Diff]]</f>
        <v>0</v>
      </c>
      <c r="AL449" s="18">
        <f>Table2[[#This Row],[SRS]]-Table2[[#This Row],[Spread]]</f>
        <v>0.2213114754098342</v>
      </c>
      <c r="AM449" s="21">
        <f>Table2[[#This Row],[(A) Err]]^2</f>
        <v>4.8978769148077646E-2</v>
      </c>
      <c r="AN449" s="6">
        <f>Table2[[#This Row],[EV]]-Table2[[#This Row],[Spread]]</f>
        <v>1.8410639043608086</v>
      </c>
      <c r="AO449" s="1">
        <f>Table2[[#This Row],[EV Err]]^2</f>
        <v>3.3895162999402646</v>
      </c>
      <c r="AP449" s="1"/>
    </row>
    <row r="450" spans="1:42" x14ac:dyDescent="0.25">
      <c r="A450" s="34">
        <v>42727</v>
      </c>
      <c r="B450" t="s">
        <v>125</v>
      </c>
      <c r="C450" t="s">
        <v>137</v>
      </c>
      <c r="E450" s="21"/>
      <c r="G450" s="21"/>
      <c r="H450" s="7"/>
      <c r="I450" s="21"/>
      <c r="K450"/>
      <c r="L450" s="21">
        <f>(Table2[[#This Row],[H/Pace]]/100)*(VLOOKUP(Table2[[#This Row],[Home/Neutral]],home_lookup,8,FALSE)+VLOOKUP(Table2[[#This Row],[Home/Neutral]],OFR_lookup,2,FALSE)+VLOOKUP(Table2[[#This Row],[Visitor/Neutral]],def_diff_lookup,6,FALSE))</f>
        <v>111.87078550061908</v>
      </c>
      <c r="M450" s="21"/>
      <c r="N450" s="21">
        <f>(Table2[[#This Row],[A/Pace]]/100)*(VLOOKUP(Table2[[#This Row],[Visitor/Neutral]],OFR_lookup,2,FALSE)+VLOOKUP(Table2[[#This Row],[Home/Neutral]],def_diff_lookup,6,FALSE))</f>
        <v>104.87584</v>
      </c>
      <c r="O450" s="21"/>
      <c r="P450" s="21"/>
      <c r="Q450">
        <f>VLOOKUP(Table2[[#This Row],[Home/Neutral]],pace_lookup,7,FALSE)</f>
        <v>96.1</v>
      </c>
      <c r="R450" s="5">
        <f>VLOOKUP(Table2[[#This Row],[Visitor/Neutral]],pace_lookup,7,FALSE)</f>
        <v>96</v>
      </c>
      <c r="S450" s="7"/>
      <c r="U450" s="15"/>
      <c r="W450" s="2">
        <f>-home-VLOOKUP(Table2[[#This Row],[Home/Neutral]],rtg_vlookup,4,FALSE)+VLOOKUP(Table2[[#This Row],[Visitor/Neutral]],rtg_vlookup,4,FALSE)</f>
        <v>-3.2886885245901656</v>
      </c>
      <c r="X450" s="15"/>
      <c r="Y450" s="2"/>
      <c r="Z450" s="2">
        <f>Table2[[#This Row],[A/EV]]-Table2[[#This Row],[H/EV]]</f>
        <v>-6.9949455006190817</v>
      </c>
      <c r="AA450" s="29"/>
      <c r="AB450" s="30"/>
      <c r="AC450" s="30"/>
      <c r="AD450" s="30"/>
      <c r="AE450" s="30"/>
      <c r="AF450" s="7" t="b">
        <f>IF(VLOOKUP(Table2[[#This Row],[Home/Neutral]],division_lookup,9,FALSE)=VLOOKUP(Table2[[#This Row],[Visitor/Neutral]],division_lookup,9,FALSE),TRUE,FALSE)</f>
        <v>0</v>
      </c>
      <c r="AG450" s="15" t="str">
        <f>VLOOKUP(Table2[[#This Row],[Home/Neutral]],division_lookup,9,FALSE)</f>
        <v>C</v>
      </c>
      <c r="AH450" s="15" t="str">
        <f>IF(Table2[[#This Row],[Total/EV]]&lt;Table2[[#This Row],[Total/V]],"UNDER","OVER")</f>
        <v>OVER</v>
      </c>
      <c r="AI450" s="26">
        <f>Table2[[#This Row],[SRS/Real]]-Table2[[#This Row],[Spread/V]]</f>
        <v>0</v>
      </c>
      <c r="AJ450" s="2">
        <f>Table2[[#This Row],[EV/Real]]-Table2[[#This Row],[Spread/V]]</f>
        <v>0</v>
      </c>
      <c r="AK450" s="2">
        <f>Table2[[#This Row],[SRS/Diff]]-Table2[[#This Row],[EV/Diff]]</f>
        <v>0</v>
      </c>
      <c r="AL450" s="18">
        <f>Table2[[#This Row],[SRS]]-Table2[[#This Row],[Spread]]</f>
        <v>-3.2886885245901656</v>
      </c>
      <c r="AM450" s="21">
        <f>Table2[[#This Row],[(A) Err]]^2</f>
        <v>10.81547221177104</v>
      </c>
      <c r="AN450" s="6">
        <f>Table2[[#This Row],[EV]]-Table2[[#This Row],[Spread]]</f>
        <v>-6.9949455006190817</v>
      </c>
      <c r="AO450" s="1">
        <f>Table2[[#This Row],[EV Err]]^2</f>
        <v>48.929262556631137</v>
      </c>
      <c r="AP450" s="1"/>
    </row>
    <row r="451" spans="1:42" x14ac:dyDescent="0.25">
      <c r="A451" s="34">
        <v>42727</v>
      </c>
      <c r="B451" t="s">
        <v>126</v>
      </c>
      <c r="C451" t="s">
        <v>133</v>
      </c>
      <c r="E451" s="21"/>
      <c r="G451" s="21"/>
      <c r="H451" s="7"/>
      <c r="I451" s="21"/>
      <c r="K451"/>
      <c r="L451" s="21">
        <f>(Table2[[#This Row],[H/Pace]]/100)*(VLOOKUP(Table2[[#This Row],[Home/Neutral]],home_lookup,8,FALSE)+VLOOKUP(Table2[[#This Row],[Home/Neutral]],OFR_lookup,2,FALSE)+VLOOKUP(Table2[[#This Row],[Visitor/Neutral]],def_diff_lookup,6,FALSE))</f>
        <v>118.00313777050786</v>
      </c>
      <c r="M451" s="21"/>
      <c r="N451" s="21">
        <f>(Table2[[#This Row],[A/Pace]]/100)*(VLOOKUP(Table2[[#This Row],[Visitor/Neutral]],OFR_lookup,2,FALSE)+VLOOKUP(Table2[[#This Row],[Home/Neutral]],def_diff_lookup,6,FALSE))</f>
        <v>104.736898</v>
      </c>
      <c r="O451" s="21"/>
      <c r="P451" s="21"/>
      <c r="Q451">
        <f>VLOOKUP(Table2[[#This Row],[Home/Neutral]],pace_lookup,7,FALSE)</f>
        <v>95.7</v>
      </c>
      <c r="R451" s="5">
        <f>VLOOKUP(Table2[[#This Row],[Visitor/Neutral]],pace_lookup,7,FALSE)</f>
        <v>94.2</v>
      </c>
      <c r="S451" s="7"/>
      <c r="U451" s="15"/>
      <c r="W451" s="2">
        <f>-home-VLOOKUP(Table2[[#This Row],[Home/Neutral]],rtg_vlookup,4,FALSE)+VLOOKUP(Table2[[#This Row],[Visitor/Neutral]],rtg_vlookup,4,FALSE)</f>
        <v>-3.518688524590166</v>
      </c>
      <c r="X451" s="15"/>
      <c r="Y451" s="2"/>
      <c r="Z451" s="2">
        <f>Table2[[#This Row],[A/EV]]-Table2[[#This Row],[H/EV]]</f>
        <v>-13.266239770507866</v>
      </c>
      <c r="AA451" s="29"/>
      <c r="AB451" s="30"/>
      <c r="AC451" s="30"/>
      <c r="AD451" s="30"/>
      <c r="AE451" s="30"/>
      <c r="AF451" s="7" t="b">
        <f>IF(VLOOKUP(Table2[[#This Row],[Home/Neutral]],division_lookup,9,FALSE)=VLOOKUP(Table2[[#This Row],[Visitor/Neutral]],division_lookup,9,FALSE),TRUE,FALSE)</f>
        <v>0</v>
      </c>
      <c r="AG451" s="15" t="str">
        <f>VLOOKUP(Table2[[#This Row],[Home/Neutral]],division_lookup,9,FALSE)</f>
        <v>NW</v>
      </c>
      <c r="AH451" s="15" t="str">
        <f>IF(Table2[[#This Row],[Total/EV]]&lt;Table2[[#This Row],[Total/V]],"UNDER","OVER")</f>
        <v>OVER</v>
      </c>
      <c r="AI451" s="26">
        <f>Table2[[#This Row],[SRS/Real]]-Table2[[#This Row],[Spread/V]]</f>
        <v>0</v>
      </c>
      <c r="AJ451" s="2">
        <f>Table2[[#This Row],[EV/Real]]-Table2[[#This Row],[Spread/V]]</f>
        <v>0</v>
      </c>
      <c r="AK451" s="2">
        <f>Table2[[#This Row],[SRS/Diff]]-Table2[[#This Row],[EV/Diff]]</f>
        <v>0</v>
      </c>
      <c r="AL451" s="18">
        <f>Table2[[#This Row],[SRS]]-Table2[[#This Row],[Spread]]</f>
        <v>-3.518688524590166</v>
      </c>
      <c r="AM451" s="21">
        <f>Table2[[#This Row],[(A) Err]]^2</f>
        <v>12.381168933082519</v>
      </c>
      <c r="AN451" s="6">
        <f>Table2[[#This Row],[EV]]-Table2[[#This Row],[Spread]]</f>
        <v>-13.266239770507866</v>
      </c>
      <c r="AO451" s="1">
        <f>Table2[[#This Row],[EV Err]]^2</f>
        <v>175.9931176486046</v>
      </c>
      <c r="AP451" s="1"/>
    </row>
    <row r="452" spans="1:42" x14ac:dyDescent="0.25">
      <c r="A452" s="34">
        <v>42727</v>
      </c>
      <c r="B452" t="s">
        <v>127</v>
      </c>
      <c r="C452" t="s">
        <v>124</v>
      </c>
      <c r="E452" s="21"/>
      <c r="G452" s="21"/>
      <c r="H452" s="7"/>
      <c r="I452" s="21"/>
      <c r="K452"/>
      <c r="L452" s="21">
        <f>(Table2[[#This Row],[H/Pace]]/100)*(VLOOKUP(Table2[[#This Row],[Home/Neutral]],home_lookup,8,FALSE)+VLOOKUP(Table2[[#This Row],[Home/Neutral]],OFR_lookup,2,FALSE)+VLOOKUP(Table2[[#This Row],[Visitor/Neutral]],def_diff_lookup,6,FALSE))</f>
        <v>100.48497493743048</v>
      </c>
      <c r="M452" s="21"/>
      <c r="N452" s="21">
        <f>(Table2[[#This Row],[A/Pace]]/100)*(VLOOKUP(Table2[[#This Row],[Visitor/Neutral]],OFR_lookup,2,FALSE)+VLOOKUP(Table2[[#This Row],[Home/Neutral]],def_diff_lookup,6,FALSE))</f>
        <v>95.523089666666664</v>
      </c>
      <c r="O452" s="21"/>
      <c r="P452" s="21"/>
      <c r="Q452">
        <f>VLOOKUP(Table2[[#This Row],[Home/Neutral]],pace_lookup,7,FALSE)</f>
        <v>99.3</v>
      </c>
      <c r="R452" s="5">
        <f>VLOOKUP(Table2[[#This Row],[Visitor/Neutral]],pace_lookup,7,FALSE)</f>
        <v>93.7</v>
      </c>
      <c r="S452" s="7"/>
      <c r="U452" s="15"/>
      <c r="W452" s="2">
        <f>-home-VLOOKUP(Table2[[#This Row],[Home/Neutral]],rtg_vlookup,4,FALSE)+VLOOKUP(Table2[[#This Row],[Visitor/Neutral]],rtg_vlookup,4,FALSE)</f>
        <v>-1.3186885245901656</v>
      </c>
      <c r="X452" s="15"/>
      <c r="Y452" s="2"/>
      <c r="Z452" s="2">
        <f>Table2[[#This Row],[A/EV]]-Table2[[#This Row],[H/EV]]</f>
        <v>-4.9618852707638155</v>
      </c>
      <c r="AA452" s="29"/>
      <c r="AB452" s="30"/>
      <c r="AC452" s="30"/>
      <c r="AD452" s="30"/>
      <c r="AE452" s="30"/>
      <c r="AF452" s="7" t="b">
        <f>IF(VLOOKUP(Table2[[#This Row],[Home/Neutral]],division_lookup,9,FALSE)=VLOOKUP(Table2[[#This Row],[Visitor/Neutral]],division_lookup,9,FALSE),TRUE,FALSE)</f>
        <v>0</v>
      </c>
      <c r="AG452" s="15" t="str">
        <f>VLOOKUP(Table2[[#This Row],[Home/Neutral]],division_lookup,9,FALSE)</f>
        <v>SW</v>
      </c>
      <c r="AH452" s="15" t="str">
        <f>IF(Table2[[#This Row],[Total/EV]]&lt;Table2[[#This Row],[Total/V]],"UNDER","OVER")</f>
        <v>OVER</v>
      </c>
      <c r="AI452" s="26">
        <f>Table2[[#This Row],[SRS/Real]]-Table2[[#This Row],[Spread/V]]</f>
        <v>0</v>
      </c>
      <c r="AJ452" s="2">
        <f>Table2[[#This Row],[EV/Real]]-Table2[[#This Row],[Spread/V]]</f>
        <v>0</v>
      </c>
      <c r="AK452" s="2">
        <f>Table2[[#This Row],[SRS/Diff]]-Table2[[#This Row],[EV/Diff]]</f>
        <v>0</v>
      </c>
      <c r="AL452" s="18">
        <f>Table2[[#This Row],[SRS]]-Table2[[#This Row],[Spread]]</f>
        <v>-1.3186885245901656</v>
      </c>
      <c r="AM452" s="21">
        <f>Table2[[#This Row],[(A) Err]]^2</f>
        <v>1.7389394248857879</v>
      </c>
      <c r="AN452" s="6">
        <f>Table2[[#This Row],[EV]]-Table2[[#This Row],[Spread]]</f>
        <v>-4.9618852707638155</v>
      </c>
      <c r="AO452" s="1">
        <f>Table2[[#This Row],[EV Err]]^2</f>
        <v>24.620305440222904</v>
      </c>
      <c r="AP452" s="1"/>
    </row>
    <row r="453" spans="1:42" x14ac:dyDescent="0.25">
      <c r="A453" s="34">
        <v>42727</v>
      </c>
      <c r="B453" t="s">
        <v>130</v>
      </c>
      <c r="C453" t="s">
        <v>122</v>
      </c>
      <c r="E453" s="21"/>
      <c r="G453" s="21"/>
      <c r="H453" s="7"/>
      <c r="I453" s="21"/>
      <c r="K453"/>
      <c r="L453" s="21">
        <f>(Table2[[#This Row],[H/Pace]]/100)*(VLOOKUP(Table2[[#This Row],[Home/Neutral]],home_lookup,8,FALSE)+VLOOKUP(Table2[[#This Row],[Home/Neutral]],OFR_lookup,2,FALSE)+VLOOKUP(Table2[[#This Row],[Visitor/Neutral]],def_diff_lookup,6,FALSE))</f>
        <v>100.7833049671094</v>
      </c>
      <c r="M453" s="21"/>
      <c r="N453" s="21">
        <f>(Table2[[#This Row],[A/Pace]]/100)*(VLOOKUP(Table2[[#This Row],[Visitor/Neutral]],OFR_lookup,2,FALSE)+VLOOKUP(Table2[[#This Row],[Home/Neutral]],def_diff_lookup,6,FALSE))</f>
        <v>108.99321799999998</v>
      </c>
      <c r="O453" s="21"/>
      <c r="P453" s="21"/>
      <c r="Q453">
        <f>VLOOKUP(Table2[[#This Row],[Home/Neutral]],pace_lookup,7,FALSE)</f>
        <v>94.2</v>
      </c>
      <c r="R453" s="5">
        <f>VLOOKUP(Table2[[#This Row],[Visitor/Neutral]],pace_lookup,7,FALSE)</f>
        <v>100.2</v>
      </c>
      <c r="S453" s="7"/>
      <c r="U453" s="15"/>
      <c r="W453" s="2">
        <f>-home-VLOOKUP(Table2[[#This Row],[Home/Neutral]],rtg_vlookup,4,FALSE)+VLOOKUP(Table2[[#This Row],[Visitor/Neutral]],rtg_vlookup,4,FALSE)</f>
        <v>3.601311475409835</v>
      </c>
      <c r="X453" s="15"/>
      <c r="Y453" s="2"/>
      <c r="Z453" s="2">
        <f>Table2[[#This Row],[A/EV]]-Table2[[#This Row],[H/EV]]</f>
        <v>8.2099130328905829</v>
      </c>
      <c r="AA453" s="29"/>
      <c r="AB453" s="30"/>
      <c r="AC453" s="30"/>
      <c r="AD453" s="30"/>
      <c r="AE453" s="30"/>
      <c r="AF453" s="7" t="b">
        <f>IF(VLOOKUP(Table2[[#This Row],[Home/Neutral]],division_lookup,9,FALSE)=VLOOKUP(Table2[[#This Row],[Visitor/Neutral]],division_lookup,9,FALSE),TRUE,FALSE)</f>
        <v>0</v>
      </c>
      <c r="AG453" s="15" t="str">
        <f>VLOOKUP(Table2[[#This Row],[Home/Neutral]],division_lookup,9,FALSE)</f>
        <v>SE</v>
      </c>
      <c r="AH453" s="15" t="str">
        <f>IF(Table2[[#This Row],[Total/EV]]&lt;Table2[[#This Row],[Total/V]],"UNDER","OVER")</f>
        <v>OVER</v>
      </c>
      <c r="AI453" s="26">
        <f>Table2[[#This Row],[SRS/Real]]-Table2[[#This Row],[Spread/V]]</f>
        <v>0</v>
      </c>
      <c r="AJ453" s="2">
        <f>Table2[[#This Row],[EV/Real]]-Table2[[#This Row],[Spread/V]]</f>
        <v>0</v>
      </c>
      <c r="AK453" s="2">
        <f>Table2[[#This Row],[SRS/Diff]]-Table2[[#This Row],[EV/Diff]]</f>
        <v>0</v>
      </c>
      <c r="AL453" s="18">
        <f>Table2[[#This Row],[SRS]]-Table2[[#This Row],[Spread]]</f>
        <v>3.601311475409835</v>
      </c>
      <c r="AM453" s="21">
        <f>Table2[[#This Row],[(A) Err]]^2</f>
        <v>12.969444342918562</v>
      </c>
      <c r="AN453" s="6">
        <f>Table2[[#This Row],[EV]]-Table2[[#This Row],[Spread]]</f>
        <v>8.2099130328905829</v>
      </c>
      <c r="AO453" s="1">
        <f>Table2[[#This Row],[EV Err]]^2</f>
        <v>67.402672007626649</v>
      </c>
      <c r="AP453" s="1"/>
    </row>
    <row r="454" spans="1:42" x14ac:dyDescent="0.25">
      <c r="A454" s="34">
        <v>42727</v>
      </c>
      <c r="B454" t="s">
        <v>131</v>
      </c>
      <c r="C454" t="s">
        <v>138</v>
      </c>
      <c r="E454" s="21"/>
      <c r="G454" s="21"/>
      <c r="H454" s="7"/>
      <c r="I454" s="21"/>
      <c r="K454"/>
      <c r="L454" s="21">
        <f>(Table2[[#This Row],[H/Pace]]/100)*(VLOOKUP(Table2[[#This Row],[Home/Neutral]],home_lookup,8,FALSE)+VLOOKUP(Table2[[#This Row],[Home/Neutral]],OFR_lookup,2,FALSE)+VLOOKUP(Table2[[#This Row],[Visitor/Neutral]],def_diff_lookup,6,FALSE))</f>
        <v>98.713069791197668</v>
      </c>
      <c r="M454" s="21"/>
      <c r="N454" s="21">
        <f>(Table2[[#This Row],[A/Pace]]/100)*(VLOOKUP(Table2[[#This Row],[Visitor/Neutral]],OFR_lookup,2,FALSE)+VLOOKUP(Table2[[#This Row],[Home/Neutral]],def_diff_lookup,6,FALSE))</f>
        <v>97.388525000000001</v>
      </c>
      <c r="O454" s="21"/>
      <c r="P454" s="21"/>
      <c r="Q454">
        <f>VLOOKUP(Table2[[#This Row],[Home/Neutral]],pace_lookup,7,FALSE)</f>
        <v>101.7</v>
      </c>
      <c r="R454" s="5">
        <f>VLOOKUP(Table2[[#This Row],[Visitor/Neutral]],pace_lookup,7,FALSE)</f>
        <v>97.5</v>
      </c>
      <c r="S454" s="7"/>
      <c r="U454" s="15"/>
      <c r="W454" s="2">
        <f>-home-VLOOKUP(Table2[[#This Row],[Home/Neutral]],rtg_vlookup,4,FALSE)+VLOOKUP(Table2[[#This Row],[Visitor/Neutral]],rtg_vlookup,4,FALSE)</f>
        <v>-6.0286885245901667</v>
      </c>
      <c r="X454" s="15"/>
      <c r="Y454" s="2"/>
      <c r="Z454" s="2">
        <f>Table2[[#This Row],[A/EV]]-Table2[[#This Row],[H/EV]]</f>
        <v>-1.3245447911976669</v>
      </c>
      <c r="AA454" s="29"/>
      <c r="AB454" s="30"/>
      <c r="AC454" s="30"/>
      <c r="AD454" s="30"/>
      <c r="AE454" s="30"/>
      <c r="AF454" s="7" t="b">
        <f>IF(VLOOKUP(Table2[[#This Row],[Home/Neutral]],division_lookup,9,FALSE)=VLOOKUP(Table2[[#This Row],[Visitor/Neutral]],division_lookup,9,FALSE),TRUE,FALSE)</f>
        <v>0</v>
      </c>
      <c r="AG454" s="15" t="str">
        <f>VLOOKUP(Table2[[#This Row],[Home/Neutral]],division_lookup,9,FALSE)</f>
        <v>P</v>
      </c>
      <c r="AH454" s="15" t="str">
        <f>IF(Table2[[#This Row],[Total/EV]]&lt;Table2[[#This Row],[Total/V]],"UNDER","OVER")</f>
        <v>OVER</v>
      </c>
      <c r="AI454" s="26">
        <f>Table2[[#This Row],[SRS/Real]]-Table2[[#This Row],[Spread/V]]</f>
        <v>0</v>
      </c>
      <c r="AJ454" s="2">
        <f>Table2[[#This Row],[EV/Real]]-Table2[[#This Row],[Spread/V]]</f>
        <v>0</v>
      </c>
      <c r="AK454" s="2">
        <f>Table2[[#This Row],[SRS/Diff]]-Table2[[#This Row],[EV/Diff]]</f>
        <v>0</v>
      </c>
      <c r="AL454" s="18">
        <f>Table2[[#This Row],[SRS]]-Table2[[#This Row],[Spread]]</f>
        <v>-6.0286885245901667</v>
      </c>
      <c r="AM454" s="21">
        <f>Table2[[#This Row],[(A) Err]]^2</f>
        <v>36.345085326525158</v>
      </c>
      <c r="AN454" s="6">
        <f>Table2[[#This Row],[EV]]-Table2[[#This Row],[Spread]]</f>
        <v>-1.3245447911976669</v>
      </c>
      <c r="AO454" s="1">
        <f>Table2[[#This Row],[EV Err]]^2</f>
        <v>1.7544189038888709</v>
      </c>
      <c r="AP454" s="1"/>
    </row>
    <row r="455" spans="1:42" x14ac:dyDescent="0.25">
      <c r="A455" s="34">
        <v>42727</v>
      </c>
      <c r="B455" t="s">
        <v>132</v>
      </c>
      <c r="C455" t="s">
        <v>134</v>
      </c>
      <c r="E455" s="21"/>
      <c r="G455" s="21"/>
      <c r="H455" s="7"/>
      <c r="I455" s="21"/>
      <c r="K455"/>
      <c r="L455" s="21">
        <f>(Table2[[#This Row],[H/Pace]]/100)*(VLOOKUP(Table2[[#This Row],[Home/Neutral]],home_lookup,8,FALSE)+VLOOKUP(Table2[[#This Row],[Home/Neutral]],OFR_lookup,2,FALSE)+VLOOKUP(Table2[[#This Row],[Visitor/Neutral]],def_diff_lookup,6,FALSE))</f>
        <v>107.6309414460698</v>
      </c>
      <c r="M455" s="21"/>
      <c r="N455" s="21">
        <f>(Table2[[#This Row],[A/Pace]]/100)*(VLOOKUP(Table2[[#This Row],[Visitor/Neutral]],OFR_lookup,2,FALSE)+VLOOKUP(Table2[[#This Row],[Home/Neutral]],def_diff_lookup,6,FALSE))</f>
        <v>110.40409266666667</v>
      </c>
      <c r="O455" s="21"/>
      <c r="P455" s="21"/>
      <c r="Q455">
        <f>VLOOKUP(Table2[[#This Row],[Home/Neutral]],pace_lookup,7,FALSE)</f>
        <v>98.8</v>
      </c>
      <c r="R455" s="5">
        <f>VLOOKUP(Table2[[#This Row],[Visitor/Neutral]],pace_lookup,7,FALSE)</f>
        <v>93.4</v>
      </c>
      <c r="S455" s="7"/>
      <c r="U455" s="15"/>
      <c r="W455" s="2">
        <f>-home-VLOOKUP(Table2[[#This Row],[Home/Neutral]],rtg_vlookup,4,FALSE)+VLOOKUP(Table2[[#This Row],[Visitor/Neutral]],rtg_vlookup,4,FALSE)</f>
        <v>7.0513114754098343</v>
      </c>
      <c r="X455" s="15"/>
      <c r="Y455" s="2"/>
      <c r="Z455" s="2">
        <f>Table2[[#This Row],[A/EV]]-Table2[[#This Row],[H/EV]]</f>
        <v>2.7731512205968727</v>
      </c>
      <c r="AA455" s="29"/>
      <c r="AB455" s="30"/>
      <c r="AC455" s="30"/>
      <c r="AD455" s="30"/>
      <c r="AE455" s="30"/>
      <c r="AF455" s="7" t="b">
        <f>IF(VLOOKUP(Table2[[#This Row],[Home/Neutral]],division_lookup,9,FALSE)=VLOOKUP(Table2[[#This Row],[Visitor/Neutral]],division_lookup,9,FALSE),TRUE,FALSE)</f>
        <v>0</v>
      </c>
      <c r="AG455" s="15" t="str">
        <f>VLOOKUP(Table2[[#This Row],[Home/Neutral]],division_lookup,9,FALSE)</f>
        <v>NW</v>
      </c>
      <c r="AH455" s="15" t="str">
        <f>IF(Table2[[#This Row],[Total/EV]]&lt;Table2[[#This Row],[Total/V]],"UNDER","OVER")</f>
        <v>OVER</v>
      </c>
      <c r="AI455" s="26">
        <f>Table2[[#This Row],[SRS/Real]]-Table2[[#This Row],[Spread/V]]</f>
        <v>0</v>
      </c>
      <c r="AJ455" s="2">
        <f>Table2[[#This Row],[EV/Real]]-Table2[[#This Row],[Spread/V]]</f>
        <v>0</v>
      </c>
      <c r="AK455" s="2">
        <f>Table2[[#This Row],[SRS/Diff]]-Table2[[#This Row],[EV/Diff]]</f>
        <v>0</v>
      </c>
      <c r="AL455" s="18">
        <f>Table2[[#This Row],[SRS]]-Table2[[#This Row],[Spread]]</f>
        <v>7.0513114754098343</v>
      </c>
      <c r="AM455" s="21">
        <f>Table2[[#This Row],[(A) Err]]^2</f>
        <v>49.720993523246413</v>
      </c>
      <c r="AN455" s="6">
        <f>Table2[[#This Row],[EV]]-Table2[[#This Row],[Spread]]</f>
        <v>2.7731512205968727</v>
      </c>
      <c r="AO455" s="1">
        <f>Table2[[#This Row],[EV Err]]^2</f>
        <v>7.6903676922979249</v>
      </c>
      <c r="AP455" s="1"/>
    </row>
    <row r="456" spans="1:42" x14ac:dyDescent="0.25">
      <c r="A456" s="34">
        <v>42727</v>
      </c>
      <c r="B456" t="s">
        <v>136</v>
      </c>
      <c r="C456" t="s">
        <v>135</v>
      </c>
      <c r="E456" s="21"/>
      <c r="G456" s="21"/>
      <c r="H456" s="7"/>
      <c r="I456" s="21"/>
      <c r="K456"/>
      <c r="L456" s="21">
        <f>(Table2[[#This Row],[H/Pace]]/100)*(VLOOKUP(Table2[[#This Row],[Home/Neutral]],home_lookup,8,FALSE)+VLOOKUP(Table2[[#This Row],[Home/Neutral]],OFR_lookup,2,FALSE)+VLOOKUP(Table2[[#This Row],[Visitor/Neutral]],def_diff_lookup,6,FALSE))</f>
        <v>105.88063534991899</v>
      </c>
      <c r="M456" s="21"/>
      <c r="N456" s="21">
        <f>(Table2[[#This Row],[A/Pace]]/100)*(VLOOKUP(Table2[[#This Row],[Visitor/Neutral]],OFR_lookup,2,FALSE)+VLOOKUP(Table2[[#This Row],[Home/Neutral]],def_diff_lookup,6,FALSE))</f>
        <v>103.991406</v>
      </c>
      <c r="O456" s="21"/>
      <c r="P456" s="21"/>
      <c r="Q456">
        <f>VLOOKUP(Table2[[#This Row],[Home/Neutral]],pace_lookup,7,FALSE)</f>
        <v>91.5</v>
      </c>
      <c r="R456" s="5">
        <f>VLOOKUP(Table2[[#This Row],[Visitor/Neutral]],pace_lookup,7,FALSE)</f>
        <v>95.4</v>
      </c>
      <c r="S456" s="7"/>
      <c r="U456" s="15"/>
      <c r="W456" s="2">
        <f>-home-VLOOKUP(Table2[[#This Row],[Home/Neutral]],rtg_vlookup,4,FALSE)+VLOOKUP(Table2[[#This Row],[Visitor/Neutral]],rtg_vlookup,4,FALSE)</f>
        <v>-1.0886885245901654</v>
      </c>
      <c r="X456" s="15"/>
      <c r="Y456" s="2"/>
      <c r="Z456" s="2">
        <f>Table2[[#This Row],[A/EV]]-Table2[[#This Row],[H/EV]]</f>
        <v>-1.8892293499189918</v>
      </c>
      <c r="AA456" s="29"/>
      <c r="AB456" s="30"/>
      <c r="AC456" s="30"/>
      <c r="AD456" s="30"/>
      <c r="AE456" s="30"/>
      <c r="AF456" s="7" t="b">
        <f>IF(VLOOKUP(Table2[[#This Row],[Home/Neutral]],division_lookup,9,FALSE)=VLOOKUP(Table2[[#This Row],[Visitor/Neutral]],division_lookup,9,FALSE),TRUE,FALSE)</f>
        <v>0</v>
      </c>
      <c r="AG456" s="15" t="str">
        <f>VLOOKUP(Table2[[#This Row],[Home/Neutral]],division_lookup,9,FALSE)</f>
        <v>NW</v>
      </c>
      <c r="AH456" s="15" t="str">
        <f>IF(Table2[[#This Row],[Total/EV]]&lt;Table2[[#This Row],[Total/V]],"UNDER","OVER")</f>
        <v>OVER</v>
      </c>
      <c r="AI456" s="26">
        <f>Table2[[#This Row],[SRS/Real]]-Table2[[#This Row],[Spread/V]]</f>
        <v>0</v>
      </c>
      <c r="AJ456" s="2">
        <f>Table2[[#This Row],[EV/Real]]-Table2[[#This Row],[Spread/V]]</f>
        <v>0</v>
      </c>
      <c r="AK456" s="2">
        <f>Table2[[#This Row],[SRS/Diff]]-Table2[[#This Row],[EV/Diff]]</f>
        <v>0</v>
      </c>
      <c r="AL456" s="18">
        <f>Table2[[#This Row],[SRS]]-Table2[[#This Row],[Spread]]</f>
        <v>-1.0886885245901654</v>
      </c>
      <c r="AM456" s="21">
        <f>Table2[[#This Row],[(A) Err]]^2</f>
        <v>1.1852427035743112</v>
      </c>
      <c r="AN456" s="6">
        <f>Table2[[#This Row],[EV]]-Table2[[#This Row],[Spread]]</f>
        <v>-1.8892293499189918</v>
      </c>
      <c r="AO456" s="1">
        <f>Table2[[#This Row],[EV Err]]^2</f>
        <v>3.5691875365953365</v>
      </c>
      <c r="AP456" s="1"/>
    </row>
    <row r="457" spans="1:42" x14ac:dyDescent="0.25">
      <c r="A457" s="34">
        <v>42729</v>
      </c>
      <c r="B457" t="s">
        <v>114</v>
      </c>
      <c r="C457" t="s">
        <v>118</v>
      </c>
      <c r="E457" s="21"/>
      <c r="G457" s="21"/>
      <c r="H457" s="7"/>
      <c r="I457" s="21"/>
      <c r="K457"/>
      <c r="L457" s="21">
        <f>(Table2[[#This Row],[H/Pace]]/100)*(VLOOKUP(Table2[[#This Row],[Home/Neutral]],home_lookup,8,FALSE)+VLOOKUP(Table2[[#This Row],[Home/Neutral]],OFR_lookup,2,FALSE)+VLOOKUP(Table2[[#This Row],[Visitor/Neutral]],def_diff_lookup,6,FALSE))</f>
        <v>113.17139276756467</v>
      </c>
      <c r="M457" s="21"/>
      <c r="N457" s="21">
        <f>(Table2[[#This Row],[A/Pace]]/100)*(VLOOKUP(Table2[[#This Row],[Visitor/Neutral]],OFR_lookup,2,FALSE)+VLOOKUP(Table2[[#This Row],[Home/Neutral]],def_diff_lookup,6,FALSE))</f>
        <v>116.87128933333332</v>
      </c>
      <c r="O457" s="21"/>
      <c r="P457" s="21"/>
      <c r="Q457">
        <f>VLOOKUP(Table2[[#This Row],[Home/Neutral]],pace_lookup,7,FALSE)</f>
        <v>97.3</v>
      </c>
      <c r="R457" s="5">
        <f>VLOOKUP(Table2[[#This Row],[Visitor/Neutral]],pace_lookup,7,FALSE)</f>
        <v>100.4</v>
      </c>
      <c r="S457" s="7"/>
      <c r="U457" s="15"/>
      <c r="W457" s="2">
        <f>-home-VLOOKUP(Table2[[#This Row],[Home/Neutral]],rtg_vlookup,4,FALSE)+VLOOKUP(Table2[[#This Row],[Visitor/Neutral]],rtg_vlookup,4,FALSE)</f>
        <v>-8.6885245901662245E-3</v>
      </c>
      <c r="X457" s="15"/>
      <c r="Y457" s="2"/>
      <c r="Z457" s="2">
        <f>Table2[[#This Row],[A/EV]]-Table2[[#This Row],[H/EV]]</f>
        <v>3.699896565768654</v>
      </c>
      <c r="AA457" s="29"/>
      <c r="AB457" s="30"/>
      <c r="AC457" s="30"/>
      <c r="AD457" s="30"/>
      <c r="AE457" s="30"/>
      <c r="AF457" s="7" t="b">
        <f>IF(VLOOKUP(Table2[[#This Row],[Home/Neutral]],division_lookup,9,FALSE)=VLOOKUP(Table2[[#This Row],[Visitor/Neutral]],division_lookup,9,FALSE),TRUE,FALSE)</f>
        <v>0</v>
      </c>
      <c r="AG457" s="15" t="str">
        <f>VLOOKUP(Table2[[#This Row],[Home/Neutral]],division_lookup,9,FALSE)</f>
        <v>C</v>
      </c>
      <c r="AH457" s="15" t="str">
        <f>IF(Table2[[#This Row],[Total/EV]]&lt;Table2[[#This Row],[Total/V]],"UNDER","OVER")</f>
        <v>OVER</v>
      </c>
      <c r="AI457" s="26">
        <f>Table2[[#This Row],[SRS/Real]]-Table2[[#This Row],[Spread/V]]</f>
        <v>0</v>
      </c>
      <c r="AJ457" s="2">
        <f>Table2[[#This Row],[EV/Real]]-Table2[[#This Row],[Spread/V]]</f>
        <v>0</v>
      </c>
      <c r="AK457" s="2">
        <f>Table2[[#This Row],[SRS/Diff]]-Table2[[#This Row],[EV/Diff]]</f>
        <v>0</v>
      </c>
      <c r="AL457" s="18">
        <f>Table2[[#This Row],[SRS]]-Table2[[#This Row],[Spread]]</f>
        <v>-8.6885245901662245E-3</v>
      </c>
      <c r="AM457" s="21">
        <f>Table2[[#This Row],[(A) Err]]^2</f>
        <v>7.5490459553923165E-5</v>
      </c>
      <c r="AN457" s="6">
        <f>Table2[[#This Row],[EV]]-Table2[[#This Row],[Spread]]</f>
        <v>3.699896565768654</v>
      </c>
      <c r="AO457" s="1">
        <f>Table2[[#This Row],[EV Err]]^2</f>
        <v>13.68923459738668</v>
      </c>
      <c r="AP457" s="1"/>
    </row>
    <row r="458" spans="1:42" x14ac:dyDescent="0.25">
      <c r="A458" s="34">
        <v>42729</v>
      </c>
      <c r="B458" t="s">
        <v>122</v>
      </c>
      <c r="C458" t="s">
        <v>121</v>
      </c>
      <c r="E458" s="21"/>
      <c r="G458" s="21"/>
      <c r="H458" s="7"/>
      <c r="I458" s="21"/>
      <c r="K458"/>
      <c r="L458" s="21">
        <f>(Table2[[#This Row],[H/Pace]]/100)*(VLOOKUP(Table2[[#This Row],[Home/Neutral]],home_lookup,8,FALSE)+VLOOKUP(Table2[[#This Row],[Home/Neutral]],OFR_lookup,2,FALSE)+VLOOKUP(Table2[[#This Row],[Visitor/Neutral]],def_diff_lookup,6,FALSE))</f>
        <v>105.51942832744732</v>
      </c>
      <c r="M458" s="21"/>
      <c r="N458" s="21">
        <f>(Table2[[#This Row],[A/Pace]]/100)*(VLOOKUP(Table2[[#This Row],[Visitor/Neutral]],OFR_lookup,2,FALSE)+VLOOKUP(Table2[[#This Row],[Home/Neutral]],def_diff_lookup,6,FALSE))</f>
        <v>115.35770266666667</v>
      </c>
      <c r="O458" s="21"/>
      <c r="P458" s="21"/>
      <c r="Q458">
        <f>VLOOKUP(Table2[[#This Row],[Home/Neutral]],pace_lookup,7,FALSE)</f>
        <v>100.2</v>
      </c>
      <c r="R458" s="5">
        <f>VLOOKUP(Table2[[#This Row],[Visitor/Neutral]],pace_lookup,7,FALSE)</f>
        <v>96.4</v>
      </c>
      <c r="S458" s="7"/>
      <c r="U458" s="15"/>
      <c r="W458" s="2">
        <f>-home-VLOOKUP(Table2[[#This Row],[Home/Neutral]],rtg_vlookup,4,FALSE)+VLOOKUP(Table2[[#This Row],[Visitor/Neutral]],rtg_vlookup,4,FALSE)</f>
        <v>12.201311475409835</v>
      </c>
      <c r="X458" s="15"/>
      <c r="Y458" s="2"/>
      <c r="Z458" s="2">
        <f>Table2[[#This Row],[A/EV]]-Table2[[#This Row],[H/EV]]</f>
        <v>9.8382743392193532</v>
      </c>
      <c r="AA458" s="29"/>
      <c r="AB458" s="30"/>
      <c r="AC458" s="30"/>
      <c r="AD458" s="30"/>
      <c r="AE458" s="30"/>
      <c r="AF458" s="7" t="b">
        <f>IF(VLOOKUP(Table2[[#This Row],[Home/Neutral]],division_lookup,9,FALSE)=VLOOKUP(Table2[[#This Row],[Visitor/Neutral]],division_lookup,9,FALSE),TRUE,FALSE)</f>
        <v>1</v>
      </c>
      <c r="AG458" s="15" t="str">
        <f>VLOOKUP(Table2[[#This Row],[Home/Neutral]],division_lookup,9,FALSE)</f>
        <v>P</v>
      </c>
      <c r="AH458" s="15" t="str">
        <f>IF(Table2[[#This Row],[Total/EV]]&lt;Table2[[#This Row],[Total/V]],"UNDER","OVER")</f>
        <v>OVER</v>
      </c>
      <c r="AI458" s="26">
        <f>Table2[[#This Row],[SRS/Real]]-Table2[[#This Row],[Spread/V]]</f>
        <v>0</v>
      </c>
      <c r="AJ458" s="2">
        <f>Table2[[#This Row],[EV/Real]]-Table2[[#This Row],[Spread/V]]</f>
        <v>0</v>
      </c>
      <c r="AK458" s="2">
        <f>Table2[[#This Row],[SRS/Diff]]-Table2[[#This Row],[EV/Diff]]</f>
        <v>0</v>
      </c>
      <c r="AL458" s="18">
        <f>Table2[[#This Row],[SRS]]-Table2[[#This Row],[Spread]]</f>
        <v>12.201311475409835</v>
      </c>
      <c r="AM458" s="21">
        <f>Table2[[#This Row],[(A) Err]]^2</f>
        <v>148.87200171996773</v>
      </c>
      <c r="AN458" s="6">
        <f>Table2[[#This Row],[EV]]-Table2[[#This Row],[Spread]]</f>
        <v>9.8382743392193532</v>
      </c>
      <c r="AO458" s="1">
        <f>Table2[[#This Row],[EV Err]]^2</f>
        <v>96.791641973742003</v>
      </c>
      <c r="AP458" s="1"/>
    </row>
    <row r="459" spans="1:42" x14ac:dyDescent="0.25">
      <c r="A459" s="34">
        <v>42729</v>
      </c>
      <c r="B459" t="s">
        <v>128</v>
      </c>
      <c r="C459" t="s">
        <v>110</v>
      </c>
      <c r="E459" s="21"/>
      <c r="G459" s="21"/>
      <c r="H459" s="7"/>
      <c r="I459" s="21"/>
      <c r="K459"/>
      <c r="L459" s="21">
        <f>(Table2[[#This Row],[H/Pace]]/100)*(VLOOKUP(Table2[[#This Row],[Home/Neutral]],home_lookup,8,FALSE)+VLOOKUP(Table2[[#This Row],[Home/Neutral]],OFR_lookup,2,FALSE)+VLOOKUP(Table2[[#This Row],[Visitor/Neutral]],def_diff_lookup,6,FALSE))</f>
        <v>109.08727987783021</v>
      </c>
      <c r="M459" s="21"/>
      <c r="N459" s="21">
        <f>(Table2[[#This Row],[A/Pace]]/100)*(VLOOKUP(Table2[[#This Row],[Visitor/Neutral]],OFR_lookup,2,FALSE)+VLOOKUP(Table2[[#This Row],[Home/Neutral]],def_diff_lookup,6,FALSE))</f>
        <v>106.76821133333335</v>
      </c>
      <c r="O459" s="21"/>
      <c r="P459" s="21"/>
      <c r="Q459">
        <f>VLOOKUP(Table2[[#This Row],[Home/Neutral]],pace_lookup,7,FALSE)</f>
        <v>96.3</v>
      </c>
      <c r="R459" s="5">
        <f>VLOOKUP(Table2[[#This Row],[Visitor/Neutral]],pace_lookup,7,FALSE)</f>
        <v>96.2</v>
      </c>
      <c r="S459" s="7"/>
      <c r="U459" s="15"/>
      <c r="W459" s="2">
        <f>-home-VLOOKUP(Table2[[#This Row],[Home/Neutral]],rtg_vlookup,4,FALSE)+VLOOKUP(Table2[[#This Row],[Visitor/Neutral]],rtg_vlookup,4,FALSE)</f>
        <v>-0.43868852459016583</v>
      </c>
      <c r="X459" s="15"/>
      <c r="Y459" s="2"/>
      <c r="Z459" s="2">
        <f>Table2[[#This Row],[A/EV]]-Table2[[#This Row],[H/EV]]</f>
        <v>-2.319068544496858</v>
      </c>
      <c r="AA459" s="29"/>
      <c r="AB459" s="30"/>
      <c r="AC459" s="30"/>
      <c r="AD459" s="30"/>
      <c r="AE459" s="30"/>
      <c r="AF459" s="7" t="b">
        <f>IF(VLOOKUP(Table2[[#This Row],[Home/Neutral]],division_lookup,9,FALSE)=VLOOKUP(Table2[[#This Row],[Visitor/Neutral]],division_lookup,9,FALSE),TRUE,FALSE)</f>
        <v>1</v>
      </c>
      <c r="AG459" s="15" t="str">
        <f>VLOOKUP(Table2[[#This Row],[Home/Neutral]],division_lookup,9,FALSE)</f>
        <v>A</v>
      </c>
      <c r="AH459" s="15" t="str">
        <f>IF(Table2[[#This Row],[Total/EV]]&lt;Table2[[#This Row],[Total/V]],"UNDER","OVER")</f>
        <v>OVER</v>
      </c>
      <c r="AI459" s="26">
        <f>Table2[[#This Row],[SRS/Real]]-Table2[[#This Row],[Spread/V]]</f>
        <v>0</v>
      </c>
      <c r="AJ459" s="2">
        <f>Table2[[#This Row],[EV/Real]]-Table2[[#This Row],[Spread/V]]</f>
        <v>0</v>
      </c>
      <c r="AK459" s="2">
        <f>Table2[[#This Row],[SRS/Diff]]-Table2[[#This Row],[EV/Diff]]</f>
        <v>0</v>
      </c>
      <c r="AL459" s="18">
        <f>Table2[[#This Row],[SRS]]-Table2[[#This Row],[Spread]]</f>
        <v>-0.43868852459016583</v>
      </c>
      <c r="AM459" s="21">
        <f>Table2[[#This Row],[(A) Err]]^2</f>
        <v>0.19244762160709653</v>
      </c>
      <c r="AN459" s="6">
        <f>Table2[[#This Row],[EV]]-Table2[[#This Row],[Spread]]</f>
        <v>-2.319068544496858</v>
      </c>
      <c r="AO459" s="1">
        <f>Table2[[#This Row],[EV Err]]^2</f>
        <v>5.3780789140747753</v>
      </c>
      <c r="AP459" s="1"/>
    </row>
    <row r="460" spans="1:42" x14ac:dyDescent="0.25">
      <c r="A460" s="34">
        <v>42729</v>
      </c>
      <c r="B460" t="s">
        <v>129</v>
      </c>
      <c r="C460" t="s">
        <v>126</v>
      </c>
      <c r="E460" s="21"/>
      <c r="G460" s="21"/>
      <c r="H460" s="7"/>
      <c r="I460" s="21"/>
      <c r="K460"/>
      <c r="L460" s="21">
        <f>(Table2[[#This Row],[H/Pace]]/100)*(VLOOKUP(Table2[[#This Row],[Home/Neutral]],home_lookup,8,FALSE)+VLOOKUP(Table2[[#This Row],[Home/Neutral]],OFR_lookup,2,FALSE)+VLOOKUP(Table2[[#This Row],[Visitor/Neutral]],def_diff_lookup,6,FALSE))</f>
        <v>110.58920376890107</v>
      </c>
      <c r="M460" s="21"/>
      <c r="N460" s="21">
        <f>(Table2[[#This Row],[A/Pace]]/100)*(VLOOKUP(Table2[[#This Row],[Visitor/Neutral]],OFR_lookup,2,FALSE)+VLOOKUP(Table2[[#This Row],[Home/Neutral]],def_diff_lookup,6,FALSE))</f>
        <v>102.16517300000001</v>
      </c>
      <c r="O460" s="21"/>
      <c r="P460" s="21"/>
      <c r="Q460">
        <f>VLOOKUP(Table2[[#This Row],[Home/Neutral]],pace_lookup,7,FALSE)</f>
        <v>99</v>
      </c>
      <c r="R460" s="5">
        <f>VLOOKUP(Table2[[#This Row],[Visitor/Neutral]],pace_lookup,7,FALSE)</f>
        <v>95.7</v>
      </c>
      <c r="S460" s="7"/>
      <c r="U460" s="15"/>
      <c r="W460" s="2">
        <f>-home-VLOOKUP(Table2[[#This Row],[Home/Neutral]],rtg_vlookup,4,FALSE)+VLOOKUP(Table2[[#This Row],[Visitor/Neutral]],rtg_vlookup,4,FALSE)</f>
        <v>-5.4686885245901653</v>
      </c>
      <c r="X460" s="15"/>
      <c r="Y460" s="2"/>
      <c r="Z460" s="2">
        <f>Table2[[#This Row],[A/EV]]-Table2[[#This Row],[H/EV]]</f>
        <v>-8.4240307689010621</v>
      </c>
      <c r="AA460" s="29"/>
      <c r="AB460" s="30"/>
      <c r="AC460" s="30"/>
      <c r="AD460" s="30"/>
      <c r="AE460" s="30"/>
      <c r="AF460" s="7" t="b">
        <f>IF(VLOOKUP(Table2[[#This Row],[Home/Neutral]],division_lookup,9,FALSE)=VLOOKUP(Table2[[#This Row],[Visitor/Neutral]],division_lookup,9,FALSE),TRUE,FALSE)</f>
        <v>1</v>
      </c>
      <c r="AG460" s="15" t="str">
        <f>VLOOKUP(Table2[[#This Row],[Home/Neutral]],division_lookup,9,FALSE)</f>
        <v>NW</v>
      </c>
      <c r="AH460" s="15" t="str">
        <f>IF(Table2[[#This Row],[Total/EV]]&lt;Table2[[#This Row],[Total/V]],"UNDER","OVER")</f>
        <v>OVER</v>
      </c>
      <c r="AI460" s="26">
        <f>Table2[[#This Row],[SRS/Real]]-Table2[[#This Row],[Spread/V]]</f>
        <v>0</v>
      </c>
      <c r="AJ460" s="2">
        <f>Table2[[#This Row],[EV/Real]]-Table2[[#This Row],[Spread/V]]</f>
        <v>0</v>
      </c>
      <c r="AK460" s="2">
        <f>Table2[[#This Row],[SRS/Diff]]-Table2[[#This Row],[EV/Diff]]</f>
        <v>0</v>
      </c>
      <c r="AL460" s="18">
        <f>Table2[[#This Row],[SRS]]-Table2[[#This Row],[Spread]]</f>
        <v>-5.4686885245901653</v>
      </c>
      <c r="AM460" s="21">
        <f>Table2[[#This Row],[(A) Err]]^2</f>
        <v>29.906554178984159</v>
      </c>
      <c r="AN460" s="6">
        <f>Table2[[#This Row],[EV]]-Table2[[#This Row],[Spread]]</f>
        <v>-8.4240307689010621</v>
      </c>
      <c r="AO460" s="1">
        <f>Table2[[#This Row],[EV Err]]^2</f>
        <v>70.964294395391818</v>
      </c>
      <c r="AP460" s="1"/>
    </row>
    <row r="461" spans="1:42" x14ac:dyDescent="0.25">
      <c r="A461" s="34">
        <v>42729</v>
      </c>
      <c r="B461" t="s">
        <v>134</v>
      </c>
      <c r="C461" t="s">
        <v>113</v>
      </c>
      <c r="E461" s="21"/>
      <c r="G461" s="21"/>
      <c r="H461" s="7"/>
      <c r="I461" s="21"/>
      <c r="K461"/>
      <c r="L461" s="21">
        <f>(Table2[[#This Row],[H/Pace]]/100)*(VLOOKUP(Table2[[#This Row],[Home/Neutral]],home_lookup,8,FALSE)+VLOOKUP(Table2[[#This Row],[Home/Neutral]],OFR_lookup,2,FALSE)+VLOOKUP(Table2[[#This Row],[Visitor/Neutral]],def_diff_lookup,6,FALSE))</f>
        <v>100.25317343638194</v>
      </c>
      <c r="M461" s="21"/>
      <c r="N461" s="21">
        <f>(Table2[[#This Row],[A/Pace]]/100)*(VLOOKUP(Table2[[#This Row],[Visitor/Neutral]],OFR_lookup,2,FALSE)+VLOOKUP(Table2[[#This Row],[Home/Neutral]],def_diff_lookup,6,FALSE))</f>
        <v>104.120869</v>
      </c>
      <c r="O461" s="21"/>
      <c r="P461" s="21"/>
      <c r="Q461">
        <f>VLOOKUP(Table2[[#This Row],[Home/Neutral]],pace_lookup,7,FALSE)</f>
        <v>93.4</v>
      </c>
      <c r="R461" s="5">
        <f>VLOOKUP(Table2[[#This Row],[Visitor/Neutral]],pace_lookup,7,FALSE)</f>
        <v>95.1</v>
      </c>
      <c r="S461" s="7"/>
      <c r="U461" s="15"/>
      <c r="W461" s="2">
        <f>-home-VLOOKUP(Table2[[#This Row],[Home/Neutral]],rtg_vlookup,4,FALSE)+VLOOKUP(Table2[[#This Row],[Visitor/Neutral]],rtg_vlookup,4,FALSE)</f>
        <v>-5.5186885245901642</v>
      </c>
      <c r="X461" s="15"/>
      <c r="Y461" s="2"/>
      <c r="Z461" s="2">
        <f>Table2[[#This Row],[A/EV]]-Table2[[#This Row],[H/EV]]</f>
        <v>3.8676955636180566</v>
      </c>
      <c r="AA461" s="29"/>
      <c r="AB461" s="30"/>
      <c r="AC461" s="30"/>
      <c r="AD461" s="30"/>
      <c r="AE461" s="30"/>
      <c r="AF461" s="7" t="b">
        <f>IF(VLOOKUP(Table2[[#This Row],[Home/Neutral]],division_lookup,9,FALSE)=VLOOKUP(Table2[[#This Row],[Visitor/Neutral]],division_lookup,9,FALSE),TRUE,FALSE)</f>
        <v>0</v>
      </c>
      <c r="AG461" s="15" t="str">
        <f>VLOOKUP(Table2[[#This Row],[Home/Neutral]],division_lookup,9,FALSE)</f>
        <v>SW</v>
      </c>
      <c r="AH461" s="15" t="str">
        <f>IF(Table2[[#This Row],[Total/EV]]&lt;Table2[[#This Row],[Total/V]],"UNDER","OVER")</f>
        <v>OVER</v>
      </c>
      <c r="AI461" s="26">
        <f>Table2[[#This Row],[SRS/Real]]-Table2[[#This Row],[Spread/V]]</f>
        <v>0</v>
      </c>
      <c r="AJ461" s="2">
        <f>Table2[[#This Row],[EV/Real]]-Table2[[#This Row],[Spread/V]]</f>
        <v>0</v>
      </c>
      <c r="AK461" s="2">
        <f>Table2[[#This Row],[SRS/Diff]]-Table2[[#This Row],[EV/Diff]]</f>
        <v>0</v>
      </c>
      <c r="AL461" s="18">
        <f>Table2[[#This Row],[SRS]]-Table2[[#This Row],[Spread]]</f>
        <v>-5.5186885245901642</v>
      </c>
      <c r="AM461" s="21">
        <f>Table2[[#This Row],[(A) Err]]^2</f>
        <v>30.455923031443163</v>
      </c>
      <c r="AN461" s="6">
        <f>Table2[[#This Row],[EV]]-Table2[[#This Row],[Spread]]</f>
        <v>3.8676955636180566</v>
      </c>
      <c r="AO461" s="1">
        <f>Table2[[#This Row],[EV Err]]^2</f>
        <v>14.959068972830796</v>
      </c>
      <c r="AP461" s="1"/>
    </row>
    <row r="462" spans="1:42" x14ac:dyDescent="0.25">
      <c r="A462" s="34">
        <v>42730</v>
      </c>
      <c r="B462" t="s">
        <v>111</v>
      </c>
      <c r="C462" t="s">
        <v>112</v>
      </c>
      <c r="E462" s="21"/>
      <c r="G462" s="21"/>
      <c r="H462" s="7"/>
      <c r="I462" s="21"/>
      <c r="K462"/>
      <c r="L462" s="21">
        <f>(Table2[[#This Row],[H/Pace]]/100)*(VLOOKUP(Table2[[#This Row],[Home/Neutral]],home_lookup,8,FALSE)+VLOOKUP(Table2[[#This Row],[Home/Neutral]],OFR_lookup,2,FALSE)+VLOOKUP(Table2[[#This Row],[Visitor/Neutral]],def_diff_lookup,6,FALSE))</f>
        <v>99.232618327716352</v>
      </c>
      <c r="M462" s="21"/>
      <c r="N462" s="21">
        <f>(Table2[[#This Row],[A/Pace]]/100)*(VLOOKUP(Table2[[#This Row],[Visitor/Neutral]],OFR_lookup,2,FALSE)+VLOOKUP(Table2[[#This Row],[Home/Neutral]],def_diff_lookup,6,FALSE))</f>
        <v>109.15195933333334</v>
      </c>
      <c r="O462" s="21"/>
      <c r="P462" s="21"/>
      <c r="Q462">
        <f>VLOOKUP(Table2[[#This Row],[Home/Neutral]],pace_lookup,7,FALSE)</f>
        <v>102</v>
      </c>
      <c r="R462" s="5">
        <f>VLOOKUP(Table2[[#This Row],[Visitor/Neutral]],pace_lookup,7,FALSE)</f>
        <v>97.4</v>
      </c>
      <c r="S462" s="7"/>
      <c r="U462" s="15"/>
      <c r="W462" s="2">
        <f>-home-VLOOKUP(Table2[[#This Row],[Home/Neutral]],rtg_vlookup,4,FALSE)+VLOOKUP(Table2[[#This Row],[Visitor/Neutral]],rtg_vlookup,4,FALSE)</f>
        <v>8.0413114754098345</v>
      </c>
      <c r="X462" s="15"/>
      <c r="Y462" s="2"/>
      <c r="Z462" s="2">
        <f>Table2[[#This Row],[A/EV]]-Table2[[#This Row],[H/EV]]</f>
        <v>9.9193410056169853</v>
      </c>
      <c r="AA462" s="29"/>
      <c r="AB462" s="30"/>
      <c r="AC462" s="30"/>
      <c r="AD462" s="30"/>
      <c r="AE462" s="30"/>
      <c r="AF462" s="7" t="b">
        <f>IF(VLOOKUP(Table2[[#This Row],[Home/Neutral]],division_lookup,9,FALSE)=VLOOKUP(Table2[[#This Row],[Visitor/Neutral]],division_lookup,9,FALSE),TRUE,FALSE)</f>
        <v>0</v>
      </c>
      <c r="AG462" s="15" t="str">
        <f>VLOOKUP(Table2[[#This Row],[Home/Neutral]],division_lookup,9,FALSE)</f>
        <v>A</v>
      </c>
      <c r="AH462" s="15" t="str">
        <f>IF(Table2[[#This Row],[Total/EV]]&lt;Table2[[#This Row],[Total/V]],"UNDER","OVER")</f>
        <v>OVER</v>
      </c>
      <c r="AI462" s="26">
        <f>Table2[[#This Row],[SRS/Real]]-Table2[[#This Row],[Spread/V]]</f>
        <v>0</v>
      </c>
      <c r="AJ462" s="2">
        <f>Table2[[#This Row],[EV/Real]]-Table2[[#This Row],[Spread/V]]</f>
        <v>0</v>
      </c>
      <c r="AK462" s="2">
        <f>Table2[[#This Row],[SRS/Diff]]-Table2[[#This Row],[EV/Diff]]</f>
        <v>0</v>
      </c>
      <c r="AL462" s="18">
        <f>Table2[[#This Row],[SRS]]-Table2[[#This Row],[Spread]]</f>
        <v>8.0413114754098345</v>
      </c>
      <c r="AM462" s="21">
        <f>Table2[[#This Row],[(A) Err]]^2</f>
        <v>64.662690244557893</v>
      </c>
      <c r="AN462" s="6">
        <f>Table2[[#This Row],[EV]]-Table2[[#This Row],[Spread]]</f>
        <v>9.9193410056169853</v>
      </c>
      <c r="AO462" s="1">
        <f>Table2[[#This Row],[EV Err]]^2</f>
        <v>98.393325985714583</v>
      </c>
      <c r="AP462" s="1"/>
    </row>
    <row r="463" spans="1:42" x14ac:dyDescent="0.25">
      <c r="A463" s="34">
        <v>42730</v>
      </c>
      <c r="B463" t="s">
        <v>113</v>
      </c>
      <c r="C463" t="s">
        <v>120</v>
      </c>
      <c r="E463" s="21"/>
      <c r="G463" s="21"/>
      <c r="H463" s="7"/>
      <c r="I463" s="21"/>
      <c r="K463"/>
      <c r="L463" s="21">
        <f>(Table2[[#This Row],[H/Pace]]/100)*(VLOOKUP(Table2[[#This Row],[Home/Neutral]],home_lookup,8,FALSE)+VLOOKUP(Table2[[#This Row],[Home/Neutral]],OFR_lookup,2,FALSE)+VLOOKUP(Table2[[#This Row],[Visitor/Neutral]],def_diff_lookup,6,FALSE))</f>
        <v>110.81173388016279</v>
      </c>
      <c r="M463" s="21"/>
      <c r="N463" s="21">
        <f>(Table2[[#This Row],[A/Pace]]/100)*(VLOOKUP(Table2[[#This Row],[Visitor/Neutral]],OFR_lookup,2,FALSE)+VLOOKUP(Table2[[#This Row],[Home/Neutral]],def_diff_lookup,6,FALSE))</f>
        <v>101.50032033333333</v>
      </c>
      <c r="O463" s="21"/>
      <c r="P463" s="21"/>
      <c r="Q463">
        <f>VLOOKUP(Table2[[#This Row],[Home/Neutral]],pace_lookup,7,FALSE)</f>
        <v>95.1</v>
      </c>
      <c r="R463" s="5">
        <f>VLOOKUP(Table2[[#This Row],[Visitor/Neutral]],pace_lookup,7,FALSE)</f>
        <v>98.3</v>
      </c>
      <c r="S463" s="7"/>
      <c r="U463" s="15"/>
      <c r="W463" s="2">
        <f>-home-VLOOKUP(Table2[[#This Row],[Home/Neutral]],rtg_vlookup,4,FALSE)+VLOOKUP(Table2[[#This Row],[Visitor/Neutral]],rtg_vlookup,4,FALSE)</f>
        <v>-12.128688524590167</v>
      </c>
      <c r="X463" s="15"/>
      <c r="Y463" s="2"/>
      <c r="Z463" s="2">
        <f>Table2[[#This Row],[A/EV]]-Table2[[#This Row],[H/EV]]</f>
        <v>-9.3114135468294563</v>
      </c>
      <c r="AA463" s="29"/>
      <c r="AB463" s="30"/>
      <c r="AC463" s="30"/>
      <c r="AD463" s="30"/>
      <c r="AE463" s="30"/>
      <c r="AF463" s="7" t="b">
        <f>IF(VLOOKUP(Table2[[#This Row],[Home/Neutral]],division_lookup,9,FALSE)=VLOOKUP(Table2[[#This Row],[Visitor/Neutral]],division_lookup,9,FALSE),TRUE,FALSE)</f>
        <v>1</v>
      </c>
      <c r="AG463" s="15" t="str">
        <f>VLOOKUP(Table2[[#This Row],[Home/Neutral]],division_lookup,9,FALSE)</f>
        <v>C</v>
      </c>
      <c r="AH463" s="15" t="str">
        <f>IF(Table2[[#This Row],[Total/EV]]&lt;Table2[[#This Row],[Total/V]],"UNDER","OVER")</f>
        <v>OVER</v>
      </c>
      <c r="AI463" s="26">
        <f>Table2[[#This Row],[SRS/Real]]-Table2[[#This Row],[Spread/V]]</f>
        <v>0</v>
      </c>
      <c r="AJ463" s="2">
        <f>Table2[[#This Row],[EV/Real]]-Table2[[#This Row],[Spread/V]]</f>
        <v>0</v>
      </c>
      <c r="AK463" s="2">
        <f>Table2[[#This Row],[SRS/Diff]]-Table2[[#This Row],[EV/Diff]]</f>
        <v>0</v>
      </c>
      <c r="AL463" s="18">
        <f>Table2[[#This Row],[SRS]]-Table2[[#This Row],[Spread]]</f>
        <v>-12.128688524590167</v>
      </c>
      <c r="AM463" s="21">
        <f>Table2[[#This Row],[(A) Err]]^2</f>
        <v>147.1050853265252</v>
      </c>
      <c r="AN463" s="6">
        <f>Table2[[#This Row],[EV]]-Table2[[#This Row],[Spread]]</f>
        <v>-9.3114135468294563</v>
      </c>
      <c r="AO463" s="1">
        <f>Table2[[#This Row],[EV Err]]^2</f>
        <v>86.702422240079116</v>
      </c>
      <c r="AP463" s="1"/>
    </row>
    <row r="464" spans="1:42" x14ac:dyDescent="0.25">
      <c r="A464" s="34">
        <v>42730</v>
      </c>
      <c r="B464" t="s">
        <v>117</v>
      </c>
      <c r="C464" t="s">
        <v>114</v>
      </c>
      <c r="E464" s="21"/>
      <c r="G464" s="21"/>
      <c r="H464" s="7"/>
      <c r="I464" s="21"/>
      <c r="K464"/>
      <c r="L464" s="21">
        <f>(Table2[[#This Row],[H/Pace]]/100)*(VLOOKUP(Table2[[#This Row],[Home/Neutral]],home_lookup,8,FALSE)+VLOOKUP(Table2[[#This Row],[Home/Neutral]],OFR_lookup,2,FALSE)+VLOOKUP(Table2[[#This Row],[Visitor/Neutral]],def_diff_lookup,6,FALSE))</f>
        <v>111.73839591446429</v>
      </c>
      <c r="M464" s="21"/>
      <c r="N464" s="21">
        <f>(Table2[[#This Row],[A/Pace]]/100)*(VLOOKUP(Table2[[#This Row],[Visitor/Neutral]],OFR_lookup,2,FALSE)+VLOOKUP(Table2[[#This Row],[Home/Neutral]],def_diff_lookup,6,FALSE))</f>
        <v>107.88202366666665</v>
      </c>
      <c r="O464" s="21"/>
      <c r="P464" s="21"/>
      <c r="Q464">
        <f>VLOOKUP(Table2[[#This Row],[Home/Neutral]],pace_lookup,7,FALSE)</f>
        <v>94</v>
      </c>
      <c r="R464" s="5">
        <f>VLOOKUP(Table2[[#This Row],[Visitor/Neutral]],pace_lookup,7,FALSE)</f>
        <v>97.3</v>
      </c>
      <c r="S464" s="7"/>
      <c r="U464" s="15"/>
      <c r="W464" s="2">
        <f>-home-VLOOKUP(Table2[[#This Row],[Home/Neutral]],rtg_vlookup,4,FALSE)+VLOOKUP(Table2[[#This Row],[Visitor/Neutral]],rtg_vlookup,4,FALSE)</f>
        <v>4.3013114754098343</v>
      </c>
      <c r="X464" s="15"/>
      <c r="Y464" s="2"/>
      <c r="Z464" s="2">
        <f>Table2[[#This Row],[A/EV]]-Table2[[#This Row],[H/EV]]</f>
        <v>-3.856372247797637</v>
      </c>
      <c r="AA464" s="29"/>
      <c r="AB464" s="30"/>
      <c r="AC464" s="30"/>
      <c r="AD464" s="30"/>
      <c r="AE464" s="30"/>
      <c r="AF464" s="7" t="b">
        <f>IF(VLOOKUP(Table2[[#This Row],[Home/Neutral]],division_lookup,9,FALSE)=VLOOKUP(Table2[[#This Row],[Visitor/Neutral]],division_lookup,9,FALSE),TRUE,FALSE)</f>
        <v>1</v>
      </c>
      <c r="AG464" s="15" t="str">
        <f>VLOOKUP(Table2[[#This Row],[Home/Neutral]],division_lookup,9,FALSE)</f>
        <v>C</v>
      </c>
      <c r="AH464" s="15" t="str">
        <f>IF(Table2[[#This Row],[Total/EV]]&lt;Table2[[#This Row],[Total/V]],"UNDER","OVER")</f>
        <v>OVER</v>
      </c>
      <c r="AI464" s="26">
        <f>Table2[[#This Row],[SRS/Real]]-Table2[[#This Row],[Spread/V]]</f>
        <v>0</v>
      </c>
      <c r="AJ464" s="2">
        <f>Table2[[#This Row],[EV/Real]]-Table2[[#This Row],[Spread/V]]</f>
        <v>0</v>
      </c>
      <c r="AK464" s="2">
        <f>Table2[[#This Row],[SRS/Diff]]-Table2[[#This Row],[EV/Diff]]</f>
        <v>0</v>
      </c>
      <c r="AL464" s="18">
        <f>Table2[[#This Row],[SRS]]-Table2[[#This Row],[Spread]]</f>
        <v>4.3013114754098343</v>
      </c>
      <c r="AM464" s="21">
        <f>Table2[[#This Row],[(A) Err]]^2</f>
        <v>18.501280408492324</v>
      </c>
      <c r="AN464" s="6">
        <f>Table2[[#This Row],[EV]]-Table2[[#This Row],[Spread]]</f>
        <v>-3.856372247797637</v>
      </c>
      <c r="AO464" s="1">
        <f>Table2[[#This Row],[EV Err]]^2</f>
        <v>14.871606913583799</v>
      </c>
      <c r="AP464" s="1"/>
    </row>
    <row r="465" spans="1:42" x14ac:dyDescent="0.25">
      <c r="A465" s="34">
        <v>42730</v>
      </c>
      <c r="B465" t="s">
        <v>119</v>
      </c>
      <c r="C465" t="s">
        <v>131</v>
      </c>
      <c r="E465" s="21"/>
      <c r="G465" s="21"/>
      <c r="H465" s="7"/>
      <c r="I465" s="21"/>
      <c r="K465"/>
      <c r="L465" s="21">
        <f>(Table2[[#This Row],[H/Pace]]/100)*(VLOOKUP(Table2[[#This Row],[Home/Neutral]],home_lookup,8,FALSE)+VLOOKUP(Table2[[#This Row],[Home/Neutral]],OFR_lookup,2,FALSE)+VLOOKUP(Table2[[#This Row],[Visitor/Neutral]],def_diff_lookup,6,FALSE))</f>
        <v>110.00478376977628</v>
      </c>
      <c r="M465" s="21"/>
      <c r="N465" s="21">
        <f>(Table2[[#This Row],[A/Pace]]/100)*(VLOOKUP(Table2[[#This Row],[Visitor/Neutral]],OFR_lookup,2,FALSE)+VLOOKUP(Table2[[#This Row],[Home/Neutral]],def_diff_lookup,6,FALSE))</f>
        <v>105.895803</v>
      </c>
      <c r="O465" s="21"/>
      <c r="P465" s="21"/>
      <c r="Q465">
        <f>VLOOKUP(Table2[[#This Row],[Home/Neutral]],pace_lookup,7,FALSE)</f>
        <v>96.9</v>
      </c>
      <c r="R465" s="5">
        <f>VLOOKUP(Table2[[#This Row],[Visitor/Neutral]],pace_lookup,7,FALSE)</f>
        <v>101.7</v>
      </c>
      <c r="S465" s="7"/>
      <c r="U465" s="15"/>
      <c r="W465" s="2">
        <f>-home-VLOOKUP(Table2[[#This Row],[Home/Neutral]],rtg_vlookup,4,FALSE)+VLOOKUP(Table2[[#This Row],[Visitor/Neutral]],rtg_vlookup,4,FALSE)</f>
        <v>-12.838688524590165</v>
      </c>
      <c r="X465" s="15"/>
      <c r="Y465" s="2"/>
      <c r="Z465" s="2">
        <f>Table2[[#This Row],[A/EV]]-Table2[[#This Row],[H/EV]]</f>
        <v>-4.1089807697762808</v>
      </c>
      <c r="AA465" s="29"/>
      <c r="AB465" s="30"/>
      <c r="AC465" s="30"/>
      <c r="AD465" s="30"/>
      <c r="AE465" s="30"/>
      <c r="AF465" s="7" t="b">
        <f>IF(VLOOKUP(Table2[[#This Row],[Home/Neutral]],division_lookup,9,FALSE)=VLOOKUP(Table2[[#This Row],[Visitor/Neutral]],division_lookup,9,FALSE),TRUE,FALSE)</f>
        <v>0</v>
      </c>
      <c r="AG465" s="15" t="str">
        <f>VLOOKUP(Table2[[#This Row],[Home/Neutral]],division_lookup,9,FALSE)</f>
        <v>SW</v>
      </c>
      <c r="AH465" s="15" t="str">
        <f>IF(Table2[[#This Row],[Total/EV]]&lt;Table2[[#This Row],[Total/V]],"UNDER","OVER")</f>
        <v>OVER</v>
      </c>
      <c r="AI465" s="26">
        <f>Table2[[#This Row],[SRS/Real]]-Table2[[#This Row],[Spread/V]]</f>
        <v>0</v>
      </c>
      <c r="AJ465" s="2">
        <f>Table2[[#This Row],[EV/Real]]-Table2[[#This Row],[Spread/V]]</f>
        <v>0</v>
      </c>
      <c r="AK465" s="2">
        <f>Table2[[#This Row],[SRS/Diff]]-Table2[[#This Row],[EV/Diff]]</f>
        <v>0</v>
      </c>
      <c r="AL465" s="18">
        <f>Table2[[#This Row],[SRS]]-Table2[[#This Row],[Spread]]</f>
        <v>-12.838688524590165</v>
      </c>
      <c r="AM465" s="21">
        <f>Table2[[#This Row],[(A) Err]]^2</f>
        <v>164.83192303144318</v>
      </c>
      <c r="AN465" s="6">
        <f>Table2[[#This Row],[EV]]-Table2[[#This Row],[Spread]]</f>
        <v>-4.1089807697762808</v>
      </c>
      <c r="AO465" s="1">
        <f>Table2[[#This Row],[EV Err]]^2</f>
        <v>16.883722966391279</v>
      </c>
      <c r="AP465" s="1"/>
    </row>
    <row r="466" spans="1:42" x14ac:dyDescent="0.25">
      <c r="A466" s="34">
        <v>42730</v>
      </c>
      <c r="B466" t="s">
        <v>121</v>
      </c>
      <c r="C466" t="s">
        <v>116</v>
      </c>
      <c r="E466" s="21"/>
      <c r="G466" s="21"/>
      <c r="H466" s="7"/>
      <c r="I466" s="21"/>
      <c r="K466"/>
      <c r="L466" s="21">
        <f>(Table2[[#This Row],[H/Pace]]/100)*(VLOOKUP(Table2[[#This Row],[Home/Neutral]],home_lookup,8,FALSE)+VLOOKUP(Table2[[#This Row],[Home/Neutral]],OFR_lookup,2,FALSE)+VLOOKUP(Table2[[#This Row],[Visitor/Neutral]],def_diff_lookup,6,FALSE))</f>
        <v>114.13104060751253</v>
      </c>
      <c r="M466" s="21"/>
      <c r="N466" s="21">
        <f>(Table2[[#This Row],[A/Pace]]/100)*(VLOOKUP(Table2[[#This Row],[Visitor/Neutral]],OFR_lookup,2,FALSE)+VLOOKUP(Table2[[#This Row],[Home/Neutral]],def_diff_lookup,6,FALSE))</f>
        <v>100.97860566666667</v>
      </c>
      <c r="O466" s="21"/>
      <c r="P466" s="21"/>
      <c r="Q466">
        <f>VLOOKUP(Table2[[#This Row],[Home/Neutral]],pace_lookup,7,FALSE)</f>
        <v>96.4</v>
      </c>
      <c r="R466" s="5">
        <f>VLOOKUP(Table2[[#This Row],[Visitor/Neutral]],pace_lookup,7,FALSE)</f>
        <v>99.1</v>
      </c>
      <c r="S466" s="7"/>
      <c r="U466" s="15"/>
      <c r="W466" s="2">
        <f>-home-VLOOKUP(Table2[[#This Row],[Home/Neutral]],rtg_vlookup,4,FALSE)+VLOOKUP(Table2[[#This Row],[Visitor/Neutral]],rtg_vlookup,4,FALSE)</f>
        <v>-16.248688524590165</v>
      </c>
      <c r="X466" s="15"/>
      <c r="Y466" s="2"/>
      <c r="Z466" s="2">
        <f>Table2[[#This Row],[A/EV]]-Table2[[#This Row],[H/EV]]</f>
        <v>-13.152434940845865</v>
      </c>
      <c r="AA466" s="29"/>
      <c r="AB466" s="30"/>
      <c r="AC466" s="30"/>
      <c r="AD466" s="30"/>
      <c r="AE466" s="30"/>
      <c r="AF466" s="7" t="b">
        <f>IF(VLOOKUP(Table2[[#This Row],[Home/Neutral]],division_lookup,9,FALSE)=VLOOKUP(Table2[[#This Row],[Visitor/Neutral]],division_lookup,9,FALSE),TRUE,FALSE)</f>
        <v>0</v>
      </c>
      <c r="AG466" s="15" t="str">
        <f>VLOOKUP(Table2[[#This Row],[Home/Neutral]],division_lookup,9,FALSE)</f>
        <v>P</v>
      </c>
      <c r="AH466" s="15" t="str">
        <f>IF(Table2[[#This Row],[Total/EV]]&lt;Table2[[#This Row],[Total/V]],"UNDER","OVER")</f>
        <v>OVER</v>
      </c>
      <c r="AI466" s="26">
        <f>Table2[[#This Row],[SRS/Real]]-Table2[[#This Row],[Spread/V]]</f>
        <v>0</v>
      </c>
      <c r="AJ466" s="2">
        <f>Table2[[#This Row],[EV/Real]]-Table2[[#This Row],[Spread/V]]</f>
        <v>0</v>
      </c>
      <c r="AK466" s="2">
        <f>Table2[[#This Row],[SRS/Diff]]-Table2[[#This Row],[EV/Diff]]</f>
        <v>0</v>
      </c>
      <c r="AL466" s="18">
        <f>Table2[[#This Row],[SRS]]-Table2[[#This Row],[Spread]]</f>
        <v>-16.248688524590165</v>
      </c>
      <c r="AM466" s="21">
        <f>Table2[[#This Row],[(A) Err]]^2</f>
        <v>264.01987876914808</v>
      </c>
      <c r="AN466" s="6">
        <f>Table2[[#This Row],[EV]]-Table2[[#This Row],[Spread]]</f>
        <v>-13.152434940845865</v>
      </c>
      <c r="AO466" s="1">
        <f>Table2[[#This Row],[EV Err]]^2</f>
        <v>172.98654487318316</v>
      </c>
      <c r="AP466" s="1"/>
    </row>
    <row r="467" spans="1:42" x14ac:dyDescent="0.25">
      <c r="A467" s="34">
        <v>42730</v>
      </c>
      <c r="B467" t="s">
        <v>126</v>
      </c>
      <c r="C467" t="s">
        <v>109</v>
      </c>
      <c r="E467" s="21"/>
      <c r="G467" s="21"/>
      <c r="H467" s="7"/>
      <c r="I467" s="21"/>
      <c r="K467"/>
      <c r="L467" s="21">
        <f>(Table2[[#This Row],[H/Pace]]/100)*(VLOOKUP(Table2[[#This Row],[Home/Neutral]],home_lookup,8,FALSE)+VLOOKUP(Table2[[#This Row],[Home/Neutral]],OFR_lookup,2,FALSE)+VLOOKUP(Table2[[#This Row],[Visitor/Neutral]],def_diff_lookup,6,FALSE))</f>
        <v>108.32786777050786</v>
      </c>
      <c r="M467" s="21"/>
      <c r="N467" s="21">
        <f>(Table2[[#This Row],[A/Pace]]/100)*(VLOOKUP(Table2[[#This Row],[Visitor/Neutral]],OFR_lookup,2,FALSE)+VLOOKUP(Table2[[#This Row],[Home/Neutral]],def_diff_lookup,6,FALSE))</f>
        <v>104.44338133333332</v>
      </c>
      <c r="O467" s="21"/>
      <c r="P467" s="21"/>
      <c r="Q467">
        <f>VLOOKUP(Table2[[#This Row],[Home/Neutral]],pace_lookup,7,FALSE)</f>
        <v>95.7</v>
      </c>
      <c r="R467" s="5">
        <f>VLOOKUP(Table2[[#This Row],[Visitor/Neutral]],pace_lookup,7,FALSE)</f>
        <v>99.2</v>
      </c>
      <c r="S467" s="7"/>
      <c r="U467" s="15"/>
      <c r="W467" s="2">
        <f>-home-VLOOKUP(Table2[[#This Row],[Home/Neutral]],rtg_vlookup,4,FALSE)+VLOOKUP(Table2[[#This Row],[Visitor/Neutral]],rtg_vlookup,4,FALSE)</f>
        <v>0.68131147540983439</v>
      </c>
      <c r="X467" s="15"/>
      <c r="Y467" s="2"/>
      <c r="Z467" s="2">
        <f>Table2[[#This Row],[A/EV]]-Table2[[#This Row],[H/EV]]</f>
        <v>-3.8844864371745444</v>
      </c>
      <c r="AA467" s="29"/>
      <c r="AB467" s="30"/>
      <c r="AC467" s="30"/>
      <c r="AD467" s="30"/>
      <c r="AE467" s="30"/>
      <c r="AF467" s="7" t="b">
        <f>IF(VLOOKUP(Table2[[#This Row],[Home/Neutral]],division_lookup,9,FALSE)=VLOOKUP(Table2[[#This Row],[Visitor/Neutral]],division_lookup,9,FALSE),TRUE,FALSE)</f>
        <v>0</v>
      </c>
      <c r="AG467" s="15" t="str">
        <f>VLOOKUP(Table2[[#This Row],[Home/Neutral]],division_lookup,9,FALSE)</f>
        <v>NW</v>
      </c>
      <c r="AH467" s="15" t="str">
        <f>IF(Table2[[#This Row],[Total/EV]]&lt;Table2[[#This Row],[Total/V]],"UNDER","OVER")</f>
        <v>OVER</v>
      </c>
      <c r="AI467" s="26">
        <f>Table2[[#This Row],[SRS/Real]]-Table2[[#This Row],[Spread/V]]</f>
        <v>0</v>
      </c>
      <c r="AJ467" s="2">
        <f>Table2[[#This Row],[EV/Real]]-Table2[[#This Row],[Spread/V]]</f>
        <v>0</v>
      </c>
      <c r="AK467" s="2">
        <f>Table2[[#This Row],[SRS/Diff]]-Table2[[#This Row],[EV/Diff]]</f>
        <v>0</v>
      </c>
      <c r="AL467" s="18">
        <f>Table2[[#This Row],[SRS]]-Table2[[#This Row],[Spread]]</f>
        <v>0.68131147540983439</v>
      </c>
      <c r="AM467" s="21">
        <f>Table2[[#This Row],[(A) Err]]^2</f>
        <v>0.46418532652512534</v>
      </c>
      <c r="AN467" s="6">
        <f>Table2[[#This Row],[EV]]-Table2[[#This Row],[Spread]]</f>
        <v>-3.8844864371745444</v>
      </c>
      <c r="AO467" s="1">
        <f>Table2[[#This Row],[EV Err]]^2</f>
        <v>15.089234880592986</v>
      </c>
      <c r="AP467" s="1"/>
    </row>
    <row r="468" spans="1:42" x14ac:dyDescent="0.25">
      <c r="A468" s="34">
        <v>42730</v>
      </c>
      <c r="B468" t="s">
        <v>127</v>
      </c>
      <c r="C468" t="s">
        <v>115</v>
      </c>
      <c r="E468" s="21"/>
      <c r="G468" s="21"/>
      <c r="H468" s="7"/>
      <c r="I468" s="21"/>
      <c r="K468"/>
      <c r="L468" s="21">
        <f>(Table2[[#This Row],[H/Pace]]/100)*(VLOOKUP(Table2[[#This Row],[Home/Neutral]],home_lookup,8,FALSE)+VLOOKUP(Table2[[#This Row],[Home/Neutral]],OFR_lookup,2,FALSE)+VLOOKUP(Table2[[#This Row],[Visitor/Neutral]],def_diff_lookup,6,FALSE))</f>
        <v>101.98440493743048</v>
      </c>
      <c r="M468" s="21"/>
      <c r="N468" s="21">
        <f>(Table2[[#This Row],[A/Pace]]/100)*(VLOOKUP(Table2[[#This Row],[Visitor/Neutral]],OFR_lookup,2,FALSE)+VLOOKUP(Table2[[#This Row],[Home/Neutral]],def_diff_lookup,6,FALSE))</f>
        <v>88.994174333333333</v>
      </c>
      <c r="O468" s="21"/>
      <c r="P468" s="21"/>
      <c r="Q468">
        <f>VLOOKUP(Table2[[#This Row],[Home/Neutral]],pace_lookup,7,FALSE)</f>
        <v>99.3</v>
      </c>
      <c r="R468" s="5">
        <f>VLOOKUP(Table2[[#This Row],[Visitor/Neutral]],pace_lookup,7,FALSE)</f>
        <v>92.9</v>
      </c>
      <c r="S468" s="7"/>
      <c r="U468" s="15"/>
      <c r="W468" s="2">
        <f>-home-VLOOKUP(Table2[[#This Row],[Home/Neutral]],rtg_vlookup,4,FALSE)+VLOOKUP(Table2[[#This Row],[Visitor/Neutral]],rtg_vlookup,4,FALSE)</f>
        <v>-8.9786885245901651</v>
      </c>
      <c r="X468" s="15"/>
      <c r="Y468" s="2"/>
      <c r="Z468" s="2">
        <f>Table2[[#This Row],[A/EV]]-Table2[[#This Row],[H/EV]]</f>
        <v>-12.99023060409715</v>
      </c>
      <c r="AA468" s="29"/>
      <c r="AB468" s="30"/>
      <c r="AC468" s="30"/>
      <c r="AD468" s="30"/>
      <c r="AE468" s="30"/>
      <c r="AF468" s="7" t="b">
        <f>IF(VLOOKUP(Table2[[#This Row],[Home/Neutral]],division_lookup,9,FALSE)=VLOOKUP(Table2[[#This Row],[Visitor/Neutral]],division_lookup,9,FALSE),TRUE,FALSE)</f>
        <v>1</v>
      </c>
      <c r="AG468" s="15" t="str">
        <f>VLOOKUP(Table2[[#This Row],[Home/Neutral]],division_lookup,9,FALSE)</f>
        <v>SW</v>
      </c>
      <c r="AH468" s="15" t="str">
        <f>IF(Table2[[#This Row],[Total/EV]]&lt;Table2[[#This Row],[Total/V]],"UNDER","OVER")</f>
        <v>OVER</v>
      </c>
      <c r="AI468" s="26">
        <f>Table2[[#This Row],[SRS/Real]]-Table2[[#This Row],[Spread/V]]</f>
        <v>0</v>
      </c>
      <c r="AJ468" s="2">
        <f>Table2[[#This Row],[EV/Real]]-Table2[[#This Row],[Spread/V]]</f>
        <v>0</v>
      </c>
      <c r="AK468" s="2">
        <f>Table2[[#This Row],[SRS/Diff]]-Table2[[#This Row],[EV/Diff]]</f>
        <v>0</v>
      </c>
      <c r="AL468" s="18">
        <f>Table2[[#This Row],[SRS]]-Table2[[#This Row],[Spread]]</f>
        <v>-8.9786885245901651</v>
      </c>
      <c r="AM468" s="21">
        <f>Table2[[#This Row],[(A) Err]]^2</f>
        <v>80.616847621607121</v>
      </c>
      <c r="AN468" s="6">
        <f>Table2[[#This Row],[EV]]-Table2[[#This Row],[Spread]]</f>
        <v>-12.99023060409715</v>
      </c>
      <c r="AO468" s="1">
        <f>Table2[[#This Row],[EV Err]]^2</f>
        <v>168.7460911476222</v>
      </c>
      <c r="AP468" s="1"/>
    </row>
    <row r="469" spans="1:42" x14ac:dyDescent="0.25">
      <c r="A469" s="34">
        <v>42730</v>
      </c>
      <c r="B469" t="s">
        <v>130</v>
      </c>
      <c r="C469" t="s">
        <v>123</v>
      </c>
      <c r="E469" s="21"/>
      <c r="G469" s="21"/>
      <c r="H469" s="7"/>
      <c r="I469" s="21"/>
      <c r="K469"/>
      <c r="L469" s="21">
        <f>(Table2[[#This Row],[H/Pace]]/100)*(VLOOKUP(Table2[[#This Row],[Home/Neutral]],home_lookup,8,FALSE)+VLOOKUP(Table2[[#This Row],[Home/Neutral]],OFR_lookup,2,FALSE)+VLOOKUP(Table2[[#This Row],[Visitor/Neutral]],def_diff_lookup,6,FALSE))</f>
        <v>93.143684967109394</v>
      </c>
      <c r="M469" s="21"/>
      <c r="N469" s="21">
        <f>(Table2[[#This Row],[A/Pace]]/100)*(VLOOKUP(Table2[[#This Row],[Visitor/Neutral]],OFR_lookup,2,FALSE)+VLOOKUP(Table2[[#This Row],[Home/Neutral]],def_diff_lookup,6,FALSE))</f>
        <v>95.835241666666661</v>
      </c>
      <c r="O469" s="21"/>
      <c r="P469" s="21"/>
      <c r="Q469">
        <f>VLOOKUP(Table2[[#This Row],[Home/Neutral]],pace_lookup,7,FALSE)</f>
        <v>94.2</v>
      </c>
      <c r="R469" s="5">
        <f>VLOOKUP(Table2[[#This Row],[Visitor/Neutral]],pace_lookup,7,FALSE)</f>
        <v>92.5</v>
      </c>
      <c r="S469" s="7"/>
      <c r="U469" s="15"/>
      <c r="W469" s="2">
        <f>-home-VLOOKUP(Table2[[#This Row],[Home/Neutral]],rtg_vlookup,4,FALSE)+VLOOKUP(Table2[[#This Row],[Visitor/Neutral]],rtg_vlookup,4,FALSE)</f>
        <v>6.5313114754098347</v>
      </c>
      <c r="X469" s="15"/>
      <c r="Y469" s="2"/>
      <c r="Z469" s="2">
        <f>Table2[[#This Row],[A/EV]]-Table2[[#This Row],[H/EV]]</f>
        <v>2.6915566995572675</v>
      </c>
      <c r="AA469" s="29"/>
      <c r="AB469" s="30"/>
      <c r="AC469" s="30"/>
      <c r="AD469" s="30"/>
      <c r="AE469" s="30"/>
      <c r="AF469" s="7" t="b">
        <f>IF(VLOOKUP(Table2[[#This Row],[Home/Neutral]],division_lookup,9,FALSE)=VLOOKUP(Table2[[#This Row],[Visitor/Neutral]],division_lookup,9,FALSE),TRUE,FALSE)</f>
        <v>0</v>
      </c>
      <c r="AG469" s="15" t="str">
        <f>VLOOKUP(Table2[[#This Row],[Home/Neutral]],division_lookup,9,FALSE)</f>
        <v>SE</v>
      </c>
      <c r="AH469" s="15" t="str">
        <f>IF(Table2[[#This Row],[Total/EV]]&lt;Table2[[#This Row],[Total/V]],"UNDER","OVER")</f>
        <v>OVER</v>
      </c>
      <c r="AI469" s="26">
        <f>Table2[[#This Row],[SRS/Real]]-Table2[[#This Row],[Spread/V]]</f>
        <v>0</v>
      </c>
      <c r="AJ469" s="2">
        <f>Table2[[#This Row],[EV/Real]]-Table2[[#This Row],[Spread/V]]</f>
        <v>0</v>
      </c>
      <c r="AK469" s="2">
        <f>Table2[[#This Row],[SRS/Diff]]-Table2[[#This Row],[EV/Diff]]</f>
        <v>0</v>
      </c>
      <c r="AL469" s="18">
        <f>Table2[[#This Row],[SRS]]-Table2[[#This Row],[Spread]]</f>
        <v>6.5313114754098347</v>
      </c>
      <c r="AM469" s="21">
        <f>Table2[[#This Row],[(A) Err]]^2</f>
        <v>42.658029588820192</v>
      </c>
      <c r="AN469" s="6">
        <f>Table2[[#This Row],[EV]]-Table2[[#This Row],[Spread]]</f>
        <v>2.6915566995572675</v>
      </c>
      <c r="AO469" s="1">
        <f>Table2[[#This Row],[EV Err]]^2</f>
        <v>7.2444774669316105</v>
      </c>
      <c r="AP469" s="1"/>
    </row>
    <row r="470" spans="1:42" x14ac:dyDescent="0.25">
      <c r="A470" s="34">
        <v>42730</v>
      </c>
      <c r="B470" t="s">
        <v>132</v>
      </c>
      <c r="C470" t="s">
        <v>135</v>
      </c>
      <c r="E470" s="21"/>
      <c r="G470" s="21"/>
      <c r="H470" s="7"/>
      <c r="I470" s="21"/>
      <c r="K470"/>
      <c r="L470" s="21">
        <f>(Table2[[#This Row],[H/Pace]]/100)*(VLOOKUP(Table2[[#This Row],[Home/Neutral]],home_lookup,8,FALSE)+VLOOKUP(Table2[[#This Row],[Home/Neutral]],OFR_lookup,2,FALSE)+VLOOKUP(Table2[[#This Row],[Visitor/Neutral]],def_diff_lookup,6,FALSE))</f>
        <v>109.86382144606979</v>
      </c>
      <c r="M470" s="21"/>
      <c r="N470" s="21">
        <f>(Table2[[#This Row],[A/Pace]]/100)*(VLOOKUP(Table2[[#This Row],[Visitor/Neutral]],OFR_lookup,2,FALSE)+VLOOKUP(Table2[[#This Row],[Home/Neutral]],def_diff_lookup,6,FALSE))</f>
        <v>113.54094600000001</v>
      </c>
      <c r="O470" s="21"/>
      <c r="P470" s="21"/>
      <c r="Q470">
        <f>VLOOKUP(Table2[[#This Row],[Home/Neutral]],pace_lookup,7,FALSE)</f>
        <v>98.8</v>
      </c>
      <c r="R470" s="5">
        <f>VLOOKUP(Table2[[#This Row],[Visitor/Neutral]],pace_lookup,7,FALSE)</f>
        <v>95.4</v>
      </c>
      <c r="S470" s="7"/>
      <c r="U470" s="15"/>
      <c r="W470" s="2">
        <f>-home-VLOOKUP(Table2[[#This Row],[Home/Neutral]],rtg_vlookup,4,FALSE)+VLOOKUP(Table2[[#This Row],[Visitor/Neutral]],rtg_vlookup,4,FALSE)</f>
        <v>5.601311475409835</v>
      </c>
      <c r="X470" s="15"/>
      <c r="Y470" s="2"/>
      <c r="Z470" s="2">
        <f>Table2[[#This Row],[A/EV]]-Table2[[#This Row],[H/EV]]</f>
        <v>3.6771245539302129</v>
      </c>
      <c r="AA470" s="29"/>
      <c r="AB470" s="30"/>
      <c r="AC470" s="30"/>
      <c r="AD470" s="30"/>
      <c r="AE470" s="30"/>
      <c r="AF470" s="7" t="b">
        <f>IF(VLOOKUP(Table2[[#This Row],[Home/Neutral]],division_lookup,9,FALSE)=VLOOKUP(Table2[[#This Row],[Visitor/Neutral]],division_lookup,9,FALSE),TRUE,FALSE)</f>
        <v>0</v>
      </c>
      <c r="AG470" s="15" t="str">
        <f>VLOOKUP(Table2[[#This Row],[Home/Neutral]],division_lookup,9,FALSE)</f>
        <v>NW</v>
      </c>
      <c r="AH470" s="15" t="str">
        <f>IF(Table2[[#This Row],[Total/EV]]&lt;Table2[[#This Row],[Total/V]],"UNDER","OVER")</f>
        <v>OVER</v>
      </c>
      <c r="AI470" s="26">
        <f>Table2[[#This Row],[SRS/Real]]-Table2[[#This Row],[Spread/V]]</f>
        <v>0</v>
      </c>
      <c r="AJ470" s="2">
        <f>Table2[[#This Row],[EV/Real]]-Table2[[#This Row],[Spread/V]]</f>
        <v>0</v>
      </c>
      <c r="AK470" s="2">
        <f>Table2[[#This Row],[SRS/Diff]]-Table2[[#This Row],[EV/Diff]]</f>
        <v>0</v>
      </c>
      <c r="AL470" s="18">
        <f>Table2[[#This Row],[SRS]]-Table2[[#This Row],[Spread]]</f>
        <v>5.601311475409835</v>
      </c>
      <c r="AM470" s="21">
        <f>Table2[[#This Row],[(A) Err]]^2</f>
        <v>31.374690244557904</v>
      </c>
      <c r="AN470" s="6">
        <f>Table2[[#This Row],[EV]]-Table2[[#This Row],[Spread]]</f>
        <v>3.6771245539302129</v>
      </c>
      <c r="AO470" s="1">
        <f>Table2[[#This Row],[EV Err]]^2</f>
        <v>13.521244985116468</v>
      </c>
      <c r="AP470" s="1"/>
    </row>
    <row r="471" spans="1:42" x14ac:dyDescent="0.25">
      <c r="A471" s="34">
        <v>42730</v>
      </c>
      <c r="B471" t="s">
        <v>133</v>
      </c>
      <c r="C471" t="s">
        <v>138</v>
      </c>
      <c r="E471" s="21"/>
      <c r="G471" s="21"/>
      <c r="H471" s="7"/>
      <c r="I471" s="21"/>
      <c r="K471"/>
      <c r="L471" s="21">
        <f>(Table2[[#This Row],[H/Pace]]/100)*(VLOOKUP(Table2[[#This Row],[Home/Neutral]],home_lookup,8,FALSE)+VLOOKUP(Table2[[#This Row],[Home/Neutral]],OFR_lookup,2,FALSE)+VLOOKUP(Table2[[#This Row],[Visitor/Neutral]],def_diff_lookup,6,FALSE))</f>
        <v>109.66222748279979</v>
      </c>
      <c r="M471" s="21"/>
      <c r="N471" s="21">
        <f>(Table2[[#This Row],[A/Pace]]/100)*(VLOOKUP(Table2[[#This Row],[Visitor/Neutral]],OFR_lookup,2,FALSE)+VLOOKUP(Table2[[#This Row],[Home/Neutral]],def_diff_lookup,6,FALSE))</f>
        <v>99.445774999999998</v>
      </c>
      <c r="O471" s="21"/>
      <c r="P471" s="21"/>
      <c r="Q471">
        <f>VLOOKUP(Table2[[#This Row],[Home/Neutral]],pace_lookup,7,FALSE)</f>
        <v>94.2</v>
      </c>
      <c r="R471" s="5">
        <f>VLOOKUP(Table2[[#This Row],[Visitor/Neutral]],pace_lookup,7,FALSE)</f>
        <v>97.5</v>
      </c>
      <c r="S471" s="7"/>
      <c r="U471" s="15"/>
      <c r="W471" s="2">
        <f>-home-VLOOKUP(Table2[[#This Row],[Home/Neutral]],rtg_vlookup,4,FALSE)+VLOOKUP(Table2[[#This Row],[Visitor/Neutral]],rtg_vlookup,4,FALSE)</f>
        <v>-10.488688524590167</v>
      </c>
      <c r="X471" s="15"/>
      <c r="Y471" s="2"/>
      <c r="Z471" s="2">
        <f>Table2[[#This Row],[A/EV]]-Table2[[#This Row],[H/EV]]</f>
        <v>-10.216452482799795</v>
      </c>
      <c r="AA471" s="29"/>
      <c r="AB471" s="30"/>
      <c r="AC471" s="30"/>
      <c r="AD471" s="30"/>
      <c r="AE471" s="30"/>
      <c r="AF471" s="7" t="b">
        <f>IF(VLOOKUP(Table2[[#This Row],[Home/Neutral]],division_lookup,9,FALSE)=VLOOKUP(Table2[[#This Row],[Visitor/Neutral]],division_lookup,9,FALSE),TRUE,FALSE)</f>
        <v>0</v>
      </c>
      <c r="AG471" s="15" t="str">
        <f>VLOOKUP(Table2[[#This Row],[Home/Neutral]],division_lookup,9,FALSE)</f>
        <v>P</v>
      </c>
      <c r="AH471" s="15" t="str">
        <f>IF(Table2[[#This Row],[Total/EV]]&lt;Table2[[#This Row],[Total/V]],"UNDER","OVER")</f>
        <v>OVER</v>
      </c>
      <c r="AI471" s="26">
        <f>Table2[[#This Row],[SRS/Real]]-Table2[[#This Row],[Spread/V]]</f>
        <v>0</v>
      </c>
      <c r="AJ471" s="2">
        <f>Table2[[#This Row],[EV/Real]]-Table2[[#This Row],[Spread/V]]</f>
        <v>0</v>
      </c>
      <c r="AK471" s="2">
        <f>Table2[[#This Row],[SRS/Diff]]-Table2[[#This Row],[EV/Diff]]</f>
        <v>0</v>
      </c>
      <c r="AL471" s="18">
        <f>Table2[[#This Row],[SRS]]-Table2[[#This Row],[Spread]]</f>
        <v>-10.488688524590167</v>
      </c>
      <c r="AM471" s="21">
        <f>Table2[[#This Row],[(A) Err]]^2</f>
        <v>110.01258696586945</v>
      </c>
      <c r="AN471" s="6">
        <f>Table2[[#This Row],[EV]]-Table2[[#This Row],[Spread]]</f>
        <v>-10.216452482799795</v>
      </c>
      <c r="AO471" s="1">
        <f>Table2[[#This Row],[EV Err]]^2</f>
        <v>104.3759013333061</v>
      </c>
      <c r="AP471" s="1"/>
    </row>
    <row r="472" spans="1:42" x14ac:dyDescent="0.25">
      <c r="A472" s="34">
        <v>42730</v>
      </c>
      <c r="B472" t="s">
        <v>137</v>
      </c>
      <c r="C472" t="s">
        <v>125</v>
      </c>
      <c r="E472" s="21"/>
      <c r="G472" s="21"/>
      <c r="H472" s="7"/>
      <c r="I472" s="21"/>
      <c r="K472"/>
      <c r="L472" s="21">
        <f>(Table2[[#This Row],[H/Pace]]/100)*(VLOOKUP(Table2[[#This Row],[Home/Neutral]],home_lookup,8,FALSE)+VLOOKUP(Table2[[#This Row],[Home/Neutral]],OFR_lookup,2,FALSE)+VLOOKUP(Table2[[#This Row],[Visitor/Neutral]],def_diff_lookup,6,FALSE))</f>
        <v>109.88413255421871</v>
      </c>
      <c r="M472" s="21"/>
      <c r="N472" s="21">
        <f>(Table2[[#This Row],[A/Pace]]/100)*(VLOOKUP(Table2[[#This Row],[Visitor/Neutral]],OFR_lookup,2,FALSE)+VLOOKUP(Table2[[#This Row],[Home/Neutral]],def_diff_lookup,6,FALSE))</f>
        <v>105.47519566666665</v>
      </c>
      <c r="O472" s="21"/>
      <c r="P472" s="21"/>
      <c r="Q472">
        <f>VLOOKUP(Table2[[#This Row],[Home/Neutral]],pace_lookup,7,FALSE)</f>
        <v>96</v>
      </c>
      <c r="R472" s="5">
        <f>VLOOKUP(Table2[[#This Row],[Visitor/Neutral]],pace_lookup,7,FALSE)</f>
        <v>96.1</v>
      </c>
      <c r="S472" s="7"/>
      <c r="U472" s="15"/>
      <c r="W472" s="2">
        <f>-home-VLOOKUP(Table2[[#This Row],[Home/Neutral]],rtg_vlookup,4,FALSE)+VLOOKUP(Table2[[#This Row],[Visitor/Neutral]],rtg_vlookup,4,FALSE)</f>
        <v>-2.268688524590166</v>
      </c>
      <c r="X472" s="15"/>
      <c r="Y472" s="2"/>
      <c r="Z472" s="2">
        <f>Table2[[#This Row],[A/EV]]-Table2[[#This Row],[H/EV]]</f>
        <v>-4.4089368875520591</v>
      </c>
      <c r="AA472" s="29"/>
      <c r="AB472" s="30"/>
      <c r="AC472" s="30"/>
      <c r="AD472" s="30"/>
      <c r="AE472" s="30"/>
      <c r="AF472" s="7" t="b">
        <f>IF(VLOOKUP(Table2[[#This Row],[Home/Neutral]],division_lookup,9,FALSE)=VLOOKUP(Table2[[#This Row],[Visitor/Neutral]],division_lookup,9,FALSE),TRUE,FALSE)</f>
        <v>0</v>
      </c>
      <c r="AG472" s="15" t="str">
        <f>VLOOKUP(Table2[[#This Row],[Home/Neutral]],division_lookup,9,FALSE)</f>
        <v>SE</v>
      </c>
      <c r="AH472" s="15" t="str">
        <f>IF(Table2[[#This Row],[Total/EV]]&lt;Table2[[#This Row],[Total/V]],"UNDER","OVER")</f>
        <v>OVER</v>
      </c>
      <c r="AI472" s="26">
        <f>Table2[[#This Row],[SRS/Real]]-Table2[[#This Row],[Spread/V]]</f>
        <v>0</v>
      </c>
      <c r="AJ472" s="2">
        <f>Table2[[#This Row],[EV/Real]]-Table2[[#This Row],[Spread/V]]</f>
        <v>0</v>
      </c>
      <c r="AK472" s="2">
        <f>Table2[[#This Row],[SRS/Diff]]-Table2[[#This Row],[EV/Diff]]</f>
        <v>0</v>
      </c>
      <c r="AL472" s="18">
        <f>Table2[[#This Row],[SRS]]-Table2[[#This Row],[Spread]]</f>
        <v>-2.268688524590166</v>
      </c>
      <c r="AM472" s="21">
        <f>Table2[[#This Row],[(A) Err]]^2</f>
        <v>5.1469476216071044</v>
      </c>
      <c r="AN472" s="6">
        <f>Table2[[#This Row],[EV]]-Table2[[#This Row],[Spread]]</f>
        <v>-4.4089368875520591</v>
      </c>
      <c r="AO472" s="1">
        <f>Table2[[#This Row],[EV Err]]^2</f>
        <v>19.438724478417239</v>
      </c>
      <c r="AP472" s="1"/>
    </row>
    <row r="473" spans="1:42" x14ac:dyDescent="0.25">
      <c r="A473" s="34">
        <v>42731</v>
      </c>
      <c r="B473" t="s">
        <v>110</v>
      </c>
      <c r="C473" t="s">
        <v>123</v>
      </c>
      <c r="E473" s="21"/>
      <c r="G473" s="21"/>
      <c r="H473" s="7"/>
      <c r="I473" s="21"/>
      <c r="K473"/>
      <c r="L473" s="21">
        <f>(Table2[[#This Row],[H/Pace]]/100)*(VLOOKUP(Table2[[#This Row],[Home/Neutral]],home_lookup,8,FALSE)+VLOOKUP(Table2[[#This Row],[Home/Neutral]],OFR_lookup,2,FALSE)+VLOOKUP(Table2[[#This Row],[Visitor/Neutral]],def_diff_lookup,6,FALSE))</f>
        <v>102.34797118900939</v>
      </c>
      <c r="M473" s="21"/>
      <c r="N473" s="21">
        <f>(Table2[[#This Row],[A/Pace]]/100)*(VLOOKUP(Table2[[#This Row],[Visitor/Neutral]],OFR_lookup,2,FALSE)+VLOOKUP(Table2[[#This Row],[Home/Neutral]],def_diff_lookup,6,FALSE))</f>
        <v>96.676991666666666</v>
      </c>
      <c r="O473" s="21"/>
      <c r="P473" s="21"/>
      <c r="Q473">
        <f>VLOOKUP(Table2[[#This Row],[Home/Neutral]],pace_lookup,7,FALSE)</f>
        <v>96.2</v>
      </c>
      <c r="R473" s="5">
        <f>VLOOKUP(Table2[[#This Row],[Visitor/Neutral]],pace_lookup,7,FALSE)</f>
        <v>92.5</v>
      </c>
      <c r="S473" s="7"/>
      <c r="U473" s="15"/>
      <c r="W473" s="2">
        <f>-home-VLOOKUP(Table2[[#This Row],[Home/Neutral]],rtg_vlookup,4,FALSE)+VLOOKUP(Table2[[#This Row],[Visitor/Neutral]],rtg_vlookup,4,FALSE)</f>
        <v>-2.5786885245901656</v>
      </c>
      <c r="X473" s="15"/>
      <c r="Y473" s="2"/>
      <c r="Z473" s="2">
        <f>Table2[[#This Row],[A/EV]]-Table2[[#This Row],[H/EV]]</f>
        <v>-5.6709795223427193</v>
      </c>
      <c r="AA473" s="29"/>
      <c r="AB473" s="30"/>
      <c r="AC473" s="30"/>
      <c r="AD473" s="30"/>
      <c r="AE473" s="30"/>
      <c r="AF473" s="7" t="b">
        <f>IF(VLOOKUP(Table2[[#This Row],[Home/Neutral]],division_lookup,9,FALSE)=VLOOKUP(Table2[[#This Row],[Visitor/Neutral]],division_lookup,9,FALSE),TRUE,FALSE)</f>
        <v>0</v>
      </c>
      <c r="AG473" s="15" t="str">
        <f>VLOOKUP(Table2[[#This Row],[Home/Neutral]],division_lookup,9,FALSE)</f>
        <v>A</v>
      </c>
      <c r="AH473" s="15" t="str">
        <f>IF(Table2[[#This Row],[Total/EV]]&lt;Table2[[#This Row],[Total/V]],"UNDER","OVER")</f>
        <v>OVER</v>
      </c>
      <c r="AI473" s="26">
        <f>Table2[[#This Row],[SRS/Real]]-Table2[[#This Row],[Spread/V]]</f>
        <v>0</v>
      </c>
      <c r="AJ473" s="2">
        <f>Table2[[#This Row],[EV/Real]]-Table2[[#This Row],[Spread/V]]</f>
        <v>0</v>
      </c>
      <c r="AK473" s="2">
        <f>Table2[[#This Row],[SRS/Diff]]-Table2[[#This Row],[EV/Diff]]</f>
        <v>0</v>
      </c>
      <c r="AL473" s="18">
        <f>Table2[[#This Row],[SRS]]-Table2[[#This Row],[Spread]]</f>
        <v>-2.5786885245901656</v>
      </c>
      <c r="AM473" s="21">
        <f>Table2[[#This Row],[(A) Err]]^2</f>
        <v>6.6496345068530056</v>
      </c>
      <c r="AN473" s="6">
        <f>Table2[[#This Row],[EV]]-Table2[[#This Row],[Spread]]</f>
        <v>-5.6709795223427193</v>
      </c>
      <c r="AO473" s="1">
        <f>Table2[[#This Row],[EV Err]]^2</f>
        <v>32.160008742830456</v>
      </c>
      <c r="AP473" s="1"/>
    </row>
    <row r="474" spans="1:42" x14ac:dyDescent="0.25">
      <c r="A474" s="34">
        <v>42731</v>
      </c>
      <c r="B474" t="s">
        <v>115</v>
      </c>
      <c r="C474" t="s">
        <v>119</v>
      </c>
      <c r="E474" s="21"/>
      <c r="G474" s="21"/>
      <c r="H474" s="7"/>
      <c r="I474" s="21"/>
      <c r="K474"/>
      <c r="L474" s="21">
        <f>(Table2[[#This Row],[H/Pace]]/100)*(VLOOKUP(Table2[[#This Row],[Home/Neutral]],home_lookup,8,FALSE)+VLOOKUP(Table2[[#This Row],[Home/Neutral]],OFR_lookup,2,FALSE)+VLOOKUP(Table2[[#This Row],[Visitor/Neutral]],def_diff_lookup,6,FALSE))</f>
        <v>97.932553115967764</v>
      </c>
      <c r="M474" s="21"/>
      <c r="N474" s="21">
        <f>(Table2[[#This Row],[A/Pace]]/100)*(VLOOKUP(Table2[[#This Row],[Visitor/Neutral]],OFR_lookup,2,FALSE)+VLOOKUP(Table2[[#This Row],[Home/Neutral]],def_diff_lookup,6,FALSE))</f>
        <v>108.872641</v>
      </c>
      <c r="O474" s="21"/>
      <c r="P474" s="21"/>
      <c r="Q474">
        <f>VLOOKUP(Table2[[#This Row],[Home/Neutral]],pace_lookup,7,FALSE)</f>
        <v>92.9</v>
      </c>
      <c r="R474" s="5">
        <f>VLOOKUP(Table2[[#This Row],[Visitor/Neutral]],pace_lookup,7,FALSE)</f>
        <v>96.9</v>
      </c>
      <c r="S474" s="7"/>
      <c r="U474" s="15"/>
      <c r="W474" s="2">
        <f>-home-VLOOKUP(Table2[[#This Row],[Home/Neutral]],rtg_vlookup,4,FALSE)+VLOOKUP(Table2[[#This Row],[Visitor/Neutral]],rtg_vlookup,4,FALSE)</f>
        <v>9.7613114754098333</v>
      </c>
      <c r="X474" s="15"/>
      <c r="Y474" s="2"/>
      <c r="Z474" s="2">
        <f>Table2[[#This Row],[A/EV]]-Table2[[#This Row],[H/EV]]</f>
        <v>10.940087884032238</v>
      </c>
      <c r="AA474" s="29"/>
      <c r="AB474" s="30"/>
      <c r="AC474" s="30"/>
      <c r="AD474" s="30"/>
      <c r="AE474" s="30"/>
      <c r="AF474" s="7" t="b">
        <f>IF(VLOOKUP(Table2[[#This Row],[Home/Neutral]],division_lookup,9,FALSE)=VLOOKUP(Table2[[#This Row],[Visitor/Neutral]],division_lookup,9,FALSE),TRUE,FALSE)</f>
        <v>1</v>
      </c>
      <c r="AG474" s="15" t="str">
        <f>VLOOKUP(Table2[[#This Row],[Home/Neutral]],division_lookup,9,FALSE)</f>
        <v>SW</v>
      </c>
      <c r="AH474" s="15" t="str">
        <f>IF(Table2[[#This Row],[Total/EV]]&lt;Table2[[#This Row],[Total/V]],"UNDER","OVER")</f>
        <v>OVER</v>
      </c>
      <c r="AI474" s="26">
        <f>Table2[[#This Row],[SRS/Real]]-Table2[[#This Row],[Spread/V]]</f>
        <v>0</v>
      </c>
      <c r="AJ474" s="2">
        <f>Table2[[#This Row],[EV/Real]]-Table2[[#This Row],[Spread/V]]</f>
        <v>0</v>
      </c>
      <c r="AK474" s="2">
        <f>Table2[[#This Row],[SRS/Diff]]-Table2[[#This Row],[EV/Diff]]</f>
        <v>0</v>
      </c>
      <c r="AL474" s="18">
        <f>Table2[[#This Row],[SRS]]-Table2[[#This Row],[Spread]]</f>
        <v>9.7613114754098333</v>
      </c>
      <c r="AM474" s="21">
        <f>Table2[[#This Row],[(A) Err]]^2</f>
        <v>95.283201719967693</v>
      </c>
      <c r="AN474" s="6">
        <f>Table2[[#This Row],[EV]]-Table2[[#This Row],[Spread]]</f>
        <v>10.940087884032238</v>
      </c>
      <c r="AO474" s="1">
        <f>Table2[[#This Row],[EV Err]]^2</f>
        <v>119.68552291034896</v>
      </c>
      <c r="AP474" s="1"/>
    </row>
    <row r="475" spans="1:42" x14ac:dyDescent="0.25">
      <c r="A475" s="34">
        <v>42731</v>
      </c>
      <c r="B475" t="s">
        <v>122</v>
      </c>
      <c r="C475" t="s">
        <v>136</v>
      </c>
      <c r="E475" s="21"/>
      <c r="G475" s="21"/>
      <c r="H475" s="7"/>
      <c r="I475" s="21"/>
      <c r="K475"/>
      <c r="L475" s="21">
        <f>(Table2[[#This Row],[H/Pace]]/100)*(VLOOKUP(Table2[[#This Row],[Home/Neutral]],home_lookup,8,FALSE)+VLOOKUP(Table2[[#This Row],[Home/Neutral]],OFR_lookup,2,FALSE)+VLOOKUP(Table2[[#This Row],[Visitor/Neutral]],def_diff_lookup,6,FALSE))</f>
        <v>105.3090083274473</v>
      </c>
      <c r="M475" s="21"/>
      <c r="N475" s="21">
        <f>(Table2[[#This Row],[A/Pace]]/100)*(VLOOKUP(Table2[[#This Row],[Visitor/Neutral]],OFR_lookup,2,FALSE)+VLOOKUP(Table2[[#This Row],[Home/Neutral]],def_diff_lookup,6,FALSE))</f>
        <v>101.54273499999999</v>
      </c>
      <c r="O475" s="21"/>
      <c r="P475" s="21"/>
      <c r="Q475">
        <f>VLOOKUP(Table2[[#This Row],[Home/Neutral]],pace_lookup,7,FALSE)</f>
        <v>100.2</v>
      </c>
      <c r="R475" s="5">
        <f>VLOOKUP(Table2[[#This Row],[Visitor/Neutral]],pace_lookup,7,FALSE)</f>
        <v>91.5</v>
      </c>
      <c r="S475" s="7"/>
      <c r="U475" s="15"/>
      <c r="W475" s="2">
        <f>-home-VLOOKUP(Table2[[#This Row],[Home/Neutral]],rtg_vlookup,4,FALSE)+VLOOKUP(Table2[[#This Row],[Visitor/Neutral]],rtg_vlookup,4,FALSE)</f>
        <v>3.7213114754098342</v>
      </c>
      <c r="X475" s="15"/>
      <c r="Y475" s="2"/>
      <c r="Z475" s="2">
        <f>Table2[[#This Row],[A/EV]]-Table2[[#This Row],[H/EV]]</f>
        <v>-3.7662733274473084</v>
      </c>
      <c r="AA475" s="29"/>
      <c r="AB475" s="30"/>
      <c r="AC475" s="30"/>
      <c r="AD475" s="30"/>
      <c r="AE475" s="30"/>
      <c r="AF475" s="7" t="b">
        <f>IF(VLOOKUP(Table2[[#This Row],[Home/Neutral]],division_lookup,9,FALSE)=VLOOKUP(Table2[[#This Row],[Visitor/Neutral]],division_lookup,9,FALSE),TRUE,FALSE)</f>
        <v>0</v>
      </c>
      <c r="AG475" s="15" t="str">
        <f>VLOOKUP(Table2[[#This Row],[Home/Neutral]],division_lookup,9,FALSE)</f>
        <v>P</v>
      </c>
      <c r="AH475" s="15" t="str">
        <f>IF(Table2[[#This Row],[Total/EV]]&lt;Table2[[#This Row],[Total/V]],"UNDER","OVER")</f>
        <v>OVER</v>
      </c>
      <c r="AI475" s="26">
        <f>Table2[[#This Row],[SRS/Real]]-Table2[[#This Row],[Spread/V]]</f>
        <v>0</v>
      </c>
      <c r="AJ475" s="2">
        <f>Table2[[#This Row],[EV/Real]]-Table2[[#This Row],[Spread/V]]</f>
        <v>0</v>
      </c>
      <c r="AK475" s="2">
        <f>Table2[[#This Row],[SRS/Diff]]-Table2[[#This Row],[EV/Diff]]</f>
        <v>0</v>
      </c>
      <c r="AL475" s="18">
        <f>Table2[[#This Row],[SRS]]-Table2[[#This Row],[Spread]]</f>
        <v>3.7213114754098342</v>
      </c>
      <c r="AM475" s="21">
        <f>Table2[[#This Row],[(A) Err]]^2</f>
        <v>13.848159097016918</v>
      </c>
      <c r="AN475" s="6">
        <f>Table2[[#This Row],[EV]]-Table2[[#This Row],[Spread]]</f>
        <v>-3.7662733274473084</v>
      </c>
      <c r="AO475" s="1">
        <f>Table2[[#This Row],[EV Err]]^2</f>
        <v>14.184814777041019</v>
      </c>
      <c r="AP475" s="1"/>
    </row>
    <row r="476" spans="1:42" x14ac:dyDescent="0.25">
      <c r="A476" s="34">
        <v>42731</v>
      </c>
      <c r="B476" t="s">
        <v>124</v>
      </c>
      <c r="C476" t="s">
        <v>129</v>
      </c>
      <c r="E476" s="21"/>
      <c r="G476" s="21"/>
      <c r="H476" s="7"/>
      <c r="I476" s="21"/>
      <c r="K476"/>
      <c r="L476" s="21">
        <f>(Table2[[#This Row],[H/Pace]]/100)*(VLOOKUP(Table2[[#This Row],[Home/Neutral]],home_lookup,8,FALSE)+VLOOKUP(Table2[[#This Row],[Home/Neutral]],OFR_lookup,2,FALSE)+VLOOKUP(Table2[[#This Row],[Visitor/Neutral]],def_diff_lookup,6,FALSE))</f>
        <v>99.392895177235573</v>
      </c>
      <c r="M476" s="21"/>
      <c r="N476" s="21">
        <f>(Table2[[#This Row],[A/Pace]]/100)*(VLOOKUP(Table2[[#This Row],[Visitor/Neutral]],OFR_lookup,2,FALSE)+VLOOKUP(Table2[[#This Row],[Home/Neutral]],def_diff_lookup,6,FALSE))</f>
        <v>102.99530999999999</v>
      </c>
      <c r="O476" s="21"/>
      <c r="P476" s="21"/>
      <c r="Q476">
        <f>VLOOKUP(Table2[[#This Row],[Home/Neutral]],pace_lookup,7,FALSE)</f>
        <v>93.7</v>
      </c>
      <c r="R476" s="5">
        <f>VLOOKUP(Table2[[#This Row],[Visitor/Neutral]],pace_lookup,7,FALSE)</f>
        <v>99</v>
      </c>
      <c r="S476" s="7"/>
      <c r="U476" s="15"/>
      <c r="W476" s="2">
        <f>-home-VLOOKUP(Table2[[#This Row],[Home/Neutral]],rtg_vlookup,4,FALSE)+VLOOKUP(Table2[[#This Row],[Visitor/Neutral]],rtg_vlookup,4,FALSE)</f>
        <v>-6.8688524590165834E-2</v>
      </c>
      <c r="X476" s="15"/>
      <c r="Y476" s="2"/>
      <c r="Z476" s="2">
        <f>Table2[[#This Row],[A/EV]]-Table2[[#This Row],[H/EV]]</f>
        <v>3.6024148227644162</v>
      </c>
      <c r="AA476" s="29"/>
      <c r="AB476" s="30"/>
      <c r="AC476" s="30"/>
      <c r="AD476" s="30"/>
      <c r="AE476" s="30"/>
      <c r="AF476" s="7" t="b">
        <f>IF(VLOOKUP(Table2[[#This Row],[Home/Neutral]],division_lookup,9,FALSE)=VLOOKUP(Table2[[#This Row],[Visitor/Neutral]],division_lookup,9,FALSE),TRUE,FALSE)</f>
        <v>0</v>
      </c>
      <c r="AG476" s="15" t="str">
        <f>VLOOKUP(Table2[[#This Row],[Home/Neutral]],division_lookup,9,FALSE)</f>
        <v>SE</v>
      </c>
      <c r="AH476" s="15" t="str">
        <f>IF(Table2[[#This Row],[Total/EV]]&lt;Table2[[#This Row],[Total/V]],"UNDER","OVER")</f>
        <v>OVER</v>
      </c>
      <c r="AI476" s="26">
        <f>Table2[[#This Row],[SRS/Real]]-Table2[[#This Row],[Spread/V]]</f>
        <v>0</v>
      </c>
      <c r="AJ476" s="2">
        <f>Table2[[#This Row],[EV/Real]]-Table2[[#This Row],[Spread/V]]</f>
        <v>0</v>
      </c>
      <c r="AK476" s="2">
        <f>Table2[[#This Row],[SRS/Diff]]-Table2[[#This Row],[EV/Diff]]</f>
        <v>0</v>
      </c>
      <c r="AL476" s="18">
        <f>Table2[[#This Row],[SRS]]-Table2[[#This Row],[Spread]]</f>
        <v>-6.8688524590165834E-2</v>
      </c>
      <c r="AM476" s="21">
        <f>Table2[[#This Row],[(A) Err]]^2</f>
        <v>4.718113410373816E-3</v>
      </c>
      <c r="AN476" s="6">
        <f>Table2[[#This Row],[EV]]-Table2[[#This Row],[Spread]]</f>
        <v>3.6024148227644162</v>
      </c>
      <c r="AO476" s="1">
        <f>Table2[[#This Row],[EV Err]]^2</f>
        <v>12.977392555272781</v>
      </c>
      <c r="AP476" s="1"/>
    </row>
    <row r="477" spans="1:42" x14ac:dyDescent="0.25">
      <c r="A477" s="34">
        <v>42732</v>
      </c>
      <c r="B477" t="s">
        <v>109</v>
      </c>
      <c r="C477" t="s">
        <v>128</v>
      </c>
      <c r="E477" s="21"/>
      <c r="G477" s="21"/>
      <c r="H477" s="7"/>
      <c r="I477" s="21"/>
      <c r="K477"/>
      <c r="L477" s="21">
        <f>(Table2[[#This Row],[H/Pace]]/100)*(VLOOKUP(Table2[[#This Row],[Home/Neutral]],home_lookup,8,FALSE)+VLOOKUP(Table2[[#This Row],[Home/Neutral]],OFR_lookup,2,FALSE)+VLOOKUP(Table2[[#This Row],[Visitor/Neutral]],def_diff_lookup,6,FALSE))</f>
        <v>103.52032660728638</v>
      </c>
      <c r="M477" s="21"/>
      <c r="N477" s="21">
        <f>(Table2[[#This Row],[A/Pace]]/100)*(VLOOKUP(Table2[[#This Row],[Visitor/Neutral]],OFR_lookup,2,FALSE)+VLOOKUP(Table2[[#This Row],[Home/Neutral]],def_diff_lookup,6,FALSE))</f>
        <v>97.326236999999992</v>
      </c>
      <c r="O477" s="21"/>
      <c r="P477" s="21"/>
      <c r="Q477">
        <f>VLOOKUP(Table2[[#This Row],[Home/Neutral]],pace_lookup,7,FALSE)</f>
        <v>99.2</v>
      </c>
      <c r="R477" s="5">
        <f>VLOOKUP(Table2[[#This Row],[Visitor/Neutral]],pace_lookup,7,FALSE)</f>
        <v>96.3</v>
      </c>
      <c r="S477" s="7"/>
      <c r="U477" s="15"/>
      <c r="W477" s="2">
        <f>-home-VLOOKUP(Table2[[#This Row],[Home/Neutral]],rtg_vlookup,4,FALSE)+VLOOKUP(Table2[[#This Row],[Visitor/Neutral]],rtg_vlookup,4,FALSE)</f>
        <v>-6.9186885245901664</v>
      </c>
      <c r="X477" s="15"/>
      <c r="Y477" s="2"/>
      <c r="Z477" s="2">
        <f>Table2[[#This Row],[A/EV]]-Table2[[#This Row],[H/EV]]</f>
        <v>-6.1940896072863865</v>
      </c>
      <c r="AA477" s="29"/>
      <c r="AB477" s="30"/>
      <c r="AC477" s="30"/>
      <c r="AD477" s="30"/>
      <c r="AE477" s="30"/>
      <c r="AF477" s="7" t="b">
        <f>IF(VLOOKUP(Table2[[#This Row],[Home/Neutral]],division_lookup,9,FALSE)=VLOOKUP(Table2[[#This Row],[Visitor/Neutral]],division_lookup,9,FALSE),TRUE,FALSE)</f>
        <v>0</v>
      </c>
      <c r="AG477" s="15" t="str">
        <f>VLOOKUP(Table2[[#This Row],[Home/Neutral]],division_lookup,9,FALSE)</f>
        <v>SE</v>
      </c>
      <c r="AH477" s="15" t="str">
        <f>IF(Table2[[#This Row],[Total/EV]]&lt;Table2[[#This Row],[Total/V]],"UNDER","OVER")</f>
        <v>OVER</v>
      </c>
      <c r="AI477" s="26">
        <f>Table2[[#This Row],[SRS/Real]]-Table2[[#This Row],[Spread/V]]</f>
        <v>0</v>
      </c>
      <c r="AJ477" s="2">
        <f>Table2[[#This Row],[EV/Real]]-Table2[[#This Row],[Spread/V]]</f>
        <v>0</v>
      </c>
      <c r="AK477" s="2">
        <f>Table2[[#This Row],[SRS/Diff]]-Table2[[#This Row],[EV/Diff]]</f>
        <v>0</v>
      </c>
      <c r="AL477" s="18">
        <f>Table2[[#This Row],[SRS]]-Table2[[#This Row],[Spread]]</f>
        <v>-6.9186885245901664</v>
      </c>
      <c r="AM477" s="21">
        <f>Table2[[#This Row],[(A) Err]]^2</f>
        <v>47.868250900295656</v>
      </c>
      <c r="AN477" s="6">
        <f>Table2[[#This Row],[EV]]-Table2[[#This Row],[Spread]]</f>
        <v>-6.1940896072863865</v>
      </c>
      <c r="AO477" s="1">
        <f>Table2[[#This Row],[EV Err]]^2</f>
        <v>38.366746063093224</v>
      </c>
      <c r="AP477" s="1"/>
    </row>
    <row r="478" spans="1:42" x14ac:dyDescent="0.25">
      <c r="A478" s="34">
        <v>42732</v>
      </c>
      <c r="B478" t="s">
        <v>113</v>
      </c>
      <c r="C478" t="s">
        <v>111</v>
      </c>
      <c r="E478" s="21"/>
      <c r="G478" s="21"/>
      <c r="H478" s="7"/>
      <c r="I478" s="21"/>
      <c r="K478"/>
      <c r="L478" s="21">
        <f>(Table2[[#This Row],[H/Pace]]/100)*(VLOOKUP(Table2[[#This Row],[Home/Neutral]],home_lookup,8,FALSE)+VLOOKUP(Table2[[#This Row],[Home/Neutral]],OFR_lookup,2,FALSE)+VLOOKUP(Table2[[#This Row],[Visitor/Neutral]],def_diff_lookup,6,FALSE))</f>
        <v>113.21776388016279</v>
      </c>
      <c r="M478" s="21"/>
      <c r="N478" s="21">
        <f>(Table2[[#This Row],[A/Pace]]/100)*(VLOOKUP(Table2[[#This Row],[Visitor/Neutral]],OFR_lookup,2,FALSE)+VLOOKUP(Table2[[#This Row],[Home/Neutral]],def_diff_lookup,6,FALSE))</f>
        <v>103.74997999999999</v>
      </c>
      <c r="O478" s="21"/>
      <c r="P478" s="21"/>
      <c r="Q478">
        <f>VLOOKUP(Table2[[#This Row],[Home/Neutral]],pace_lookup,7,FALSE)</f>
        <v>95.1</v>
      </c>
      <c r="R478" s="5">
        <f>VLOOKUP(Table2[[#This Row],[Visitor/Neutral]],pace_lookup,7,FALSE)</f>
        <v>102</v>
      </c>
      <c r="S478" s="7"/>
      <c r="U478" s="15"/>
      <c r="W478" s="2">
        <f>-home-VLOOKUP(Table2[[#This Row],[Home/Neutral]],rtg_vlookup,4,FALSE)+VLOOKUP(Table2[[#This Row],[Visitor/Neutral]],rtg_vlookup,4,FALSE)</f>
        <v>-16.208688524590166</v>
      </c>
      <c r="X478" s="15"/>
      <c r="Y478" s="2"/>
      <c r="Z478" s="2">
        <f>Table2[[#This Row],[A/EV]]-Table2[[#This Row],[H/EV]]</f>
        <v>-9.4677838801627985</v>
      </c>
      <c r="AA478" s="29"/>
      <c r="AB478" s="30"/>
      <c r="AC478" s="30"/>
      <c r="AD478" s="30"/>
      <c r="AE478" s="30"/>
      <c r="AF478" s="7" t="b">
        <f>IF(VLOOKUP(Table2[[#This Row],[Home/Neutral]],division_lookup,9,FALSE)=VLOOKUP(Table2[[#This Row],[Visitor/Neutral]],division_lookup,9,FALSE),TRUE,FALSE)</f>
        <v>0</v>
      </c>
      <c r="AG478" s="15" t="str">
        <f>VLOOKUP(Table2[[#This Row],[Home/Neutral]],division_lookup,9,FALSE)</f>
        <v>C</v>
      </c>
      <c r="AH478" s="15" t="str">
        <f>IF(Table2[[#This Row],[Total/EV]]&lt;Table2[[#This Row],[Total/V]],"UNDER","OVER")</f>
        <v>OVER</v>
      </c>
      <c r="AI478" s="26">
        <f>Table2[[#This Row],[SRS/Real]]-Table2[[#This Row],[Spread/V]]</f>
        <v>0</v>
      </c>
      <c r="AJ478" s="2">
        <f>Table2[[#This Row],[EV/Real]]-Table2[[#This Row],[Spread/V]]</f>
        <v>0</v>
      </c>
      <c r="AK478" s="2">
        <f>Table2[[#This Row],[SRS/Diff]]-Table2[[#This Row],[EV/Diff]]</f>
        <v>0</v>
      </c>
      <c r="AL478" s="18">
        <f>Table2[[#This Row],[SRS]]-Table2[[#This Row],[Spread]]</f>
        <v>-16.208688524590166</v>
      </c>
      <c r="AM478" s="21">
        <f>Table2[[#This Row],[(A) Err]]^2</f>
        <v>262.7215836871809</v>
      </c>
      <c r="AN478" s="6">
        <f>Table2[[#This Row],[EV]]-Table2[[#This Row],[Spread]]</f>
        <v>-9.4677838801627985</v>
      </c>
      <c r="AO478" s="1">
        <f>Table2[[#This Row],[EV Err]]^2</f>
        <v>89.638931601470532</v>
      </c>
      <c r="AP478" s="1"/>
    </row>
    <row r="479" spans="1:42" x14ac:dyDescent="0.25">
      <c r="A479" s="34">
        <v>42732</v>
      </c>
      <c r="B479" t="s">
        <v>116</v>
      </c>
      <c r="C479" t="s">
        <v>126</v>
      </c>
      <c r="E479" s="21"/>
      <c r="G479" s="21"/>
      <c r="H479" s="7"/>
      <c r="I479" s="21"/>
      <c r="K479"/>
      <c r="L479" s="21">
        <f>(Table2[[#This Row],[H/Pace]]/100)*(VLOOKUP(Table2[[#This Row],[Home/Neutral]],home_lookup,8,FALSE)+VLOOKUP(Table2[[#This Row],[Home/Neutral]],OFR_lookup,2,FALSE)+VLOOKUP(Table2[[#This Row],[Visitor/Neutral]],def_diff_lookup,6,FALSE))</f>
        <v>108.09680470161864</v>
      </c>
      <c r="M479" s="21"/>
      <c r="N479" s="21">
        <f>(Table2[[#This Row],[A/Pace]]/100)*(VLOOKUP(Table2[[#This Row],[Visitor/Neutral]],OFR_lookup,2,FALSE)+VLOOKUP(Table2[[#This Row],[Home/Neutral]],def_diff_lookup,6,FALSE))</f>
        <v>104.25143300000001</v>
      </c>
      <c r="O479" s="21"/>
      <c r="P479" s="21"/>
      <c r="Q479">
        <f>VLOOKUP(Table2[[#This Row],[Home/Neutral]],pace_lookup,7,FALSE)</f>
        <v>99.1</v>
      </c>
      <c r="R479" s="5">
        <f>VLOOKUP(Table2[[#This Row],[Visitor/Neutral]],pace_lookup,7,FALSE)</f>
        <v>95.7</v>
      </c>
      <c r="S479" s="7"/>
      <c r="U479" s="15"/>
      <c r="W479" s="2">
        <f>-home-VLOOKUP(Table2[[#This Row],[Home/Neutral]],rtg_vlookup,4,FALSE)+VLOOKUP(Table2[[#This Row],[Visitor/Neutral]],rtg_vlookup,4,FALSE)</f>
        <v>-3.2186885245901662</v>
      </c>
      <c r="X479" s="15"/>
      <c r="Y479" s="2"/>
      <c r="Z479" s="2">
        <f>Table2[[#This Row],[A/EV]]-Table2[[#This Row],[H/EV]]</f>
        <v>-3.8453717016186317</v>
      </c>
      <c r="AA479" s="29"/>
      <c r="AB479" s="30"/>
      <c r="AC479" s="30"/>
      <c r="AD479" s="30"/>
      <c r="AE479" s="30"/>
      <c r="AF479" s="7" t="b">
        <f>IF(VLOOKUP(Table2[[#This Row],[Home/Neutral]],division_lookup,9,FALSE)=VLOOKUP(Table2[[#This Row],[Visitor/Neutral]],division_lookup,9,FALSE),TRUE,FALSE)</f>
        <v>1</v>
      </c>
      <c r="AG479" s="15" t="str">
        <f>VLOOKUP(Table2[[#This Row],[Home/Neutral]],division_lookup,9,FALSE)</f>
        <v>NW</v>
      </c>
      <c r="AH479" s="15" t="str">
        <f>IF(Table2[[#This Row],[Total/EV]]&lt;Table2[[#This Row],[Total/V]],"UNDER","OVER")</f>
        <v>OVER</v>
      </c>
      <c r="AI479" s="26">
        <f>Table2[[#This Row],[SRS/Real]]-Table2[[#This Row],[Spread/V]]</f>
        <v>0</v>
      </c>
      <c r="AJ479" s="2">
        <f>Table2[[#This Row],[EV/Real]]-Table2[[#This Row],[Spread/V]]</f>
        <v>0</v>
      </c>
      <c r="AK479" s="2">
        <f>Table2[[#This Row],[SRS/Diff]]-Table2[[#This Row],[EV/Diff]]</f>
        <v>0</v>
      </c>
      <c r="AL479" s="18">
        <f>Table2[[#This Row],[SRS]]-Table2[[#This Row],[Spread]]</f>
        <v>-3.2186885245901662</v>
      </c>
      <c r="AM479" s="21">
        <f>Table2[[#This Row],[(A) Err]]^2</f>
        <v>10.359955818328421</v>
      </c>
      <c r="AN479" s="6">
        <f>Table2[[#This Row],[EV]]-Table2[[#This Row],[Spread]]</f>
        <v>-3.8453717016186317</v>
      </c>
      <c r="AO479" s="1">
        <f>Table2[[#This Row],[EV Err]]^2</f>
        <v>14.786883523609371</v>
      </c>
      <c r="AP479" s="1"/>
    </row>
    <row r="480" spans="1:42" x14ac:dyDescent="0.25">
      <c r="A480" s="34">
        <v>42732</v>
      </c>
      <c r="B480" t="s">
        <v>117</v>
      </c>
      <c r="C480" t="s">
        <v>125</v>
      </c>
      <c r="E480" s="21"/>
      <c r="G480" s="21"/>
      <c r="H480" s="7"/>
      <c r="I480" s="21"/>
      <c r="K480"/>
      <c r="L480" s="21">
        <f>(Table2[[#This Row],[H/Pace]]/100)*(VLOOKUP(Table2[[#This Row],[Home/Neutral]],home_lookup,8,FALSE)+VLOOKUP(Table2[[#This Row],[Home/Neutral]],OFR_lookup,2,FALSE)+VLOOKUP(Table2[[#This Row],[Visitor/Neutral]],def_diff_lookup,6,FALSE))</f>
        <v>114.18239591446428</v>
      </c>
      <c r="M480" s="21"/>
      <c r="N480" s="21">
        <f>(Table2[[#This Row],[A/Pace]]/100)*(VLOOKUP(Table2[[#This Row],[Visitor/Neutral]],OFR_lookup,2,FALSE)+VLOOKUP(Table2[[#This Row],[Home/Neutral]],def_diff_lookup,6,FALSE))</f>
        <v>98.354185666666652</v>
      </c>
      <c r="O480" s="21"/>
      <c r="P480" s="21"/>
      <c r="Q480">
        <f>VLOOKUP(Table2[[#This Row],[Home/Neutral]],pace_lookup,7,FALSE)</f>
        <v>94</v>
      </c>
      <c r="R480" s="5">
        <f>VLOOKUP(Table2[[#This Row],[Visitor/Neutral]],pace_lookup,7,FALSE)</f>
        <v>96.1</v>
      </c>
      <c r="S480" s="7"/>
      <c r="U480" s="15"/>
      <c r="W480" s="2">
        <f>-home-VLOOKUP(Table2[[#This Row],[Home/Neutral]],rtg_vlookup,4,FALSE)+VLOOKUP(Table2[[#This Row],[Visitor/Neutral]],rtg_vlookup,4,FALSE)</f>
        <v>-6.8286885245901665</v>
      </c>
      <c r="X480" s="15"/>
      <c r="Y480" s="2"/>
      <c r="Z480" s="2">
        <f>Table2[[#This Row],[A/EV]]-Table2[[#This Row],[H/EV]]</f>
        <v>-15.828210247797628</v>
      </c>
      <c r="AA480" s="29"/>
      <c r="AB480" s="30"/>
      <c r="AC480" s="30"/>
      <c r="AD480" s="30"/>
      <c r="AE480" s="30"/>
      <c r="AF480" s="7" t="b">
        <f>IF(VLOOKUP(Table2[[#This Row],[Home/Neutral]],division_lookup,9,FALSE)=VLOOKUP(Table2[[#This Row],[Visitor/Neutral]],division_lookup,9,FALSE),TRUE,FALSE)</f>
        <v>1</v>
      </c>
      <c r="AG480" s="15" t="str">
        <f>VLOOKUP(Table2[[#This Row],[Home/Neutral]],division_lookup,9,FALSE)</f>
        <v>C</v>
      </c>
      <c r="AH480" s="15" t="str">
        <f>IF(Table2[[#This Row],[Total/EV]]&lt;Table2[[#This Row],[Total/V]],"UNDER","OVER")</f>
        <v>OVER</v>
      </c>
      <c r="AI480" s="26">
        <f>Table2[[#This Row],[SRS/Real]]-Table2[[#This Row],[Spread/V]]</f>
        <v>0</v>
      </c>
      <c r="AJ480" s="2">
        <f>Table2[[#This Row],[EV/Real]]-Table2[[#This Row],[Spread/V]]</f>
        <v>0</v>
      </c>
      <c r="AK480" s="2">
        <f>Table2[[#This Row],[SRS/Diff]]-Table2[[#This Row],[EV/Diff]]</f>
        <v>0</v>
      </c>
      <c r="AL480" s="18">
        <f>Table2[[#This Row],[SRS]]-Table2[[#This Row],[Spread]]</f>
        <v>-6.8286885245901665</v>
      </c>
      <c r="AM480" s="21">
        <f>Table2[[#This Row],[(A) Err]]^2</f>
        <v>46.630986965869425</v>
      </c>
      <c r="AN480" s="6">
        <f>Table2[[#This Row],[EV]]-Table2[[#This Row],[Spread]]</f>
        <v>-15.828210247797628</v>
      </c>
      <c r="AO480" s="1">
        <f>Table2[[#This Row],[EV Err]]^2</f>
        <v>250.53223964848584</v>
      </c>
      <c r="AP480" s="1"/>
    </row>
    <row r="481" spans="1:42" x14ac:dyDescent="0.25">
      <c r="A481" s="34">
        <v>42732</v>
      </c>
      <c r="B481" t="s">
        <v>118</v>
      </c>
      <c r="C481" t="s">
        <v>135</v>
      </c>
      <c r="E481" s="21"/>
      <c r="G481" s="21"/>
      <c r="H481" s="7"/>
      <c r="I481" s="21"/>
      <c r="K481"/>
      <c r="L481" s="21">
        <f>(Table2[[#This Row],[H/Pace]]/100)*(VLOOKUP(Table2[[#This Row],[Home/Neutral]],home_lookup,8,FALSE)+VLOOKUP(Table2[[#This Row],[Home/Neutral]],OFR_lookup,2,FALSE)+VLOOKUP(Table2[[#This Row],[Visitor/Neutral]],def_diff_lookup,6,FALSE))</f>
        <v>115.65611838078237</v>
      </c>
      <c r="M481" s="21"/>
      <c r="N481" s="21">
        <f>(Table2[[#This Row],[A/Pace]]/100)*(VLOOKUP(Table2[[#This Row],[Visitor/Neutral]],OFR_lookup,2,FALSE)+VLOOKUP(Table2[[#This Row],[Home/Neutral]],def_diff_lookup,6,FALSE))</f>
        <v>107.18730600000001</v>
      </c>
      <c r="O481" s="21"/>
      <c r="P481" s="21"/>
      <c r="Q481">
        <f>VLOOKUP(Table2[[#This Row],[Home/Neutral]],pace_lookup,7,FALSE)</f>
        <v>100.4</v>
      </c>
      <c r="R481" s="5">
        <f>VLOOKUP(Table2[[#This Row],[Visitor/Neutral]],pace_lookup,7,FALSE)</f>
        <v>95.4</v>
      </c>
      <c r="S481" s="7"/>
      <c r="U481" s="15"/>
      <c r="W481" s="2">
        <f>-home-VLOOKUP(Table2[[#This Row],[Home/Neutral]],rtg_vlookup,4,FALSE)+VLOOKUP(Table2[[#This Row],[Visitor/Neutral]],rtg_vlookup,4,FALSE)</f>
        <v>-8.2586885245901662</v>
      </c>
      <c r="X481" s="15"/>
      <c r="Y481" s="2"/>
      <c r="Z481" s="2">
        <f>Table2[[#This Row],[A/EV]]-Table2[[#This Row],[H/EV]]</f>
        <v>-8.4688123807823672</v>
      </c>
      <c r="AA481" s="29"/>
      <c r="AB481" s="30"/>
      <c r="AC481" s="30"/>
      <c r="AD481" s="30"/>
      <c r="AE481" s="30"/>
      <c r="AF481" s="7" t="b">
        <f>IF(VLOOKUP(Table2[[#This Row],[Home/Neutral]],division_lookup,9,FALSE)=VLOOKUP(Table2[[#This Row],[Visitor/Neutral]],division_lookup,9,FALSE),TRUE,FALSE)</f>
        <v>0</v>
      </c>
      <c r="AG481" s="15" t="str">
        <f>VLOOKUP(Table2[[#This Row],[Home/Neutral]],division_lookup,9,FALSE)</f>
        <v>P</v>
      </c>
      <c r="AH481" s="15" t="str">
        <f>IF(Table2[[#This Row],[Total/EV]]&lt;Table2[[#This Row],[Total/V]],"UNDER","OVER")</f>
        <v>OVER</v>
      </c>
      <c r="AI481" s="26">
        <f>Table2[[#This Row],[SRS/Real]]-Table2[[#This Row],[Spread/V]]</f>
        <v>0</v>
      </c>
      <c r="AJ481" s="2">
        <f>Table2[[#This Row],[EV/Real]]-Table2[[#This Row],[Spread/V]]</f>
        <v>0</v>
      </c>
      <c r="AK481" s="2">
        <f>Table2[[#This Row],[SRS/Diff]]-Table2[[#This Row],[EV/Diff]]</f>
        <v>0</v>
      </c>
      <c r="AL481" s="18">
        <f>Table2[[#This Row],[SRS]]-Table2[[#This Row],[Spread]]</f>
        <v>-8.2586885245901662</v>
      </c>
      <c r="AM481" s="21">
        <f>Table2[[#This Row],[(A) Err]]^2</f>
        <v>68.205936146197303</v>
      </c>
      <c r="AN481" s="6">
        <f>Table2[[#This Row],[EV]]-Table2[[#This Row],[Spread]]</f>
        <v>-8.4688123807823672</v>
      </c>
      <c r="AO481" s="1">
        <f>Table2[[#This Row],[EV Err]]^2</f>
        <v>71.720783140892706</v>
      </c>
      <c r="AP481" s="1"/>
    </row>
    <row r="482" spans="1:42" x14ac:dyDescent="0.25">
      <c r="A482" s="34">
        <v>42732</v>
      </c>
      <c r="B482" t="s">
        <v>127</v>
      </c>
      <c r="C482" t="s">
        <v>121</v>
      </c>
      <c r="E482" s="21"/>
      <c r="G482" s="21"/>
      <c r="H482" s="7"/>
      <c r="I482" s="21"/>
      <c r="K482"/>
      <c r="L482" s="21">
        <f>(Table2[[#This Row],[H/Pace]]/100)*(VLOOKUP(Table2[[#This Row],[Home/Neutral]],home_lookup,8,FALSE)+VLOOKUP(Table2[[#This Row],[Home/Neutral]],OFR_lookup,2,FALSE)+VLOOKUP(Table2[[#This Row],[Visitor/Neutral]],def_diff_lookup,6,FALSE))</f>
        <v>98.429464937430481</v>
      </c>
      <c r="M482" s="21"/>
      <c r="N482" s="21">
        <f>(Table2[[#This Row],[A/Pace]]/100)*(VLOOKUP(Table2[[#This Row],[Visitor/Neutral]],OFR_lookup,2,FALSE)+VLOOKUP(Table2[[#This Row],[Home/Neutral]],def_diff_lookup,6,FALSE))</f>
        <v>109.70866266666667</v>
      </c>
      <c r="O482" s="21"/>
      <c r="P482" s="21"/>
      <c r="Q482">
        <f>VLOOKUP(Table2[[#This Row],[Home/Neutral]],pace_lookup,7,FALSE)</f>
        <v>99.3</v>
      </c>
      <c r="R482" s="5">
        <f>VLOOKUP(Table2[[#This Row],[Visitor/Neutral]],pace_lookup,7,FALSE)</f>
        <v>96.4</v>
      </c>
      <c r="S482" s="7"/>
      <c r="U482" s="15"/>
      <c r="W482" s="2">
        <f>-home-VLOOKUP(Table2[[#This Row],[Home/Neutral]],rtg_vlookup,4,FALSE)+VLOOKUP(Table2[[#This Row],[Visitor/Neutral]],rtg_vlookup,4,FALSE)</f>
        <v>12.611311475409835</v>
      </c>
      <c r="X482" s="15"/>
      <c r="Y482" s="2"/>
      <c r="Z482" s="2">
        <f>Table2[[#This Row],[A/EV]]-Table2[[#This Row],[H/EV]]</f>
        <v>11.279197729236188</v>
      </c>
      <c r="AA482" s="29"/>
      <c r="AB482" s="30"/>
      <c r="AC482" s="30"/>
      <c r="AD482" s="30"/>
      <c r="AE482" s="30"/>
      <c r="AF482" s="7" t="b">
        <f>IF(VLOOKUP(Table2[[#This Row],[Home/Neutral]],division_lookup,9,FALSE)=VLOOKUP(Table2[[#This Row],[Visitor/Neutral]],division_lookup,9,FALSE),TRUE,FALSE)</f>
        <v>0</v>
      </c>
      <c r="AG482" s="15" t="str">
        <f>VLOOKUP(Table2[[#This Row],[Home/Neutral]],division_lookup,9,FALSE)</f>
        <v>SW</v>
      </c>
      <c r="AH482" s="15" t="str">
        <f>IF(Table2[[#This Row],[Total/EV]]&lt;Table2[[#This Row],[Total/V]],"UNDER","OVER")</f>
        <v>OVER</v>
      </c>
      <c r="AI482" s="26">
        <f>Table2[[#This Row],[SRS/Real]]-Table2[[#This Row],[Spread/V]]</f>
        <v>0</v>
      </c>
      <c r="AJ482" s="2">
        <f>Table2[[#This Row],[EV/Real]]-Table2[[#This Row],[Spread/V]]</f>
        <v>0</v>
      </c>
      <c r="AK482" s="2">
        <f>Table2[[#This Row],[SRS/Diff]]-Table2[[#This Row],[EV/Diff]]</f>
        <v>0</v>
      </c>
      <c r="AL482" s="18">
        <f>Table2[[#This Row],[SRS]]-Table2[[#This Row],[Spread]]</f>
        <v>12.611311475409835</v>
      </c>
      <c r="AM482" s="21">
        <f>Table2[[#This Row],[(A) Err]]^2</f>
        <v>159.04517712980379</v>
      </c>
      <c r="AN482" s="6">
        <f>Table2[[#This Row],[EV]]-Table2[[#This Row],[Spread]]</f>
        <v>11.279197729236188</v>
      </c>
      <c r="AO482" s="1">
        <f>Table2[[#This Row],[EV Err]]^2</f>
        <v>127.22030141520678</v>
      </c>
      <c r="AP482" s="1"/>
    </row>
    <row r="483" spans="1:42" x14ac:dyDescent="0.25">
      <c r="A483" s="34">
        <v>42732</v>
      </c>
      <c r="B483" t="s">
        <v>130</v>
      </c>
      <c r="C483" t="s">
        <v>112</v>
      </c>
      <c r="E483" s="21"/>
      <c r="G483" s="21"/>
      <c r="H483" s="7"/>
      <c r="I483" s="21"/>
      <c r="K483"/>
      <c r="L483" s="21">
        <f>(Table2[[#This Row],[H/Pace]]/100)*(VLOOKUP(Table2[[#This Row],[Home/Neutral]],home_lookup,8,FALSE)+VLOOKUP(Table2[[#This Row],[Home/Neutral]],OFR_lookup,2,FALSE)+VLOOKUP(Table2[[#This Row],[Visitor/Neutral]],def_diff_lookup,6,FALSE))</f>
        <v>95.611724967109396</v>
      </c>
      <c r="M483" s="21"/>
      <c r="N483" s="21">
        <f>(Table2[[#This Row],[A/Pace]]/100)*(VLOOKUP(Table2[[#This Row],[Visitor/Neutral]],OFR_lookup,2,FALSE)+VLOOKUP(Table2[[#This Row],[Home/Neutral]],def_diff_lookup,6,FALSE))</f>
        <v>104.78843933333333</v>
      </c>
      <c r="O483" s="21"/>
      <c r="P483" s="21"/>
      <c r="Q483">
        <f>VLOOKUP(Table2[[#This Row],[Home/Neutral]],pace_lookup,7,FALSE)</f>
        <v>94.2</v>
      </c>
      <c r="R483" s="5">
        <f>VLOOKUP(Table2[[#This Row],[Visitor/Neutral]],pace_lookup,7,FALSE)</f>
        <v>97.4</v>
      </c>
      <c r="S483" s="7"/>
      <c r="U483" s="15"/>
      <c r="W483" s="2">
        <f>-home-VLOOKUP(Table2[[#This Row],[Home/Neutral]],rtg_vlookup,4,FALSE)+VLOOKUP(Table2[[#This Row],[Visitor/Neutral]],rtg_vlookup,4,FALSE)</f>
        <v>7.891311475409835</v>
      </c>
      <c r="X483" s="15"/>
      <c r="Y483" s="2"/>
      <c r="Z483" s="2">
        <f>Table2[[#This Row],[A/EV]]-Table2[[#This Row],[H/EV]]</f>
        <v>9.1767143662239334</v>
      </c>
      <c r="AA483" s="29"/>
      <c r="AB483" s="30"/>
      <c r="AC483" s="30"/>
      <c r="AD483" s="30"/>
      <c r="AE483" s="30"/>
      <c r="AF483" s="7" t="b">
        <f>IF(VLOOKUP(Table2[[#This Row],[Home/Neutral]],division_lookup,9,FALSE)=VLOOKUP(Table2[[#This Row],[Visitor/Neutral]],division_lookup,9,FALSE),TRUE,FALSE)</f>
        <v>1</v>
      </c>
      <c r="AG483" s="15" t="str">
        <f>VLOOKUP(Table2[[#This Row],[Home/Neutral]],division_lookup,9,FALSE)</f>
        <v>SE</v>
      </c>
      <c r="AH483" s="15" t="str">
        <f>IF(Table2[[#This Row],[Total/EV]]&lt;Table2[[#This Row],[Total/V]],"UNDER","OVER")</f>
        <v>OVER</v>
      </c>
      <c r="AI483" s="26">
        <f>Table2[[#This Row],[SRS/Real]]-Table2[[#This Row],[Spread/V]]</f>
        <v>0</v>
      </c>
      <c r="AJ483" s="2">
        <f>Table2[[#This Row],[EV/Real]]-Table2[[#This Row],[Spread/V]]</f>
        <v>0</v>
      </c>
      <c r="AK483" s="2">
        <f>Table2[[#This Row],[SRS/Diff]]-Table2[[#This Row],[EV/Diff]]</f>
        <v>0</v>
      </c>
      <c r="AL483" s="18">
        <f>Table2[[#This Row],[SRS]]-Table2[[#This Row],[Spread]]</f>
        <v>7.891311475409835</v>
      </c>
      <c r="AM483" s="21">
        <f>Table2[[#This Row],[(A) Err]]^2</f>
        <v>62.272796801934945</v>
      </c>
      <c r="AN483" s="6">
        <f>Table2[[#This Row],[EV]]-Table2[[#This Row],[Spread]]</f>
        <v>9.1767143662239334</v>
      </c>
      <c r="AO483" s="1">
        <f>Table2[[#This Row],[EV Err]]^2</f>
        <v>84.212086559260726</v>
      </c>
      <c r="AP483" s="1"/>
    </row>
    <row r="484" spans="1:42" x14ac:dyDescent="0.25">
      <c r="A484" s="34">
        <v>42732</v>
      </c>
      <c r="B484" t="s">
        <v>132</v>
      </c>
      <c r="C484" t="s">
        <v>133</v>
      </c>
      <c r="E484" s="21"/>
      <c r="G484" s="21"/>
      <c r="H484" s="7"/>
      <c r="I484" s="21"/>
      <c r="K484"/>
      <c r="L484" s="21">
        <f>(Table2[[#This Row],[H/Pace]]/100)*(VLOOKUP(Table2[[#This Row],[Home/Neutral]],home_lookup,8,FALSE)+VLOOKUP(Table2[[#This Row],[Home/Neutral]],OFR_lookup,2,FALSE)+VLOOKUP(Table2[[#This Row],[Visitor/Neutral]],def_diff_lookup,6,FALSE))</f>
        <v>112.17574144606979</v>
      </c>
      <c r="M484" s="21"/>
      <c r="N484" s="21">
        <f>(Table2[[#This Row],[A/Pace]]/100)*(VLOOKUP(Table2[[#This Row],[Visitor/Neutral]],OFR_lookup,2,FALSE)+VLOOKUP(Table2[[#This Row],[Home/Neutral]],def_diff_lookup,6,FALSE))</f>
        <v>106.912918</v>
      </c>
      <c r="O484" s="21"/>
      <c r="P484" s="21"/>
      <c r="Q484">
        <f>VLOOKUP(Table2[[#This Row],[Home/Neutral]],pace_lookup,7,FALSE)</f>
        <v>98.8</v>
      </c>
      <c r="R484" s="5">
        <f>VLOOKUP(Table2[[#This Row],[Visitor/Neutral]],pace_lookup,7,FALSE)</f>
        <v>94.2</v>
      </c>
      <c r="S484" s="7"/>
      <c r="U484" s="15"/>
      <c r="W484" s="2">
        <f>-home-VLOOKUP(Table2[[#This Row],[Home/Neutral]],rtg_vlookup,4,FALSE)+VLOOKUP(Table2[[#This Row],[Visitor/Neutral]],rtg_vlookup,4,FALSE)</f>
        <v>-2.2586885245901658</v>
      </c>
      <c r="X484" s="15"/>
      <c r="Y484" s="2"/>
      <c r="Z484" s="2">
        <f>Table2[[#This Row],[A/EV]]-Table2[[#This Row],[H/EV]]</f>
        <v>-5.2628234460697882</v>
      </c>
      <c r="AA484" s="29"/>
      <c r="AB484" s="30"/>
      <c r="AC484" s="30"/>
      <c r="AD484" s="30"/>
      <c r="AE484" s="30"/>
      <c r="AF484" s="7" t="b">
        <f>IF(VLOOKUP(Table2[[#This Row],[Home/Neutral]],division_lookup,9,FALSE)=VLOOKUP(Table2[[#This Row],[Visitor/Neutral]],division_lookup,9,FALSE),TRUE,FALSE)</f>
        <v>0</v>
      </c>
      <c r="AG484" s="15" t="str">
        <f>VLOOKUP(Table2[[#This Row],[Home/Neutral]],division_lookup,9,FALSE)</f>
        <v>NW</v>
      </c>
      <c r="AH484" s="15" t="str">
        <f>IF(Table2[[#This Row],[Total/EV]]&lt;Table2[[#This Row],[Total/V]],"UNDER","OVER")</f>
        <v>OVER</v>
      </c>
      <c r="AI484" s="26">
        <f>Table2[[#This Row],[SRS/Real]]-Table2[[#This Row],[Spread/V]]</f>
        <v>0</v>
      </c>
      <c r="AJ484" s="2">
        <f>Table2[[#This Row],[EV/Real]]-Table2[[#This Row],[Spread/V]]</f>
        <v>0</v>
      </c>
      <c r="AK484" s="2">
        <f>Table2[[#This Row],[SRS/Diff]]-Table2[[#This Row],[EV/Diff]]</f>
        <v>0</v>
      </c>
      <c r="AL484" s="18">
        <f>Table2[[#This Row],[SRS]]-Table2[[#This Row],[Spread]]</f>
        <v>-2.2586885245901658</v>
      </c>
      <c r="AM484" s="21">
        <f>Table2[[#This Row],[(A) Err]]^2</f>
        <v>5.1016738511152999</v>
      </c>
      <c r="AN484" s="6">
        <f>Table2[[#This Row],[EV]]-Table2[[#This Row],[Spread]]</f>
        <v>-5.2628234460697882</v>
      </c>
      <c r="AO484" s="1">
        <f>Table2[[#This Row],[EV Err]]^2</f>
        <v>27.697310624501881</v>
      </c>
      <c r="AP484" s="1"/>
    </row>
    <row r="485" spans="1:42" x14ac:dyDescent="0.25">
      <c r="A485" s="34">
        <v>42732</v>
      </c>
      <c r="B485" t="s">
        <v>134</v>
      </c>
      <c r="C485" t="s">
        <v>131</v>
      </c>
      <c r="E485" s="21"/>
      <c r="G485" s="21"/>
      <c r="H485" s="7"/>
      <c r="I485" s="21"/>
      <c r="K485"/>
      <c r="L485" s="21">
        <f>(Table2[[#This Row],[H/Pace]]/100)*(VLOOKUP(Table2[[#This Row],[Home/Neutral]],home_lookup,8,FALSE)+VLOOKUP(Table2[[#This Row],[Home/Neutral]],OFR_lookup,2,FALSE)+VLOOKUP(Table2[[#This Row],[Visitor/Neutral]],def_diff_lookup,6,FALSE))</f>
        <v>101.72889343638194</v>
      </c>
      <c r="M485" s="21"/>
      <c r="N485" s="21">
        <f>(Table2[[#This Row],[A/Pace]]/100)*(VLOOKUP(Table2[[#This Row],[Visitor/Neutral]],OFR_lookup,2,FALSE)+VLOOKUP(Table2[[#This Row],[Home/Neutral]],def_diff_lookup,6,FALSE))</f>
        <v>101.74644300000001</v>
      </c>
      <c r="O485" s="21"/>
      <c r="P485" s="21"/>
      <c r="Q485">
        <f>VLOOKUP(Table2[[#This Row],[Home/Neutral]],pace_lookup,7,FALSE)</f>
        <v>93.4</v>
      </c>
      <c r="R485" s="5">
        <f>VLOOKUP(Table2[[#This Row],[Visitor/Neutral]],pace_lookup,7,FALSE)</f>
        <v>101.7</v>
      </c>
      <c r="S485" s="7"/>
      <c r="U485" s="15"/>
      <c r="W485" s="2">
        <f>-home-VLOOKUP(Table2[[#This Row],[Home/Neutral]],rtg_vlookup,4,FALSE)+VLOOKUP(Table2[[#This Row],[Visitor/Neutral]],rtg_vlookup,4,FALSE)</f>
        <v>-16.548688524590165</v>
      </c>
      <c r="X485" s="15"/>
      <c r="Y485" s="2"/>
      <c r="Z485" s="2">
        <f>Table2[[#This Row],[A/EV]]-Table2[[#This Row],[H/EV]]</f>
        <v>1.7549563618075581E-2</v>
      </c>
      <c r="AA485" s="29"/>
      <c r="AB485" s="30"/>
      <c r="AC485" s="30"/>
      <c r="AD485" s="30"/>
      <c r="AE485" s="30"/>
      <c r="AF485" s="7" t="b">
        <f>IF(VLOOKUP(Table2[[#This Row],[Home/Neutral]],division_lookup,9,FALSE)=VLOOKUP(Table2[[#This Row],[Visitor/Neutral]],division_lookup,9,FALSE),TRUE,FALSE)</f>
        <v>0</v>
      </c>
      <c r="AG485" s="15" t="str">
        <f>VLOOKUP(Table2[[#This Row],[Home/Neutral]],division_lookup,9,FALSE)</f>
        <v>SW</v>
      </c>
      <c r="AH485" s="15" t="str">
        <f>IF(Table2[[#This Row],[Total/EV]]&lt;Table2[[#This Row],[Total/V]],"UNDER","OVER")</f>
        <v>OVER</v>
      </c>
      <c r="AI485" s="26">
        <f>Table2[[#This Row],[SRS/Real]]-Table2[[#This Row],[Spread/V]]</f>
        <v>0</v>
      </c>
      <c r="AJ485" s="2">
        <f>Table2[[#This Row],[EV/Real]]-Table2[[#This Row],[Spread/V]]</f>
        <v>0</v>
      </c>
      <c r="AK485" s="2">
        <f>Table2[[#This Row],[SRS/Diff]]-Table2[[#This Row],[EV/Diff]]</f>
        <v>0</v>
      </c>
      <c r="AL485" s="18">
        <f>Table2[[#This Row],[SRS]]-Table2[[#This Row],[Spread]]</f>
        <v>-16.548688524590165</v>
      </c>
      <c r="AM485" s="21">
        <f>Table2[[#This Row],[(A) Err]]^2</f>
        <v>273.85909188390224</v>
      </c>
      <c r="AN485" s="6">
        <f>Table2[[#This Row],[EV]]-Table2[[#This Row],[Spread]]</f>
        <v>1.7549563618075581E-2</v>
      </c>
      <c r="AO485" s="1">
        <f>Table2[[#This Row],[EV Err]]^2</f>
        <v>3.0798718318488205E-4</v>
      </c>
      <c r="AP485" s="1"/>
    </row>
    <row r="486" spans="1:42" x14ac:dyDescent="0.25">
      <c r="A486" s="34">
        <v>42732</v>
      </c>
      <c r="B486" t="s">
        <v>137</v>
      </c>
      <c r="C486" t="s">
        <v>120</v>
      </c>
      <c r="E486" s="21"/>
      <c r="G486" s="21"/>
      <c r="H486" s="7"/>
      <c r="I486" s="21"/>
      <c r="K486"/>
      <c r="L486" s="21">
        <f>(Table2[[#This Row],[H/Pace]]/100)*(VLOOKUP(Table2[[#This Row],[Home/Neutral]],home_lookup,8,FALSE)+VLOOKUP(Table2[[#This Row],[Home/Neutral]],OFR_lookup,2,FALSE)+VLOOKUP(Table2[[#This Row],[Visitor/Neutral]],def_diff_lookup,6,FALSE))</f>
        <v>109.58653255421871</v>
      </c>
      <c r="M486" s="21"/>
      <c r="N486" s="21">
        <f>(Table2[[#This Row],[A/Pace]]/100)*(VLOOKUP(Table2[[#This Row],[Visitor/Neutral]],OFR_lookup,2,FALSE)+VLOOKUP(Table2[[#This Row],[Home/Neutral]],def_diff_lookup,6,FALSE))</f>
        <v>105.39300033333333</v>
      </c>
      <c r="O486" s="21"/>
      <c r="P486" s="21"/>
      <c r="Q486">
        <f>VLOOKUP(Table2[[#This Row],[Home/Neutral]],pace_lookup,7,FALSE)</f>
        <v>96</v>
      </c>
      <c r="R486" s="5">
        <f>VLOOKUP(Table2[[#This Row],[Visitor/Neutral]],pace_lookup,7,FALSE)</f>
        <v>98.3</v>
      </c>
      <c r="S486" s="7"/>
      <c r="U486" s="15"/>
      <c r="W486" s="2">
        <f>-home-VLOOKUP(Table2[[#This Row],[Home/Neutral]],rtg_vlookup,4,FALSE)+VLOOKUP(Table2[[#This Row],[Visitor/Neutral]],rtg_vlookup,4,FALSE)</f>
        <v>-4.4886885245901667</v>
      </c>
      <c r="X486" s="15"/>
      <c r="Y486" s="2"/>
      <c r="Z486" s="2">
        <f>Table2[[#This Row],[A/EV]]-Table2[[#This Row],[H/EV]]</f>
        <v>-4.1935322208853734</v>
      </c>
      <c r="AA486" s="29"/>
      <c r="AB486" s="30"/>
      <c r="AC486" s="30"/>
      <c r="AD486" s="30"/>
      <c r="AE486" s="30"/>
      <c r="AF486" s="7" t="b">
        <f>IF(VLOOKUP(Table2[[#This Row],[Home/Neutral]],division_lookup,9,FALSE)=VLOOKUP(Table2[[#This Row],[Visitor/Neutral]],division_lookup,9,FALSE),TRUE,FALSE)</f>
        <v>0</v>
      </c>
      <c r="AG486" s="15" t="str">
        <f>VLOOKUP(Table2[[#This Row],[Home/Neutral]],division_lookup,9,FALSE)</f>
        <v>SE</v>
      </c>
      <c r="AH486" s="15" t="str">
        <f>IF(Table2[[#This Row],[Total/EV]]&lt;Table2[[#This Row],[Total/V]],"UNDER","OVER")</f>
        <v>OVER</v>
      </c>
      <c r="AI486" s="26">
        <f>Table2[[#This Row],[SRS/Real]]-Table2[[#This Row],[Spread/V]]</f>
        <v>0</v>
      </c>
      <c r="AJ486" s="2">
        <f>Table2[[#This Row],[EV/Real]]-Table2[[#This Row],[Spread/V]]</f>
        <v>0</v>
      </c>
      <c r="AK486" s="2">
        <f>Table2[[#This Row],[SRS/Diff]]-Table2[[#This Row],[EV/Diff]]</f>
        <v>0</v>
      </c>
      <c r="AL486" s="18">
        <f>Table2[[#This Row],[SRS]]-Table2[[#This Row],[Spread]]</f>
        <v>-4.4886885245901667</v>
      </c>
      <c r="AM486" s="21">
        <f>Table2[[#This Row],[(A) Err]]^2</f>
        <v>20.148324670787446</v>
      </c>
      <c r="AN486" s="6">
        <f>Table2[[#This Row],[EV]]-Table2[[#This Row],[Spread]]</f>
        <v>-4.1935322208853734</v>
      </c>
      <c r="AO486" s="1">
        <f>Table2[[#This Row],[EV Err]]^2</f>
        <v>17.585712487603811</v>
      </c>
      <c r="AP486" s="1"/>
    </row>
    <row r="487" spans="1:42" x14ac:dyDescent="0.25">
      <c r="A487" s="34">
        <v>42733</v>
      </c>
      <c r="B487" t="s">
        <v>112</v>
      </c>
      <c r="C487" t="s">
        <v>124</v>
      </c>
      <c r="E487" s="21"/>
      <c r="G487" s="21"/>
      <c r="H487" s="7"/>
      <c r="I487" s="21"/>
      <c r="K487"/>
      <c r="L487" s="21">
        <f>(Table2[[#This Row],[H/Pace]]/100)*(VLOOKUP(Table2[[#This Row],[Home/Neutral]],home_lookup,8,FALSE)+VLOOKUP(Table2[[#This Row],[Home/Neutral]],OFR_lookup,2,FALSE)+VLOOKUP(Table2[[#This Row],[Visitor/Neutral]],def_diff_lookup,6,FALSE))</f>
        <v>102.02722195313484</v>
      </c>
      <c r="M487" s="21"/>
      <c r="N487" s="21">
        <f>(Table2[[#This Row],[A/Pace]]/100)*(VLOOKUP(Table2[[#This Row],[Visitor/Neutral]],OFR_lookup,2,FALSE)+VLOOKUP(Table2[[#This Row],[Home/Neutral]],def_diff_lookup,6,FALSE))</f>
        <v>95.869779666666659</v>
      </c>
      <c r="O487" s="21"/>
      <c r="P487" s="21"/>
      <c r="Q487">
        <f>VLOOKUP(Table2[[#This Row],[Home/Neutral]],pace_lookup,7,FALSE)</f>
        <v>97.4</v>
      </c>
      <c r="R487" s="5">
        <f>VLOOKUP(Table2[[#This Row],[Visitor/Neutral]],pace_lookup,7,FALSE)</f>
        <v>93.7</v>
      </c>
      <c r="S487" s="7"/>
      <c r="U487" s="15"/>
      <c r="W487" s="2">
        <f>-home-VLOOKUP(Table2[[#This Row],[Home/Neutral]],rtg_vlookup,4,FALSE)+VLOOKUP(Table2[[#This Row],[Visitor/Neutral]],rtg_vlookup,4,FALSE)</f>
        <v>-6.018688524590166</v>
      </c>
      <c r="X487" s="15"/>
      <c r="Y487" s="2"/>
      <c r="Z487" s="2">
        <f>Table2[[#This Row],[A/EV]]-Table2[[#This Row],[H/EV]]</f>
        <v>-6.1574422864681821</v>
      </c>
      <c r="AA487" s="29"/>
      <c r="AB487" s="30"/>
      <c r="AC487" s="30"/>
      <c r="AD487" s="30"/>
      <c r="AE487" s="30"/>
      <c r="AF487" s="7" t="b">
        <f>IF(VLOOKUP(Table2[[#This Row],[Home/Neutral]],division_lookup,9,FALSE)=VLOOKUP(Table2[[#This Row],[Visitor/Neutral]],division_lookup,9,FALSE),TRUE,FALSE)</f>
        <v>1</v>
      </c>
      <c r="AG487" s="15" t="str">
        <f>VLOOKUP(Table2[[#This Row],[Home/Neutral]],division_lookup,9,FALSE)</f>
        <v>SE</v>
      </c>
      <c r="AH487" s="15" t="str">
        <f>IF(Table2[[#This Row],[Total/EV]]&lt;Table2[[#This Row],[Total/V]],"UNDER","OVER")</f>
        <v>OVER</v>
      </c>
      <c r="AI487" s="26">
        <f>Table2[[#This Row],[SRS/Real]]-Table2[[#This Row],[Spread/V]]</f>
        <v>0</v>
      </c>
      <c r="AJ487" s="2">
        <f>Table2[[#This Row],[EV/Real]]-Table2[[#This Row],[Spread/V]]</f>
        <v>0</v>
      </c>
      <c r="AK487" s="2">
        <f>Table2[[#This Row],[SRS/Diff]]-Table2[[#This Row],[EV/Diff]]</f>
        <v>0</v>
      </c>
      <c r="AL487" s="18">
        <f>Table2[[#This Row],[SRS]]-Table2[[#This Row],[Spread]]</f>
        <v>-6.018688524590166</v>
      </c>
      <c r="AM487" s="21">
        <f>Table2[[#This Row],[(A) Err]]^2</f>
        <v>36.224611556033352</v>
      </c>
      <c r="AN487" s="6">
        <f>Table2[[#This Row],[EV]]-Table2[[#This Row],[Spread]]</f>
        <v>-6.1574422864681821</v>
      </c>
      <c r="AO487" s="1">
        <f>Table2[[#This Row],[EV Err]]^2</f>
        <v>37.914095511186517</v>
      </c>
      <c r="AP487" s="1"/>
    </row>
    <row r="488" spans="1:42" x14ac:dyDescent="0.25">
      <c r="A488" s="34">
        <v>42733</v>
      </c>
      <c r="B488" t="s">
        <v>114</v>
      </c>
      <c r="C488" t="s">
        <v>110</v>
      </c>
      <c r="E488" s="21"/>
      <c r="G488" s="21"/>
      <c r="H488" s="7"/>
      <c r="I488" s="21"/>
      <c r="K488"/>
      <c r="L488" s="21">
        <f>(Table2[[#This Row],[H/Pace]]/100)*(VLOOKUP(Table2[[#This Row],[Home/Neutral]],home_lookup,8,FALSE)+VLOOKUP(Table2[[#This Row],[Home/Neutral]],OFR_lookup,2,FALSE)+VLOOKUP(Table2[[#This Row],[Visitor/Neutral]],def_diff_lookup,6,FALSE))</f>
        <v>114.98117276756467</v>
      </c>
      <c r="M488" s="21"/>
      <c r="N488" s="21">
        <f>(Table2[[#This Row],[A/Pace]]/100)*(VLOOKUP(Table2[[#This Row],[Visitor/Neutral]],OFR_lookup,2,FALSE)+VLOOKUP(Table2[[#This Row],[Home/Neutral]],def_diff_lookup,6,FALSE))</f>
        <v>103.23767133333335</v>
      </c>
      <c r="O488" s="21"/>
      <c r="P488" s="21"/>
      <c r="Q488">
        <f>VLOOKUP(Table2[[#This Row],[Home/Neutral]],pace_lookup,7,FALSE)</f>
        <v>97.3</v>
      </c>
      <c r="R488" s="5">
        <f>VLOOKUP(Table2[[#This Row],[Visitor/Neutral]],pace_lookup,7,FALSE)</f>
        <v>96.2</v>
      </c>
      <c r="S488" s="7"/>
      <c r="U488" s="15"/>
      <c r="W488" s="2">
        <f>-home-VLOOKUP(Table2[[#This Row],[Home/Neutral]],rtg_vlookup,4,FALSE)+VLOOKUP(Table2[[#This Row],[Visitor/Neutral]],rtg_vlookup,4,FALSE)</f>
        <v>-10.948688524590166</v>
      </c>
      <c r="X488" s="15"/>
      <c r="Y488" s="2"/>
      <c r="Z488" s="2">
        <f>Table2[[#This Row],[A/EV]]-Table2[[#This Row],[H/EV]]</f>
        <v>-11.74350143423132</v>
      </c>
      <c r="AA488" s="29"/>
      <c r="AB488" s="30"/>
      <c r="AC488" s="30"/>
      <c r="AD488" s="30"/>
      <c r="AE488" s="30"/>
      <c r="AF488" s="7" t="b">
        <f>IF(VLOOKUP(Table2[[#This Row],[Home/Neutral]],division_lookup,9,FALSE)=VLOOKUP(Table2[[#This Row],[Visitor/Neutral]],division_lookup,9,FALSE),TRUE,FALSE)</f>
        <v>0</v>
      </c>
      <c r="AG488" s="15" t="str">
        <f>VLOOKUP(Table2[[#This Row],[Home/Neutral]],division_lookup,9,FALSE)</f>
        <v>C</v>
      </c>
      <c r="AH488" s="15" t="str">
        <f>IF(Table2[[#This Row],[Total/EV]]&lt;Table2[[#This Row],[Total/V]],"UNDER","OVER")</f>
        <v>OVER</v>
      </c>
      <c r="AI488" s="26">
        <f>Table2[[#This Row],[SRS/Real]]-Table2[[#This Row],[Spread/V]]</f>
        <v>0</v>
      </c>
      <c r="AJ488" s="2">
        <f>Table2[[#This Row],[EV/Real]]-Table2[[#This Row],[Spread/V]]</f>
        <v>0</v>
      </c>
      <c r="AK488" s="2">
        <f>Table2[[#This Row],[SRS/Diff]]-Table2[[#This Row],[EV/Diff]]</f>
        <v>0</v>
      </c>
      <c r="AL488" s="18">
        <f>Table2[[#This Row],[SRS]]-Table2[[#This Row],[Spread]]</f>
        <v>-10.948688524590166</v>
      </c>
      <c r="AM488" s="21">
        <f>Table2[[#This Row],[(A) Err]]^2</f>
        <v>119.87378040849238</v>
      </c>
      <c r="AN488" s="6">
        <f>Table2[[#This Row],[EV]]-Table2[[#This Row],[Spread]]</f>
        <v>-11.74350143423132</v>
      </c>
      <c r="AO488" s="1">
        <f>Table2[[#This Row],[EV Err]]^2</f>
        <v>137.90982593579307</v>
      </c>
      <c r="AP488" s="1"/>
    </row>
    <row r="489" spans="1:42" x14ac:dyDescent="0.25">
      <c r="A489" s="34">
        <v>42733</v>
      </c>
      <c r="B489" t="s">
        <v>122</v>
      </c>
      <c r="C489" t="s">
        <v>115</v>
      </c>
      <c r="E489" s="21"/>
      <c r="G489" s="21"/>
      <c r="H489" s="7"/>
      <c r="I489" s="21"/>
      <c r="K489"/>
      <c r="L489" s="21">
        <f>(Table2[[#This Row],[H/Pace]]/100)*(VLOOKUP(Table2[[#This Row],[Home/Neutral]],home_lookup,8,FALSE)+VLOOKUP(Table2[[#This Row],[Home/Neutral]],OFR_lookup,2,FALSE)+VLOOKUP(Table2[[#This Row],[Visitor/Neutral]],def_diff_lookup,6,FALSE))</f>
        <v>109.10658832744731</v>
      </c>
      <c r="M489" s="21"/>
      <c r="N489" s="21">
        <f>(Table2[[#This Row],[A/Pace]]/100)*(VLOOKUP(Table2[[#This Row],[Visitor/Neutral]],OFR_lookup,2,FALSE)+VLOOKUP(Table2[[#This Row],[Home/Neutral]],def_diff_lookup,6,FALSE))</f>
        <v>94.438114333333331</v>
      </c>
      <c r="O489" s="21"/>
      <c r="P489" s="21"/>
      <c r="Q489">
        <f>VLOOKUP(Table2[[#This Row],[Home/Neutral]],pace_lookup,7,FALSE)</f>
        <v>100.2</v>
      </c>
      <c r="R489" s="5">
        <f>VLOOKUP(Table2[[#This Row],[Visitor/Neutral]],pace_lookup,7,FALSE)</f>
        <v>92.9</v>
      </c>
      <c r="S489" s="7"/>
      <c r="U489" s="15"/>
      <c r="W489" s="2">
        <f>-home-VLOOKUP(Table2[[#This Row],[Home/Neutral]],rtg_vlookup,4,FALSE)+VLOOKUP(Table2[[#This Row],[Visitor/Neutral]],rtg_vlookup,4,FALSE)</f>
        <v>-9.3886885245901652</v>
      </c>
      <c r="X489" s="15"/>
      <c r="Y489" s="2"/>
      <c r="Z489" s="2">
        <f>Table2[[#This Row],[A/EV]]-Table2[[#This Row],[H/EV]]</f>
        <v>-14.668473994113981</v>
      </c>
      <c r="AA489" s="29"/>
      <c r="AB489" s="30"/>
      <c r="AC489" s="30"/>
      <c r="AD489" s="30"/>
      <c r="AE489" s="30"/>
      <c r="AF489" s="7" t="b">
        <f>IF(VLOOKUP(Table2[[#This Row],[Home/Neutral]],division_lookup,9,FALSE)=VLOOKUP(Table2[[#This Row],[Visitor/Neutral]],division_lookup,9,FALSE),TRUE,FALSE)</f>
        <v>0</v>
      </c>
      <c r="AG489" s="15" t="str">
        <f>VLOOKUP(Table2[[#This Row],[Home/Neutral]],division_lookup,9,FALSE)</f>
        <v>P</v>
      </c>
      <c r="AH489" s="15" t="str">
        <f>IF(Table2[[#This Row],[Total/EV]]&lt;Table2[[#This Row],[Total/V]],"UNDER","OVER")</f>
        <v>OVER</v>
      </c>
      <c r="AI489" s="26">
        <f>Table2[[#This Row],[SRS/Real]]-Table2[[#This Row],[Spread/V]]</f>
        <v>0</v>
      </c>
      <c r="AJ489" s="2">
        <f>Table2[[#This Row],[EV/Real]]-Table2[[#This Row],[Spread/V]]</f>
        <v>0</v>
      </c>
      <c r="AK489" s="2">
        <f>Table2[[#This Row],[SRS/Diff]]-Table2[[#This Row],[EV/Diff]]</f>
        <v>0</v>
      </c>
      <c r="AL489" s="18">
        <f>Table2[[#This Row],[SRS]]-Table2[[#This Row],[Spread]]</f>
        <v>-9.3886885245901652</v>
      </c>
      <c r="AM489" s="21">
        <f>Table2[[#This Row],[(A) Err]]^2</f>
        <v>88.14747221177106</v>
      </c>
      <c r="AN489" s="6">
        <f>Table2[[#This Row],[EV]]-Table2[[#This Row],[Spread]]</f>
        <v>-14.668473994113981</v>
      </c>
      <c r="AO489" s="1">
        <f>Table2[[#This Row],[EV Err]]^2</f>
        <v>215.16412931599817</v>
      </c>
      <c r="AP489" s="1"/>
    </row>
    <row r="490" spans="1:42" x14ac:dyDescent="0.25">
      <c r="A490" s="34">
        <v>42733</v>
      </c>
      <c r="B490" t="s">
        <v>123</v>
      </c>
      <c r="C490" t="s">
        <v>129</v>
      </c>
      <c r="E490" s="21"/>
      <c r="G490" s="21"/>
      <c r="H490" s="7"/>
      <c r="I490" s="21"/>
      <c r="K490"/>
      <c r="L490" s="21">
        <f>(Table2[[#This Row],[H/Pace]]/100)*(VLOOKUP(Table2[[#This Row],[Home/Neutral]],home_lookup,8,FALSE)+VLOOKUP(Table2[[#This Row],[Home/Neutral]],OFR_lookup,2,FALSE)+VLOOKUP(Table2[[#This Row],[Visitor/Neutral]],def_diff_lookup,6,FALSE))</f>
        <v>99.977927095639188</v>
      </c>
      <c r="M490" s="21"/>
      <c r="N490" s="21">
        <f>(Table2[[#This Row],[A/Pace]]/100)*(VLOOKUP(Table2[[#This Row],[Visitor/Neutral]],OFR_lookup,2,FALSE)+VLOOKUP(Table2[[#This Row],[Home/Neutral]],def_diff_lookup,6,FALSE))</f>
        <v>101.66870999999999</v>
      </c>
      <c r="O490" s="21"/>
      <c r="P490" s="21"/>
      <c r="Q490">
        <f>VLOOKUP(Table2[[#This Row],[Home/Neutral]],pace_lookup,7,FALSE)</f>
        <v>92.5</v>
      </c>
      <c r="R490" s="5">
        <f>VLOOKUP(Table2[[#This Row],[Visitor/Neutral]],pace_lookup,7,FALSE)</f>
        <v>99</v>
      </c>
      <c r="S490" s="7"/>
      <c r="U490" s="15"/>
      <c r="W490" s="2">
        <f>-home-VLOOKUP(Table2[[#This Row],[Home/Neutral]],rtg_vlookup,4,FALSE)+VLOOKUP(Table2[[#This Row],[Visitor/Neutral]],rtg_vlookup,4,FALSE)</f>
        <v>-1.9486885245901659</v>
      </c>
      <c r="X490" s="15"/>
      <c r="Y490" s="2"/>
      <c r="Z490" s="2">
        <f>Table2[[#This Row],[A/EV]]-Table2[[#This Row],[H/EV]]</f>
        <v>1.6907829043608018</v>
      </c>
      <c r="AA490" s="29"/>
      <c r="AB490" s="30"/>
      <c r="AC490" s="30"/>
      <c r="AD490" s="30"/>
      <c r="AE490" s="30"/>
      <c r="AF490" s="7" t="b">
        <f>IF(VLOOKUP(Table2[[#This Row],[Home/Neutral]],division_lookup,9,FALSE)=VLOOKUP(Table2[[#This Row],[Visitor/Neutral]],division_lookup,9,FALSE),TRUE,FALSE)</f>
        <v>0</v>
      </c>
      <c r="AG490" s="15" t="str">
        <f>VLOOKUP(Table2[[#This Row],[Home/Neutral]],division_lookup,9,FALSE)</f>
        <v>SW</v>
      </c>
      <c r="AH490" s="15" t="str">
        <f>IF(Table2[[#This Row],[Total/EV]]&lt;Table2[[#This Row],[Total/V]],"UNDER","OVER")</f>
        <v>OVER</v>
      </c>
      <c r="AI490" s="26">
        <f>Table2[[#This Row],[SRS/Real]]-Table2[[#This Row],[Spread/V]]</f>
        <v>0</v>
      </c>
      <c r="AJ490" s="2">
        <f>Table2[[#This Row],[EV/Real]]-Table2[[#This Row],[Spread/V]]</f>
        <v>0</v>
      </c>
      <c r="AK490" s="2">
        <f>Table2[[#This Row],[SRS/Diff]]-Table2[[#This Row],[EV/Diff]]</f>
        <v>0</v>
      </c>
      <c r="AL490" s="18">
        <f>Table2[[#This Row],[SRS]]-Table2[[#This Row],[Spread]]</f>
        <v>-1.9486885245901659</v>
      </c>
      <c r="AM490" s="21">
        <f>Table2[[#This Row],[(A) Err]]^2</f>
        <v>3.7973869658693977</v>
      </c>
      <c r="AN490" s="6">
        <f>Table2[[#This Row],[EV]]-Table2[[#This Row],[Spread]]</f>
        <v>1.6907829043608018</v>
      </c>
      <c r="AO490" s="1">
        <f>Table2[[#This Row],[EV Err]]^2</f>
        <v>2.8587468296787484</v>
      </c>
      <c r="AP490" s="1"/>
    </row>
    <row r="491" spans="1:42" x14ac:dyDescent="0.25">
      <c r="A491" s="34">
        <v>42733</v>
      </c>
      <c r="B491" t="s">
        <v>131</v>
      </c>
      <c r="C491" t="s">
        <v>135</v>
      </c>
      <c r="E491" s="21"/>
      <c r="G491" s="21"/>
      <c r="H491" s="7"/>
      <c r="I491" s="21"/>
      <c r="K491"/>
      <c r="L491" s="21">
        <f>(Table2[[#This Row],[H/Pace]]/100)*(VLOOKUP(Table2[[#This Row],[Home/Neutral]],home_lookup,8,FALSE)+VLOOKUP(Table2[[#This Row],[Home/Neutral]],OFR_lookup,2,FALSE)+VLOOKUP(Table2[[#This Row],[Visitor/Neutral]],def_diff_lookup,6,FALSE))</f>
        <v>97.879129791197656</v>
      </c>
      <c r="M491" s="21"/>
      <c r="N491" s="21">
        <f>(Table2[[#This Row],[A/Pace]]/100)*(VLOOKUP(Table2[[#This Row],[Visitor/Neutral]],OFR_lookup,2,FALSE)+VLOOKUP(Table2[[#This Row],[Home/Neutral]],def_diff_lookup,6,FALSE))</f>
        <v>109.352886</v>
      </c>
      <c r="O491" s="21"/>
      <c r="P491" s="21"/>
      <c r="Q491">
        <f>VLOOKUP(Table2[[#This Row],[Home/Neutral]],pace_lookup,7,FALSE)</f>
        <v>101.7</v>
      </c>
      <c r="R491" s="5">
        <f>VLOOKUP(Table2[[#This Row],[Visitor/Neutral]],pace_lookup,7,FALSE)</f>
        <v>95.4</v>
      </c>
      <c r="S491" s="7"/>
      <c r="U491" s="15"/>
      <c r="W491" s="2">
        <f>-home-VLOOKUP(Table2[[#This Row],[Home/Neutral]],rtg_vlookup,4,FALSE)+VLOOKUP(Table2[[#This Row],[Visitor/Neutral]],rtg_vlookup,4,FALSE)</f>
        <v>9.5413114754098345</v>
      </c>
      <c r="X491" s="15"/>
      <c r="Y491" s="2"/>
      <c r="Z491" s="2">
        <f>Table2[[#This Row],[A/EV]]-Table2[[#This Row],[H/EV]]</f>
        <v>11.473756208802342</v>
      </c>
      <c r="AA491" s="29"/>
      <c r="AB491" s="30"/>
      <c r="AC491" s="30"/>
      <c r="AD491" s="30"/>
      <c r="AE491" s="30"/>
      <c r="AF491" s="7" t="b">
        <f>IF(VLOOKUP(Table2[[#This Row],[Home/Neutral]],division_lookup,9,FALSE)=VLOOKUP(Table2[[#This Row],[Visitor/Neutral]],division_lookup,9,FALSE),TRUE,FALSE)</f>
        <v>0</v>
      </c>
      <c r="AG491" s="15" t="str">
        <f>VLOOKUP(Table2[[#This Row],[Home/Neutral]],division_lookup,9,FALSE)</f>
        <v>P</v>
      </c>
      <c r="AH491" s="15" t="str">
        <f>IF(Table2[[#This Row],[Total/EV]]&lt;Table2[[#This Row],[Total/V]],"UNDER","OVER")</f>
        <v>OVER</v>
      </c>
      <c r="AI491" s="26">
        <f>Table2[[#This Row],[SRS/Real]]-Table2[[#This Row],[Spread/V]]</f>
        <v>0</v>
      </c>
      <c r="AJ491" s="2">
        <f>Table2[[#This Row],[EV/Real]]-Table2[[#This Row],[Spread/V]]</f>
        <v>0</v>
      </c>
      <c r="AK491" s="2">
        <f>Table2[[#This Row],[SRS/Diff]]-Table2[[#This Row],[EV/Diff]]</f>
        <v>0</v>
      </c>
      <c r="AL491" s="18">
        <f>Table2[[#This Row],[SRS]]-Table2[[#This Row],[Spread]]</f>
        <v>9.5413114754098345</v>
      </c>
      <c r="AM491" s="21">
        <f>Table2[[#This Row],[(A) Err]]^2</f>
        <v>91.03662467078739</v>
      </c>
      <c r="AN491" s="6">
        <f>Table2[[#This Row],[EV]]-Table2[[#This Row],[Spread]]</f>
        <v>11.473756208802342</v>
      </c>
      <c r="AO491" s="1">
        <f>Table2[[#This Row],[EV Err]]^2</f>
        <v>131.6470815390303</v>
      </c>
      <c r="AP491" s="1"/>
    </row>
    <row r="492" spans="1:42" x14ac:dyDescent="0.25">
      <c r="A492" s="34">
        <v>42733</v>
      </c>
      <c r="B492" t="s">
        <v>136</v>
      </c>
      <c r="C492" t="s">
        <v>138</v>
      </c>
      <c r="E492" s="21"/>
      <c r="G492" s="21"/>
      <c r="H492" s="7"/>
      <c r="I492" s="21"/>
      <c r="K492"/>
      <c r="L492" s="21">
        <f>(Table2[[#This Row],[H/Pace]]/100)*(VLOOKUP(Table2[[#This Row],[Home/Neutral]],home_lookup,8,FALSE)+VLOOKUP(Table2[[#This Row],[Home/Neutral]],OFR_lookup,2,FALSE)+VLOOKUP(Table2[[#This Row],[Visitor/Neutral]],def_diff_lookup,6,FALSE))</f>
        <v>106.630935349919</v>
      </c>
      <c r="M492" s="21"/>
      <c r="N492" s="21">
        <f>(Table2[[#This Row],[A/Pace]]/100)*(VLOOKUP(Table2[[#This Row],[Visitor/Neutral]],OFR_lookup,2,FALSE)+VLOOKUP(Table2[[#This Row],[Home/Neutral]],def_diff_lookup,6,FALSE))</f>
        <v>91.909024999999986</v>
      </c>
      <c r="O492" s="21"/>
      <c r="P492" s="21"/>
      <c r="Q492">
        <f>VLOOKUP(Table2[[#This Row],[Home/Neutral]],pace_lookup,7,FALSE)</f>
        <v>91.5</v>
      </c>
      <c r="R492" s="5">
        <f>VLOOKUP(Table2[[#This Row],[Visitor/Neutral]],pace_lookup,7,FALSE)</f>
        <v>97.5</v>
      </c>
      <c r="S492" s="7"/>
      <c r="U492" s="15"/>
      <c r="W492" s="2">
        <f>-home-VLOOKUP(Table2[[#This Row],[Home/Neutral]],rtg_vlookup,4,FALSE)+VLOOKUP(Table2[[#This Row],[Visitor/Neutral]],rtg_vlookup,4,FALSE)</f>
        <v>-16.658688524590168</v>
      </c>
      <c r="X492" s="15"/>
      <c r="Y492" s="2"/>
      <c r="Z492" s="2">
        <f>Table2[[#This Row],[A/EV]]-Table2[[#This Row],[H/EV]]</f>
        <v>-14.721910349919014</v>
      </c>
      <c r="AA492" s="29"/>
      <c r="AB492" s="30"/>
      <c r="AC492" s="30"/>
      <c r="AD492" s="30"/>
      <c r="AE492" s="30"/>
      <c r="AF492" s="7" t="b">
        <f>IF(VLOOKUP(Table2[[#This Row],[Home/Neutral]],division_lookup,9,FALSE)=VLOOKUP(Table2[[#This Row],[Visitor/Neutral]],division_lookup,9,FALSE),TRUE,FALSE)</f>
        <v>0</v>
      </c>
      <c r="AG492" s="15" t="str">
        <f>VLOOKUP(Table2[[#This Row],[Home/Neutral]],division_lookup,9,FALSE)</f>
        <v>NW</v>
      </c>
      <c r="AH492" s="15" t="str">
        <f>IF(Table2[[#This Row],[Total/EV]]&lt;Table2[[#This Row],[Total/V]],"UNDER","OVER")</f>
        <v>OVER</v>
      </c>
      <c r="AI492" s="26">
        <f>Table2[[#This Row],[SRS/Real]]-Table2[[#This Row],[Spread/V]]</f>
        <v>0</v>
      </c>
      <c r="AJ492" s="2">
        <f>Table2[[#This Row],[EV/Real]]-Table2[[#This Row],[Spread/V]]</f>
        <v>0</v>
      </c>
      <c r="AK492" s="2">
        <f>Table2[[#This Row],[SRS/Diff]]-Table2[[#This Row],[EV/Diff]]</f>
        <v>0</v>
      </c>
      <c r="AL492" s="18">
        <f>Table2[[#This Row],[SRS]]-Table2[[#This Row],[Spread]]</f>
        <v>-16.658688524590168</v>
      </c>
      <c r="AM492" s="21">
        <f>Table2[[#This Row],[(A) Err]]^2</f>
        <v>277.51190335931216</v>
      </c>
      <c r="AN492" s="6">
        <f>Table2[[#This Row],[EV]]-Table2[[#This Row],[Spread]]</f>
        <v>-14.721910349919014</v>
      </c>
      <c r="AO492" s="1">
        <f>Table2[[#This Row],[EV Err]]^2</f>
        <v>216.73464435105259</v>
      </c>
      <c r="AP492" s="1"/>
    </row>
    <row r="493" spans="1:42" x14ac:dyDescent="0.25">
      <c r="A493" s="34">
        <v>42734</v>
      </c>
      <c r="B493" t="s">
        <v>109</v>
      </c>
      <c r="C493" t="s">
        <v>117</v>
      </c>
      <c r="E493" s="21"/>
      <c r="G493" s="21"/>
      <c r="H493" s="7"/>
      <c r="I493" s="21"/>
      <c r="K493"/>
      <c r="L493" s="21">
        <f>(Table2[[#This Row],[H/Pace]]/100)*(VLOOKUP(Table2[[#This Row],[Home/Neutral]],home_lookup,8,FALSE)+VLOOKUP(Table2[[#This Row],[Home/Neutral]],OFR_lookup,2,FALSE)+VLOOKUP(Table2[[#This Row],[Visitor/Neutral]],def_diff_lookup,6,FALSE))</f>
        <v>96.536646607286372</v>
      </c>
      <c r="M493" s="21"/>
      <c r="N493" s="21">
        <f>(Table2[[#This Row],[A/Pace]]/100)*(VLOOKUP(Table2[[#This Row],[Visitor/Neutral]],OFR_lookup,2,FALSE)+VLOOKUP(Table2[[#This Row],[Home/Neutral]],def_diff_lookup,6,FALSE))</f>
        <v>91.608326666666656</v>
      </c>
      <c r="O493" s="21"/>
      <c r="P493" s="21"/>
      <c r="Q493">
        <f>VLOOKUP(Table2[[#This Row],[Home/Neutral]],pace_lookup,7,FALSE)</f>
        <v>99.2</v>
      </c>
      <c r="R493" s="5">
        <f>VLOOKUP(Table2[[#This Row],[Visitor/Neutral]],pace_lookup,7,FALSE)</f>
        <v>94</v>
      </c>
      <c r="S493" s="7"/>
      <c r="U493" s="15"/>
      <c r="W493" s="2">
        <f>-home-VLOOKUP(Table2[[#This Row],[Home/Neutral]],rtg_vlookup,4,FALSE)+VLOOKUP(Table2[[#This Row],[Visitor/Neutral]],rtg_vlookup,4,FALSE)</f>
        <v>-3.4886885245901658</v>
      </c>
      <c r="X493" s="15"/>
      <c r="Y493" s="2"/>
      <c r="Z493" s="2">
        <f>Table2[[#This Row],[A/EV]]-Table2[[#This Row],[H/EV]]</f>
        <v>-4.9283199406197156</v>
      </c>
      <c r="AA493" s="29"/>
      <c r="AB493" s="30"/>
      <c r="AC493" s="30"/>
      <c r="AD493" s="30"/>
      <c r="AE493" s="30"/>
      <c r="AF493" s="7" t="b">
        <f>IF(VLOOKUP(Table2[[#This Row],[Home/Neutral]],division_lookup,9,FALSE)=VLOOKUP(Table2[[#This Row],[Visitor/Neutral]],division_lookup,9,FALSE),TRUE,FALSE)</f>
        <v>0</v>
      </c>
      <c r="AG493" s="15" t="str">
        <f>VLOOKUP(Table2[[#This Row],[Home/Neutral]],division_lookup,9,FALSE)</f>
        <v>SE</v>
      </c>
      <c r="AH493" s="15" t="str">
        <f>IF(Table2[[#This Row],[Total/EV]]&lt;Table2[[#This Row],[Total/V]],"UNDER","OVER")</f>
        <v>OVER</v>
      </c>
      <c r="AI493" s="26">
        <f>Table2[[#This Row],[SRS/Real]]-Table2[[#This Row],[Spread/V]]</f>
        <v>0</v>
      </c>
      <c r="AJ493" s="2">
        <f>Table2[[#This Row],[EV/Real]]-Table2[[#This Row],[Spread/V]]</f>
        <v>0</v>
      </c>
      <c r="AK493" s="2">
        <f>Table2[[#This Row],[SRS/Diff]]-Table2[[#This Row],[EV/Diff]]</f>
        <v>0</v>
      </c>
      <c r="AL493" s="18">
        <f>Table2[[#This Row],[SRS]]-Table2[[#This Row],[Spread]]</f>
        <v>-3.4886885245901658</v>
      </c>
      <c r="AM493" s="21">
        <f>Table2[[#This Row],[(A) Err]]^2</f>
        <v>12.170947621607107</v>
      </c>
      <c r="AN493" s="6">
        <f>Table2[[#This Row],[EV]]-Table2[[#This Row],[Spread]]</f>
        <v>-4.9283199406197156</v>
      </c>
      <c r="AO493" s="1">
        <f>Table2[[#This Row],[EV Err]]^2</f>
        <v>24.288337437109917</v>
      </c>
      <c r="AP493" s="1"/>
    </row>
    <row r="494" spans="1:42" x14ac:dyDescent="0.25">
      <c r="A494" s="34">
        <v>42734</v>
      </c>
      <c r="B494" t="s">
        <v>110</v>
      </c>
      <c r="C494" t="s">
        <v>124</v>
      </c>
      <c r="E494" s="21"/>
      <c r="G494" s="21"/>
      <c r="H494" s="7"/>
      <c r="I494" s="21"/>
      <c r="K494"/>
      <c r="L494" s="21">
        <f>(Table2[[#This Row],[H/Pace]]/100)*(VLOOKUP(Table2[[#This Row],[Home/Neutral]],home_lookup,8,FALSE)+VLOOKUP(Table2[[#This Row],[Home/Neutral]],OFR_lookup,2,FALSE)+VLOOKUP(Table2[[#This Row],[Visitor/Neutral]],def_diff_lookup,6,FALSE))</f>
        <v>103.6370511890094</v>
      </c>
      <c r="M494" s="21"/>
      <c r="N494" s="21">
        <f>(Table2[[#This Row],[A/Pace]]/100)*(VLOOKUP(Table2[[#This Row],[Visitor/Neutral]],OFR_lookup,2,FALSE)+VLOOKUP(Table2[[#This Row],[Home/Neutral]],def_diff_lookup,6,FALSE))</f>
        <v>97.415829666666667</v>
      </c>
      <c r="O494" s="21"/>
      <c r="P494" s="21"/>
      <c r="Q494">
        <f>VLOOKUP(Table2[[#This Row],[Home/Neutral]],pace_lookup,7,FALSE)</f>
        <v>96.2</v>
      </c>
      <c r="R494" s="5">
        <f>VLOOKUP(Table2[[#This Row],[Visitor/Neutral]],pace_lookup,7,FALSE)</f>
        <v>93.7</v>
      </c>
      <c r="S494" s="7"/>
      <c r="U494" s="15"/>
      <c r="W494" s="2">
        <f>-home-VLOOKUP(Table2[[#This Row],[Home/Neutral]],rtg_vlookup,4,FALSE)+VLOOKUP(Table2[[#This Row],[Visitor/Neutral]],rtg_vlookup,4,FALSE)</f>
        <v>-4.4586885245901655</v>
      </c>
      <c r="X494" s="15"/>
      <c r="Y494" s="2"/>
      <c r="Z494" s="2">
        <f>Table2[[#This Row],[A/EV]]-Table2[[#This Row],[H/EV]]</f>
        <v>-6.2212215223427307</v>
      </c>
      <c r="AA494" s="29"/>
      <c r="AB494" s="30"/>
      <c r="AC494" s="30"/>
      <c r="AD494" s="30"/>
      <c r="AE494" s="30"/>
      <c r="AF494" s="7" t="b">
        <f>IF(VLOOKUP(Table2[[#This Row],[Home/Neutral]],division_lookup,9,FALSE)=VLOOKUP(Table2[[#This Row],[Visitor/Neutral]],division_lookup,9,FALSE),TRUE,FALSE)</f>
        <v>0</v>
      </c>
      <c r="AG494" s="15" t="str">
        <f>VLOOKUP(Table2[[#This Row],[Home/Neutral]],division_lookup,9,FALSE)</f>
        <v>A</v>
      </c>
      <c r="AH494" s="15" t="str">
        <f>IF(Table2[[#This Row],[Total/EV]]&lt;Table2[[#This Row],[Total/V]],"UNDER","OVER")</f>
        <v>OVER</v>
      </c>
      <c r="AI494" s="26">
        <f>Table2[[#This Row],[SRS/Real]]-Table2[[#This Row],[Spread/V]]</f>
        <v>0</v>
      </c>
      <c r="AJ494" s="2">
        <f>Table2[[#This Row],[EV/Real]]-Table2[[#This Row],[Spread/V]]</f>
        <v>0</v>
      </c>
      <c r="AK494" s="2">
        <f>Table2[[#This Row],[SRS/Diff]]-Table2[[#This Row],[EV/Diff]]</f>
        <v>0</v>
      </c>
      <c r="AL494" s="18">
        <f>Table2[[#This Row],[SRS]]-Table2[[#This Row],[Spread]]</f>
        <v>-4.4586885245901655</v>
      </c>
      <c r="AM494" s="21">
        <f>Table2[[#This Row],[(A) Err]]^2</f>
        <v>19.879903359312028</v>
      </c>
      <c r="AN494" s="6">
        <f>Table2[[#This Row],[EV]]-Table2[[#This Row],[Spread]]</f>
        <v>-6.2212215223427307</v>
      </c>
      <c r="AO494" s="1">
        <f>Table2[[#This Row],[EV Err]]^2</f>
        <v>38.703597230060403</v>
      </c>
      <c r="AP494" s="1"/>
    </row>
    <row r="495" spans="1:42" x14ac:dyDescent="0.25">
      <c r="A495" s="34">
        <v>42734</v>
      </c>
      <c r="B495" t="s">
        <v>116</v>
      </c>
      <c r="C495" t="s">
        <v>138</v>
      </c>
      <c r="E495" s="21"/>
      <c r="G495" s="21"/>
      <c r="H495" s="7"/>
      <c r="I495" s="21"/>
      <c r="K495"/>
      <c r="L495" s="21">
        <f>(Table2[[#This Row],[H/Pace]]/100)*(VLOOKUP(Table2[[#This Row],[Home/Neutral]],home_lookup,8,FALSE)+VLOOKUP(Table2[[#This Row],[Home/Neutral]],OFR_lookup,2,FALSE)+VLOOKUP(Table2[[#This Row],[Visitor/Neutral]],def_diff_lookup,6,FALSE))</f>
        <v>106.62021470161864</v>
      </c>
      <c r="M495" s="21"/>
      <c r="N495" s="21">
        <f>(Table2[[#This Row],[A/Pace]]/100)*(VLOOKUP(Table2[[#This Row],[Visitor/Neutral]],OFR_lookup,2,FALSE)+VLOOKUP(Table2[[#This Row],[Home/Neutral]],def_diff_lookup,6,FALSE))</f>
        <v>96.540274999999994</v>
      </c>
      <c r="O495" s="21"/>
      <c r="P495" s="21"/>
      <c r="Q495">
        <f>VLOOKUP(Table2[[#This Row],[Home/Neutral]],pace_lookup,7,FALSE)</f>
        <v>99.1</v>
      </c>
      <c r="R495" s="5">
        <f>VLOOKUP(Table2[[#This Row],[Visitor/Neutral]],pace_lookup,7,FALSE)</f>
        <v>97.5</v>
      </c>
      <c r="S495" s="7"/>
      <c r="U495" s="15"/>
      <c r="W495" s="2">
        <f>-home-VLOOKUP(Table2[[#This Row],[Home/Neutral]],rtg_vlookup,4,FALSE)+VLOOKUP(Table2[[#This Row],[Visitor/Neutral]],rtg_vlookup,4,FALSE)</f>
        <v>-11.668688524590166</v>
      </c>
      <c r="X495" s="15"/>
      <c r="Y495" s="2"/>
      <c r="Z495" s="2">
        <f>Table2[[#This Row],[A/EV]]-Table2[[#This Row],[H/EV]]</f>
        <v>-10.079939701618642</v>
      </c>
      <c r="AA495" s="29"/>
      <c r="AB495" s="30"/>
      <c r="AC495" s="30"/>
      <c r="AD495" s="30"/>
      <c r="AE495" s="30"/>
      <c r="AF495" s="7" t="b">
        <f>IF(VLOOKUP(Table2[[#This Row],[Home/Neutral]],division_lookup,9,FALSE)=VLOOKUP(Table2[[#This Row],[Visitor/Neutral]],division_lookup,9,FALSE),TRUE,FALSE)</f>
        <v>0</v>
      </c>
      <c r="AG495" s="15" t="str">
        <f>VLOOKUP(Table2[[#This Row],[Home/Neutral]],division_lookup,9,FALSE)</f>
        <v>NW</v>
      </c>
      <c r="AH495" s="15" t="str">
        <f>IF(Table2[[#This Row],[Total/EV]]&lt;Table2[[#This Row],[Total/V]],"UNDER","OVER")</f>
        <v>OVER</v>
      </c>
      <c r="AI495" s="26">
        <f>Table2[[#This Row],[SRS/Real]]-Table2[[#This Row],[Spread/V]]</f>
        <v>0</v>
      </c>
      <c r="AJ495" s="2">
        <f>Table2[[#This Row],[EV/Real]]-Table2[[#This Row],[Spread/V]]</f>
        <v>0</v>
      </c>
      <c r="AK495" s="2">
        <f>Table2[[#This Row],[SRS/Diff]]-Table2[[#This Row],[EV/Diff]]</f>
        <v>0</v>
      </c>
      <c r="AL495" s="18">
        <f>Table2[[#This Row],[SRS]]-Table2[[#This Row],[Spread]]</f>
        <v>-11.668688524590166</v>
      </c>
      <c r="AM495" s="21">
        <f>Table2[[#This Row],[(A) Err]]^2</f>
        <v>136.15829188390222</v>
      </c>
      <c r="AN495" s="6">
        <f>Table2[[#This Row],[EV]]-Table2[[#This Row],[Spread]]</f>
        <v>-10.079939701618642</v>
      </c>
      <c r="AO495" s="1">
        <f>Table2[[#This Row],[EV Err]]^2</f>
        <v>101.60518438826772</v>
      </c>
      <c r="AP495" s="1"/>
    </row>
    <row r="496" spans="1:42" x14ac:dyDescent="0.25">
      <c r="A496" s="34">
        <v>42734</v>
      </c>
      <c r="B496" t="s">
        <v>118</v>
      </c>
      <c r="C496" t="s">
        <v>115</v>
      </c>
      <c r="E496" s="21"/>
      <c r="G496" s="21"/>
      <c r="H496" s="7"/>
      <c r="I496" s="21"/>
      <c r="K496"/>
      <c r="L496" s="21">
        <f>(Table2[[#This Row],[H/Pace]]/100)*(VLOOKUP(Table2[[#This Row],[Home/Neutral]],home_lookup,8,FALSE)+VLOOKUP(Table2[[#This Row],[Home/Neutral]],OFR_lookup,2,FALSE)+VLOOKUP(Table2[[#This Row],[Visitor/Neutral]],def_diff_lookup,6,FALSE))</f>
        <v>114.04971838078238</v>
      </c>
      <c r="M496" s="21"/>
      <c r="N496" s="21">
        <f>(Table2[[#This Row],[A/Pace]]/100)*(VLOOKUP(Table2[[#This Row],[Visitor/Neutral]],OFR_lookup,2,FALSE)+VLOOKUP(Table2[[#This Row],[Home/Neutral]],def_diff_lookup,6,FALSE))</f>
        <v>89.142814333333348</v>
      </c>
      <c r="O496" s="21"/>
      <c r="P496" s="21"/>
      <c r="Q496">
        <f>VLOOKUP(Table2[[#This Row],[Home/Neutral]],pace_lookup,7,FALSE)</f>
        <v>100.4</v>
      </c>
      <c r="R496" s="5">
        <f>VLOOKUP(Table2[[#This Row],[Visitor/Neutral]],pace_lookup,7,FALSE)</f>
        <v>92.9</v>
      </c>
      <c r="S496" s="7"/>
      <c r="U496" s="15"/>
      <c r="W496" s="2">
        <f>-home-VLOOKUP(Table2[[#This Row],[Home/Neutral]],rtg_vlookup,4,FALSE)+VLOOKUP(Table2[[#This Row],[Visitor/Neutral]],rtg_vlookup,4,FALSE)</f>
        <v>-23.058688524590167</v>
      </c>
      <c r="X496" s="15"/>
      <c r="Y496" s="2"/>
      <c r="Z496" s="2">
        <f>Table2[[#This Row],[A/EV]]-Table2[[#This Row],[H/EV]]</f>
        <v>-24.906904047449032</v>
      </c>
      <c r="AA496" s="29"/>
      <c r="AB496" s="30"/>
      <c r="AC496" s="30"/>
      <c r="AD496" s="30"/>
      <c r="AE496" s="30"/>
      <c r="AF496" s="7" t="b">
        <f>IF(VLOOKUP(Table2[[#This Row],[Home/Neutral]],division_lookup,9,FALSE)=VLOOKUP(Table2[[#This Row],[Visitor/Neutral]],division_lookup,9,FALSE),TRUE,FALSE)</f>
        <v>0</v>
      </c>
      <c r="AG496" s="15" t="str">
        <f>VLOOKUP(Table2[[#This Row],[Home/Neutral]],division_lookup,9,FALSE)</f>
        <v>P</v>
      </c>
      <c r="AH496" s="15" t="str">
        <f>IF(Table2[[#This Row],[Total/EV]]&lt;Table2[[#This Row],[Total/V]],"UNDER","OVER")</f>
        <v>OVER</v>
      </c>
      <c r="AI496" s="26">
        <f>Table2[[#This Row],[SRS/Real]]-Table2[[#This Row],[Spread/V]]</f>
        <v>0</v>
      </c>
      <c r="AJ496" s="2">
        <f>Table2[[#This Row],[EV/Real]]-Table2[[#This Row],[Spread/V]]</f>
        <v>0</v>
      </c>
      <c r="AK496" s="2">
        <f>Table2[[#This Row],[SRS/Diff]]-Table2[[#This Row],[EV/Diff]]</f>
        <v>0</v>
      </c>
      <c r="AL496" s="18">
        <f>Table2[[#This Row],[SRS]]-Table2[[#This Row],[Spread]]</f>
        <v>-23.058688524590167</v>
      </c>
      <c r="AM496" s="21">
        <f>Table2[[#This Row],[(A) Err]]^2</f>
        <v>531.70311647406629</v>
      </c>
      <c r="AN496" s="6">
        <f>Table2[[#This Row],[EV]]-Table2[[#This Row],[Spread]]</f>
        <v>-24.906904047449032</v>
      </c>
      <c r="AO496" s="1">
        <f>Table2[[#This Row],[EV Err]]^2</f>
        <v>620.35386922883299</v>
      </c>
      <c r="AP496" s="1"/>
    </row>
    <row r="497" spans="1:42" x14ac:dyDescent="0.25">
      <c r="A497" s="34">
        <v>42734</v>
      </c>
      <c r="B497" t="s">
        <v>119</v>
      </c>
      <c r="C497" t="s">
        <v>121</v>
      </c>
      <c r="E497" s="21"/>
      <c r="G497" s="21"/>
      <c r="H497" s="7"/>
      <c r="I497" s="21"/>
      <c r="K497"/>
      <c r="L497" s="21">
        <f>(Table2[[#This Row],[H/Pace]]/100)*(VLOOKUP(Table2[[#This Row],[Home/Neutral]],home_lookup,8,FALSE)+VLOOKUP(Table2[[#This Row],[Home/Neutral]],OFR_lookup,2,FALSE)+VLOOKUP(Table2[[#This Row],[Visitor/Neutral]],def_diff_lookup,6,FALSE))</f>
        <v>104.76249376977628</v>
      </c>
      <c r="M497" s="21"/>
      <c r="N497" s="21">
        <f>(Table2[[#This Row],[A/Pace]]/100)*(VLOOKUP(Table2[[#This Row],[Visitor/Neutral]],OFR_lookup,2,FALSE)+VLOOKUP(Table2[[#This Row],[Home/Neutral]],def_diff_lookup,6,FALSE))</f>
        <v>113.58394266666667</v>
      </c>
      <c r="O497" s="21"/>
      <c r="P497" s="21"/>
      <c r="Q497">
        <f>VLOOKUP(Table2[[#This Row],[Home/Neutral]],pace_lookup,7,FALSE)</f>
        <v>96.9</v>
      </c>
      <c r="R497" s="5">
        <f>VLOOKUP(Table2[[#This Row],[Visitor/Neutral]],pace_lookup,7,FALSE)</f>
        <v>96.4</v>
      </c>
      <c r="S497" s="7"/>
      <c r="U497" s="15"/>
      <c r="W497" s="2">
        <f>-home-VLOOKUP(Table2[[#This Row],[Home/Neutral]],rtg_vlookup,4,FALSE)+VLOOKUP(Table2[[#This Row],[Visitor/Neutral]],rtg_vlookup,4,FALSE)</f>
        <v>6.2713114754098349</v>
      </c>
      <c r="X497" s="15"/>
      <c r="Y497" s="2"/>
      <c r="Z497" s="2">
        <f>Table2[[#This Row],[A/EV]]-Table2[[#This Row],[H/EV]]</f>
        <v>8.8214488968903879</v>
      </c>
      <c r="AA497" s="29"/>
      <c r="AB497" s="30"/>
      <c r="AC497" s="30"/>
      <c r="AD497" s="30"/>
      <c r="AE497" s="30"/>
      <c r="AF497" s="7" t="b">
        <f>IF(VLOOKUP(Table2[[#This Row],[Home/Neutral]],division_lookup,9,FALSE)=VLOOKUP(Table2[[#This Row],[Visitor/Neutral]],division_lookup,9,FALSE),TRUE,FALSE)</f>
        <v>0</v>
      </c>
      <c r="AG497" s="15" t="str">
        <f>VLOOKUP(Table2[[#This Row],[Home/Neutral]],division_lookup,9,FALSE)</f>
        <v>SW</v>
      </c>
      <c r="AH497" s="15" t="str">
        <f>IF(Table2[[#This Row],[Total/EV]]&lt;Table2[[#This Row],[Total/V]],"UNDER","OVER")</f>
        <v>OVER</v>
      </c>
      <c r="AI497" s="26">
        <f>Table2[[#This Row],[SRS/Real]]-Table2[[#This Row],[Spread/V]]</f>
        <v>0</v>
      </c>
      <c r="AJ497" s="2">
        <f>Table2[[#This Row],[EV/Real]]-Table2[[#This Row],[Spread/V]]</f>
        <v>0</v>
      </c>
      <c r="AK497" s="2">
        <f>Table2[[#This Row],[SRS/Diff]]-Table2[[#This Row],[EV/Diff]]</f>
        <v>0</v>
      </c>
      <c r="AL497" s="18">
        <f>Table2[[#This Row],[SRS]]-Table2[[#This Row],[Spread]]</f>
        <v>6.2713114754098349</v>
      </c>
      <c r="AM497" s="21">
        <f>Table2[[#This Row],[(A) Err]]^2</f>
        <v>39.329347621607077</v>
      </c>
      <c r="AN497" s="6">
        <f>Table2[[#This Row],[EV]]-Table2[[#This Row],[Spread]]</f>
        <v>8.8214488968903879</v>
      </c>
      <c r="AO497" s="1">
        <f>Table2[[#This Row],[EV Err]]^2</f>
        <v>77.817960640448646</v>
      </c>
      <c r="AP497" s="1"/>
    </row>
    <row r="498" spans="1:42" x14ac:dyDescent="0.25">
      <c r="A498" s="34">
        <v>42734</v>
      </c>
      <c r="B498" t="s">
        <v>120</v>
      </c>
      <c r="C498" t="s">
        <v>113</v>
      </c>
      <c r="E498" s="21"/>
      <c r="G498" s="21"/>
      <c r="H498" s="7"/>
      <c r="I498" s="21"/>
      <c r="K498"/>
      <c r="L498" s="21">
        <f>(Table2[[#This Row],[H/Pace]]/100)*(VLOOKUP(Table2[[#This Row],[Home/Neutral]],home_lookup,8,FALSE)+VLOOKUP(Table2[[#This Row],[Home/Neutral]],OFR_lookup,2,FALSE)+VLOOKUP(Table2[[#This Row],[Visitor/Neutral]],def_diff_lookup,6,FALSE))</f>
        <v>105.54338542930861</v>
      </c>
      <c r="M498" s="21"/>
      <c r="N498" s="21">
        <f>(Table2[[#This Row],[A/Pace]]/100)*(VLOOKUP(Table2[[#This Row],[Visitor/Neutral]],OFR_lookup,2,FALSE)+VLOOKUP(Table2[[#This Row],[Home/Neutral]],def_diff_lookup,6,FALSE))</f>
        <v>107.08798899999999</v>
      </c>
      <c r="O498" s="21"/>
      <c r="P498" s="21"/>
      <c r="Q498">
        <f>VLOOKUP(Table2[[#This Row],[Home/Neutral]],pace_lookup,7,FALSE)</f>
        <v>98.3</v>
      </c>
      <c r="R498" s="5">
        <f>VLOOKUP(Table2[[#This Row],[Visitor/Neutral]],pace_lookup,7,FALSE)</f>
        <v>95.1</v>
      </c>
      <c r="S498" s="7"/>
      <c r="U498" s="15"/>
      <c r="W498" s="2">
        <f>-home-VLOOKUP(Table2[[#This Row],[Home/Neutral]],rtg_vlookup,4,FALSE)+VLOOKUP(Table2[[#This Row],[Visitor/Neutral]],rtg_vlookup,4,FALSE)</f>
        <v>6.5713114754098347</v>
      </c>
      <c r="X498" s="15"/>
      <c r="Y498" s="2"/>
      <c r="Z498" s="2">
        <f>Table2[[#This Row],[A/EV]]-Table2[[#This Row],[H/EV]]</f>
        <v>1.544603570691379</v>
      </c>
      <c r="AA498" s="29"/>
      <c r="AB498" s="30"/>
      <c r="AC498" s="30"/>
      <c r="AD498" s="30"/>
      <c r="AE498" s="30"/>
      <c r="AF498" s="7" t="b">
        <f>IF(VLOOKUP(Table2[[#This Row],[Home/Neutral]],division_lookup,9,FALSE)=VLOOKUP(Table2[[#This Row],[Visitor/Neutral]],division_lookup,9,FALSE),TRUE,FALSE)</f>
        <v>1</v>
      </c>
      <c r="AG498" s="15" t="str">
        <f>VLOOKUP(Table2[[#This Row],[Home/Neutral]],division_lookup,9,FALSE)</f>
        <v>C</v>
      </c>
      <c r="AH498" s="15" t="str">
        <f>IF(Table2[[#This Row],[Total/EV]]&lt;Table2[[#This Row],[Total/V]],"UNDER","OVER")</f>
        <v>OVER</v>
      </c>
      <c r="AI498" s="26">
        <f>Table2[[#This Row],[SRS/Real]]-Table2[[#This Row],[Spread/V]]</f>
        <v>0</v>
      </c>
      <c r="AJ498" s="2">
        <f>Table2[[#This Row],[EV/Real]]-Table2[[#This Row],[Spread/V]]</f>
        <v>0</v>
      </c>
      <c r="AK498" s="2">
        <f>Table2[[#This Row],[SRS/Diff]]-Table2[[#This Row],[EV/Diff]]</f>
        <v>0</v>
      </c>
      <c r="AL498" s="18">
        <f>Table2[[#This Row],[SRS]]-Table2[[#This Row],[Spread]]</f>
        <v>6.5713114754098347</v>
      </c>
      <c r="AM498" s="21">
        <f>Table2[[#This Row],[(A) Err]]^2</f>
        <v>43.182134506852982</v>
      </c>
      <c r="AN498" s="6">
        <f>Table2[[#This Row],[EV]]-Table2[[#This Row],[Spread]]</f>
        <v>1.544603570691379</v>
      </c>
      <c r="AO498" s="1">
        <f>Table2[[#This Row],[EV Err]]^2</f>
        <v>2.3858001905925579</v>
      </c>
      <c r="AP498" s="1"/>
    </row>
    <row r="499" spans="1:42" x14ac:dyDescent="0.25">
      <c r="A499" s="34">
        <v>42734</v>
      </c>
      <c r="B499" t="s">
        <v>126</v>
      </c>
      <c r="C499" t="s">
        <v>125</v>
      </c>
      <c r="E499" s="21"/>
      <c r="G499" s="21"/>
      <c r="H499" s="7"/>
      <c r="I499" s="21"/>
      <c r="K499"/>
      <c r="L499" s="21">
        <f>(Table2[[#This Row],[H/Pace]]/100)*(VLOOKUP(Table2[[#This Row],[Home/Neutral]],home_lookup,8,FALSE)+VLOOKUP(Table2[[#This Row],[Home/Neutral]],OFR_lookup,2,FALSE)+VLOOKUP(Table2[[#This Row],[Visitor/Neutral]],def_diff_lookup,6,FALSE))</f>
        <v>116.88344777050786</v>
      </c>
      <c r="M499" s="21"/>
      <c r="N499" s="21">
        <f>(Table2[[#This Row],[A/Pace]]/100)*(VLOOKUP(Table2[[#This Row],[Visitor/Neutral]],OFR_lookup,2,FALSE)+VLOOKUP(Table2[[#This Row],[Home/Neutral]],def_diff_lookup,6,FALSE))</f>
        <v>105.18689566666666</v>
      </c>
      <c r="O499" s="21"/>
      <c r="P499" s="21"/>
      <c r="Q499">
        <f>VLOOKUP(Table2[[#This Row],[Home/Neutral]],pace_lookup,7,FALSE)</f>
        <v>95.7</v>
      </c>
      <c r="R499" s="5">
        <f>VLOOKUP(Table2[[#This Row],[Visitor/Neutral]],pace_lookup,7,FALSE)</f>
        <v>96.1</v>
      </c>
      <c r="S499" s="7"/>
      <c r="U499" s="15"/>
      <c r="W499" s="2">
        <f>-home-VLOOKUP(Table2[[#This Row],[Home/Neutral]],rtg_vlookup,4,FALSE)+VLOOKUP(Table2[[#This Row],[Visitor/Neutral]],rtg_vlookup,4,FALSE)</f>
        <v>-4.0786885245901656</v>
      </c>
      <c r="X499" s="15"/>
      <c r="Y499" s="2"/>
      <c r="Z499" s="2">
        <f>Table2[[#This Row],[A/EV]]-Table2[[#This Row],[H/EV]]</f>
        <v>-11.696552103841199</v>
      </c>
      <c r="AA499" s="29"/>
      <c r="AB499" s="30"/>
      <c r="AC499" s="30"/>
      <c r="AD499" s="30"/>
      <c r="AE499" s="30"/>
      <c r="AF499" s="7" t="b">
        <f>IF(VLOOKUP(Table2[[#This Row],[Home/Neutral]],division_lookup,9,FALSE)=VLOOKUP(Table2[[#This Row],[Visitor/Neutral]],division_lookup,9,FALSE),TRUE,FALSE)</f>
        <v>0</v>
      </c>
      <c r="AG499" s="15" t="str">
        <f>VLOOKUP(Table2[[#This Row],[Home/Neutral]],division_lookup,9,FALSE)</f>
        <v>NW</v>
      </c>
      <c r="AH499" s="15" t="str">
        <f>IF(Table2[[#This Row],[Total/EV]]&lt;Table2[[#This Row],[Total/V]],"UNDER","OVER")</f>
        <v>OVER</v>
      </c>
      <c r="AI499" s="26">
        <f>Table2[[#This Row],[SRS/Real]]-Table2[[#This Row],[Spread/V]]</f>
        <v>0</v>
      </c>
      <c r="AJ499" s="2">
        <f>Table2[[#This Row],[EV/Real]]-Table2[[#This Row],[Spread/V]]</f>
        <v>0</v>
      </c>
      <c r="AK499" s="2">
        <f>Table2[[#This Row],[SRS/Diff]]-Table2[[#This Row],[EV/Diff]]</f>
        <v>0</v>
      </c>
      <c r="AL499" s="18">
        <f>Table2[[#This Row],[SRS]]-Table2[[#This Row],[Spread]]</f>
        <v>-4.0786885245901656</v>
      </c>
      <c r="AM499" s="21">
        <f>Table2[[#This Row],[(A) Err]]^2</f>
        <v>16.635700080623501</v>
      </c>
      <c r="AN499" s="6">
        <f>Table2[[#This Row],[EV]]-Table2[[#This Row],[Spread]]</f>
        <v>-11.696552103841199</v>
      </c>
      <c r="AO499" s="1">
        <f>Table2[[#This Row],[EV Err]]^2</f>
        <v>136.80933111787198</v>
      </c>
      <c r="AP499" s="1"/>
    </row>
    <row r="500" spans="1:42" x14ac:dyDescent="0.25">
      <c r="A500" s="34">
        <v>42734</v>
      </c>
      <c r="B500" t="s">
        <v>127</v>
      </c>
      <c r="C500" t="s">
        <v>128</v>
      </c>
      <c r="E500" s="21"/>
      <c r="G500" s="21"/>
      <c r="H500" s="7"/>
      <c r="I500" s="21"/>
      <c r="K500"/>
      <c r="L500" s="21">
        <f>(Table2[[#This Row],[H/Pace]]/100)*(VLOOKUP(Table2[[#This Row],[Home/Neutral]],home_lookup,8,FALSE)+VLOOKUP(Table2[[#This Row],[Home/Neutral]],OFR_lookup,2,FALSE)+VLOOKUP(Table2[[#This Row],[Visitor/Neutral]],def_diff_lookup,6,FALSE))</f>
        <v>105.79752493743048</v>
      </c>
      <c r="M500" s="21"/>
      <c r="N500" s="21">
        <f>(Table2[[#This Row],[A/Pace]]/100)*(VLOOKUP(Table2[[#This Row],[Visitor/Neutral]],OFR_lookup,2,FALSE)+VLOOKUP(Table2[[#This Row],[Home/Neutral]],def_diff_lookup,6,FALSE))</f>
        <v>102.69014699999998</v>
      </c>
      <c r="O500" s="21"/>
      <c r="P500" s="21"/>
      <c r="Q500">
        <f>VLOOKUP(Table2[[#This Row],[Home/Neutral]],pace_lookup,7,FALSE)</f>
        <v>99.3</v>
      </c>
      <c r="R500" s="5">
        <f>VLOOKUP(Table2[[#This Row],[Visitor/Neutral]],pace_lookup,7,FALSE)</f>
        <v>96.3</v>
      </c>
      <c r="S500" s="7"/>
      <c r="U500" s="15"/>
      <c r="W500" s="2">
        <f>-home-VLOOKUP(Table2[[#This Row],[Home/Neutral]],rtg_vlookup,4,FALSE)+VLOOKUP(Table2[[#This Row],[Visitor/Neutral]],rtg_vlookup,4,FALSE)</f>
        <v>-1.9786885245901655</v>
      </c>
      <c r="X500" s="15"/>
      <c r="Y500" s="2"/>
      <c r="Z500" s="2">
        <f>Table2[[#This Row],[A/EV]]-Table2[[#This Row],[H/EV]]</f>
        <v>-3.1073779374304991</v>
      </c>
      <c r="AA500" s="29"/>
      <c r="AB500" s="30"/>
      <c r="AC500" s="30"/>
      <c r="AD500" s="30"/>
      <c r="AE500" s="30"/>
      <c r="AF500" s="7" t="b">
        <f>IF(VLOOKUP(Table2[[#This Row],[Home/Neutral]],division_lookup,9,FALSE)=VLOOKUP(Table2[[#This Row],[Visitor/Neutral]],division_lookup,9,FALSE),TRUE,FALSE)</f>
        <v>0</v>
      </c>
      <c r="AG500" s="15" t="str">
        <f>VLOOKUP(Table2[[#This Row],[Home/Neutral]],division_lookup,9,FALSE)</f>
        <v>SW</v>
      </c>
      <c r="AH500" s="15" t="str">
        <f>IF(Table2[[#This Row],[Total/EV]]&lt;Table2[[#This Row],[Total/V]],"UNDER","OVER")</f>
        <v>OVER</v>
      </c>
      <c r="AI500" s="26">
        <f>Table2[[#This Row],[SRS/Real]]-Table2[[#This Row],[Spread/V]]</f>
        <v>0</v>
      </c>
      <c r="AJ500" s="2">
        <f>Table2[[#This Row],[EV/Real]]-Table2[[#This Row],[Spread/V]]</f>
        <v>0</v>
      </c>
      <c r="AK500" s="2">
        <f>Table2[[#This Row],[SRS/Diff]]-Table2[[#This Row],[EV/Diff]]</f>
        <v>0</v>
      </c>
      <c r="AL500" s="18">
        <f>Table2[[#This Row],[SRS]]-Table2[[#This Row],[Spread]]</f>
        <v>-1.9786885245901655</v>
      </c>
      <c r="AM500" s="21">
        <f>Table2[[#This Row],[(A) Err]]^2</f>
        <v>3.915208277344806</v>
      </c>
      <c r="AN500" s="6">
        <f>Table2[[#This Row],[EV]]-Table2[[#This Row],[Spread]]</f>
        <v>-3.1073779374304991</v>
      </c>
      <c r="AO500" s="1">
        <f>Table2[[#This Row],[EV Err]]^2</f>
        <v>9.6557976460298232</v>
      </c>
      <c r="AP500" s="1"/>
    </row>
    <row r="501" spans="1:42" x14ac:dyDescent="0.25">
      <c r="A501" s="34">
        <v>42734</v>
      </c>
      <c r="B501" t="s">
        <v>134</v>
      </c>
      <c r="C501" t="s">
        <v>132</v>
      </c>
      <c r="E501" s="21"/>
      <c r="G501" s="21"/>
      <c r="H501" s="7"/>
      <c r="I501" s="21"/>
      <c r="K501"/>
      <c r="L501" s="21">
        <f>(Table2[[#This Row],[H/Pace]]/100)*(VLOOKUP(Table2[[#This Row],[Home/Neutral]],home_lookup,8,FALSE)+VLOOKUP(Table2[[#This Row],[Home/Neutral]],OFR_lookup,2,FALSE)+VLOOKUP(Table2[[#This Row],[Visitor/Neutral]],def_diff_lookup,6,FALSE))</f>
        <v>105.82915343638193</v>
      </c>
      <c r="M501" s="21"/>
      <c r="N501" s="21">
        <f>(Table2[[#This Row],[A/Pace]]/100)*(VLOOKUP(Table2[[#This Row],[Visitor/Neutral]],OFR_lookup,2,FALSE)+VLOOKUP(Table2[[#This Row],[Home/Neutral]],def_diff_lookup,6,FALSE))</f>
        <v>107.07515866666667</v>
      </c>
      <c r="O501" s="21"/>
      <c r="P501" s="21"/>
      <c r="Q501">
        <f>VLOOKUP(Table2[[#This Row],[Home/Neutral]],pace_lookup,7,FALSE)</f>
        <v>93.4</v>
      </c>
      <c r="R501" s="5">
        <f>VLOOKUP(Table2[[#This Row],[Visitor/Neutral]],pace_lookup,7,FALSE)</f>
        <v>98.8</v>
      </c>
      <c r="S501" s="7"/>
      <c r="U501" s="15"/>
      <c r="W501" s="2">
        <f>-home-VLOOKUP(Table2[[#This Row],[Home/Neutral]],rtg_vlookup,4,FALSE)+VLOOKUP(Table2[[#This Row],[Visitor/Neutral]],rtg_vlookup,4,FALSE)</f>
        <v>-12.608688524590164</v>
      </c>
      <c r="X501" s="15"/>
      <c r="Y501" s="2"/>
      <c r="Z501" s="2">
        <f>Table2[[#This Row],[A/EV]]-Table2[[#This Row],[H/EV]]</f>
        <v>1.2460052302847373</v>
      </c>
      <c r="AA501" s="29"/>
      <c r="AB501" s="30"/>
      <c r="AC501" s="30"/>
      <c r="AD501" s="30"/>
      <c r="AE501" s="30"/>
      <c r="AF501" s="7" t="b">
        <f>IF(VLOOKUP(Table2[[#This Row],[Home/Neutral]],division_lookup,9,FALSE)=VLOOKUP(Table2[[#This Row],[Visitor/Neutral]],division_lookup,9,FALSE),TRUE,FALSE)</f>
        <v>0</v>
      </c>
      <c r="AG501" s="15" t="str">
        <f>VLOOKUP(Table2[[#This Row],[Home/Neutral]],division_lookup,9,FALSE)</f>
        <v>SW</v>
      </c>
      <c r="AH501" s="15" t="str">
        <f>IF(Table2[[#This Row],[Total/EV]]&lt;Table2[[#This Row],[Total/V]],"UNDER","OVER")</f>
        <v>OVER</v>
      </c>
      <c r="AI501" s="26">
        <f>Table2[[#This Row],[SRS/Real]]-Table2[[#This Row],[Spread/V]]</f>
        <v>0</v>
      </c>
      <c r="AJ501" s="2">
        <f>Table2[[#This Row],[EV/Real]]-Table2[[#This Row],[Spread/V]]</f>
        <v>0</v>
      </c>
      <c r="AK501" s="2">
        <f>Table2[[#This Row],[SRS/Diff]]-Table2[[#This Row],[EV/Diff]]</f>
        <v>0</v>
      </c>
      <c r="AL501" s="18">
        <f>Table2[[#This Row],[SRS]]-Table2[[#This Row],[Spread]]</f>
        <v>-12.608688524590164</v>
      </c>
      <c r="AM501" s="21">
        <f>Table2[[#This Row],[(A) Err]]^2</f>
        <v>158.9790263101317</v>
      </c>
      <c r="AN501" s="6">
        <f>Table2[[#This Row],[EV]]-Table2[[#This Row],[Spread]]</f>
        <v>1.2460052302847373</v>
      </c>
      <c r="AO501" s="1">
        <f>Table2[[#This Row],[EV Err]]^2</f>
        <v>1.5525290338969213</v>
      </c>
      <c r="AP501" s="1"/>
    </row>
    <row r="502" spans="1:42" x14ac:dyDescent="0.25">
      <c r="A502" s="34">
        <v>42734</v>
      </c>
      <c r="B502" t="s">
        <v>137</v>
      </c>
      <c r="C502" t="s">
        <v>111</v>
      </c>
      <c r="E502" s="21"/>
      <c r="G502" s="21"/>
      <c r="H502" s="7"/>
      <c r="I502" s="21"/>
      <c r="K502"/>
      <c r="L502" s="21">
        <f>(Table2[[#This Row],[H/Pace]]/100)*(VLOOKUP(Table2[[#This Row],[Home/Neutral]],home_lookup,8,FALSE)+VLOOKUP(Table2[[#This Row],[Home/Neutral]],OFR_lookup,2,FALSE)+VLOOKUP(Table2[[#This Row],[Visitor/Neutral]],def_diff_lookup,6,FALSE))</f>
        <v>112.0153325542187</v>
      </c>
      <c r="M502" s="21"/>
      <c r="N502" s="21">
        <f>(Table2[[#This Row],[A/Pace]]/100)*(VLOOKUP(Table2[[#This Row],[Visitor/Neutral]],OFR_lookup,2,FALSE)+VLOOKUP(Table2[[#This Row],[Home/Neutral]],def_diff_lookup,6,FALSE))</f>
        <v>107.78917999999999</v>
      </c>
      <c r="O502" s="21"/>
      <c r="P502" s="21"/>
      <c r="Q502">
        <f>VLOOKUP(Table2[[#This Row],[Home/Neutral]],pace_lookup,7,FALSE)</f>
        <v>96</v>
      </c>
      <c r="R502" s="5">
        <f>VLOOKUP(Table2[[#This Row],[Visitor/Neutral]],pace_lookup,7,FALSE)</f>
        <v>102</v>
      </c>
      <c r="S502" s="7"/>
      <c r="U502" s="15"/>
      <c r="W502" s="2">
        <f>-home-VLOOKUP(Table2[[#This Row],[Home/Neutral]],rtg_vlookup,4,FALSE)+VLOOKUP(Table2[[#This Row],[Visitor/Neutral]],rtg_vlookup,4,FALSE)</f>
        <v>-8.5686885245901649</v>
      </c>
      <c r="X502" s="15"/>
      <c r="Y502" s="2"/>
      <c r="Z502" s="2">
        <f>Table2[[#This Row],[A/EV]]-Table2[[#This Row],[H/EV]]</f>
        <v>-4.2261525542187144</v>
      </c>
      <c r="AA502" s="29"/>
      <c r="AB502" s="30"/>
      <c r="AC502" s="30"/>
      <c r="AD502" s="30"/>
      <c r="AE502" s="30"/>
      <c r="AF502" s="7" t="b">
        <f>IF(VLOOKUP(Table2[[#This Row],[Home/Neutral]],division_lookup,9,FALSE)=VLOOKUP(Table2[[#This Row],[Visitor/Neutral]],division_lookup,9,FALSE),TRUE,FALSE)</f>
        <v>0</v>
      </c>
      <c r="AG502" s="15" t="str">
        <f>VLOOKUP(Table2[[#This Row],[Home/Neutral]],division_lookup,9,FALSE)</f>
        <v>SE</v>
      </c>
      <c r="AH502" s="15" t="str">
        <f>IF(Table2[[#This Row],[Total/EV]]&lt;Table2[[#This Row],[Total/V]],"UNDER","OVER")</f>
        <v>OVER</v>
      </c>
      <c r="AI502" s="26">
        <f>Table2[[#This Row],[SRS/Real]]-Table2[[#This Row],[Spread/V]]</f>
        <v>0</v>
      </c>
      <c r="AJ502" s="2">
        <f>Table2[[#This Row],[EV/Real]]-Table2[[#This Row],[Spread/V]]</f>
        <v>0</v>
      </c>
      <c r="AK502" s="2">
        <f>Table2[[#This Row],[SRS/Diff]]-Table2[[#This Row],[EV/Diff]]</f>
        <v>0</v>
      </c>
      <c r="AL502" s="18">
        <f>Table2[[#This Row],[SRS]]-Table2[[#This Row],[Spread]]</f>
        <v>-8.5686885245901649</v>
      </c>
      <c r="AM502" s="21">
        <f>Table2[[#This Row],[(A) Err]]^2</f>
        <v>73.422423031443174</v>
      </c>
      <c r="AN502" s="6">
        <f>Table2[[#This Row],[EV]]-Table2[[#This Row],[Spread]]</f>
        <v>-4.2261525542187144</v>
      </c>
      <c r="AO502" s="1">
        <f>Table2[[#This Row],[EV Err]]^2</f>
        <v>17.860365411529365</v>
      </c>
      <c r="AP502" s="1"/>
    </row>
    <row r="503" spans="1:42" x14ac:dyDescent="0.25">
      <c r="A503" s="34">
        <v>42735</v>
      </c>
      <c r="B503" t="s">
        <v>113</v>
      </c>
      <c r="C503" t="s">
        <v>125</v>
      </c>
      <c r="E503" s="21"/>
      <c r="G503" s="21"/>
      <c r="H503" s="7"/>
      <c r="I503" s="21"/>
      <c r="K503"/>
      <c r="L503" s="21">
        <f>(Table2[[#This Row],[H/Pace]]/100)*(VLOOKUP(Table2[[#This Row],[Home/Neutral]],home_lookup,8,FALSE)+VLOOKUP(Table2[[#This Row],[Home/Neutral]],OFR_lookup,2,FALSE)+VLOOKUP(Table2[[#This Row],[Visitor/Neutral]],def_diff_lookup,6,FALSE))</f>
        <v>111.10654388016279</v>
      </c>
      <c r="M503" s="21"/>
      <c r="N503" s="21">
        <f>(Table2[[#This Row],[A/Pace]]/100)*(VLOOKUP(Table2[[#This Row],[Visitor/Neutral]],OFR_lookup,2,FALSE)+VLOOKUP(Table2[[#This Row],[Home/Neutral]],def_diff_lookup,6,FALSE))</f>
        <v>101.66963566666666</v>
      </c>
      <c r="O503" s="21"/>
      <c r="P503" s="21"/>
      <c r="Q503">
        <f>VLOOKUP(Table2[[#This Row],[Home/Neutral]],pace_lookup,7,FALSE)</f>
        <v>95.1</v>
      </c>
      <c r="R503" s="5">
        <f>VLOOKUP(Table2[[#This Row],[Visitor/Neutral]],pace_lookup,7,FALSE)</f>
        <v>96.1</v>
      </c>
      <c r="S503" s="7"/>
      <c r="U503" s="15"/>
      <c r="W503" s="2">
        <f>-home-VLOOKUP(Table2[[#This Row],[Home/Neutral]],rtg_vlookup,4,FALSE)+VLOOKUP(Table2[[#This Row],[Visitor/Neutral]],rtg_vlookup,4,FALSE)</f>
        <v>-9.9086885245901666</v>
      </c>
      <c r="X503" s="15"/>
      <c r="Y503" s="2"/>
      <c r="Z503" s="2">
        <f>Table2[[#This Row],[A/EV]]-Table2[[#This Row],[H/EV]]</f>
        <v>-9.4369082134961246</v>
      </c>
      <c r="AA503" s="29"/>
      <c r="AB503" s="30"/>
      <c r="AC503" s="30"/>
      <c r="AD503" s="30"/>
      <c r="AE503" s="30"/>
      <c r="AF503" s="7" t="b">
        <f>IF(VLOOKUP(Table2[[#This Row],[Home/Neutral]],division_lookup,9,FALSE)=VLOOKUP(Table2[[#This Row],[Visitor/Neutral]],division_lookup,9,FALSE),TRUE,FALSE)</f>
        <v>1</v>
      </c>
      <c r="AG503" s="15" t="str">
        <f>VLOOKUP(Table2[[#This Row],[Home/Neutral]],division_lookup,9,FALSE)</f>
        <v>C</v>
      </c>
      <c r="AH503" s="15" t="str">
        <f>IF(Table2[[#This Row],[Total/EV]]&lt;Table2[[#This Row],[Total/V]],"UNDER","OVER")</f>
        <v>OVER</v>
      </c>
      <c r="AI503" s="26">
        <f>Table2[[#This Row],[SRS/Real]]-Table2[[#This Row],[Spread/V]]</f>
        <v>0</v>
      </c>
      <c r="AJ503" s="2">
        <f>Table2[[#This Row],[EV/Real]]-Table2[[#This Row],[Spread/V]]</f>
        <v>0</v>
      </c>
      <c r="AK503" s="2">
        <f>Table2[[#This Row],[SRS/Diff]]-Table2[[#This Row],[EV/Diff]]</f>
        <v>0</v>
      </c>
      <c r="AL503" s="18">
        <f>Table2[[#This Row],[SRS]]-Table2[[#This Row],[Spread]]</f>
        <v>-9.9086885245901666</v>
      </c>
      <c r="AM503" s="21">
        <f>Table2[[#This Row],[(A) Err]]^2</f>
        <v>98.182108277344852</v>
      </c>
      <c r="AN503" s="6">
        <f>Table2[[#This Row],[EV]]-Table2[[#This Row],[Spread]]</f>
        <v>-9.4369082134961246</v>
      </c>
      <c r="AO503" s="1">
        <f>Table2[[#This Row],[EV Err]]^2</f>
        <v>89.055236629950613</v>
      </c>
      <c r="AP503" s="1"/>
    </row>
    <row r="504" spans="1:42" x14ac:dyDescent="0.25">
      <c r="A504" s="34">
        <v>42735</v>
      </c>
      <c r="B504" t="s">
        <v>112</v>
      </c>
      <c r="C504" t="s">
        <v>114</v>
      </c>
      <c r="E504" s="21"/>
      <c r="G504" s="21"/>
      <c r="H504" s="7"/>
      <c r="I504" s="21"/>
      <c r="K504"/>
      <c r="L504" s="21">
        <f>(Table2[[#This Row],[H/Pace]]/100)*(VLOOKUP(Table2[[#This Row],[Home/Neutral]],home_lookup,8,FALSE)+VLOOKUP(Table2[[#This Row],[Home/Neutral]],OFR_lookup,2,FALSE)+VLOOKUP(Table2[[#This Row],[Visitor/Neutral]],def_diff_lookup,6,FALSE))</f>
        <v>103.66354195313484</v>
      </c>
      <c r="M504" s="21"/>
      <c r="N504" s="21">
        <f>(Table2[[#This Row],[A/Pace]]/100)*(VLOOKUP(Table2[[#This Row],[Visitor/Neutral]],OFR_lookup,2,FALSE)+VLOOKUP(Table2[[#This Row],[Home/Neutral]],def_diff_lookup,6,FALSE))</f>
        <v>110.77183366666665</v>
      </c>
      <c r="O504" s="21"/>
      <c r="P504" s="21"/>
      <c r="Q504">
        <f>VLOOKUP(Table2[[#This Row],[Home/Neutral]],pace_lookup,7,FALSE)</f>
        <v>97.4</v>
      </c>
      <c r="R504" s="5">
        <f>VLOOKUP(Table2[[#This Row],[Visitor/Neutral]],pace_lookup,7,FALSE)</f>
        <v>97.3</v>
      </c>
      <c r="S504" s="7"/>
      <c r="U504" s="15"/>
      <c r="W504" s="2">
        <f>-home-VLOOKUP(Table2[[#This Row],[Home/Neutral]],rtg_vlookup,4,FALSE)+VLOOKUP(Table2[[#This Row],[Visitor/Neutral]],rtg_vlookup,4,FALSE)</f>
        <v>3.8313114754098345</v>
      </c>
      <c r="X504" s="15"/>
      <c r="Y504" s="2"/>
      <c r="Z504" s="2">
        <f>Table2[[#This Row],[A/EV]]-Table2[[#This Row],[H/EV]]</f>
        <v>7.1082917135318127</v>
      </c>
      <c r="AA504" s="29"/>
      <c r="AB504" s="30"/>
      <c r="AC504" s="30"/>
      <c r="AD504" s="30"/>
      <c r="AE504" s="30"/>
      <c r="AF504" s="7" t="b">
        <f>IF(VLOOKUP(Table2[[#This Row],[Home/Neutral]],division_lookup,9,FALSE)=VLOOKUP(Table2[[#This Row],[Visitor/Neutral]],division_lookup,9,FALSE),TRUE,FALSE)</f>
        <v>0</v>
      </c>
      <c r="AG504" s="15" t="str">
        <f>VLOOKUP(Table2[[#This Row],[Home/Neutral]],division_lookup,9,FALSE)</f>
        <v>SE</v>
      </c>
      <c r="AH504" s="15" t="str">
        <f>IF(Table2[[#This Row],[Total/EV]]&lt;Table2[[#This Row],[Total/V]],"UNDER","OVER")</f>
        <v>OVER</v>
      </c>
      <c r="AI504" s="26">
        <f>Table2[[#This Row],[SRS/Real]]-Table2[[#This Row],[Spread/V]]</f>
        <v>0</v>
      </c>
      <c r="AJ504" s="2">
        <f>Table2[[#This Row],[EV/Real]]-Table2[[#This Row],[Spread/V]]</f>
        <v>0</v>
      </c>
      <c r="AK504" s="2">
        <f>Table2[[#This Row],[SRS/Diff]]-Table2[[#This Row],[EV/Diff]]</f>
        <v>0</v>
      </c>
      <c r="AL504" s="18">
        <f>Table2[[#This Row],[SRS]]-Table2[[#This Row],[Spread]]</f>
        <v>3.8313114754098345</v>
      </c>
      <c r="AM504" s="21">
        <f>Table2[[#This Row],[(A) Err]]^2</f>
        <v>14.678947621607083</v>
      </c>
      <c r="AN504" s="6">
        <f>Table2[[#This Row],[EV]]-Table2[[#This Row],[Spread]]</f>
        <v>7.1082917135318127</v>
      </c>
      <c r="AO504" s="1">
        <f>Table2[[#This Row],[EV Err]]^2</f>
        <v>50.527811084665032</v>
      </c>
      <c r="AP504" s="1"/>
    </row>
    <row r="505" spans="1:42" x14ac:dyDescent="0.25">
      <c r="A505" s="34">
        <v>42735</v>
      </c>
      <c r="B505" t="s">
        <v>119</v>
      </c>
      <c r="C505" t="s">
        <v>128</v>
      </c>
      <c r="E505" s="21"/>
      <c r="G505" s="21"/>
      <c r="H505" s="7"/>
      <c r="I505" s="21"/>
      <c r="K505"/>
      <c r="L505" s="21">
        <f>(Table2[[#This Row],[H/Pace]]/100)*(VLOOKUP(Table2[[#This Row],[Home/Neutral]],home_lookup,8,FALSE)+VLOOKUP(Table2[[#This Row],[Home/Neutral]],OFR_lookup,2,FALSE)+VLOOKUP(Table2[[#This Row],[Visitor/Neutral]],def_diff_lookup,6,FALSE))</f>
        <v>111.95247376977629</v>
      </c>
      <c r="M505" s="21"/>
      <c r="N505" s="21">
        <f>(Table2[[#This Row],[A/Pace]]/100)*(VLOOKUP(Table2[[#This Row],[Visitor/Neutral]],OFR_lookup,2,FALSE)+VLOOKUP(Table2[[#This Row],[Home/Neutral]],def_diff_lookup,6,FALSE))</f>
        <v>106.56140699999999</v>
      </c>
      <c r="O505" s="21"/>
      <c r="P505" s="21"/>
      <c r="Q505">
        <f>VLOOKUP(Table2[[#This Row],[Home/Neutral]],pace_lookup,7,FALSE)</f>
        <v>96.9</v>
      </c>
      <c r="R505" s="5">
        <f>VLOOKUP(Table2[[#This Row],[Visitor/Neutral]],pace_lookup,7,FALSE)</f>
        <v>96.3</v>
      </c>
      <c r="S505" s="7"/>
      <c r="U505" s="15"/>
      <c r="W505" s="2">
        <f>-home-VLOOKUP(Table2[[#This Row],[Home/Neutral]],rtg_vlookup,4,FALSE)+VLOOKUP(Table2[[#This Row],[Visitor/Neutral]],rtg_vlookup,4,FALSE)</f>
        <v>-8.3186885245901649</v>
      </c>
      <c r="X505" s="15"/>
      <c r="Y505" s="2"/>
      <c r="Z505" s="2">
        <f>Table2[[#This Row],[A/EV]]-Table2[[#This Row],[H/EV]]</f>
        <v>-5.3910667697763017</v>
      </c>
      <c r="AA505" s="29"/>
      <c r="AB505" s="30"/>
      <c r="AC505" s="30"/>
      <c r="AD505" s="30"/>
      <c r="AE505" s="30"/>
      <c r="AF505" s="7" t="b">
        <f>IF(VLOOKUP(Table2[[#This Row],[Home/Neutral]],division_lookup,9,FALSE)=VLOOKUP(Table2[[#This Row],[Visitor/Neutral]],division_lookup,9,FALSE),TRUE,FALSE)</f>
        <v>0</v>
      </c>
      <c r="AG505" s="15" t="str">
        <f>VLOOKUP(Table2[[#This Row],[Home/Neutral]],division_lookup,9,FALSE)</f>
        <v>SW</v>
      </c>
      <c r="AH505" s="15" t="str">
        <f>IF(Table2[[#This Row],[Total/EV]]&lt;Table2[[#This Row],[Total/V]],"UNDER","OVER")</f>
        <v>OVER</v>
      </c>
      <c r="AI505" s="26">
        <f>Table2[[#This Row],[SRS/Real]]-Table2[[#This Row],[Spread/V]]</f>
        <v>0</v>
      </c>
      <c r="AJ505" s="2">
        <f>Table2[[#This Row],[EV/Real]]-Table2[[#This Row],[Spread/V]]</f>
        <v>0</v>
      </c>
      <c r="AK505" s="2">
        <f>Table2[[#This Row],[SRS/Diff]]-Table2[[#This Row],[EV/Diff]]</f>
        <v>0</v>
      </c>
      <c r="AL505" s="18">
        <f>Table2[[#This Row],[SRS]]-Table2[[#This Row],[Spread]]</f>
        <v>-8.3186885245901649</v>
      </c>
      <c r="AM505" s="21">
        <f>Table2[[#This Row],[(A) Err]]^2</f>
        <v>69.200578769148095</v>
      </c>
      <c r="AN505" s="6">
        <f>Table2[[#This Row],[EV]]-Table2[[#This Row],[Spread]]</f>
        <v>-5.3910667697763017</v>
      </c>
      <c r="AO505" s="1">
        <f>Table2[[#This Row],[EV Err]]^2</f>
        <v>29.063600916186289</v>
      </c>
      <c r="AP505" s="1"/>
    </row>
    <row r="506" spans="1:42" x14ac:dyDescent="0.25">
      <c r="A506" s="34">
        <v>42735</v>
      </c>
      <c r="B506" t="s">
        <v>129</v>
      </c>
      <c r="C506" t="s">
        <v>121</v>
      </c>
      <c r="E506" s="21"/>
      <c r="G506" s="21"/>
      <c r="H506" s="7"/>
      <c r="I506" s="21"/>
      <c r="K506"/>
      <c r="L506" s="21">
        <f>(Table2[[#This Row],[H/Pace]]/100)*(VLOOKUP(Table2[[#This Row],[Home/Neutral]],home_lookup,8,FALSE)+VLOOKUP(Table2[[#This Row],[Home/Neutral]],OFR_lookup,2,FALSE)+VLOOKUP(Table2[[#This Row],[Visitor/Neutral]],def_diff_lookup,6,FALSE))</f>
        <v>103.17410376890108</v>
      </c>
      <c r="M506" s="21"/>
      <c r="N506" s="21">
        <f>(Table2[[#This Row],[A/Pace]]/100)*(VLOOKUP(Table2[[#This Row],[Visitor/Neutral]],OFR_lookup,2,FALSE)+VLOOKUP(Table2[[#This Row],[Home/Neutral]],def_diff_lookup,6,FALSE))</f>
        <v>109.11098266666667</v>
      </c>
      <c r="O506" s="21"/>
      <c r="P506" s="21"/>
      <c r="Q506">
        <f>VLOOKUP(Table2[[#This Row],[Home/Neutral]],pace_lookup,7,FALSE)</f>
        <v>99</v>
      </c>
      <c r="R506" s="5">
        <f>VLOOKUP(Table2[[#This Row],[Visitor/Neutral]],pace_lookup,7,FALSE)</f>
        <v>96.4</v>
      </c>
      <c r="S506" s="7"/>
      <c r="U506" s="15"/>
      <c r="W506" s="2">
        <f>-home-VLOOKUP(Table2[[#This Row],[Home/Neutral]],rtg_vlookup,4,FALSE)+VLOOKUP(Table2[[#This Row],[Visitor/Neutral]],rtg_vlookup,4,FALSE)</f>
        <v>8.4413114754098348</v>
      </c>
      <c r="X506" s="15"/>
      <c r="Y506" s="2"/>
      <c r="Z506" s="2">
        <f>Table2[[#This Row],[A/EV]]-Table2[[#This Row],[H/EV]]</f>
        <v>5.9368788977655953</v>
      </c>
      <c r="AA506" s="29"/>
      <c r="AB506" s="30"/>
      <c r="AC506" s="30"/>
      <c r="AD506" s="30"/>
      <c r="AE506" s="30"/>
      <c r="AF506" s="7" t="b">
        <f>IF(VLOOKUP(Table2[[#This Row],[Home/Neutral]],division_lookup,9,FALSE)=VLOOKUP(Table2[[#This Row],[Visitor/Neutral]],division_lookup,9,FALSE),TRUE,FALSE)</f>
        <v>0</v>
      </c>
      <c r="AG506" s="15" t="str">
        <f>VLOOKUP(Table2[[#This Row],[Home/Neutral]],division_lookup,9,FALSE)</f>
        <v>NW</v>
      </c>
      <c r="AH506" s="15" t="str">
        <f>IF(Table2[[#This Row],[Total/EV]]&lt;Table2[[#This Row],[Total/V]],"UNDER","OVER")</f>
        <v>OVER</v>
      </c>
      <c r="AI506" s="26">
        <f>Table2[[#This Row],[SRS/Real]]-Table2[[#This Row],[Spread/V]]</f>
        <v>0</v>
      </c>
      <c r="AJ506" s="2">
        <f>Table2[[#This Row],[EV/Real]]-Table2[[#This Row],[Spread/V]]</f>
        <v>0</v>
      </c>
      <c r="AK506" s="2">
        <f>Table2[[#This Row],[SRS/Diff]]-Table2[[#This Row],[EV/Diff]]</f>
        <v>0</v>
      </c>
      <c r="AL506" s="18">
        <f>Table2[[#This Row],[SRS]]-Table2[[#This Row],[Spread]]</f>
        <v>8.4413114754098348</v>
      </c>
      <c r="AM506" s="21">
        <f>Table2[[#This Row],[(A) Err]]^2</f>
        <v>71.255739424885761</v>
      </c>
      <c r="AN506" s="6">
        <f>Table2[[#This Row],[EV]]-Table2[[#This Row],[Spread]]</f>
        <v>5.9368788977655953</v>
      </c>
      <c r="AO506" s="1">
        <f>Table2[[#This Row],[EV Err]]^2</f>
        <v>35.246531046734432</v>
      </c>
      <c r="AP506" s="1"/>
    </row>
    <row r="507" spans="1:42" x14ac:dyDescent="0.25">
      <c r="A507" s="34">
        <v>42735</v>
      </c>
      <c r="B507" t="s">
        <v>133</v>
      </c>
      <c r="C507" t="s">
        <v>123</v>
      </c>
      <c r="E507" s="21"/>
      <c r="G507" s="21"/>
      <c r="H507" s="7"/>
      <c r="I507" s="21"/>
      <c r="K507"/>
      <c r="L507" s="21">
        <f>(Table2[[#This Row],[H/Pace]]/100)*(VLOOKUP(Table2[[#This Row],[Home/Neutral]],home_lookup,8,FALSE)+VLOOKUP(Table2[[#This Row],[Home/Neutral]],OFR_lookup,2,FALSE)+VLOOKUP(Table2[[#This Row],[Visitor/Neutral]],def_diff_lookup,6,FALSE))</f>
        <v>104.69788748279979</v>
      </c>
      <c r="M507" s="21"/>
      <c r="N507" s="21">
        <f>(Table2[[#This Row],[A/Pace]]/100)*(VLOOKUP(Table2[[#This Row],[Visitor/Neutral]],OFR_lookup,2,FALSE)+VLOOKUP(Table2[[#This Row],[Home/Neutral]],def_diff_lookup,6,FALSE))</f>
        <v>99.007991666666669</v>
      </c>
      <c r="O507" s="21"/>
      <c r="P507" s="21"/>
      <c r="Q507">
        <f>VLOOKUP(Table2[[#This Row],[Home/Neutral]],pace_lookup,7,FALSE)</f>
        <v>94.2</v>
      </c>
      <c r="R507" s="5">
        <f>VLOOKUP(Table2[[#This Row],[Visitor/Neutral]],pace_lookup,7,FALSE)</f>
        <v>92.5</v>
      </c>
      <c r="S507" s="7"/>
      <c r="U507" s="15"/>
      <c r="W507" s="2">
        <f>-home-VLOOKUP(Table2[[#This Row],[Home/Neutral]],rtg_vlookup,4,FALSE)+VLOOKUP(Table2[[#This Row],[Visitor/Neutral]],rtg_vlookup,4,FALSE)</f>
        <v>-0.17868852459016582</v>
      </c>
      <c r="X507" s="15"/>
      <c r="Y507" s="2"/>
      <c r="Z507" s="2">
        <f>Table2[[#This Row],[A/EV]]-Table2[[#This Row],[H/EV]]</f>
        <v>-5.6898958161331166</v>
      </c>
      <c r="AA507" s="29"/>
      <c r="AB507" s="30"/>
      <c r="AC507" s="30"/>
      <c r="AD507" s="30"/>
      <c r="AE507" s="30"/>
      <c r="AF507" s="7" t="b">
        <f>IF(VLOOKUP(Table2[[#This Row],[Home/Neutral]],division_lookup,9,FALSE)=VLOOKUP(Table2[[#This Row],[Visitor/Neutral]],division_lookup,9,FALSE),TRUE,FALSE)</f>
        <v>0</v>
      </c>
      <c r="AG507" s="15" t="str">
        <f>VLOOKUP(Table2[[#This Row],[Home/Neutral]],division_lookup,9,FALSE)</f>
        <v>P</v>
      </c>
      <c r="AH507" s="15" t="str">
        <f>IF(Table2[[#This Row],[Total/EV]]&lt;Table2[[#This Row],[Total/V]],"UNDER","OVER")</f>
        <v>OVER</v>
      </c>
      <c r="AI507" s="26">
        <f>Table2[[#This Row],[SRS/Real]]-Table2[[#This Row],[Spread/V]]</f>
        <v>0</v>
      </c>
      <c r="AJ507" s="2">
        <f>Table2[[#This Row],[EV/Real]]-Table2[[#This Row],[Spread/V]]</f>
        <v>0</v>
      </c>
      <c r="AK507" s="2">
        <f>Table2[[#This Row],[SRS/Diff]]-Table2[[#This Row],[EV/Diff]]</f>
        <v>0</v>
      </c>
      <c r="AL507" s="18">
        <f>Table2[[#This Row],[SRS]]-Table2[[#This Row],[Spread]]</f>
        <v>-0.17868852459016582</v>
      </c>
      <c r="AM507" s="21">
        <f>Table2[[#This Row],[(A) Err]]^2</f>
        <v>3.1929588820210297E-2</v>
      </c>
      <c r="AN507" s="6">
        <f>Table2[[#This Row],[EV]]-Table2[[#This Row],[Spread]]</f>
        <v>-5.6898958161331166</v>
      </c>
      <c r="AO507" s="1">
        <f>Table2[[#This Row],[EV Err]]^2</f>
        <v>32.374914398449143</v>
      </c>
      <c r="AP507" s="1"/>
    </row>
    <row r="508" spans="1:42" x14ac:dyDescent="0.25">
      <c r="A508" s="34">
        <v>42735</v>
      </c>
      <c r="B508" t="s">
        <v>136</v>
      </c>
      <c r="C508" t="s">
        <v>131</v>
      </c>
      <c r="E508" s="21"/>
      <c r="G508" s="21"/>
      <c r="H508" s="7"/>
      <c r="I508" s="21"/>
      <c r="K508"/>
      <c r="L508" s="21">
        <f>(Table2[[#This Row],[H/Pace]]/100)*(VLOOKUP(Table2[[#This Row],[Home/Neutral]],home_lookup,8,FALSE)+VLOOKUP(Table2[[#This Row],[Home/Neutral]],OFR_lookup,2,FALSE)+VLOOKUP(Table2[[#This Row],[Visitor/Neutral]],def_diff_lookup,6,FALSE))</f>
        <v>106.091085349919</v>
      </c>
      <c r="M508" s="21"/>
      <c r="N508" s="21">
        <f>(Table2[[#This Row],[A/Pace]]/100)*(VLOOKUP(Table2[[#This Row],[Visitor/Neutral]],OFR_lookup,2,FALSE)+VLOOKUP(Table2[[#This Row],[Home/Neutral]],def_diff_lookup,6,FALSE))</f>
        <v>98.563232999999997</v>
      </c>
      <c r="O508" s="21"/>
      <c r="P508" s="21"/>
      <c r="Q508">
        <f>VLOOKUP(Table2[[#This Row],[Home/Neutral]],pace_lookup,7,FALSE)</f>
        <v>91.5</v>
      </c>
      <c r="R508" s="5">
        <f>VLOOKUP(Table2[[#This Row],[Visitor/Neutral]],pace_lookup,7,FALSE)</f>
        <v>101.7</v>
      </c>
      <c r="S508" s="7"/>
      <c r="U508" s="15"/>
      <c r="W508" s="2">
        <f>-home-VLOOKUP(Table2[[#This Row],[Home/Neutral]],rtg_vlookup,4,FALSE)+VLOOKUP(Table2[[#This Row],[Visitor/Neutral]],rtg_vlookup,4,FALSE)</f>
        <v>-13.408688524590165</v>
      </c>
      <c r="X508" s="15"/>
      <c r="Y508" s="2"/>
      <c r="Z508" s="2">
        <f>Table2[[#This Row],[A/EV]]-Table2[[#This Row],[H/EV]]</f>
        <v>-7.5278523499190015</v>
      </c>
      <c r="AA508" s="29"/>
      <c r="AB508" s="30"/>
      <c r="AC508" s="30"/>
      <c r="AD508" s="30"/>
      <c r="AE508" s="30"/>
      <c r="AF508" s="7" t="b">
        <f>IF(VLOOKUP(Table2[[#This Row],[Home/Neutral]],division_lookup,9,FALSE)=VLOOKUP(Table2[[#This Row],[Visitor/Neutral]],division_lookup,9,FALSE),TRUE,FALSE)</f>
        <v>0</v>
      </c>
      <c r="AG508" s="15" t="str">
        <f>VLOOKUP(Table2[[#This Row],[Home/Neutral]],division_lookup,9,FALSE)</f>
        <v>NW</v>
      </c>
      <c r="AH508" s="15" t="str">
        <f>IF(Table2[[#This Row],[Total/EV]]&lt;Table2[[#This Row],[Total/V]],"UNDER","OVER")</f>
        <v>OVER</v>
      </c>
      <c r="AI508" s="26">
        <f>Table2[[#This Row],[SRS/Real]]-Table2[[#This Row],[Spread/V]]</f>
        <v>0</v>
      </c>
      <c r="AJ508" s="2">
        <f>Table2[[#This Row],[EV/Real]]-Table2[[#This Row],[Spread/V]]</f>
        <v>0</v>
      </c>
      <c r="AK508" s="2">
        <f>Table2[[#This Row],[SRS/Diff]]-Table2[[#This Row],[EV/Diff]]</f>
        <v>0</v>
      </c>
      <c r="AL508" s="18">
        <f>Table2[[#This Row],[SRS]]-Table2[[#This Row],[Spread]]</f>
        <v>-13.408688524590165</v>
      </c>
      <c r="AM508" s="21">
        <f>Table2[[#This Row],[(A) Err]]^2</f>
        <v>179.79292794947597</v>
      </c>
      <c r="AN508" s="6">
        <f>Table2[[#This Row],[EV]]-Table2[[#This Row],[Spread]]</f>
        <v>-7.5278523499190015</v>
      </c>
      <c r="AO508" s="1">
        <f>Table2[[#This Row],[EV Err]]^2</f>
        <v>56.668561002181036</v>
      </c>
      <c r="AP508" s="1"/>
    </row>
    <row r="509" spans="1:42" x14ac:dyDescent="0.25">
      <c r="A509" s="34">
        <v>42736</v>
      </c>
      <c r="B509" t="s">
        <v>109</v>
      </c>
      <c r="C509" t="s">
        <v>134</v>
      </c>
      <c r="E509" s="21"/>
      <c r="G509" s="21"/>
      <c r="H509" s="7"/>
      <c r="I509" s="21"/>
      <c r="K509"/>
      <c r="L509" s="21">
        <f>(Table2[[#This Row],[H/Pace]]/100)*(VLOOKUP(Table2[[#This Row],[Home/Neutral]],home_lookup,8,FALSE)+VLOOKUP(Table2[[#This Row],[Home/Neutral]],OFR_lookup,2,FALSE)+VLOOKUP(Table2[[#This Row],[Visitor/Neutral]],def_diff_lookup,6,FALSE))</f>
        <v>99.05632660728638</v>
      </c>
      <c r="M509" s="21"/>
      <c r="N509" s="21">
        <f>(Table2[[#This Row],[A/Pace]]/100)*(VLOOKUP(Table2[[#This Row],[Visitor/Neutral]],OFR_lookup,2,FALSE)+VLOOKUP(Table2[[#This Row],[Home/Neutral]],def_diff_lookup,6,FALSE))</f>
        <v>98.831832666666671</v>
      </c>
      <c r="O509" s="21"/>
      <c r="P509" s="21"/>
      <c r="Q509">
        <f>VLOOKUP(Table2[[#This Row],[Home/Neutral]],pace_lookup,7,FALSE)</f>
        <v>99.2</v>
      </c>
      <c r="R509" s="5">
        <f>VLOOKUP(Table2[[#This Row],[Visitor/Neutral]],pace_lookup,7,FALSE)</f>
        <v>93.4</v>
      </c>
      <c r="S509" s="7"/>
      <c r="U509" s="15"/>
      <c r="W509" s="2">
        <f>-home-VLOOKUP(Table2[[#This Row],[Home/Neutral]],rtg_vlookup,4,FALSE)+VLOOKUP(Table2[[#This Row],[Visitor/Neutral]],rtg_vlookup,4,FALSE)</f>
        <v>2.3313114754098336</v>
      </c>
      <c r="X509" s="15"/>
      <c r="Y509" s="2"/>
      <c r="Z509" s="2">
        <f>Table2[[#This Row],[A/EV]]-Table2[[#This Row],[H/EV]]</f>
        <v>-0.22449394061970906</v>
      </c>
      <c r="AA509" s="29"/>
      <c r="AB509" s="30"/>
      <c r="AC509" s="30"/>
      <c r="AD509" s="30"/>
      <c r="AE509" s="30"/>
      <c r="AF509" s="7" t="b">
        <f>IF(VLOOKUP(Table2[[#This Row],[Home/Neutral]],division_lookup,9,FALSE)=VLOOKUP(Table2[[#This Row],[Visitor/Neutral]],division_lookup,9,FALSE),TRUE,FALSE)</f>
        <v>0</v>
      </c>
      <c r="AG509" s="15" t="str">
        <f>VLOOKUP(Table2[[#This Row],[Home/Neutral]],division_lookup,9,FALSE)</f>
        <v>SE</v>
      </c>
      <c r="AH509" s="15" t="str">
        <f>IF(Table2[[#This Row],[Total/EV]]&lt;Table2[[#This Row],[Total/V]],"UNDER","OVER")</f>
        <v>OVER</v>
      </c>
      <c r="AI509" s="26">
        <f>Table2[[#This Row],[SRS/Real]]-Table2[[#This Row],[Spread/V]]</f>
        <v>0</v>
      </c>
      <c r="AJ509" s="2">
        <f>Table2[[#This Row],[EV/Real]]-Table2[[#This Row],[Spread/V]]</f>
        <v>0</v>
      </c>
      <c r="AK509" s="2">
        <f>Table2[[#This Row],[SRS/Diff]]-Table2[[#This Row],[EV/Diff]]</f>
        <v>0</v>
      </c>
      <c r="AL509" s="18">
        <f>Table2[[#This Row],[SRS]]-Table2[[#This Row],[Spread]]</f>
        <v>2.3313114754098336</v>
      </c>
      <c r="AM509" s="21">
        <f>Table2[[#This Row],[(A) Err]]^2</f>
        <v>5.4350131953775751</v>
      </c>
      <c r="AN509" s="6">
        <f>Table2[[#This Row],[EV]]-Table2[[#This Row],[Spread]]</f>
        <v>-0.22449394061970906</v>
      </c>
      <c r="AO509" s="1">
        <f>Table2[[#This Row],[EV Err]]^2</f>
        <v>5.0397529374965458E-2</v>
      </c>
      <c r="AP509" s="1"/>
    </row>
    <row r="510" spans="1:42" x14ac:dyDescent="0.25">
      <c r="A510" s="34">
        <v>42736</v>
      </c>
      <c r="B510" t="s">
        <v>120</v>
      </c>
      <c r="C510" t="s">
        <v>130</v>
      </c>
      <c r="E510" s="21"/>
      <c r="G510" s="21"/>
      <c r="H510" s="7"/>
      <c r="I510" s="21"/>
      <c r="K510"/>
      <c r="L510" s="21">
        <f>(Table2[[#This Row],[H/Pace]]/100)*(VLOOKUP(Table2[[#This Row],[Home/Neutral]],home_lookup,8,FALSE)+VLOOKUP(Table2[[#This Row],[Home/Neutral]],OFR_lookup,2,FALSE)+VLOOKUP(Table2[[#This Row],[Visitor/Neutral]],def_diff_lookup,6,FALSE))</f>
        <v>105.79896542930859</v>
      </c>
      <c r="M510" s="21"/>
      <c r="N510" s="21">
        <f>(Table2[[#This Row],[A/Pace]]/100)*(VLOOKUP(Table2[[#This Row],[Visitor/Neutral]],OFR_lookup,2,FALSE)+VLOOKUP(Table2[[#This Row],[Home/Neutral]],def_diff_lookup,6,FALSE))</f>
        <v>93.809697999999997</v>
      </c>
      <c r="O510" s="21"/>
      <c r="P510" s="21"/>
      <c r="Q510">
        <f>VLOOKUP(Table2[[#This Row],[Home/Neutral]],pace_lookup,7,FALSE)</f>
        <v>98.3</v>
      </c>
      <c r="R510" s="5">
        <f>VLOOKUP(Table2[[#This Row],[Visitor/Neutral]],pace_lookup,7,FALSE)</f>
        <v>94.2</v>
      </c>
      <c r="S510" s="7"/>
      <c r="U510" s="15"/>
      <c r="W510" s="2">
        <f>-home-VLOOKUP(Table2[[#This Row],[Home/Neutral]],rtg_vlookup,4,FALSE)+VLOOKUP(Table2[[#This Row],[Visitor/Neutral]],rtg_vlookup,4,FALSE)</f>
        <v>-6.7086885245901664</v>
      </c>
      <c r="X510" s="15"/>
      <c r="Y510" s="2"/>
      <c r="Z510" s="2">
        <f>Table2[[#This Row],[A/EV]]-Table2[[#This Row],[H/EV]]</f>
        <v>-11.989267429308597</v>
      </c>
      <c r="AA510" s="29"/>
      <c r="AB510" s="30"/>
      <c r="AC510" s="30"/>
      <c r="AD510" s="30"/>
      <c r="AE510" s="30"/>
      <c r="AF510" s="7" t="b">
        <f>IF(VLOOKUP(Table2[[#This Row],[Home/Neutral]],division_lookup,9,FALSE)=VLOOKUP(Table2[[#This Row],[Visitor/Neutral]],division_lookup,9,FALSE),TRUE,FALSE)</f>
        <v>0</v>
      </c>
      <c r="AG510" s="15" t="str">
        <f>VLOOKUP(Table2[[#This Row],[Home/Neutral]],division_lookup,9,FALSE)</f>
        <v>C</v>
      </c>
      <c r="AH510" s="15" t="str">
        <f>IF(Table2[[#This Row],[Total/EV]]&lt;Table2[[#This Row],[Total/V]],"UNDER","OVER")</f>
        <v>OVER</v>
      </c>
      <c r="AI510" s="26">
        <f>Table2[[#This Row],[SRS/Real]]-Table2[[#This Row],[Spread/V]]</f>
        <v>0</v>
      </c>
      <c r="AJ510" s="2">
        <f>Table2[[#This Row],[EV/Real]]-Table2[[#This Row],[Spread/V]]</f>
        <v>0</v>
      </c>
      <c r="AK510" s="2">
        <f>Table2[[#This Row],[SRS/Diff]]-Table2[[#This Row],[EV/Diff]]</f>
        <v>0</v>
      </c>
      <c r="AL510" s="18">
        <f>Table2[[#This Row],[SRS]]-Table2[[#This Row],[Spread]]</f>
        <v>-6.7086885245901664</v>
      </c>
      <c r="AM510" s="21">
        <f>Table2[[#This Row],[(A) Err]]^2</f>
        <v>45.006501719967787</v>
      </c>
      <c r="AN510" s="6">
        <f>Table2[[#This Row],[EV]]-Table2[[#This Row],[Spread]]</f>
        <v>-11.989267429308597</v>
      </c>
      <c r="AO510" s="1">
        <f>Table2[[#This Row],[EV Err]]^2</f>
        <v>143.74253349147997</v>
      </c>
      <c r="AP510" s="1"/>
    </row>
    <row r="511" spans="1:42" x14ac:dyDescent="0.25">
      <c r="A511" s="34">
        <v>42736</v>
      </c>
      <c r="B511" t="s">
        <v>122</v>
      </c>
      <c r="C511" t="s">
        <v>135</v>
      </c>
      <c r="E511" s="21"/>
      <c r="G511" s="21"/>
      <c r="H511" s="7"/>
      <c r="I511" s="21"/>
      <c r="K511"/>
      <c r="L511" s="21">
        <f>(Table2[[#This Row],[H/Pace]]/100)*(VLOOKUP(Table2[[#This Row],[Home/Neutral]],home_lookup,8,FALSE)+VLOOKUP(Table2[[#This Row],[Home/Neutral]],OFR_lookup,2,FALSE)+VLOOKUP(Table2[[#This Row],[Visitor/Neutral]],def_diff_lookup,6,FALSE))</f>
        <v>110.70978832744731</v>
      </c>
      <c r="M511" s="21"/>
      <c r="N511" s="21">
        <f>(Table2[[#This Row],[A/Pace]]/100)*(VLOOKUP(Table2[[#This Row],[Visitor/Neutral]],OFR_lookup,2,FALSE)+VLOOKUP(Table2[[#This Row],[Home/Neutral]],def_diff_lookup,6,FALSE))</f>
        <v>112.62510599999999</v>
      </c>
      <c r="O511" s="21"/>
      <c r="P511" s="21"/>
      <c r="Q511">
        <f>VLOOKUP(Table2[[#This Row],[Home/Neutral]],pace_lookup,7,FALSE)</f>
        <v>100.2</v>
      </c>
      <c r="R511" s="5">
        <f>VLOOKUP(Table2[[#This Row],[Visitor/Neutral]],pace_lookup,7,FALSE)</f>
        <v>95.4</v>
      </c>
      <c r="S511" s="7"/>
      <c r="U511" s="15"/>
      <c r="W511" s="2">
        <f>-home-VLOOKUP(Table2[[#This Row],[Home/Neutral]],rtg_vlookup,4,FALSE)+VLOOKUP(Table2[[#This Row],[Visitor/Neutral]],rtg_vlookup,4,FALSE)</f>
        <v>5.4113114754098346</v>
      </c>
      <c r="X511" s="15"/>
      <c r="Y511" s="2"/>
      <c r="Z511" s="2">
        <f>Table2[[#This Row],[A/EV]]-Table2[[#This Row],[H/EV]]</f>
        <v>1.9153176725526748</v>
      </c>
      <c r="AA511" s="29"/>
      <c r="AB511" s="30"/>
      <c r="AC511" s="30"/>
      <c r="AD511" s="30"/>
      <c r="AE511" s="30"/>
      <c r="AF511" s="7" t="b">
        <f>IF(VLOOKUP(Table2[[#This Row],[Home/Neutral]],division_lookup,9,FALSE)=VLOOKUP(Table2[[#This Row],[Visitor/Neutral]],division_lookup,9,FALSE),TRUE,FALSE)</f>
        <v>0</v>
      </c>
      <c r="AG511" s="15" t="str">
        <f>VLOOKUP(Table2[[#This Row],[Home/Neutral]],division_lookup,9,FALSE)</f>
        <v>P</v>
      </c>
      <c r="AH511" s="15" t="str">
        <f>IF(Table2[[#This Row],[Total/EV]]&lt;Table2[[#This Row],[Total/V]],"UNDER","OVER")</f>
        <v>OVER</v>
      </c>
      <c r="AI511" s="26">
        <f>Table2[[#This Row],[SRS/Real]]-Table2[[#This Row],[Spread/V]]</f>
        <v>0</v>
      </c>
      <c r="AJ511" s="2">
        <f>Table2[[#This Row],[EV/Real]]-Table2[[#This Row],[Spread/V]]</f>
        <v>0</v>
      </c>
      <c r="AK511" s="2">
        <f>Table2[[#This Row],[SRS/Diff]]-Table2[[#This Row],[EV/Diff]]</f>
        <v>0</v>
      </c>
      <c r="AL511" s="18">
        <f>Table2[[#This Row],[SRS]]-Table2[[#This Row],[Spread]]</f>
        <v>5.4113114754098346</v>
      </c>
      <c r="AM511" s="21">
        <f>Table2[[#This Row],[(A) Err]]^2</f>
        <v>29.282291883902161</v>
      </c>
      <c r="AN511" s="6">
        <f>Table2[[#This Row],[EV]]-Table2[[#This Row],[Spread]]</f>
        <v>1.9153176725526748</v>
      </c>
      <c r="AO511" s="1">
        <f>Table2[[#This Row],[EV Err]]^2</f>
        <v>3.6684417867925951</v>
      </c>
      <c r="AP511" s="1"/>
    </row>
    <row r="512" spans="1:42" x14ac:dyDescent="0.25">
      <c r="A512" s="34">
        <v>42736</v>
      </c>
      <c r="B512" t="s">
        <v>124</v>
      </c>
      <c r="C512" t="s">
        <v>117</v>
      </c>
      <c r="E512" s="21"/>
      <c r="G512" s="21"/>
      <c r="H512" s="7"/>
      <c r="I512" s="21"/>
      <c r="K512"/>
      <c r="L512" s="21">
        <f>(Table2[[#This Row],[H/Pace]]/100)*(VLOOKUP(Table2[[#This Row],[Home/Neutral]],home_lookup,8,FALSE)+VLOOKUP(Table2[[#This Row],[Home/Neutral]],OFR_lookup,2,FALSE)+VLOOKUP(Table2[[#This Row],[Visitor/Neutral]],def_diff_lookup,6,FALSE))</f>
        <v>97.537635177235572</v>
      </c>
      <c r="M512" s="21"/>
      <c r="N512" s="21">
        <f>(Table2[[#This Row],[A/Pace]]/100)*(VLOOKUP(Table2[[#This Row],[Visitor/Neutral]],OFR_lookup,2,FALSE)+VLOOKUP(Table2[[#This Row],[Home/Neutral]],def_diff_lookup,6,FALSE))</f>
        <v>95.988726666666651</v>
      </c>
      <c r="O512" s="21"/>
      <c r="P512" s="21"/>
      <c r="Q512">
        <f>VLOOKUP(Table2[[#This Row],[Home/Neutral]],pace_lookup,7,FALSE)</f>
        <v>93.7</v>
      </c>
      <c r="R512" s="5">
        <f>VLOOKUP(Table2[[#This Row],[Visitor/Neutral]],pace_lookup,7,FALSE)</f>
        <v>94</v>
      </c>
      <c r="S512" s="7"/>
      <c r="U512" s="15"/>
      <c r="W512" s="2">
        <f>-home-VLOOKUP(Table2[[#This Row],[Home/Neutral]],rtg_vlookup,4,FALSE)+VLOOKUP(Table2[[#This Row],[Visitor/Neutral]],rtg_vlookup,4,FALSE)</f>
        <v>-8.6885245901657804E-3</v>
      </c>
      <c r="X512" s="15"/>
      <c r="Y512" s="2"/>
      <c r="Z512" s="2">
        <f>Table2[[#This Row],[A/EV]]-Table2[[#This Row],[H/EV]]</f>
        <v>-1.5489085105689213</v>
      </c>
      <c r="AA512" s="29"/>
      <c r="AB512" s="30"/>
      <c r="AC512" s="30"/>
      <c r="AD512" s="30"/>
      <c r="AE512" s="30"/>
      <c r="AF512" s="7" t="b">
        <f>IF(VLOOKUP(Table2[[#This Row],[Home/Neutral]],division_lookup,9,FALSE)=VLOOKUP(Table2[[#This Row],[Visitor/Neutral]],division_lookup,9,FALSE),TRUE,FALSE)</f>
        <v>0</v>
      </c>
      <c r="AG512" s="15" t="str">
        <f>VLOOKUP(Table2[[#This Row],[Home/Neutral]],division_lookup,9,FALSE)</f>
        <v>SE</v>
      </c>
      <c r="AH512" s="15" t="str">
        <f>IF(Table2[[#This Row],[Total/EV]]&lt;Table2[[#This Row],[Total/V]],"UNDER","OVER")</f>
        <v>OVER</v>
      </c>
      <c r="AI512" s="26">
        <f>Table2[[#This Row],[SRS/Real]]-Table2[[#This Row],[Spread/V]]</f>
        <v>0</v>
      </c>
      <c r="AJ512" s="2">
        <f>Table2[[#This Row],[EV/Real]]-Table2[[#This Row],[Spread/V]]</f>
        <v>0</v>
      </c>
      <c r="AK512" s="2">
        <f>Table2[[#This Row],[SRS/Diff]]-Table2[[#This Row],[EV/Diff]]</f>
        <v>0</v>
      </c>
      <c r="AL512" s="18">
        <f>Table2[[#This Row],[SRS]]-Table2[[#This Row],[Spread]]</f>
        <v>-8.6885245901657804E-3</v>
      </c>
      <c r="AM512" s="21">
        <f>Table2[[#This Row],[(A) Err]]^2</f>
        <v>7.549045955391544E-5</v>
      </c>
      <c r="AN512" s="6">
        <f>Table2[[#This Row],[EV]]-Table2[[#This Row],[Spread]]</f>
        <v>-1.5489085105689213</v>
      </c>
      <c r="AO512" s="1">
        <f>Table2[[#This Row],[EV Err]]^2</f>
        <v>2.3991175741128341</v>
      </c>
      <c r="AP512" s="1"/>
    </row>
    <row r="513" spans="1:42" x14ac:dyDescent="0.25">
      <c r="A513" s="34">
        <v>42736</v>
      </c>
      <c r="B513" t="s">
        <v>126</v>
      </c>
      <c r="C513" t="s">
        <v>132</v>
      </c>
      <c r="E513" s="21"/>
      <c r="G513" s="21"/>
      <c r="H513" s="7"/>
      <c r="I513" s="21"/>
      <c r="K513"/>
      <c r="L513" s="21">
        <f>(Table2[[#This Row],[H/Pace]]/100)*(VLOOKUP(Table2[[#This Row],[Home/Neutral]],home_lookup,8,FALSE)+VLOOKUP(Table2[[#This Row],[Home/Neutral]],OFR_lookup,2,FALSE)+VLOOKUP(Table2[[#This Row],[Visitor/Neutral]],def_diff_lookup,6,FALSE))</f>
        <v>120.18509777050787</v>
      </c>
      <c r="M513" s="21"/>
      <c r="N513" s="21">
        <f>(Table2[[#This Row],[A/Pace]]/100)*(VLOOKUP(Table2[[#This Row],[Visitor/Neutral]],OFR_lookup,2,FALSE)+VLOOKUP(Table2[[#This Row],[Home/Neutral]],def_diff_lookup,6,FALSE))</f>
        <v>111.59031866666666</v>
      </c>
      <c r="O513" s="21"/>
      <c r="P513" s="21"/>
      <c r="Q513">
        <f>VLOOKUP(Table2[[#This Row],[Home/Neutral]],pace_lookup,7,FALSE)</f>
        <v>95.7</v>
      </c>
      <c r="R513" s="5">
        <f>VLOOKUP(Table2[[#This Row],[Visitor/Neutral]],pace_lookup,7,FALSE)</f>
        <v>98.8</v>
      </c>
      <c r="S513" s="7"/>
      <c r="U513" s="15"/>
      <c r="W513" s="2">
        <f>-home-VLOOKUP(Table2[[#This Row],[Home/Neutral]],rtg_vlookup,4,FALSE)+VLOOKUP(Table2[[#This Row],[Visitor/Neutral]],rtg_vlookup,4,FALSE)</f>
        <v>-4.0386885245901656</v>
      </c>
      <c r="X513" s="15"/>
      <c r="Y513" s="2"/>
      <c r="Z513" s="2">
        <f>Table2[[#This Row],[A/EV]]-Table2[[#This Row],[H/EV]]</f>
        <v>-8.5947791038412049</v>
      </c>
      <c r="AA513" s="29"/>
      <c r="AB513" s="30"/>
      <c r="AC513" s="30"/>
      <c r="AD513" s="30"/>
      <c r="AE513" s="30"/>
      <c r="AF513" s="7" t="b">
        <f>IF(VLOOKUP(Table2[[#This Row],[Home/Neutral]],division_lookup,9,FALSE)=VLOOKUP(Table2[[#This Row],[Visitor/Neutral]],division_lookup,9,FALSE),TRUE,FALSE)</f>
        <v>1</v>
      </c>
      <c r="AG513" s="15" t="str">
        <f>VLOOKUP(Table2[[#This Row],[Home/Neutral]],division_lookup,9,FALSE)</f>
        <v>NW</v>
      </c>
      <c r="AH513" s="15" t="str">
        <f>IF(Table2[[#This Row],[Total/EV]]&lt;Table2[[#This Row],[Total/V]],"UNDER","OVER")</f>
        <v>OVER</v>
      </c>
      <c r="AI513" s="26">
        <f>Table2[[#This Row],[SRS/Real]]-Table2[[#This Row],[Spread/V]]</f>
        <v>0</v>
      </c>
      <c r="AJ513" s="2">
        <f>Table2[[#This Row],[EV/Real]]-Table2[[#This Row],[Spread/V]]</f>
        <v>0</v>
      </c>
      <c r="AK513" s="2">
        <f>Table2[[#This Row],[SRS/Diff]]-Table2[[#This Row],[EV/Diff]]</f>
        <v>0</v>
      </c>
      <c r="AL513" s="18">
        <f>Table2[[#This Row],[SRS]]-Table2[[#This Row],[Spread]]</f>
        <v>-4.0386885245901656</v>
      </c>
      <c r="AM513" s="21">
        <f>Table2[[#This Row],[(A) Err]]^2</f>
        <v>16.311004998656287</v>
      </c>
      <c r="AN513" s="6">
        <f>Table2[[#This Row],[EV]]-Table2[[#This Row],[Spread]]</f>
        <v>-8.5947791038412049</v>
      </c>
      <c r="AO513" s="1">
        <f>Table2[[#This Row],[EV Err]]^2</f>
        <v>73.870227843825433</v>
      </c>
      <c r="AP513" s="1"/>
    </row>
    <row r="514" spans="1:42" x14ac:dyDescent="0.25">
      <c r="A514" s="34">
        <v>42737</v>
      </c>
      <c r="B514" t="s">
        <v>111</v>
      </c>
      <c r="C514" t="s">
        <v>136</v>
      </c>
      <c r="E514" s="21"/>
      <c r="G514" s="21"/>
      <c r="H514" s="7"/>
      <c r="I514" s="21"/>
      <c r="K514"/>
      <c r="L514" s="21">
        <f>(Table2[[#This Row],[H/Pace]]/100)*(VLOOKUP(Table2[[#This Row],[Home/Neutral]],home_lookup,8,FALSE)+VLOOKUP(Table2[[#This Row],[Home/Neutral]],OFR_lookup,2,FALSE)+VLOOKUP(Table2[[#This Row],[Visitor/Neutral]],def_diff_lookup,6,FALSE))</f>
        <v>95.601418327716345</v>
      </c>
      <c r="M514" s="21"/>
      <c r="N514" s="21">
        <f>(Table2[[#This Row],[A/Pace]]/100)*(VLOOKUP(Table2[[#This Row],[Visitor/Neutral]],OFR_lookup,2,FALSE)+VLOOKUP(Table2[[#This Row],[Home/Neutral]],def_diff_lookup,6,FALSE))</f>
        <v>101.29568499999999</v>
      </c>
      <c r="O514" s="21"/>
      <c r="P514" s="21"/>
      <c r="Q514">
        <f>VLOOKUP(Table2[[#This Row],[Home/Neutral]],pace_lookup,7,FALSE)</f>
        <v>102</v>
      </c>
      <c r="R514" s="5">
        <f>VLOOKUP(Table2[[#This Row],[Visitor/Neutral]],pace_lookup,7,FALSE)</f>
        <v>91.5</v>
      </c>
      <c r="S514" s="7"/>
      <c r="U514" s="15"/>
      <c r="W514" s="2">
        <f>-home-VLOOKUP(Table2[[#This Row],[Home/Neutral]],rtg_vlookup,4,FALSE)+VLOOKUP(Table2[[#This Row],[Visitor/Neutral]],rtg_vlookup,4,FALSE)</f>
        <v>10.251311475409834</v>
      </c>
      <c r="X514" s="15"/>
      <c r="Y514" s="2"/>
      <c r="Z514" s="2">
        <f>Table2[[#This Row],[A/EV]]-Table2[[#This Row],[H/EV]]</f>
        <v>5.6942666722836464</v>
      </c>
      <c r="AA514" s="29"/>
      <c r="AB514" s="30"/>
      <c r="AC514" s="30"/>
      <c r="AD514" s="30"/>
      <c r="AE514" s="30"/>
      <c r="AF514" s="7" t="b">
        <f>IF(VLOOKUP(Table2[[#This Row],[Home/Neutral]],division_lookup,9,FALSE)=VLOOKUP(Table2[[#This Row],[Visitor/Neutral]],division_lookup,9,FALSE),TRUE,FALSE)</f>
        <v>0</v>
      </c>
      <c r="AG514" s="15" t="str">
        <f>VLOOKUP(Table2[[#This Row],[Home/Neutral]],division_lookup,9,FALSE)</f>
        <v>A</v>
      </c>
      <c r="AH514" s="15" t="str">
        <f>IF(Table2[[#This Row],[Total/EV]]&lt;Table2[[#This Row],[Total/V]],"UNDER","OVER")</f>
        <v>OVER</v>
      </c>
      <c r="AI514" s="26">
        <f>Table2[[#This Row],[SRS/Real]]-Table2[[#This Row],[Spread/V]]</f>
        <v>0</v>
      </c>
      <c r="AJ514" s="2">
        <f>Table2[[#This Row],[EV/Real]]-Table2[[#This Row],[Spread/V]]</f>
        <v>0</v>
      </c>
      <c r="AK514" s="2">
        <f>Table2[[#This Row],[SRS/Diff]]-Table2[[#This Row],[EV/Diff]]</f>
        <v>0</v>
      </c>
      <c r="AL514" s="18">
        <f>Table2[[#This Row],[SRS]]-Table2[[#This Row],[Spread]]</f>
        <v>10.251311475409834</v>
      </c>
      <c r="AM514" s="21">
        <f>Table2[[#This Row],[(A) Err]]^2</f>
        <v>105.08938696586934</v>
      </c>
      <c r="AN514" s="6">
        <f>Table2[[#This Row],[EV]]-Table2[[#This Row],[Spread]]</f>
        <v>5.6942666722836464</v>
      </c>
      <c r="AO514" s="1">
        <f>Table2[[#This Row],[EV Err]]^2</f>
        <v>32.424672935080274</v>
      </c>
      <c r="AP514" s="1"/>
    </row>
    <row r="515" spans="1:42" x14ac:dyDescent="0.25">
      <c r="A515" s="34">
        <v>42737</v>
      </c>
      <c r="B515" t="s">
        <v>113</v>
      </c>
      <c r="C515" t="s">
        <v>112</v>
      </c>
      <c r="E515" s="21"/>
      <c r="G515" s="21"/>
      <c r="H515" s="7"/>
      <c r="I515" s="21"/>
      <c r="K515"/>
      <c r="L515" s="21">
        <f>(Table2[[#This Row],[H/Pace]]/100)*(VLOOKUP(Table2[[#This Row],[Home/Neutral]],home_lookup,8,FALSE)+VLOOKUP(Table2[[#This Row],[Home/Neutral]],OFR_lookup,2,FALSE)+VLOOKUP(Table2[[#This Row],[Visitor/Neutral]],def_diff_lookup,6,FALSE))</f>
        <v>108.25354388016279</v>
      </c>
      <c r="M515" s="21"/>
      <c r="N515" s="21">
        <f>(Table2[[#This Row],[A/Pace]]/100)*(VLOOKUP(Table2[[#This Row],[Visitor/Neutral]],OFR_lookup,2,FALSE)+VLOOKUP(Table2[[#This Row],[Home/Neutral]],def_diff_lookup,6,FALSE))</f>
        <v>104.53519933333334</v>
      </c>
      <c r="O515" s="21"/>
      <c r="P515" s="21"/>
      <c r="Q515">
        <f>VLOOKUP(Table2[[#This Row],[Home/Neutral]],pace_lookup,7,FALSE)</f>
        <v>95.1</v>
      </c>
      <c r="R515" s="5">
        <f>VLOOKUP(Table2[[#This Row],[Visitor/Neutral]],pace_lookup,7,FALSE)</f>
        <v>97.4</v>
      </c>
      <c r="S515" s="7"/>
      <c r="U515" s="15"/>
      <c r="W515" s="2">
        <f>-home-VLOOKUP(Table2[[#This Row],[Home/Neutral]],rtg_vlookup,4,FALSE)+VLOOKUP(Table2[[#This Row],[Visitor/Neutral]],rtg_vlookup,4,FALSE)</f>
        <v>-5.3886885245901661</v>
      </c>
      <c r="X515" s="15"/>
      <c r="Y515" s="2"/>
      <c r="Z515" s="2">
        <f>Table2[[#This Row],[A/EV]]-Table2[[#This Row],[H/EV]]</f>
        <v>-3.7183445468294565</v>
      </c>
      <c r="AA515" s="29"/>
      <c r="AB515" s="30"/>
      <c r="AC515" s="30"/>
      <c r="AD515" s="30"/>
      <c r="AE515" s="30"/>
      <c r="AF515" s="7" t="b">
        <f>IF(VLOOKUP(Table2[[#This Row],[Home/Neutral]],division_lookup,9,FALSE)=VLOOKUP(Table2[[#This Row],[Visitor/Neutral]],division_lookup,9,FALSE),TRUE,FALSE)</f>
        <v>0</v>
      </c>
      <c r="AG515" s="15" t="str">
        <f>VLOOKUP(Table2[[#This Row],[Home/Neutral]],division_lookup,9,FALSE)</f>
        <v>C</v>
      </c>
      <c r="AH515" s="15" t="str">
        <f>IF(Table2[[#This Row],[Total/EV]]&lt;Table2[[#This Row],[Total/V]],"UNDER","OVER")</f>
        <v>OVER</v>
      </c>
      <c r="AI515" s="26">
        <f>Table2[[#This Row],[SRS/Real]]-Table2[[#This Row],[Spread/V]]</f>
        <v>0</v>
      </c>
      <c r="AJ515" s="2">
        <f>Table2[[#This Row],[EV/Real]]-Table2[[#This Row],[Spread/V]]</f>
        <v>0</v>
      </c>
      <c r="AK515" s="2">
        <f>Table2[[#This Row],[SRS/Diff]]-Table2[[#This Row],[EV/Diff]]</f>
        <v>0</v>
      </c>
      <c r="AL515" s="18">
        <f>Table2[[#This Row],[SRS]]-Table2[[#This Row],[Spread]]</f>
        <v>-5.3886885245901661</v>
      </c>
      <c r="AM515" s="21">
        <f>Table2[[#This Row],[(A) Err]]^2</f>
        <v>29.037964015049742</v>
      </c>
      <c r="AN515" s="6">
        <f>Table2[[#This Row],[EV]]-Table2[[#This Row],[Spread]]</f>
        <v>-3.7183445468294565</v>
      </c>
      <c r="AO515" s="1">
        <f>Table2[[#This Row],[EV Err]]^2</f>
        <v>13.826086168936357</v>
      </c>
      <c r="AP515" s="1"/>
    </row>
    <row r="516" spans="1:42" x14ac:dyDescent="0.25">
      <c r="A516" s="34">
        <v>42737</v>
      </c>
      <c r="B516" t="s">
        <v>114</v>
      </c>
      <c r="C516" t="s">
        <v>127</v>
      </c>
      <c r="E516" s="21"/>
      <c r="G516" s="21"/>
      <c r="H516" s="7"/>
      <c r="I516" s="21"/>
      <c r="K516"/>
      <c r="L516" s="21">
        <f>(Table2[[#This Row],[H/Pace]]/100)*(VLOOKUP(Table2[[#This Row],[Home/Neutral]],home_lookup,8,FALSE)+VLOOKUP(Table2[[#This Row],[Home/Neutral]],OFR_lookup,2,FALSE)+VLOOKUP(Table2[[#This Row],[Visitor/Neutral]],def_diff_lookup,6,FALSE))</f>
        <v>113.01571276756465</v>
      </c>
      <c r="M516" s="21"/>
      <c r="N516" s="21">
        <f>(Table2[[#This Row],[A/Pace]]/100)*(VLOOKUP(Table2[[#This Row],[Visitor/Neutral]],OFR_lookup,2,FALSE)+VLOOKUP(Table2[[#This Row],[Home/Neutral]],def_diff_lookup,6,FALSE))</f>
        <v>101.450507</v>
      </c>
      <c r="O516" s="21"/>
      <c r="P516" s="21"/>
      <c r="Q516">
        <f>VLOOKUP(Table2[[#This Row],[Home/Neutral]],pace_lookup,7,FALSE)</f>
        <v>97.3</v>
      </c>
      <c r="R516" s="5">
        <f>VLOOKUP(Table2[[#This Row],[Visitor/Neutral]],pace_lookup,7,FALSE)</f>
        <v>99.3</v>
      </c>
      <c r="S516" s="7"/>
      <c r="U516" s="15"/>
      <c r="W516" s="2">
        <f>-home-VLOOKUP(Table2[[#This Row],[Home/Neutral]],rtg_vlookup,4,FALSE)+VLOOKUP(Table2[[#This Row],[Visitor/Neutral]],rtg_vlookup,4,FALSE)</f>
        <v>-14.088688524590166</v>
      </c>
      <c r="X516" s="15"/>
      <c r="Y516" s="2"/>
      <c r="Z516" s="2">
        <f>Table2[[#This Row],[A/EV]]-Table2[[#This Row],[H/EV]]</f>
        <v>-11.565205767564649</v>
      </c>
      <c r="AA516" s="29"/>
      <c r="AB516" s="30"/>
      <c r="AC516" s="30"/>
      <c r="AD516" s="30"/>
      <c r="AE516" s="30"/>
      <c r="AF516" s="7" t="b">
        <f>IF(VLOOKUP(Table2[[#This Row],[Home/Neutral]],division_lookup,9,FALSE)=VLOOKUP(Table2[[#This Row],[Visitor/Neutral]],division_lookup,9,FALSE),TRUE,FALSE)</f>
        <v>0</v>
      </c>
      <c r="AG516" s="15" t="str">
        <f>VLOOKUP(Table2[[#This Row],[Home/Neutral]],division_lookup,9,FALSE)</f>
        <v>C</v>
      </c>
      <c r="AH516" s="15" t="str">
        <f>IF(Table2[[#This Row],[Total/EV]]&lt;Table2[[#This Row],[Total/V]],"UNDER","OVER")</f>
        <v>OVER</v>
      </c>
      <c r="AI516" s="26">
        <f>Table2[[#This Row],[SRS/Real]]-Table2[[#This Row],[Spread/V]]</f>
        <v>0</v>
      </c>
      <c r="AJ516" s="2">
        <f>Table2[[#This Row],[EV/Real]]-Table2[[#This Row],[Spread/V]]</f>
        <v>0</v>
      </c>
      <c r="AK516" s="2">
        <f>Table2[[#This Row],[SRS/Diff]]-Table2[[#This Row],[EV/Diff]]</f>
        <v>0</v>
      </c>
      <c r="AL516" s="18">
        <f>Table2[[#This Row],[SRS]]-Table2[[#This Row],[Spread]]</f>
        <v>-14.088688524590166</v>
      </c>
      <c r="AM516" s="21">
        <f>Table2[[#This Row],[(A) Err]]^2</f>
        <v>198.49114434291863</v>
      </c>
      <c r="AN516" s="6">
        <f>Table2[[#This Row],[EV]]-Table2[[#This Row],[Spread]]</f>
        <v>-11.565205767564649</v>
      </c>
      <c r="AO516" s="1">
        <f>Table2[[#This Row],[EV Err]]^2</f>
        <v>133.75398444611062</v>
      </c>
      <c r="AP516" s="1"/>
    </row>
    <row r="517" spans="1:42" x14ac:dyDescent="0.25">
      <c r="A517" s="34">
        <v>42737</v>
      </c>
      <c r="B517" t="s">
        <v>118</v>
      </c>
      <c r="C517" t="s">
        <v>116</v>
      </c>
      <c r="E517" s="21"/>
      <c r="G517" s="21"/>
      <c r="H517" s="7"/>
      <c r="I517" s="21"/>
      <c r="K517"/>
      <c r="L517" s="21">
        <f>(Table2[[#This Row],[H/Pace]]/100)*(VLOOKUP(Table2[[#This Row],[Home/Neutral]],home_lookup,8,FALSE)+VLOOKUP(Table2[[#This Row],[Home/Neutral]],OFR_lookup,2,FALSE)+VLOOKUP(Table2[[#This Row],[Visitor/Neutral]],def_diff_lookup,6,FALSE))</f>
        <v>115.01355838078237</v>
      </c>
      <c r="M517" s="21"/>
      <c r="N517" s="21">
        <f>(Table2[[#This Row],[A/Pace]]/100)*(VLOOKUP(Table2[[#This Row],[Visitor/Neutral]],OFR_lookup,2,FALSE)+VLOOKUP(Table2[[#This Row],[Home/Neutral]],def_diff_lookup,6,FALSE))</f>
        <v>104.09034566666666</v>
      </c>
      <c r="O517" s="21"/>
      <c r="P517" s="21"/>
      <c r="Q517">
        <f>VLOOKUP(Table2[[#This Row],[Home/Neutral]],pace_lookup,7,FALSE)</f>
        <v>100.4</v>
      </c>
      <c r="R517" s="5">
        <f>VLOOKUP(Table2[[#This Row],[Visitor/Neutral]],pace_lookup,7,FALSE)</f>
        <v>99.1</v>
      </c>
      <c r="S517" s="7"/>
      <c r="U517" s="15"/>
      <c r="W517" s="2">
        <f>-home-VLOOKUP(Table2[[#This Row],[Home/Neutral]],rtg_vlookup,4,FALSE)+VLOOKUP(Table2[[#This Row],[Visitor/Neutral]],rtg_vlookup,4,FALSE)</f>
        <v>-14.938688524590166</v>
      </c>
      <c r="X517" s="15"/>
      <c r="Y517" s="2"/>
      <c r="Z517" s="2">
        <f>Table2[[#This Row],[A/EV]]-Table2[[#This Row],[H/EV]]</f>
        <v>-10.923212714115706</v>
      </c>
      <c r="AA517" s="29"/>
      <c r="AB517" s="30"/>
      <c r="AC517" s="30"/>
      <c r="AD517" s="30"/>
      <c r="AE517" s="30"/>
      <c r="AF517" s="7" t="b">
        <f>IF(VLOOKUP(Table2[[#This Row],[Home/Neutral]],division_lookup,9,FALSE)=VLOOKUP(Table2[[#This Row],[Visitor/Neutral]],division_lookup,9,FALSE),TRUE,FALSE)</f>
        <v>0</v>
      </c>
      <c r="AG517" s="15" t="str">
        <f>VLOOKUP(Table2[[#This Row],[Home/Neutral]],division_lookup,9,FALSE)</f>
        <v>P</v>
      </c>
      <c r="AH517" s="15" t="str">
        <f>IF(Table2[[#This Row],[Total/EV]]&lt;Table2[[#This Row],[Total/V]],"UNDER","OVER")</f>
        <v>OVER</v>
      </c>
      <c r="AI517" s="26">
        <f>Table2[[#This Row],[SRS/Real]]-Table2[[#This Row],[Spread/V]]</f>
        <v>0</v>
      </c>
      <c r="AJ517" s="2">
        <f>Table2[[#This Row],[EV/Real]]-Table2[[#This Row],[Spread/V]]</f>
        <v>0</v>
      </c>
      <c r="AK517" s="2">
        <f>Table2[[#This Row],[SRS/Diff]]-Table2[[#This Row],[EV/Diff]]</f>
        <v>0</v>
      </c>
      <c r="AL517" s="18">
        <f>Table2[[#This Row],[SRS]]-Table2[[#This Row],[Spread]]</f>
        <v>-14.938688524590166</v>
      </c>
      <c r="AM517" s="21">
        <f>Table2[[#This Row],[(A) Err]]^2</f>
        <v>223.1644148347219</v>
      </c>
      <c r="AN517" s="6">
        <f>Table2[[#This Row],[EV]]-Table2[[#This Row],[Spread]]</f>
        <v>-10.923212714115706</v>
      </c>
      <c r="AO517" s="1">
        <f>Table2[[#This Row],[EV Err]]^2</f>
        <v>119.31657599781902</v>
      </c>
      <c r="AP517" s="1"/>
    </row>
    <row r="518" spans="1:42" x14ac:dyDescent="0.25">
      <c r="A518" s="34">
        <v>42737</v>
      </c>
      <c r="B518" t="s">
        <v>119</v>
      </c>
      <c r="C518" t="s">
        <v>137</v>
      </c>
      <c r="E518" s="21"/>
      <c r="G518" s="21"/>
      <c r="H518" s="7"/>
      <c r="I518" s="21"/>
      <c r="K518"/>
      <c r="L518" s="21">
        <f>(Table2[[#This Row],[H/Pace]]/100)*(VLOOKUP(Table2[[#This Row],[Home/Neutral]],home_lookup,8,FALSE)+VLOOKUP(Table2[[#This Row],[Home/Neutral]],OFR_lookup,2,FALSE)+VLOOKUP(Table2[[#This Row],[Visitor/Neutral]],def_diff_lookup,6,FALSE))</f>
        <v>112.31100376977628</v>
      </c>
      <c r="M518" s="21"/>
      <c r="N518" s="21">
        <f>(Table2[[#This Row],[A/Pace]]/100)*(VLOOKUP(Table2[[#This Row],[Visitor/Neutral]],OFR_lookup,2,FALSE)+VLOOKUP(Table2[[#This Row],[Home/Neutral]],def_diff_lookup,6,FALSE))</f>
        <v>105.49984000000001</v>
      </c>
      <c r="O518" s="21"/>
      <c r="P518" s="21"/>
      <c r="Q518">
        <f>VLOOKUP(Table2[[#This Row],[Home/Neutral]],pace_lookup,7,FALSE)</f>
        <v>96.9</v>
      </c>
      <c r="R518" s="5">
        <f>VLOOKUP(Table2[[#This Row],[Visitor/Neutral]],pace_lookup,7,FALSE)</f>
        <v>96</v>
      </c>
      <c r="S518" s="7"/>
      <c r="U518" s="15"/>
      <c r="W518" s="2">
        <f>-home-VLOOKUP(Table2[[#This Row],[Home/Neutral]],rtg_vlookup,4,FALSE)+VLOOKUP(Table2[[#This Row],[Visitor/Neutral]],rtg_vlookup,4,FALSE)</f>
        <v>-9.4486885245901657</v>
      </c>
      <c r="X518" s="15"/>
      <c r="Y518" s="2"/>
      <c r="Z518" s="2">
        <f>Table2[[#This Row],[A/EV]]-Table2[[#This Row],[H/EV]]</f>
        <v>-6.8111637697762717</v>
      </c>
      <c r="AA518" s="29"/>
      <c r="AB518" s="30"/>
      <c r="AC518" s="30"/>
      <c r="AD518" s="30"/>
      <c r="AE518" s="30"/>
      <c r="AF518" s="7" t="b">
        <f>IF(VLOOKUP(Table2[[#This Row],[Home/Neutral]],division_lookup,9,FALSE)=VLOOKUP(Table2[[#This Row],[Visitor/Neutral]],division_lookup,9,FALSE),TRUE,FALSE)</f>
        <v>0</v>
      </c>
      <c r="AG518" s="15" t="str">
        <f>VLOOKUP(Table2[[#This Row],[Home/Neutral]],division_lookup,9,FALSE)</f>
        <v>SW</v>
      </c>
      <c r="AH518" s="15" t="str">
        <f>IF(Table2[[#This Row],[Total/EV]]&lt;Table2[[#This Row],[Total/V]],"UNDER","OVER")</f>
        <v>OVER</v>
      </c>
      <c r="AI518" s="26">
        <f>Table2[[#This Row],[SRS/Real]]-Table2[[#This Row],[Spread/V]]</f>
        <v>0</v>
      </c>
      <c r="AJ518" s="2">
        <f>Table2[[#This Row],[EV/Real]]-Table2[[#This Row],[Spread/V]]</f>
        <v>0</v>
      </c>
      <c r="AK518" s="2">
        <f>Table2[[#This Row],[SRS/Diff]]-Table2[[#This Row],[EV/Diff]]</f>
        <v>0</v>
      </c>
      <c r="AL518" s="18">
        <f>Table2[[#This Row],[SRS]]-Table2[[#This Row],[Spread]]</f>
        <v>-9.4486885245901657</v>
      </c>
      <c r="AM518" s="21">
        <f>Table2[[#This Row],[(A) Err]]^2</f>
        <v>89.277714834721877</v>
      </c>
      <c r="AN518" s="6">
        <f>Table2[[#This Row],[EV]]-Table2[[#This Row],[Spread]]</f>
        <v>-6.8111637697762717</v>
      </c>
      <c r="AO518" s="1">
        <f>Table2[[#This Row],[EV Err]]^2</f>
        <v>46.391951898712911</v>
      </c>
      <c r="AP518" s="1"/>
    </row>
    <row r="519" spans="1:42" x14ac:dyDescent="0.25">
      <c r="A519" s="34">
        <v>42737</v>
      </c>
      <c r="B519" t="s">
        <v>121</v>
      </c>
      <c r="C519" t="s">
        <v>131</v>
      </c>
      <c r="E519" s="21"/>
      <c r="G519" s="21"/>
      <c r="H519" s="7"/>
      <c r="I519" s="21"/>
      <c r="K519"/>
      <c r="L519" s="21">
        <f>(Table2[[#This Row],[H/Pace]]/100)*(VLOOKUP(Table2[[#This Row],[Home/Neutral]],home_lookup,8,FALSE)+VLOOKUP(Table2[[#This Row],[Home/Neutral]],OFR_lookup,2,FALSE)+VLOOKUP(Table2[[#This Row],[Visitor/Neutral]],def_diff_lookup,6,FALSE))</f>
        <v>114.96972060751253</v>
      </c>
      <c r="M519" s="21"/>
      <c r="N519" s="21">
        <f>(Table2[[#This Row],[A/Pace]]/100)*(VLOOKUP(Table2[[#This Row],[Visitor/Neutral]],OFR_lookup,2,FALSE)+VLOOKUP(Table2[[#This Row],[Home/Neutral]],def_diff_lookup,6,FALSE))</f>
        <v>98.776803000000001</v>
      </c>
      <c r="O519" s="21"/>
      <c r="P519" s="21"/>
      <c r="Q519">
        <f>VLOOKUP(Table2[[#This Row],[Home/Neutral]],pace_lookup,7,FALSE)</f>
        <v>96.4</v>
      </c>
      <c r="R519" s="5">
        <f>VLOOKUP(Table2[[#This Row],[Visitor/Neutral]],pace_lookup,7,FALSE)</f>
        <v>101.7</v>
      </c>
      <c r="S519" s="7"/>
      <c r="U519" s="15"/>
      <c r="W519" s="2">
        <f>-home-VLOOKUP(Table2[[#This Row],[Home/Neutral]],rtg_vlookup,4,FALSE)+VLOOKUP(Table2[[#This Row],[Visitor/Neutral]],rtg_vlookup,4,FALSE)</f>
        <v>-21.888688524590165</v>
      </c>
      <c r="X519" s="15"/>
      <c r="Y519" s="2"/>
      <c r="Z519" s="2">
        <f>Table2[[#This Row],[A/EV]]-Table2[[#This Row],[H/EV]]</f>
        <v>-16.192917607512527</v>
      </c>
      <c r="AA519" s="29"/>
      <c r="AB519" s="30"/>
      <c r="AC519" s="30"/>
      <c r="AD519" s="30"/>
      <c r="AE519" s="30"/>
      <c r="AF519" s="7" t="b">
        <f>IF(VLOOKUP(Table2[[#This Row],[Home/Neutral]],division_lookup,9,FALSE)=VLOOKUP(Table2[[#This Row],[Visitor/Neutral]],division_lookup,9,FALSE),TRUE,FALSE)</f>
        <v>1</v>
      </c>
      <c r="AG519" s="15" t="str">
        <f>VLOOKUP(Table2[[#This Row],[Home/Neutral]],division_lookup,9,FALSE)</f>
        <v>P</v>
      </c>
      <c r="AH519" s="15" t="str">
        <f>IF(Table2[[#This Row],[Total/EV]]&lt;Table2[[#This Row],[Total/V]],"UNDER","OVER")</f>
        <v>OVER</v>
      </c>
      <c r="AI519" s="26">
        <f>Table2[[#This Row],[SRS/Real]]-Table2[[#This Row],[Spread/V]]</f>
        <v>0</v>
      </c>
      <c r="AJ519" s="2">
        <f>Table2[[#This Row],[EV/Real]]-Table2[[#This Row],[Spread/V]]</f>
        <v>0</v>
      </c>
      <c r="AK519" s="2">
        <f>Table2[[#This Row],[SRS/Diff]]-Table2[[#This Row],[EV/Diff]]</f>
        <v>0</v>
      </c>
      <c r="AL519" s="18">
        <f>Table2[[#This Row],[SRS]]-Table2[[#This Row],[Spread]]</f>
        <v>-21.888688524590165</v>
      </c>
      <c r="AM519" s="21">
        <f>Table2[[#This Row],[(A) Err]]^2</f>
        <v>479.1146853265252</v>
      </c>
      <c r="AN519" s="6">
        <f>Table2[[#This Row],[EV]]-Table2[[#This Row],[Spread]]</f>
        <v>-16.192917607512527</v>
      </c>
      <c r="AO519" s="1">
        <f>Table2[[#This Row],[EV Err]]^2</f>
        <v>262.21058064368924</v>
      </c>
      <c r="AP519" s="1"/>
    </row>
    <row r="520" spans="1:42" x14ac:dyDescent="0.25">
      <c r="A520" s="34">
        <v>42737</v>
      </c>
      <c r="B520" t="s">
        <v>125</v>
      </c>
      <c r="C520" t="s">
        <v>129</v>
      </c>
      <c r="E520" s="21"/>
      <c r="G520" s="21"/>
      <c r="H520" s="7"/>
      <c r="I520" s="21"/>
      <c r="K520"/>
      <c r="L520" s="21">
        <f>(Table2[[#This Row],[H/Pace]]/100)*(VLOOKUP(Table2[[#This Row],[Home/Neutral]],home_lookup,8,FALSE)+VLOOKUP(Table2[[#This Row],[Home/Neutral]],OFR_lookup,2,FALSE)+VLOOKUP(Table2[[#This Row],[Visitor/Neutral]],def_diff_lookup,6,FALSE))</f>
        <v>106.65255550061909</v>
      </c>
      <c r="M520" s="21"/>
      <c r="N520" s="21">
        <f>(Table2[[#This Row],[A/Pace]]/100)*(VLOOKUP(Table2[[#This Row],[Visitor/Neutral]],OFR_lookup,2,FALSE)+VLOOKUP(Table2[[#This Row],[Home/Neutral]],def_diff_lookup,6,FALSE))</f>
        <v>107.23250999999999</v>
      </c>
      <c r="O520" s="21"/>
      <c r="P520" s="21"/>
      <c r="Q520">
        <f>VLOOKUP(Table2[[#This Row],[Home/Neutral]],pace_lookup,7,FALSE)</f>
        <v>96.1</v>
      </c>
      <c r="R520" s="5">
        <f>VLOOKUP(Table2[[#This Row],[Visitor/Neutral]],pace_lookup,7,FALSE)</f>
        <v>99</v>
      </c>
      <c r="S520" s="7"/>
      <c r="U520" s="15"/>
      <c r="W520" s="2">
        <f>-home-VLOOKUP(Table2[[#This Row],[Home/Neutral]],rtg_vlookup,4,FALSE)+VLOOKUP(Table2[[#This Row],[Visitor/Neutral]],rtg_vlookup,4,FALSE)</f>
        <v>1.2113114754098342</v>
      </c>
      <c r="X520" s="15"/>
      <c r="Y520" s="2"/>
      <c r="Z520" s="2">
        <f>Table2[[#This Row],[A/EV]]-Table2[[#This Row],[H/EV]]</f>
        <v>0.5799544993809036</v>
      </c>
      <c r="AA520" s="29"/>
      <c r="AB520" s="30"/>
      <c r="AC520" s="30"/>
      <c r="AD520" s="30"/>
      <c r="AE520" s="30"/>
      <c r="AF520" s="7" t="b">
        <f>IF(VLOOKUP(Table2[[#This Row],[Home/Neutral]],division_lookup,9,FALSE)=VLOOKUP(Table2[[#This Row],[Visitor/Neutral]],division_lookup,9,FALSE),TRUE,FALSE)</f>
        <v>0</v>
      </c>
      <c r="AG520" s="15" t="str">
        <f>VLOOKUP(Table2[[#This Row],[Home/Neutral]],division_lookup,9,FALSE)</f>
        <v>C</v>
      </c>
      <c r="AH520" s="15" t="str">
        <f>IF(Table2[[#This Row],[Total/EV]]&lt;Table2[[#This Row],[Total/V]],"UNDER","OVER")</f>
        <v>OVER</v>
      </c>
      <c r="AI520" s="26">
        <f>Table2[[#This Row],[SRS/Real]]-Table2[[#This Row],[Spread/V]]</f>
        <v>0</v>
      </c>
      <c r="AJ520" s="2">
        <f>Table2[[#This Row],[EV/Real]]-Table2[[#This Row],[Spread/V]]</f>
        <v>0</v>
      </c>
      <c r="AK520" s="2">
        <f>Table2[[#This Row],[SRS/Diff]]-Table2[[#This Row],[EV/Diff]]</f>
        <v>0</v>
      </c>
      <c r="AL520" s="18">
        <f>Table2[[#This Row],[SRS]]-Table2[[#This Row],[Spread]]</f>
        <v>1.2113114754098342</v>
      </c>
      <c r="AM520" s="21">
        <f>Table2[[#This Row],[(A) Err]]^2</f>
        <v>1.4672754904595493</v>
      </c>
      <c r="AN520" s="6">
        <f>Table2[[#This Row],[EV]]-Table2[[#This Row],[Spread]]</f>
        <v>0.5799544993809036</v>
      </c>
      <c r="AO520" s="1">
        <f>Table2[[#This Row],[EV Err]]^2</f>
        <v>0.3363472213521545</v>
      </c>
      <c r="AP520" s="1"/>
    </row>
    <row r="521" spans="1:42" x14ac:dyDescent="0.25">
      <c r="A521" s="34">
        <v>42737</v>
      </c>
      <c r="B521" t="s">
        <v>128</v>
      </c>
      <c r="C521" t="s">
        <v>130</v>
      </c>
      <c r="E521" s="21"/>
      <c r="G521" s="21"/>
      <c r="H521" s="7"/>
      <c r="I521" s="21"/>
      <c r="K521"/>
      <c r="L521" s="21">
        <f>(Table2[[#This Row],[H/Pace]]/100)*(VLOOKUP(Table2[[#This Row],[Home/Neutral]],home_lookup,8,FALSE)+VLOOKUP(Table2[[#This Row],[Home/Neutral]],OFR_lookup,2,FALSE)+VLOOKUP(Table2[[#This Row],[Visitor/Neutral]],def_diff_lookup,6,FALSE))</f>
        <v>108.2109498778302</v>
      </c>
      <c r="M521" s="21"/>
      <c r="N521" s="21">
        <f>(Table2[[#This Row],[A/Pace]]/100)*(VLOOKUP(Table2[[#This Row],[Visitor/Neutral]],OFR_lookup,2,FALSE)+VLOOKUP(Table2[[#This Row],[Home/Neutral]],def_diff_lookup,6,FALSE))</f>
        <v>95.10965800000001</v>
      </c>
      <c r="O521" s="21"/>
      <c r="P521" s="21"/>
      <c r="Q521">
        <f>VLOOKUP(Table2[[#This Row],[Home/Neutral]],pace_lookup,7,FALSE)</f>
        <v>96.3</v>
      </c>
      <c r="R521" s="5">
        <f>VLOOKUP(Table2[[#This Row],[Visitor/Neutral]],pace_lookup,7,FALSE)</f>
        <v>94.2</v>
      </c>
      <c r="S521" s="7"/>
      <c r="U521" s="15"/>
      <c r="W521" s="2">
        <f>-home-VLOOKUP(Table2[[#This Row],[Home/Neutral]],rtg_vlookup,4,FALSE)+VLOOKUP(Table2[[#This Row],[Visitor/Neutral]],rtg_vlookup,4,FALSE)</f>
        <v>-9.5486885245901671</v>
      </c>
      <c r="X521" s="15"/>
      <c r="Y521" s="2"/>
      <c r="Z521" s="2">
        <f>Table2[[#This Row],[A/EV]]-Table2[[#This Row],[H/EV]]</f>
        <v>-13.101291877830192</v>
      </c>
      <c r="AA521" s="29"/>
      <c r="AB521" s="30"/>
      <c r="AC521" s="30"/>
      <c r="AD521" s="30"/>
      <c r="AE521" s="30"/>
      <c r="AF521" s="7" t="b">
        <f>IF(VLOOKUP(Table2[[#This Row],[Home/Neutral]],division_lookup,9,FALSE)=VLOOKUP(Table2[[#This Row],[Visitor/Neutral]],division_lookup,9,FALSE),TRUE,FALSE)</f>
        <v>0</v>
      </c>
      <c r="AG521" s="15" t="str">
        <f>VLOOKUP(Table2[[#This Row],[Home/Neutral]],division_lookup,9,FALSE)</f>
        <v>A</v>
      </c>
      <c r="AH521" s="15" t="str">
        <f>IF(Table2[[#This Row],[Total/EV]]&lt;Table2[[#This Row],[Total/V]],"UNDER","OVER")</f>
        <v>OVER</v>
      </c>
      <c r="AI521" s="26">
        <f>Table2[[#This Row],[SRS/Real]]-Table2[[#This Row],[Spread/V]]</f>
        <v>0</v>
      </c>
      <c r="AJ521" s="2">
        <f>Table2[[#This Row],[EV/Real]]-Table2[[#This Row],[Spread/V]]</f>
        <v>0</v>
      </c>
      <c r="AK521" s="2">
        <f>Table2[[#This Row],[SRS/Diff]]-Table2[[#This Row],[EV/Diff]]</f>
        <v>0</v>
      </c>
      <c r="AL521" s="18">
        <f>Table2[[#This Row],[SRS]]-Table2[[#This Row],[Spread]]</f>
        <v>-9.5486885245901671</v>
      </c>
      <c r="AM521" s="21">
        <f>Table2[[#This Row],[(A) Err]]^2</f>
        <v>91.177452539639944</v>
      </c>
      <c r="AN521" s="6">
        <f>Table2[[#This Row],[EV]]-Table2[[#This Row],[Spread]]</f>
        <v>-13.101291877830192</v>
      </c>
      <c r="AO521" s="1">
        <f>Table2[[#This Row],[EV Err]]^2</f>
        <v>171.64384886809935</v>
      </c>
      <c r="AP521" s="1"/>
    </row>
    <row r="522" spans="1:42" x14ac:dyDescent="0.25">
      <c r="A522" s="34">
        <v>42738</v>
      </c>
      <c r="B522" t="s">
        <v>110</v>
      </c>
      <c r="C522" t="s">
        <v>136</v>
      </c>
      <c r="E522" s="21"/>
      <c r="G522" s="21"/>
      <c r="H522" s="7"/>
      <c r="I522" s="21"/>
      <c r="K522"/>
      <c r="L522" s="21">
        <f>(Table2[[#This Row],[H/Pace]]/100)*(VLOOKUP(Table2[[#This Row],[Home/Neutral]],home_lookup,8,FALSE)+VLOOKUP(Table2[[#This Row],[Home/Neutral]],OFR_lookup,2,FALSE)+VLOOKUP(Table2[[#This Row],[Visitor/Neutral]],def_diff_lookup,6,FALSE))</f>
        <v>101.4436911890094</v>
      </c>
      <c r="M522" s="21"/>
      <c r="N522" s="21">
        <f>(Table2[[#This Row],[A/Pace]]/100)*(VLOOKUP(Table2[[#This Row],[Visitor/Neutral]],OFR_lookup,2,FALSE)+VLOOKUP(Table2[[#This Row],[Home/Neutral]],def_diff_lookup,6,FALSE))</f>
        <v>98.029134999999997</v>
      </c>
      <c r="O522" s="21"/>
      <c r="P522" s="21"/>
      <c r="Q522">
        <f>VLOOKUP(Table2[[#This Row],[Home/Neutral]],pace_lookup,7,FALSE)</f>
        <v>96.2</v>
      </c>
      <c r="R522" s="5">
        <f>VLOOKUP(Table2[[#This Row],[Visitor/Neutral]],pace_lookup,7,FALSE)</f>
        <v>91.5</v>
      </c>
      <c r="S522" s="7"/>
      <c r="U522" s="15"/>
      <c r="W522" s="2">
        <f>-home-VLOOKUP(Table2[[#This Row],[Home/Neutral]],rtg_vlookup,4,FALSE)+VLOOKUP(Table2[[#This Row],[Visitor/Neutral]],rtg_vlookup,4,FALSE)</f>
        <v>0.99131147540983422</v>
      </c>
      <c r="X522" s="15"/>
      <c r="Y522" s="2"/>
      <c r="Z522" s="2">
        <f>Table2[[#This Row],[A/EV]]-Table2[[#This Row],[H/EV]]</f>
        <v>-3.4145561890094029</v>
      </c>
      <c r="AA522" s="29"/>
      <c r="AB522" s="30"/>
      <c r="AC522" s="30"/>
      <c r="AD522" s="30"/>
      <c r="AE522" s="30"/>
      <c r="AF522" s="7" t="b">
        <f>IF(VLOOKUP(Table2[[#This Row],[Home/Neutral]],division_lookup,9,FALSE)=VLOOKUP(Table2[[#This Row],[Visitor/Neutral]],division_lookup,9,FALSE),TRUE,FALSE)</f>
        <v>0</v>
      </c>
      <c r="AG522" s="15" t="str">
        <f>VLOOKUP(Table2[[#This Row],[Home/Neutral]],division_lookup,9,FALSE)</f>
        <v>A</v>
      </c>
      <c r="AH522" s="15" t="str">
        <f>IF(Table2[[#This Row],[Total/EV]]&lt;Table2[[#This Row],[Total/V]],"UNDER","OVER")</f>
        <v>OVER</v>
      </c>
      <c r="AI522" s="26">
        <f>Table2[[#This Row],[SRS/Real]]-Table2[[#This Row],[Spread/V]]</f>
        <v>0</v>
      </c>
      <c r="AJ522" s="2">
        <f>Table2[[#This Row],[EV/Real]]-Table2[[#This Row],[Spread/V]]</f>
        <v>0</v>
      </c>
      <c r="AK522" s="2">
        <f>Table2[[#This Row],[SRS/Diff]]-Table2[[#This Row],[EV/Diff]]</f>
        <v>0</v>
      </c>
      <c r="AL522" s="18">
        <f>Table2[[#This Row],[SRS]]-Table2[[#This Row],[Spread]]</f>
        <v>0.99131147540983422</v>
      </c>
      <c r="AM522" s="21">
        <f>Table2[[#This Row],[(A) Err]]^2</f>
        <v>0.98269844127922235</v>
      </c>
      <c r="AN522" s="6">
        <f>Table2[[#This Row],[EV]]-Table2[[#This Row],[Spread]]</f>
        <v>-3.4145561890094029</v>
      </c>
      <c r="AO522" s="1">
        <f>Table2[[#This Row],[EV Err]]^2</f>
        <v>11.659193967902418</v>
      </c>
      <c r="AP522" s="1"/>
    </row>
    <row r="523" spans="1:42" x14ac:dyDescent="0.25">
      <c r="A523" s="34">
        <v>42738</v>
      </c>
      <c r="B523" t="s">
        <v>115</v>
      </c>
      <c r="C523" t="s">
        <v>137</v>
      </c>
      <c r="E523" s="21"/>
      <c r="G523" s="21"/>
      <c r="H523" s="7"/>
      <c r="I523" s="21"/>
      <c r="K523"/>
      <c r="L523" s="21">
        <f>(Table2[[#This Row],[H/Pace]]/100)*(VLOOKUP(Table2[[#This Row],[Home/Neutral]],home_lookup,8,FALSE)+VLOOKUP(Table2[[#This Row],[Home/Neutral]],OFR_lookup,2,FALSE)+VLOOKUP(Table2[[#This Row],[Visitor/Neutral]],def_diff_lookup,6,FALSE))</f>
        <v>98.666463115967758</v>
      </c>
      <c r="M523" s="21"/>
      <c r="N523" s="21">
        <f>(Table2[[#This Row],[A/Pace]]/100)*(VLOOKUP(Table2[[#This Row],[Visitor/Neutral]],OFR_lookup,2,FALSE)+VLOOKUP(Table2[[#This Row],[Home/Neutral]],def_diff_lookup,6,FALSE))</f>
        <v>102.21664</v>
      </c>
      <c r="O523" s="21"/>
      <c r="P523" s="21"/>
      <c r="Q523">
        <f>VLOOKUP(Table2[[#This Row],[Home/Neutral]],pace_lookup,7,FALSE)</f>
        <v>92.9</v>
      </c>
      <c r="R523" s="5">
        <f>VLOOKUP(Table2[[#This Row],[Visitor/Neutral]],pace_lookup,7,FALSE)</f>
        <v>96</v>
      </c>
      <c r="S523" s="7"/>
      <c r="U523" s="15"/>
      <c r="W523" s="2">
        <f>-home-VLOOKUP(Table2[[#This Row],[Home/Neutral]],rtg_vlookup,4,FALSE)+VLOOKUP(Table2[[#This Row],[Visitor/Neutral]],rtg_vlookup,4,FALSE)</f>
        <v>3.0913114754098339</v>
      </c>
      <c r="X523" s="15"/>
      <c r="Y523" s="2"/>
      <c r="Z523" s="2">
        <f>Table2[[#This Row],[A/EV]]-Table2[[#This Row],[H/EV]]</f>
        <v>3.5501768840322399</v>
      </c>
      <c r="AA523" s="29"/>
      <c r="AB523" s="30"/>
      <c r="AC523" s="30"/>
      <c r="AD523" s="30"/>
      <c r="AE523" s="30"/>
      <c r="AF523" s="7" t="b">
        <f>IF(VLOOKUP(Table2[[#This Row],[Home/Neutral]],division_lookup,9,FALSE)=VLOOKUP(Table2[[#This Row],[Visitor/Neutral]],division_lookup,9,FALSE),TRUE,FALSE)</f>
        <v>0</v>
      </c>
      <c r="AG523" s="15" t="str">
        <f>VLOOKUP(Table2[[#This Row],[Home/Neutral]],division_lookup,9,FALSE)</f>
        <v>SW</v>
      </c>
      <c r="AH523" s="15" t="str">
        <f>IF(Table2[[#This Row],[Total/EV]]&lt;Table2[[#This Row],[Total/V]],"UNDER","OVER")</f>
        <v>OVER</v>
      </c>
      <c r="AI523" s="26">
        <f>Table2[[#This Row],[SRS/Real]]-Table2[[#This Row],[Spread/V]]</f>
        <v>0</v>
      </c>
      <c r="AJ523" s="2">
        <f>Table2[[#This Row],[EV/Real]]-Table2[[#This Row],[Spread/V]]</f>
        <v>0</v>
      </c>
      <c r="AK523" s="2">
        <f>Table2[[#This Row],[SRS/Diff]]-Table2[[#This Row],[EV/Diff]]</f>
        <v>0</v>
      </c>
      <c r="AL523" s="18">
        <f>Table2[[#This Row],[SRS]]-Table2[[#This Row],[Spread]]</f>
        <v>3.0913114754098339</v>
      </c>
      <c r="AM523" s="21">
        <f>Table2[[#This Row],[(A) Err]]^2</f>
        <v>9.5562066380005231</v>
      </c>
      <c r="AN523" s="6">
        <f>Table2[[#This Row],[EV]]-Table2[[#This Row],[Spread]]</f>
        <v>3.5501768840322399</v>
      </c>
      <c r="AO523" s="1">
        <f>Table2[[#This Row],[EV Err]]^2</f>
        <v>12.603755907916863</v>
      </c>
      <c r="AP523" s="1"/>
    </row>
    <row r="524" spans="1:42" x14ac:dyDescent="0.25">
      <c r="A524" s="34">
        <v>42738</v>
      </c>
      <c r="B524" t="s">
        <v>116</v>
      </c>
      <c r="C524" t="s">
        <v>133</v>
      </c>
      <c r="E524" s="21"/>
      <c r="G524" s="21"/>
      <c r="H524" s="7"/>
      <c r="I524" s="21"/>
      <c r="K524"/>
      <c r="L524" s="21">
        <f>(Table2[[#This Row],[H/Pace]]/100)*(VLOOKUP(Table2[[#This Row],[Home/Neutral]],home_lookup,8,FALSE)+VLOOKUP(Table2[[#This Row],[Home/Neutral]],OFR_lookup,2,FALSE)+VLOOKUP(Table2[[#This Row],[Visitor/Neutral]],def_diff_lookup,6,FALSE))</f>
        <v>108.12653470161864</v>
      </c>
      <c r="M524" s="21"/>
      <c r="N524" s="21">
        <f>(Table2[[#This Row],[A/Pace]]/100)*(VLOOKUP(Table2[[#This Row],[Visitor/Neutral]],OFR_lookup,2,FALSE)+VLOOKUP(Table2[[#This Row],[Home/Neutral]],def_diff_lookup,6,FALSE))</f>
        <v>101.957998</v>
      </c>
      <c r="O524" s="21"/>
      <c r="P524" s="21"/>
      <c r="Q524">
        <f>VLOOKUP(Table2[[#This Row],[Home/Neutral]],pace_lookup,7,FALSE)</f>
        <v>99.1</v>
      </c>
      <c r="R524" s="5">
        <f>VLOOKUP(Table2[[#This Row],[Visitor/Neutral]],pace_lookup,7,FALSE)</f>
        <v>94.2</v>
      </c>
      <c r="S524" s="7"/>
      <c r="U524" s="15"/>
      <c r="W524" s="2">
        <f>-home-VLOOKUP(Table2[[#This Row],[Home/Neutral]],rtg_vlookup,4,FALSE)+VLOOKUP(Table2[[#This Row],[Visitor/Neutral]],rtg_vlookup,4,FALSE)</f>
        <v>-3.958688524590166</v>
      </c>
      <c r="X524" s="15"/>
      <c r="Y524" s="2"/>
      <c r="Z524" s="2">
        <f>Table2[[#This Row],[A/EV]]-Table2[[#This Row],[H/EV]]</f>
        <v>-6.1685367016186348</v>
      </c>
      <c r="AA524" s="29"/>
      <c r="AB524" s="30"/>
      <c r="AC524" s="30"/>
      <c r="AD524" s="30"/>
      <c r="AE524" s="30"/>
      <c r="AF524" s="7" t="b">
        <f>IF(VLOOKUP(Table2[[#This Row],[Home/Neutral]],division_lookup,9,FALSE)=VLOOKUP(Table2[[#This Row],[Visitor/Neutral]],division_lookup,9,FALSE),TRUE,FALSE)</f>
        <v>0</v>
      </c>
      <c r="AG524" s="15" t="str">
        <f>VLOOKUP(Table2[[#This Row],[Home/Neutral]],division_lookup,9,FALSE)</f>
        <v>NW</v>
      </c>
      <c r="AH524" s="15" t="str">
        <f>IF(Table2[[#This Row],[Total/EV]]&lt;Table2[[#This Row],[Total/V]],"UNDER","OVER")</f>
        <v>OVER</v>
      </c>
      <c r="AI524" s="26">
        <f>Table2[[#This Row],[SRS/Real]]-Table2[[#This Row],[Spread/V]]</f>
        <v>0</v>
      </c>
      <c r="AJ524" s="2">
        <f>Table2[[#This Row],[EV/Real]]-Table2[[#This Row],[Spread/V]]</f>
        <v>0</v>
      </c>
      <c r="AK524" s="2">
        <f>Table2[[#This Row],[SRS/Diff]]-Table2[[#This Row],[EV/Diff]]</f>
        <v>0</v>
      </c>
      <c r="AL524" s="18">
        <f>Table2[[#This Row],[SRS]]-Table2[[#This Row],[Spread]]</f>
        <v>-3.958688524590166</v>
      </c>
      <c r="AM524" s="21">
        <f>Table2[[#This Row],[(A) Err]]^2</f>
        <v>15.671214834721866</v>
      </c>
      <c r="AN524" s="6">
        <f>Table2[[#This Row],[EV]]-Table2[[#This Row],[Spread]]</f>
        <v>-6.1685367016186348</v>
      </c>
      <c r="AO524" s="1">
        <f>Table2[[#This Row],[EV Err]]^2</f>
        <v>38.050845039216107</v>
      </c>
      <c r="AP524" s="1"/>
    </row>
    <row r="525" spans="1:42" x14ac:dyDescent="0.25">
      <c r="A525" s="34">
        <v>42738</v>
      </c>
      <c r="B525" t="s">
        <v>117</v>
      </c>
      <c r="C525" t="s">
        <v>120</v>
      </c>
      <c r="E525" s="21"/>
      <c r="G525" s="21"/>
      <c r="H525" s="7"/>
      <c r="I525" s="21"/>
      <c r="K525"/>
      <c r="L525" s="21">
        <f>(Table2[[#This Row],[H/Pace]]/100)*(VLOOKUP(Table2[[#This Row],[Home/Neutral]],home_lookup,8,FALSE)+VLOOKUP(Table2[[#This Row],[Home/Neutral]],OFR_lookup,2,FALSE)+VLOOKUP(Table2[[#This Row],[Visitor/Neutral]],def_diff_lookup,6,FALSE))</f>
        <v>113.89099591446428</v>
      </c>
      <c r="M525" s="21"/>
      <c r="N525" s="21">
        <f>(Table2[[#This Row],[A/Pace]]/100)*(VLOOKUP(Table2[[#This Row],[Visitor/Neutral]],OFR_lookup,2,FALSE)+VLOOKUP(Table2[[#This Row],[Home/Neutral]],def_diff_lookup,6,FALSE))</f>
        <v>98.108970333333332</v>
      </c>
      <c r="O525" s="21"/>
      <c r="P525" s="21"/>
      <c r="Q525">
        <f>VLOOKUP(Table2[[#This Row],[Home/Neutral]],pace_lookup,7,FALSE)</f>
        <v>94</v>
      </c>
      <c r="R525" s="5">
        <f>VLOOKUP(Table2[[#This Row],[Visitor/Neutral]],pace_lookup,7,FALSE)</f>
        <v>98.3</v>
      </c>
      <c r="S525" s="7"/>
      <c r="U525" s="15"/>
      <c r="W525" s="2">
        <f>-home-VLOOKUP(Table2[[#This Row],[Home/Neutral]],rtg_vlookup,4,FALSE)+VLOOKUP(Table2[[#This Row],[Visitor/Neutral]],rtg_vlookup,4,FALSE)</f>
        <v>-9.0486885245901654</v>
      </c>
      <c r="X525" s="15"/>
      <c r="Y525" s="2"/>
      <c r="Z525" s="2">
        <f>Table2[[#This Row],[A/EV]]-Table2[[#This Row],[H/EV]]</f>
        <v>-15.782025581130952</v>
      </c>
      <c r="AA525" s="29"/>
      <c r="AB525" s="30"/>
      <c r="AC525" s="30"/>
      <c r="AD525" s="30"/>
      <c r="AE525" s="30"/>
      <c r="AF525" s="7" t="b">
        <f>IF(VLOOKUP(Table2[[#This Row],[Home/Neutral]],division_lookup,9,FALSE)=VLOOKUP(Table2[[#This Row],[Visitor/Neutral]],division_lookup,9,FALSE),TRUE,FALSE)</f>
        <v>1</v>
      </c>
      <c r="AG525" s="15" t="str">
        <f>VLOOKUP(Table2[[#This Row],[Home/Neutral]],division_lookup,9,FALSE)</f>
        <v>C</v>
      </c>
      <c r="AH525" s="15" t="str">
        <f>IF(Table2[[#This Row],[Total/EV]]&lt;Table2[[#This Row],[Total/V]],"UNDER","OVER")</f>
        <v>OVER</v>
      </c>
      <c r="AI525" s="26">
        <f>Table2[[#This Row],[SRS/Real]]-Table2[[#This Row],[Spread/V]]</f>
        <v>0</v>
      </c>
      <c r="AJ525" s="2">
        <f>Table2[[#This Row],[EV/Real]]-Table2[[#This Row],[Spread/V]]</f>
        <v>0</v>
      </c>
      <c r="AK525" s="2">
        <f>Table2[[#This Row],[SRS/Diff]]-Table2[[#This Row],[EV/Diff]]</f>
        <v>0</v>
      </c>
      <c r="AL525" s="18">
        <f>Table2[[#This Row],[SRS]]-Table2[[#This Row],[Spread]]</f>
        <v>-9.0486885245901654</v>
      </c>
      <c r="AM525" s="21">
        <f>Table2[[#This Row],[(A) Err]]^2</f>
        <v>81.87876401504974</v>
      </c>
      <c r="AN525" s="6">
        <f>Table2[[#This Row],[EV]]-Table2[[#This Row],[Spread]]</f>
        <v>-15.782025581130952</v>
      </c>
      <c r="AO525" s="1">
        <f>Table2[[#This Row],[EV Err]]^2</f>
        <v>249.07233144347177</v>
      </c>
      <c r="AP525" s="1"/>
    </row>
    <row r="526" spans="1:42" x14ac:dyDescent="0.25">
      <c r="A526" s="34">
        <v>42738</v>
      </c>
      <c r="B526" t="s">
        <v>122</v>
      </c>
      <c r="C526" t="s">
        <v>123</v>
      </c>
      <c r="E526" s="21"/>
      <c r="G526" s="21"/>
      <c r="H526" s="7"/>
      <c r="I526" s="21"/>
      <c r="K526"/>
      <c r="L526" s="21">
        <f>(Table2[[#This Row],[H/Pace]]/100)*(VLOOKUP(Table2[[#This Row],[Home/Neutral]],home_lookup,8,FALSE)+VLOOKUP(Table2[[#This Row],[Home/Neutral]],OFR_lookup,2,FALSE)+VLOOKUP(Table2[[#This Row],[Visitor/Neutral]],def_diff_lookup,6,FALSE))</f>
        <v>106.2508883274473</v>
      </c>
      <c r="M526" s="21"/>
      <c r="N526" s="21">
        <f>(Table2[[#This Row],[A/Pace]]/100)*(VLOOKUP(Table2[[#This Row],[Visitor/Neutral]],OFR_lookup,2,FALSE)+VLOOKUP(Table2[[#This Row],[Home/Neutral]],def_diff_lookup,6,FALSE))</f>
        <v>100.22899166666666</v>
      </c>
      <c r="O526" s="21"/>
      <c r="P526" s="21"/>
      <c r="Q526">
        <f>VLOOKUP(Table2[[#This Row],[Home/Neutral]],pace_lookup,7,FALSE)</f>
        <v>100.2</v>
      </c>
      <c r="R526" s="5">
        <f>VLOOKUP(Table2[[#This Row],[Visitor/Neutral]],pace_lookup,7,FALSE)</f>
        <v>92.5</v>
      </c>
      <c r="S526" s="7"/>
      <c r="U526" s="15"/>
      <c r="W526" s="2">
        <f>-home-VLOOKUP(Table2[[#This Row],[Home/Neutral]],rtg_vlookup,4,FALSE)+VLOOKUP(Table2[[#This Row],[Visitor/Neutral]],rtg_vlookup,4,FALSE)</f>
        <v>0.15131147540983425</v>
      </c>
      <c r="X526" s="15"/>
      <c r="Y526" s="2"/>
      <c r="Z526" s="2">
        <f>Table2[[#This Row],[A/EV]]-Table2[[#This Row],[H/EV]]</f>
        <v>-6.0218966607806408</v>
      </c>
      <c r="AA526" s="29"/>
      <c r="AB526" s="30"/>
      <c r="AC526" s="30"/>
      <c r="AD526" s="30"/>
      <c r="AE526" s="30"/>
      <c r="AF526" s="7" t="b">
        <f>IF(VLOOKUP(Table2[[#This Row],[Home/Neutral]],division_lookup,9,FALSE)=VLOOKUP(Table2[[#This Row],[Visitor/Neutral]],division_lookup,9,FALSE),TRUE,FALSE)</f>
        <v>0</v>
      </c>
      <c r="AG526" s="15" t="str">
        <f>VLOOKUP(Table2[[#This Row],[Home/Neutral]],division_lookup,9,FALSE)</f>
        <v>P</v>
      </c>
      <c r="AH526" s="15" t="str">
        <f>IF(Table2[[#This Row],[Total/EV]]&lt;Table2[[#This Row],[Total/V]],"UNDER","OVER")</f>
        <v>OVER</v>
      </c>
      <c r="AI526" s="26">
        <f>Table2[[#This Row],[SRS/Real]]-Table2[[#This Row],[Spread/V]]</f>
        <v>0</v>
      </c>
      <c r="AJ526" s="2">
        <f>Table2[[#This Row],[EV/Real]]-Table2[[#This Row],[Spread/V]]</f>
        <v>0</v>
      </c>
      <c r="AK526" s="2">
        <f>Table2[[#This Row],[SRS/Diff]]-Table2[[#This Row],[EV/Diff]]</f>
        <v>0</v>
      </c>
      <c r="AL526" s="18">
        <f>Table2[[#This Row],[SRS]]-Table2[[#This Row],[Spread]]</f>
        <v>0.15131147540983425</v>
      </c>
      <c r="AM526" s="21">
        <f>Table2[[#This Row],[(A) Err]]^2</f>
        <v>2.2895162590700874E-2</v>
      </c>
      <c r="AN526" s="6">
        <f>Table2[[#This Row],[EV]]-Table2[[#This Row],[Spread]]</f>
        <v>-6.0218966607806408</v>
      </c>
      <c r="AO526" s="1">
        <f>Table2[[#This Row],[EV Err]]^2</f>
        <v>36.263239393121033</v>
      </c>
      <c r="AP526" s="1"/>
    </row>
    <row r="527" spans="1:42" x14ac:dyDescent="0.25">
      <c r="A527" s="34">
        <v>42738</v>
      </c>
      <c r="B527" t="s">
        <v>138</v>
      </c>
      <c r="C527" t="s">
        <v>126</v>
      </c>
      <c r="E527" s="21"/>
      <c r="G527" s="21"/>
      <c r="H527" s="7"/>
      <c r="I527" s="21"/>
      <c r="K527"/>
      <c r="L527" s="21">
        <f>(Table2[[#This Row],[H/Pace]]/100)*(VLOOKUP(Table2[[#This Row],[Home/Neutral]],home_lookup,8,FALSE)+VLOOKUP(Table2[[#This Row],[Home/Neutral]],OFR_lookup,2,FALSE)+VLOOKUP(Table2[[#This Row],[Visitor/Neutral]],def_diff_lookup,6,FALSE))</f>
        <v>102.2347835312401</v>
      </c>
      <c r="M527" s="21"/>
      <c r="N527" s="21">
        <f>(Table2[[#This Row],[A/Pace]]/100)*(VLOOKUP(Table2[[#This Row],[Visitor/Neutral]],OFR_lookup,2,FALSE)+VLOOKUP(Table2[[#This Row],[Home/Neutral]],def_diff_lookup,6,FALSE))</f>
        <v>105.64865300000001</v>
      </c>
      <c r="O527" s="21"/>
      <c r="P527" s="21"/>
      <c r="Q527">
        <f>VLOOKUP(Table2[[#This Row],[Home/Neutral]],pace_lookup,7,FALSE)</f>
        <v>97.5</v>
      </c>
      <c r="R527" s="5">
        <f>VLOOKUP(Table2[[#This Row],[Visitor/Neutral]],pace_lookup,7,FALSE)</f>
        <v>95.7</v>
      </c>
      <c r="S527" s="7"/>
      <c r="U527" s="15"/>
      <c r="W527" s="2">
        <f>-home-VLOOKUP(Table2[[#This Row],[Home/Neutral]],rtg_vlookup,4,FALSE)+VLOOKUP(Table2[[#This Row],[Visitor/Neutral]],rtg_vlookup,4,FALSE)</f>
        <v>5.6713114754098353</v>
      </c>
      <c r="X527" s="15"/>
      <c r="Y527" s="2"/>
      <c r="Z527" s="2">
        <f>Table2[[#This Row],[A/EV]]-Table2[[#This Row],[H/EV]]</f>
        <v>3.4138694687599127</v>
      </c>
      <c r="AA527" s="29"/>
      <c r="AB527" s="30"/>
      <c r="AC527" s="30"/>
      <c r="AD527" s="30"/>
      <c r="AE527" s="30"/>
      <c r="AF527" s="7" t="b">
        <f>IF(VLOOKUP(Table2[[#This Row],[Home/Neutral]],division_lookup,9,FALSE)=VLOOKUP(Table2[[#This Row],[Visitor/Neutral]],division_lookup,9,FALSE),TRUE,FALSE)</f>
        <v>0</v>
      </c>
      <c r="AG527" s="15" t="str">
        <f>VLOOKUP(Table2[[#This Row],[Home/Neutral]],division_lookup,9,FALSE)</f>
        <v>A</v>
      </c>
      <c r="AH527" s="15" t="str">
        <f>IF(Table2[[#This Row],[Total/EV]]&lt;Table2[[#This Row],[Total/V]],"UNDER","OVER")</f>
        <v>OVER</v>
      </c>
      <c r="AI527" s="26">
        <f>Table2[[#This Row],[SRS/Real]]-Table2[[#This Row],[Spread/V]]</f>
        <v>0</v>
      </c>
      <c r="AJ527" s="2">
        <f>Table2[[#This Row],[EV/Real]]-Table2[[#This Row],[Spread/V]]</f>
        <v>0</v>
      </c>
      <c r="AK527" s="2">
        <f>Table2[[#This Row],[SRS/Diff]]-Table2[[#This Row],[EV/Diff]]</f>
        <v>0</v>
      </c>
      <c r="AL527" s="18">
        <f>Table2[[#This Row],[SRS]]-Table2[[#This Row],[Spread]]</f>
        <v>5.6713114754098353</v>
      </c>
      <c r="AM527" s="21">
        <f>Table2[[#This Row],[(A) Err]]^2</f>
        <v>32.16377385111528</v>
      </c>
      <c r="AN527" s="6">
        <f>Table2[[#This Row],[EV]]-Table2[[#This Row],[Spread]]</f>
        <v>3.4138694687599127</v>
      </c>
      <c r="AO527" s="1">
        <f>Table2[[#This Row],[EV Err]]^2</f>
        <v>11.654504749731089</v>
      </c>
      <c r="AP527" s="1"/>
    </row>
    <row r="528" spans="1:42" x14ac:dyDescent="0.25">
      <c r="A528" s="34">
        <v>42738</v>
      </c>
      <c r="B528" t="s">
        <v>131</v>
      </c>
      <c r="C528" t="s">
        <v>124</v>
      </c>
      <c r="E528" s="21"/>
      <c r="G528" s="21"/>
      <c r="H528" s="7"/>
      <c r="I528" s="21"/>
      <c r="K528"/>
      <c r="L528" s="21">
        <f>(Table2[[#This Row],[H/Pace]]/100)*(VLOOKUP(Table2[[#This Row],[Home/Neutral]],home_lookup,8,FALSE)+VLOOKUP(Table2[[#This Row],[Home/Neutral]],OFR_lookup,2,FALSE)+VLOOKUP(Table2[[#This Row],[Visitor/Neutral]],def_diff_lookup,6,FALSE))</f>
        <v>94.716259791197658</v>
      </c>
      <c r="M528" s="21"/>
      <c r="N528" s="21">
        <f>(Table2[[#This Row],[A/Pace]]/100)*(VLOOKUP(Table2[[#This Row],[Visitor/Neutral]],OFR_lookup,2,FALSE)+VLOOKUP(Table2[[#This Row],[Home/Neutral]],def_diff_lookup,6,FALSE))</f>
        <v>97.799999666666665</v>
      </c>
      <c r="O528" s="21"/>
      <c r="P528" s="21"/>
      <c r="Q528">
        <f>VLOOKUP(Table2[[#This Row],[Home/Neutral]],pace_lookup,7,FALSE)</f>
        <v>101.7</v>
      </c>
      <c r="R528" s="5">
        <f>VLOOKUP(Table2[[#This Row],[Visitor/Neutral]],pace_lookup,7,FALSE)</f>
        <v>93.7</v>
      </c>
      <c r="S528" s="7"/>
      <c r="U528" s="15"/>
      <c r="W528" s="2">
        <f>-home-VLOOKUP(Table2[[#This Row],[Home/Neutral]],rtg_vlookup,4,FALSE)+VLOOKUP(Table2[[#This Row],[Visitor/Neutral]],rtg_vlookup,4,FALSE)</f>
        <v>2.4013114754098339</v>
      </c>
      <c r="X528" s="15"/>
      <c r="Y528" s="2"/>
      <c r="Z528" s="2">
        <f>Table2[[#This Row],[A/EV]]-Table2[[#This Row],[H/EV]]</f>
        <v>3.0837398754690071</v>
      </c>
      <c r="AA528" s="29"/>
      <c r="AB528" s="30"/>
      <c r="AC528" s="30"/>
      <c r="AD528" s="30"/>
      <c r="AE528" s="30"/>
      <c r="AF528" s="7" t="b">
        <f>IF(VLOOKUP(Table2[[#This Row],[Home/Neutral]],division_lookup,9,FALSE)=VLOOKUP(Table2[[#This Row],[Visitor/Neutral]],division_lookup,9,FALSE),TRUE,FALSE)</f>
        <v>0</v>
      </c>
      <c r="AG528" s="15" t="str">
        <f>VLOOKUP(Table2[[#This Row],[Home/Neutral]],division_lookup,9,FALSE)</f>
        <v>P</v>
      </c>
      <c r="AH528" s="15" t="str">
        <f>IF(Table2[[#This Row],[Total/EV]]&lt;Table2[[#This Row],[Total/V]],"UNDER","OVER")</f>
        <v>OVER</v>
      </c>
      <c r="AI528" s="26">
        <f>Table2[[#This Row],[SRS/Real]]-Table2[[#This Row],[Spread/V]]</f>
        <v>0</v>
      </c>
      <c r="AJ528" s="2">
        <f>Table2[[#This Row],[EV/Real]]-Table2[[#This Row],[Spread/V]]</f>
        <v>0</v>
      </c>
      <c r="AK528" s="2">
        <f>Table2[[#This Row],[SRS/Diff]]-Table2[[#This Row],[EV/Diff]]</f>
        <v>0</v>
      </c>
      <c r="AL528" s="18">
        <f>Table2[[#This Row],[SRS]]-Table2[[#This Row],[Spread]]</f>
        <v>2.4013114754098339</v>
      </c>
      <c r="AM528" s="21">
        <f>Table2[[#This Row],[(A) Err]]^2</f>
        <v>5.7662968019349536</v>
      </c>
      <c r="AN528" s="6">
        <f>Table2[[#This Row],[EV]]-Table2[[#This Row],[Spread]]</f>
        <v>3.0837398754690071</v>
      </c>
      <c r="AO528" s="1">
        <f>Table2[[#This Row],[EV Err]]^2</f>
        <v>9.5094516195576073</v>
      </c>
      <c r="AP528" s="1"/>
    </row>
    <row r="529" spans="1:42" x14ac:dyDescent="0.25">
      <c r="A529" s="34">
        <v>42738</v>
      </c>
      <c r="B529" t="s">
        <v>134</v>
      </c>
      <c r="C529" t="s">
        <v>135</v>
      </c>
      <c r="E529" s="21"/>
      <c r="G529" s="21"/>
      <c r="H529" s="7"/>
      <c r="I529" s="21"/>
      <c r="K529"/>
      <c r="L529" s="21">
        <f>(Table2[[#This Row],[H/Pace]]/100)*(VLOOKUP(Table2[[#This Row],[Home/Neutral]],home_lookup,8,FALSE)+VLOOKUP(Table2[[#This Row],[Home/Neutral]],OFR_lookup,2,FALSE)+VLOOKUP(Table2[[#This Row],[Visitor/Neutral]],def_diff_lookup,6,FALSE))</f>
        <v>101.51407343638193</v>
      </c>
      <c r="M529" s="21"/>
      <c r="N529" s="21">
        <f>(Table2[[#This Row],[A/Pace]]/100)*(VLOOKUP(Table2[[#This Row],[Visitor/Neutral]],OFR_lookup,2,FALSE)+VLOOKUP(Table2[[#This Row],[Home/Neutral]],def_diff_lookup,6,FALSE))</f>
        <v>106.97742600000001</v>
      </c>
      <c r="O529" s="21"/>
      <c r="P529" s="21"/>
      <c r="Q529">
        <f>VLOOKUP(Table2[[#This Row],[Home/Neutral]],pace_lookup,7,FALSE)</f>
        <v>93.4</v>
      </c>
      <c r="R529" s="5">
        <f>VLOOKUP(Table2[[#This Row],[Visitor/Neutral]],pace_lookup,7,FALSE)</f>
        <v>95.4</v>
      </c>
      <c r="S529" s="7"/>
      <c r="U529" s="15"/>
      <c r="W529" s="2">
        <f>-home-VLOOKUP(Table2[[#This Row],[Home/Neutral]],rtg_vlookup,4,FALSE)+VLOOKUP(Table2[[#This Row],[Visitor/Neutral]],rtg_vlookup,4,FALSE)</f>
        <v>-4.2286885245901642</v>
      </c>
      <c r="X529" s="15"/>
      <c r="Y529" s="2"/>
      <c r="Z529" s="2">
        <f>Table2[[#This Row],[A/EV]]-Table2[[#This Row],[H/EV]]</f>
        <v>5.4633525636180735</v>
      </c>
      <c r="AA529" s="29"/>
      <c r="AB529" s="30"/>
      <c r="AC529" s="30"/>
      <c r="AD529" s="30"/>
      <c r="AE529" s="30"/>
      <c r="AF529" s="7" t="b">
        <f>IF(VLOOKUP(Table2[[#This Row],[Home/Neutral]],division_lookup,9,FALSE)=VLOOKUP(Table2[[#This Row],[Visitor/Neutral]],division_lookup,9,FALSE),TRUE,FALSE)</f>
        <v>0</v>
      </c>
      <c r="AG529" s="15" t="str">
        <f>VLOOKUP(Table2[[#This Row],[Home/Neutral]],division_lookup,9,FALSE)</f>
        <v>SW</v>
      </c>
      <c r="AH529" s="15" t="str">
        <f>IF(Table2[[#This Row],[Total/EV]]&lt;Table2[[#This Row],[Total/V]],"UNDER","OVER")</f>
        <v>OVER</v>
      </c>
      <c r="AI529" s="26">
        <f>Table2[[#This Row],[SRS/Real]]-Table2[[#This Row],[Spread/V]]</f>
        <v>0</v>
      </c>
      <c r="AJ529" s="2">
        <f>Table2[[#This Row],[EV/Real]]-Table2[[#This Row],[Spread/V]]</f>
        <v>0</v>
      </c>
      <c r="AK529" s="2">
        <f>Table2[[#This Row],[SRS/Diff]]-Table2[[#This Row],[EV/Diff]]</f>
        <v>0</v>
      </c>
      <c r="AL529" s="18">
        <f>Table2[[#This Row],[SRS]]-Table2[[#This Row],[Spread]]</f>
        <v>-4.2286885245901642</v>
      </c>
      <c r="AM529" s="21">
        <f>Table2[[#This Row],[(A) Err]]^2</f>
        <v>17.88180663800054</v>
      </c>
      <c r="AN529" s="6">
        <f>Table2[[#This Row],[EV]]-Table2[[#This Row],[Spread]]</f>
        <v>5.4633525636180735</v>
      </c>
      <c r="AO529" s="1">
        <f>Table2[[#This Row],[EV Err]]^2</f>
        <v>29.848221234392177</v>
      </c>
      <c r="AP529" s="1"/>
    </row>
    <row r="530" spans="1:42" x14ac:dyDescent="0.25">
      <c r="A530" s="34">
        <v>42739</v>
      </c>
      <c r="B530" t="s">
        <v>112</v>
      </c>
      <c r="C530" t="s">
        <v>129</v>
      </c>
      <c r="E530" s="21"/>
      <c r="G530" s="21"/>
      <c r="H530" s="7"/>
      <c r="I530" s="21"/>
      <c r="K530"/>
      <c r="L530" s="21">
        <f>(Table2[[#This Row],[H/Pace]]/100)*(VLOOKUP(Table2[[#This Row],[Home/Neutral]],home_lookup,8,FALSE)+VLOOKUP(Table2[[#This Row],[Home/Neutral]],OFR_lookup,2,FALSE)+VLOOKUP(Table2[[#This Row],[Visitor/Neutral]],def_diff_lookup,6,FALSE))</f>
        <v>102.30968195313484</v>
      </c>
      <c r="M530" s="21"/>
      <c r="N530" s="21">
        <f>(Table2[[#This Row],[A/Pace]]/100)*(VLOOKUP(Table2[[#This Row],[Visitor/Neutral]],OFR_lookup,2,FALSE)+VLOOKUP(Table2[[#This Row],[Home/Neutral]],def_diff_lookup,6,FALSE))</f>
        <v>104.26250999999999</v>
      </c>
      <c r="O530" s="21"/>
      <c r="P530" s="21"/>
      <c r="Q530">
        <f>VLOOKUP(Table2[[#This Row],[Home/Neutral]],pace_lookup,7,FALSE)</f>
        <v>97.4</v>
      </c>
      <c r="R530" s="5">
        <f>VLOOKUP(Table2[[#This Row],[Visitor/Neutral]],pace_lookup,7,FALSE)</f>
        <v>99</v>
      </c>
      <c r="S530" s="7"/>
      <c r="U530" s="15"/>
      <c r="W530" s="2">
        <f>-home-VLOOKUP(Table2[[#This Row],[Home/Neutral]],rtg_vlookup,4,FALSE)+VLOOKUP(Table2[[#This Row],[Visitor/Neutral]],rtg_vlookup,4,FALSE)</f>
        <v>-3.308688524590166</v>
      </c>
      <c r="X530" s="15"/>
      <c r="Y530" s="2"/>
      <c r="Z530" s="2">
        <f>Table2[[#This Row],[A/EV]]-Table2[[#This Row],[H/EV]]</f>
        <v>1.9528280468651502</v>
      </c>
      <c r="AA530" s="29"/>
      <c r="AB530" s="30"/>
      <c r="AC530" s="30"/>
      <c r="AD530" s="30"/>
      <c r="AE530" s="30"/>
      <c r="AF530" s="7" t="b">
        <f>IF(VLOOKUP(Table2[[#This Row],[Home/Neutral]],division_lookup,9,FALSE)=VLOOKUP(Table2[[#This Row],[Visitor/Neutral]],division_lookup,9,FALSE),TRUE,FALSE)</f>
        <v>0</v>
      </c>
      <c r="AG530" s="15" t="str">
        <f>VLOOKUP(Table2[[#This Row],[Home/Neutral]],division_lookup,9,FALSE)</f>
        <v>SE</v>
      </c>
      <c r="AH530" s="15" t="str">
        <f>IF(Table2[[#This Row],[Total/EV]]&lt;Table2[[#This Row],[Total/V]],"UNDER","OVER")</f>
        <v>OVER</v>
      </c>
      <c r="AI530" s="26">
        <f>Table2[[#This Row],[SRS/Real]]-Table2[[#This Row],[Spread/V]]</f>
        <v>0</v>
      </c>
      <c r="AJ530" s="2">
        <f>Table2[[#This Row],[EV/Real]]-Table2[[#This Row],[Spread/V]]</f>
        <v>0</v>
      </c>
      <c r="AK530" s="2">
        <f>Table2[[#This Row],[SRS/Diff]]-Table2[[#This Row],[EV/Diff]]</f>
        <v>0</v>
      </c>
      <c r="AL530" s="18">
        <f>Table2[[#This Row],[SRS]]-Table2[[#This Row],[Spread]]</f>
        <v>-3.308688524590166</v>
      </c>
      <c r="AM530" s="21">
        <f>Table2[[#This Row],[(A) Err]]^2</f>
        <v>10.94741975275465</v>
      </c>
      <c r="AN530" s="6">
        <f>Table2[[#This Row],[EV]]-Table2[[#This Row],[Spread]]</f>
        <v>1.9528280468651502</v>
      </c>
      <c r="AO530" s="1">
        <f>Table2[[#This Row],[EV Err]]^2</f>
        <v>3.8135373806231572</v>
      </c>
      <c r="AP530" s="1"/>
    </row>
    <row r="531" spans="1:42" x14ac:dyDescent="0.25">
      <c r="A531" s="34">
        <v>42739</v>
      </c>
      <c r="B531" t="s">
        <v>114</v>
      </c>
      <c r="C531" t="s">
        <v>113</v>
      </c>
      <c r="E531" s="21"/>
      <c r="G531" s="21"/>
      <c r="H531" s="7"/>
      <c r="I531" s="21"/>
      <c r="K531"/>
      <c r="L531" s="21">
        <f>(Table2[[#This Row],[H/Pace]]/100)*(VLOOKUP(Table2[[#This Row],[Home/Neutral]],home_lookup,8,FALSE)+VLOOKUP(Table2[[#This Row],[Home/Neutral]],OFR_lookup,2,FALSE)+VLOOKUP(Table2[[#This Row],[Visitor/Neutral]],def_diff_lookup,6,FALSE))</f>
        <v>113.84276276756466</v>
      </c>
      <c r="M531" s="21"/>
      <c r="N531" s="21">
        <f>(Table2[[#This Row],[A/Pace]]/100)*(VLOOKUP(Table2[[#This Row],[Visitor/Neutral]],OFR_lookup,2,FALSE)+VLOOKUP(Table2[[#This Row],[Home/Neutral]],def_diff_lookup,6,FALSE))</f>
        <v>104.91019900000001</v>
      </c>
      <c r="O531" s="21"/>
      <c r="P531" s="21"/>
      <c r="Q531">
        <f>VLOOKUP(Table2[[#This Row],[Home/Neutral]],pace_lookup,7,FALSE)</f>
        <v>97.3</v>
      </c>
      <c r="R531" s="5">
        <f>VLOOKUP(Table2[[#This Row],[Visitor/Neutral]],pace_lookup,7,FALSE)</f>
        <v>95.1</v>
      </c>
      <c r="S531" s="7"/>
      <c r="U531" s="15"/>
      <c r="W531" s="2">
        <f>-home-VLOOKUP(Table2[[#This Row],[Home/Neutral]],rtg_vlookup,4,FALSE)+VLOOKUP(Table2[[#This Row],[Visitor/Neutral]],rtg_vlookup,4,FALSE)</f>
        <v>-6.7786885245901658</v>
      </c>
      <c r="X531" s="15"/>
      <c r="Y531" s="2"/>
      <c r="Z531" s="2">
        <f>Table2[[#This Row],[A/EV]]-Table2[[#This Row],[H/EV]]</f>
        <v>-8.932563767564659</v>
      </c>
      <c r="AA531" s="29"/>
      <c r="AB531" s="30"/>
      <c r="AC531" s="30"/>
      <c r="AD531" s="30"/>
      <c r="AE531" s="30"/>
      <c r="AF531" s="7" t="b">
        <f>IF(VLOOKUP(Table2[[#This Row],[Home/Neutral]],division_lookup,9,FALSE)=VLOOKUP(Table2[[#This Row],[Visitor/Neutral]],division_lookup,9,FALSE),TRUE,FALSE)</f>
        <v>1</v>
      </c>
      <c r="AG531" s="15" t="str">
        <f>VLOOKUP(Table2[[#This Row],[Home/Neutral]],division_lookup,9,FALSE)</f>
        <v>C</v>
      </c>
      <c r="AH531" s="15" t="str">
        <f>IF(Table2[[#This Row],[Total/EV]]&lt;Table2[[#This Row],[Total/V]],"UNDER","OVER")</f>
        <v>OVER</v>
      </c>
      <c r="AI531" s="26">
        <f>Table2[[#This Row],[SRS/Real]]-Table2[[#This Row],[Spread/V]]</f>
        <v>0</v>
      </c>
      <c r="AJ531" s="2">
        <f>Table2[[#This Row],[EV/Real]]-Table2[[#This Row],[Spread/V]]</f>
        <v>0</v>
      </c>
      <c r="AK531" s="2">
        <f>Table2[[#This Row],[SRS/Diff]]-Table2[[#This Row],[EV/Diff]]</f>
        <v>0</v>
      </c>
      <c r="AL531" s="18">
        <f>Table2[[#This Row],[SRS]]-Table2[[#This Row],[Spread]]</f>
        <v>-6.7786885245901658</v>
      </c>
      <c r="AM531" s="21">
        <f>Table2[[#This Row],[(A) Err]]^2</f>
        <v>45.9506181134104</v>
      </c>
      <c r="AN531" s="6">
        <f>Table2[[#This Row],[EV]]-Table2[[#This Row],[Spread]]</f>
        <v>-8.932563767564659</v>
      </c>
      <c r="AO531" s="1">
        <f>Table2[[#This Row],[EV Err]]^2</f>
        <v>79.790695461608934</v>
      </c>
      <c r="AP531" s="1"/>
    </row>
    <row r="532" spans="1:42" x14ac:dyDescent="0.25">
      <c r="A532" s="34">
        <v>42739</v>
      </c>
      <c r="B532" t="s">
        <v>118</v>
      </c>
      <c r="C532" t="s">
        <v>132</v>
      </c>
      <c r="E532" s="21"/>
      <c r="G532" s="21"/>
      <c r="H532" s="7"/>
      <c r="I532" s="21"/>
      <c r="K532"/>
      <c r="L532" s="21">
        <f>(Table2[[#This Row],[H/Pace]]/100)*(VLOOKUP(Table2[[#This Row],[Home/Neutral]],home_lookup,8,FALSE)+VLOOKUP(Table2[[#This Row],[Home/Neutral]],OFR_lookup,2,FALSE)+VLOOKUP(Table2[[#This Row],[Visitor/Neutral]],def_diff_lookup,6,FALSE))</f>
        <v>120.29459838078238</v>
      </c>
      <c r="M532" s="21"/>
      <c r="N532" s="21">
        <f>(Table2[[#This Row],[A/Pace]]/100)*(VLOOKUP(Table2[[#This Row],[Visitor/Neutral]],OFR_lookup,2,FALSE)+VLOOKUP(Table2[[#This Row],[Home/Neutral]],def_diff_lookup,6,FALSE))</f>
        <v>107.29251866666667</v>
      </c>
      <c r="O532" s="21"/>
      <c r="P532" s="21"/>
      <c r="Q532">
        <f>VLOOKUP(Table2[[#This Row],[Home/Neutral]],pace_lookup,7,FALSE)</f>
        <v>100.4</v>
      </c>
      <c r="R532" s="5">
        <f>VLOOKUP(Table2[[#This Row],[Visitor/Neutral]],pace_lookup,7,FALSE)</f>
        <v>98.8</v>
      </c>
      <c r="S532" s="7"/>
      <c r="U532" s="15"/>
      <c r="W532" s="2">
        <f>-home-VLOOKUP(Table2[[#This Row],[Home/Neutral]],rtg_vlookup,4,FALSE)+VLOOKUP(Table2[[#This Row],[Visitor/Neutral]],rtg_vlookup,4,FALSE)</f>
        <v>-16.638688524590165</v>
      </c>
      <c r="X532" s="15"/>
      <c r="Y532" s="2"/>
      <c r="Z532" s="2">
        <f>Table2[[#This Row],[A/EV]]-Table2[[#This Row],[H/EV]]</f>
        <v>-13.002079714115709</v>
      </c>
      <c r="AA532" s="29"/>
      <c r="AB532" s="30"/>
      <c r="AC532" s="30"/>
      <c r="AD532" s="30"/>
      <c r="AE532" s="30"/>
      <c r="AF532" s="7" t="b">
        <f>IF(VLOOKUP(Table2[[#This Row],[Home/Neutral]],division_lookup,9,FALSE)=VLOOKUP(Table2[[#This Row],[Visitor/Neutral]],division_lookup,9,FALSE),TRUE,FALSE)</f>
        <v>0</v>
      </c>
      <c r="AG532" s="15" t="str">
        <f>VLOOKUP(Table2[[#This Row],[Home/Neutral]],division_lookup,9,FALSE)</f>
        <v>P</v>
      </c>
      <c r="AH532" s="15" t="str">
        <f>IF(Table2[[#This Row],[Total/EV]]&lt;Table2[[#This Row],[Total/V]],"UNDER","OVER")</f>
        <v>OVER</v>
      </c>
      <c r="AI532" s="26">
        <f>Table2[[#This Row],[SRS/Real]]-Table2[[#This Row],[Spread/V]]</f>
        <v>0</v>
      </c>
      <c r="AJ532" s="2">
        <f>Table2[[#This Row],[EV/Real]]-Table2[[#This Row],[Spread/V]]</f>
        <v>0</v>
      </c>
      <c r="AK532" s="2">
        <f>Table2[[#This Row],[SRS/Diff]]-Table2[[#This Row],[EV/Diff]]</f>
        <v>0</v>
      </c>
      <c r="AL532" s="18">
        <f>Table2[[#This Row],[SRS]]-Table2[[#This Row],[Spread]]</f>
        <v>-16.638688524590165</v>
      </c>
      <c r="AM532" s="21">
        <f>Table2[[#This Row],[(A) Err]]^2</f>
        <v>276.84595581832843</v>
      </c>
      <c r="AN532" s="6">
        <f>Table2[[#This Row],[EV]]-Table2[[#This Row],[Spread]]</f>
        <v>-13.002079714115709</v>
      </c>
      <c r="AO532" s="1">
        <f>Table2[[#This Row],[EV Err]]^2</f>
        <v>169.05407689221923</v>
      </c>
      <c r="AP532" s="1"/>
    </row>
    <row r="533" spans="1:42" x14ac:dyDescent="0.25">
      <c r="A533" s="34">
        <v>42739</v>
      </c>
      <c r="B533" t="s">
        <v>121</v>
      </c>
      <c r="C533" t="s">
        <v>123</v>
      </c>
      <c r="E533" s="21"/>
      <c r="G533" s="21"/>
      <c r="H533" s="7"/>
      <c r="I533" s="21"/>
      <c r="K533"/>
      <c r="L533" s="21">
        <f>(Table2[[#This Row],[H/Pace]]/100)*(VLOOKUP(Table2[[#This Row],[Home/Neutral]],home_lookup,8,FALSE)+VLOOKUP(Table2[[#This Row],[Home/Neutral]],OFR_lookup,2,FALSE)+VLOOKUP(Table2[[#This Row],[Visitor/Neutral]],def_diff_lookup,6,FALSE))</f>
        <v>110.45820060751252</v>
      </c>
      <c r="M533" s="21"/>
      <c r="N533" s="21">
        <f>(Table2[[#This Row],[A/Pace]]/100)*(VLOOKUP(Table2[[#This Row],[Visitor/Neutral]],OFR_lookup,2,FALSE)+VLOOKUP(Table2[[#This Row],[Home/Neutral]],def_diff_lookup,6,FALSE))</f>
        <v>92.051991666666666</v>
      </c>
      <c r="O533" s="21"/>
      <c r="P533" s="21"/>
      <c r="Q533">
        <f>VLOOKUP(Table2[[#This Row],[Home/Neutral]],pace_lookup,7,FALSE)</f>
        <v>96.4</v>
      </c>
      <c r="R533" s="5">
        <f>VLOOKUP(Table2[[#This Row],[Visitor/Neutral]],pace_lookup,7,FALSE)</f>
        <v>92.5</v>
      </c>
      <c r="S533" s="7"/>
      <c r="U533" s="15"/>
      <c r="W533" s="2">
        <f>-home-VLOOKUP(Table2[[#This Row],[Home/Neutral]],rtg_vlookup,4,FALSE)+VLOOKUP(Table2[[#This Row],[Visitor/Neutral]],rtg_vlookup,4,FALSE)</f>
        <v>-14.828688524590167</v>
      </c>
      <c r="X533" s="15"/>
      <c r="Y533" s="2"/>
      <c r="Z533" s="2">
        <f>Table2[[#This Row],[A/EV]]-Table2[[#This Row],[H/EV]]</f>
        <v>-18.406208940845858</v>
      </c>
      <c r="AA533" s="29"/>
      <c r="AB533" s="30"/>
      <c r="AC533" s="30"/>
      <c r="AD533" s="30"/>
      <c r="AE533" s="30"/>
      <c r="AF533" s="7" t="b">
        <f>IF(VLOOKUP(Table2[[#This Row],[Home/Neutral]],division_lookup,9,FALSE)=VLOOKUP(Table2[[#This Row],[Visitor/Neutral]],division_lookup,9,FALSE),TRUE,FALSE)</f>
        <v>0</v>
      </c>
      <c r="AG533" s="15" t="str">
        <f>VLOOKUP(Table2[[#This Row],[Home/Neutral]],division_lookup,9,FALSE)</f>
        <v>P</v>
      </c>
      <c r="AH533" s="15" t="str">
        <f>IF(Table2[[#This Row],[Total/EV]]&lt;Table2[[#This Row],[Total/V]],"UNDER","OVER")</f>
        <v>OVER</v>
      </c>
      <c r="AI533" s="26">
        <f>Table2[[#This Row],[SRS/Real]]-Table2[[#This Row],[Spread/V]]</f>
        <v>0</v>
      </c>
      <c r="AJ533" s="2">
        <f>Table2[[#This Row],[EV/Real]]-Table2[[#This Row],[Spread/V]]</f>
        <v>0</v>
      </c>
      <c r="AK533" s="2">
        <f>Table2[[#This Row],[SRS/Diff]]-Table2[[#This Row],[EV/Diff]]</f>
        <v>0</v>
      </c>
      <c r="AL533" s="18">
        <f>Table2[[#This Row],[SRS]]-Table2[[#This Row],[Spread]]</f>
        <v>-14.828688524590167</v>
      </c>
      <c r="AM533" s="21">
        <f>Table2[[#This Row],[(A) Err]]^2</f>
        <v>219.89000335931209</v>
      </c>
      <c r="AN533" s="6">
        <f>Table2[[#This Row],[EV]]-Table2[[#This Row],[Spread]]</f>
        <v>-18.406208940845858</v>
      </c>
      <c r="AO533" s="1">
        <f>Table2[[#This Row],[EV Err]]^2</f>
        <v>338.78852757407401</v>
      </c>
      <c r="AP533" s="1"/>
    </row>
    <row r="534" spans="1:42" x14ac:dyDescent="0.25">
      <c r="A534" s="34">
        <v>42739</v>
      </c>
      <c r="B534" t="s">
        <v>128</v>
      </c>
      <c r="C534" t="s">
        <v>125</v>
      </c>
      <c r="E534" s="21"/>
      <c r="G534" s="21"/>
      <c r="H534" s="7"/>
      <c r="I534" s="21"/>
      <c r="K534"/>
      <c r="L534" s="21">
        <f>(Table2[[#This Row],[H/Pace]]/100)*(VLOOKUP(Table2[[#This Row],[Home/Neutral]],home_lookup,8,FALSE)+VLOOKUP(Table2[[#This Row],[Home/Neutral]],OFR_lookup,2,FALSE)+VLOOKUP(Table2[[#This Row],[Visitor/Neutral]],def_diff_lookup,6,FALSE))</f>
        <v>110.3873298778302</v>
      </c>
      <c r="M534" s="21"/>
      <c r="N534" s="21">
        <f>(Table2[[#This Row],[A/Pace]]/100)*(VLOOKUP(Table2[[#This Row],[Visitor/Neutral]],OFR_lookup,2,FALSE)+VLOOKUP(Table2[[#This Row],[Home/Neutral]],def_diff_lookup,6,FALSE))</f>
        <v>105.11962566666666</v>
      </c>
      <c r="O534" s="21"/>
      <c r="P534" s="21"/>
      <c r="Q534">
        <f>VLOOKUP(Table2[[#This Row],[Home/Neutral]],pace_lookup,7,FALSE)</f>
        <v>96.3</v>
      </c>
      <c r="R534" s="5">
        <f>VLOOKUP(Table2[[#This Row],[Visitor/Neutral]],pace_lookup,7,FALSE)</f>
        <v>96.1</v>
      </c>
      <c r="S534" s="7"/>
      <c r="U534" s="15"/>
      <c r="W534" s="2">
        <f>-home-VLOOKUP(Table2[[#This Row],[Home/Neutral]],rtg_vlookup,4,FALSE)+VLOOKUP(Table2[[#This Row],[Visitor/Neutral]],rtg_vlookup,4,FALSE)</f>
        <v>-3.3986885245901659</v>
      </c>
      <c r="X534" s="15"/>
      <c r="Y534" s="2"/>
      <c r="Z534" s="2">
        <f>Table2[[#This Row],[A/EV]]-Table2[[#This Row],[H/EV]]</f>
        <v>-5.267704211163533</v>
      </c>
      <c r="AA534" s="29"/>
      <c r="AB534" s="30"/>
      <c r="AC534" s="30"/>
      <c r="AD534" s="30"/>
      <c r="AE534" s="30"/>
      <c r="AF534" s="7" t="b">
        <f>IF(VLOOKUP(Table2[[#This Row],[Home/Neutral]],division_lookup,9,FALSE)=VLOOKUP(Table2[[#This Row],[Visitor/Neutral]],division_lookup,9,FALSE),TRUE,FALSE)</f>
        <v>0</v>
      </c>
      <c r="AG534" s="15" t="str">
        <f>VLOOKUP(Table2[[#This Row],[Home/Neutral]],division_lookup,9,FALSE)</f>
        <v>A</v>
      </c>
      <c r="AH534" s="15" t="str">
        <f>IF(Table2[[#This Row],[Total/EV]]&lt;Table2[[#This Row],[Total/V]],"UNDER","OVER")</f>
        <v>OVER</v>
      </c>
      <c r="AI534" s="26">
        <f>Table2[[#This Row],[SRS/Real]]-Table2[[#This Row],[Spread/V]]</f>
        <v>0</v>
      </c>
      <c r="AJ534" s="2">
        <f>Table2[[#This Row],[EV/Real]]-Table2[[#This Row],[Spread/V]]</f>
        <v>0</v>
      </c>
      <c r="AK534" s="2">
        <f>Table2[[#This Row],[SRS/Diff]]-Table2[[#This Row],[EV/Diff]]</f>
        <v>0</v>
      </c>
      <c r="AL534" s="18">
        <f>Table2[[#This Row],[SRS]]-Table2[[#This Row],[Spread]]</f>
        <v>-3.3986885245901659</v>
      </c>
      <c r="AM534" s="21">
        <f>Table2[[#This Row],[(A) Err]]^2</f>
        <v>11.55108368718088</v>
      </c>
      <c r="AN534" s="6">
        <f>Table2[[#This Row],[EV]]-Table2[[#This Row],[Spread]]</f>
        <v>-5.267704211163533</v>
      </c>
      <c r="AO534" s="1">
        <f>Table2[[#This Row],[EV Err]]^2</f>
        <v>27.748707656310021</v>
      </c>
      <c r="AP534" s="1"/>
    </row>
    <row r="535" spans="1:42" x14ac:dyDescent="0.25">
      <c r="A535" s="34">
        <v>42739</v>
      </c>
      <c r="B535" t="s">
        <v>130</v>
      </c>
      <c r="C535" t="s">
        <v>109</v>
      </c>
      <c r="E535" s="21"/>
      <c r="G535" s="21"/>
      <c r="H535" s="7"/>
      <c r="I535" s="21"/>
      <c r="K535"/>
      <c r="L535" s="21">
        <f>(Table2[[#This Row],[H/Pace]]/100)*(VLOOKUP(Table2[[#This Row],[Home/Neutral]],home_lookup,8,FALSE)+VLOOKUP(Table2[[#This Row],[Home/Neutral]],OFR_lookup,2,FALSE)+VLOOKUP(Table2[[#This Row],[Visitor/Neutral]],def_diff_lookup,6,FALSE))</f>
        <v>90.016244967109401</v>
      </c>
      <c r="M535" s="21"/>
      <c r="N535" s="21">
        <f>(Table2[[#This Row],[A/Pace]]/100)*(VLOOKUP(Table2[[#This Row],[Visitor/Neutral]],OFR_lookup,2,FALSE)+VLOOKUP(Table2[[#This Row],[Home/Neutral]],def_diff_lookup,6,FALSE))</f>
        <v>101.07058133333332</v>
      </c>
      <c r="O535" s="21"/>
      <c r="P535" s="21"/>
      <c r="Q535">
        <f>VLOOKUP(Table2[[#This Row],[Home/Neutral]],pace_lookup,7,FALSE)</f>
        <v>94.2</v>
      </c>
      <c r="R535" s="5">
        <f>VLOOKUP(Table2[[#This Row],[Visitor/Neutral]],pace_lookup,7,FALSE)</f>
        <v>99.2</v>
      </c>
      <c r="S535" s="7"/>
      <c r="U535" s="15"/>
      <c r="W535" s="2">
        <f>-home-VLOOKUP(Table2[[#This Row],[Home/Neutral]],rtg_vlookup,4,FALSE)+VLOOKUP(Table2[[#This Row],[Visitor/Neutral]],rtg_vlookup,4,FALSE)</f>
        <v>8.1313114754098343</v>
      </c>
      <c r="X535" s="15"/>
      <c r="Y535" s="2"/>
      <c r="Z535" s="2">
        <f>Table2[[#This Row],[A/EV]]-Table2[[#This Row],[H/EV]]</f>
        <v>11.054336366223922</v>
      </c>
      <c r="AA535" s="29"/>
      <c r="AB535" s="30"/>
      <c r="AC535" s="30"/>
      <c r="AD535" s="30"/>
      <c r="AE535" s="30"/>
      <c r="AF535" s="7" t="b">
        <f>IF(VLOOKUP(Table2[[#This Row],[Home/Neutral]],division_lookup,9,FALSE)=VLOOKUP(Table2[[#This Row],[Visitor/Neutral]],division_lookup,9,FALSE),TRUE,FALSE)</f>
        <v>1</v>
      </c>
      <c r="AG535" s="15" t="str">
        <f>VLOOKUP(Table2[[#This Row],[Home/Neutral]],division_lookup,9,FALSE)</f>
        <v>SE</v>
      </c>
      <c r="AH535" s="15" t="str">
        <f>IF(Table2[[#This Row],[Total/EV]]&lt;Table2[[#This Row],[Total/V]],"UNDER","OVER")</f>
        <v>OVER</v>
      </c>
      <c r="AI535" s="26">
        <f>Table2[[#This Row],[SRS/Real]]-Table2[[#This Row],[Spread/V]]</f>
        <v>0</v>
      </c>
      <c r="AJ535" s="2">
        <f>Table2[[#This Row],[EV/Real]]-Table2[[#This Row],[Spread/V]]</f>
        <v>0</v>
      </c>
      <c r="AK535" s="2">
        <f>Table2[[#This Row],[SRS/Diff]]-Table2[[#This Row],[EV/Diff]]</f>
        <v>0</v>
      </c>
      <c r="AL535" s="18">
        <f>Table2[[#This Row],[SRS]]-Table2[[#This Row],[Spread]]</f>
        <v>8.1313114754098343</v>
      </c>
      <c r="AM535" s="21">
        <f>Table2[[#This Row],[(A) Err]]^2</f>
        <v>66.118226310131661</v>
      </c>
      <c r="AN535" s="6">
        <f>Table2[[#This Row],[EV]]-Table2[[#This Row],[Spread]]</f>
        <v>11.054336366223922</v>
      </c>
      <c r="AO535" s="1">
        <f>Table2[[#This Row],[EV Err]]^2</f>
        <v>122.19835249762069</v>
      </c>
      <c r="AP535" s="1"/>
    </row>
    <row r="536" spans="1:42" x14ac:dyDescent="0.25">
      <c r="A536" s="34">
        <v>42739</v>
      </c>
      <c r="B536" t="s">
        <v>133</v>
      </c>
      <c r="C536" t="s">
        <v>124</v>
      </c>
      <c r="E536" s="21"/>
      <c r="G536" s="21"/>
      <c r="H536" s="7"/>
      <c r="I536" s="21"/>
      <c r="K536"/>
      <c r="L536" s="21">
        <f>(Table2[[#This Row],[H/Pace]]/100)*(VLOOKUP(Table2[[#This Row],[Home/Neutral]],home_lookup,8,FALSE)+VLOOKUP(Table2[[#This Row],[Home/Neutral]],OFR_lookup,2,FALSE)+VLOOKUP(Table2[[#This Row],[Visitor/Neutral]],def_diff_lookup,6,FALSE))</f>
        <v>105.96016748279979</v>
      </c>
      <c r="M536" s="21"/>
      <c r="N536" s="21">
        <f>(Table2[[#This Row],[A/Pace]]/100)*(VLOOKUP(Table2[[#This Row],[Visitor/Neutral]],OFR_lookup,2,FALSE)+VLOOKUP(Table2[[#This Row],[Home/Neutral]],def_diff_lookup,6,FALSE))</f>
        <v>99.777069666666662</v>
      </c>
      <c r="O536" s="21"/>
      <c r="P536" s="21"/>
      <c r="Q536">
        <f>VLOOKUP(Table2[[#This Row],[Home/Neutral]],pace_lookup,7,FALSE)</f>
        <v>94.2</v>
      </c>
      <c r="R536" s="5">
        <f>VLOOKUP(Table2[[#This Row],[Visitor/Neutral]],pace_lookup,7,FALSE)</f>
        <v>93.7</v>
      </c>
      <c r="S536" s="7"/>
      <c r="U536" s="15"/>
      <c r="W536" s="2">
        <f>-home-VLOOKUP(Table2[[#This Row],[Home/Neutral]],rtg_vlookup,4,FALSE)+VLOOKUP(Table2[[#This Row],[Visitor/Neutral]],rtg_vlookup,4,FALSE)</f>
        <v>-2.058688524590166</v>
      </c>
      <c r="X536" s="15"/>
      <c r="Y536" s="2"/>
      <c r="Z536" s="2">
        <f>Table2[[#This Row],[A/EV]]-Table2[[#This Row],[H/EV]]</f>
        <v>-6.1830978161331274</v>
      </c>
      <c r="AA536" s="29"/>
      <c r="AB536" s="30"/>
      <c r="AC536" s="30"/>
      <c r="AD536" s="30"/>
      <c r="AE536" s="30"/>
      <c r="AF536" s="7" t="b">
        <f>IF(VLOOKUP(Table2[[#This Row],[Home/Neutral]],division_lookup,9,FALSE)=VLOOKUP(Table2[[#This Row],[Visitor/Neutral]],division_lookup,9,FALSE),TRUE,FALSE)</f>
        <v>0</v>
      </c>
      <c r="AG536" s="15" t="str">
        <f>VLOOKUP(Table2[[#This Row],[Home/Neutral]],division_lookup,9,FALSE)</f>
        <v>P</v>
      </c>
      <c r="AH536" s="15" t="str">
        <f>IF(Table2[[#This Row],[Total/EV]]&lt;Table2[[#This Row],[Total/V]],"UNDER","OVER")</f>
        <v>OVER</v>
      </c>
      <c r="AI536" s="26">
        <f>Table2[[#This Row],[SRS/Real]]-Table2[[#This Row],[Spread/V]]</f>
        <v>0</v>
      </c>
      <c r="AJ536" s="2">
        <f>Table2[[#This Row],[EV/Real]]-Table2[[#This Row],[Spread/V]]</f>
        <v>0</v>
      </c>
      <c r="AK536" s="2">
        <f>Table2[[#This Row],[SRS/Diff]]-Table2[[#This Row],[EV/Diff]]</f>
        <v>0</v>
      </c>
      <c r="AL536" s="18">
        <f>Table2[[#This Row],[SRS]]-Table2[[#This Row],[Spread]]</f>
        <v>-2.058688524590166</v>
      </c>
      <c r="AM536" s="21">
        <f>Table2[[#This Row],[(A) Err]]^2</f>
        <v>4.2381984412792351</v>
      </c>
      <c r="AN536" s="6">
        <f>Table2[[#This Row],[EV]]-Table2[[#This Row],[Spread]]</f>
        <v>-6.1830978161331274</v>
      </c>
      <c r="AO536" s="1">
        <f>Table2[[#This Row],[EV Err]]^2</f>
        <v>38.230698603870252</v>
      </c>
      <c r="AP536" s="1"/>
    </row>
    <row r="537" spans="1:42" x14ac:dyDescent="0.25">
      <c r="A537" s="34">
        <v>42740</v>
      </c>
      <c r="B537" t="s">
        <v>115</v>
      </c>
      <c r="C537" t="s">
        <v>131</v>
      </c>
      <c r="E537" s="21"/>
      <c r="G537" s="21"/>
      <c r="H537" s="7"/>
      <c r="I537" s="21"/>
      <c r="K537"/>
      <c r="L537" s="21">
        <f>(Table2[[#This Row],[H/Pace]]/100)*(VLOOKUP(Table2[[#This Row],[Home/Neutral]],home_lookup,8,FALSE)+VLOOKUP(Table2[[#This Row],[Home/Neutral]],OFR_lookup,2,FALSE)+VLOOKUP(Table2[[#This Row],[Visitor/Neutral]],def_diff_lookup,6,FALSE))</f>
        <v>96.455443115967753</v>
      </c>
      <c r="M537" s="21"/>
      <c r="N537" s="21">
        <f>(Table2[[#This Row],[A/Pace]]/100)*(VLOOKUP(Table2[[#This Row],[Visitor/Neutral]],OFR_lookup,2,FALSE)+VLOOKUP(Table2[[#This Row],[Home/Neutral]],def_diff_lookup,6,FALSE))</f>
        <v>102.417663</v>
      </c>
      <c r="O537" s="21"/>
      <c r="P537" s="21"/>
      <c r="Q537">
        <f>VLOOKUP(Table2[[#This Row],[Home/Neutral]],pace_lookup,7,FALSE)</f>
        <v>92.9</v>
      </c>
      <c r="R537" s="5">
        <f>VLOOKUP(Table2[[#This Row],[Visitor/Neutral]],pace_lookup,7,FALSE)</f>
        <v>101.7</v>
      </c>
      <c r="S537" s="7"/>
      <c r="U537" s="15"/>
      <c r="W537" s="2">
        <f>-home-VLOOKUP(Table2[[#This Row],[Home/Neutral]],rtg_vlookup,4,FALSE)+VLOOKUP(Table2[[#This Row],[Visitor/Neutral]],rtg_vlookup,4,FALSE)</f>
        <v>-0.29868852459016626</v>
      </c>
      <c r="X537" s="15"/>
      <c r="Y537" s="2"/>
      <c r="Z537" s="2">
        <f>Table2[[#This Row],[A/EV]]-Table2[[#This Row],[H/EV]]</f>
        <v>5.9622198840322511</v>
      </c>
      <c r="AA537" s="29"/>
      <c r="AB537" s="30"/>
      <c r="AC537" s="30"/>
      <c r="AD537" s="30"/>
      <c r="AE537" s="30"/>
      <c r="AF537" s="7" t="b">
        <f>IF(VLOOKUP(Table2[[#This Row],[Home/Neutral]],division_lookup,9,FALSE)=VLOOKUP(Table2[[#This Row],[Visitor/Neutral]],division_lookup,9,FALSE),TRUE,FALSE)</f>
        <v>0</v>
      </c>
      <c r="AG537" s="15" t="str">
        <f>VLOOKUP(Table2[[#This Row],[Home/Neutral]],division_lookup,9,FALSE)</f>
        <v>SW</v>
      </c>
      <c r="AH537" s="15" t="str">
        <f>IF(Table2[[#This Row],[Total/EV]]&lt;Table2[[#This Row],[Total/V]],"UNDER","OVER")</f>
        <v>OVER</v>
      </c>
      <c r="AI537" s="26">
        <f>Table2[[#This Row],[SRS/Real]]-Table2[[#This Row],[Spread/V]]</f>
        <v>0</v>
      </c>
      <c r="AJ537" s="2">
        <f>Table2[[#This Row],[EV/Real]]-Table2[[#This Row],[Spread/V]]</f>
        <v>0</v>
      </c>
      <c r="AK537" s="2">
        <f>Table2[[#This Row],[SRS/Diff]]-Table2[[#This Row],[EV/Diff]]</f>
        <v>0</v>
      </c>
      <c r="AL537" s="18">
        <f>Table2[[#This Row],[SRS]]-Table2[[#This Row],[Spread]]</f>
        <v>-0.29868852459016626</v>
      </c>
      <c r="AM537" s="21">
        <f>Table2[[#This Row],[(A) Err]]^2</f>
        <v>8.921483472185035E-2</v>
      </c>
      <c r="AN537" s="6">
        <f>Table2[[#This Row],[EV]]-Table2[[#This Row],[Spread]]</f>
        <v>5.9622198840322511</v>
      </c>
      <c r="AO537" s="1">
        <f>Table2[[#This Row],[EV Err]]^2</f>
        <v>35.548065945549553</v>
      </c>
      <c r="AP537" s="1"/>
    </row>
    <row r="538" spans="1:42" x14ac:dyDescent="0.25">
      <c r="A538" s="34">
        <v>42740</v>
      </c>
      <c r="B538" t="s">
        <v>116</v>
      </c>
      <c r="C538" t="s">
        <v>134</v>
      </c>
      <c r="E538" s="21"/>
      <c r="G538" s="21"/>
      <c r="H538" s="7"/>
      <c r="I538" s="21"/>
      <c r="K538"/>
      <c r="L538" s="21">
        <f>(Table2[[#This Row],[H/Pace]]/100)*(VLOOKUP(Table2[[#This Row],[Home/Neutral]],home_lookup,8,FALSE)+VLOOKUP(Table2[[#This Row],[Home/Neutral]],OFR_lookup,2,FALSE)+VLOOKUP(Table2[[#This Row],[Visitor/Neutral]],def_diff_lookup,6,FALSE))</f>
        <v>103.56793470161864</v>
      </c>
      <c r="M538" s="21"/>
      <c r="N538" s="21">
        <f>(Table2[[#This Row],[A/Pace]]/100)*(VLOOKUP(Table2[[#This Row],[Visitor/Neutral]],OFR_lookup,2,FALSE)+VLOOKUP(Table2[[#This Row],[Home/Neutral]],def_diff_lookup,6,FALSE))</f>
        <v>105.49125266666665</v>
      </c>
      <c r="O538" s="21"/>
      <c r="P538" s="21"/>
      <c r="Q538">
        <f>VLOOKUP(Table2[[#This Row],[Home/Neutral]],pace_lookup,7,FALSE)</f>
        <v>99.1</v>
      </c>
      <c r="R538" s="5">
        <f>VLOOKUP(Table2[[#This Row],[Visitor/Neutral]],pace_lookup,7,FALSE)</f>
        <v>93.4</v>
      </c>
      <c r="S538" s="7"/>
      <c r="U538" s="15"/>
      <c r="W538" s="2">
        <f>-home-VLOOKUP(Table2[[#This Row],[Home/Neutral]],rtg_vlookup,4,FALSE)+VLOOKUP(Table2[[#This Row],[Visitor/Neutral]],rtg_vlookup,4,FALSE)</f>
        <v>5.3513114754098332</v>
      </c>
      <c r="X538" s="15"/>
      <c r="Y538" s="2"/>
      <c r="Z538" s="2">
        <f>Table2[[#This Row],[A/EV]]-Table2[[#This Row],[H/EV]]</f>
        <v>1.9233179650480139</v>
      </c>
      <c r="AA538" s="29"/>
      <c r="AB538" s="30"/>
      <c r="AC538" s="30"/>
      <c r="AD538" s="30"/>
      <c r="AE538" s="30"/>
      <c r="AF538" s="7" t="b">
        <f>IF(VLOOKUP(Table2[[#This Row],[Home/Neutral]],division_lookup,9,FALSE)=VLOOKUP(Table2[[#This Row],[Visitor/Neutral]],division_lookup,9,FALSE),TRUE,FALSE)</f>
        <v>0</v>
      </c>
      <c r="AG538" s="15" t="str">
        <f>VLOOKUP(Table2[[#This Row],[Home/Neutral]],division_lookup,9,FALSE)</f>
        <v>NW</v>
      </c>
      <c r="AH538" s="15" t="str">
        <f>IF(Table2[[#This Row],[Total/EV]]&lt;Table2[[#This Row],[Total/V]],"UNDER","OVER")</f>
        <v>OVER</v>
      </c>
      <c r="AI538" s="26">
        <f>Table2[[#This Row],[SRS/Real]]-Table2[[#This Row],[Spread/V]]</f>
        <v>0</v>
      </c>
      <c r="AJ538" s="2">
        <f>Table2[[#This Row],[EV/Real]]-Table2[[#This Row],[Spread/V]]</f>
        <v>0</v>
      </c>
      <c r="AK538" s="2">
        <f>Table2[[#This Row],[SRS/Diff]]-Table2[[#This Row],[EV/Diff]]</f>
        <v>0</v>
      </c>
      <c r="AL538" s="18">
        <f>Table2[[#This Row],[SRS]]-Table2[[#This Row],[Spread]]</f>
        <v>5.3513114754098332</v>
      </c>
      <c r="AM538" s="21">
        <f>Table2[[#This Row],[(A) Err]]^2</f>
        <v>28.636534506852964</v>
      </c>
      <c r="AN538" s="6">
        <f>Table2[[#This Row],[EV]]-Table2[[#This Row],[Spread]]</f>
        <v>1.9233179650480139</v>
      </c>
      <c r="AO538" s="1">
        <f>Table2[[#This Row],[EV Err]]^2</f>
        <v>3.6991519946764333</v>
      </c>
      <c r="AP538" s="1"/>
    </row>
    <row r="539" spans="1:42" x14ac:dyDescent="0.25">
      <c r="A539" s="34">
        <v>42740</v>
      </c>
      <c r="B539" t="s">
        <v>117</v>
      </c>
      <c r="C539" t="s">
        <v>112</v>
      </c>
      <c r="E539" s="21"/>
      <c r="G539" s="21"/>
      <c r="H539" s="7"/>
      <c r="I539" s="21"/>
      <c r="K539"/>
      <c r="L539" s="21">
        <f>(Table2[[#This Row],[H/Pace]]/100)*(VLOOKUP(Table2[[#This Row],[Home/Neutral]],home_lookup,8,FALSE)+VLOOKUP(Table2[[#This Row],[Home/Neutral]],OFR_lookup,2,FALSE)+VLOOKUP(Table2[[#This Row],[Visitor/Neutral]],def_diff_lookup,6,FALSE))</f>
        <v>111.36239591446429</v>
      </c>
      <c r="M539" s="21"/>
      <c r="N539" s="21">
        <f>(Table2[[#This Row],[A/Pace]]/100)*(VLOOKUP(Table2[[#This Row],[Visitor/Neutral]],OFR_lookup,2,FALSE)+VLOOKUP(Table2[[#This Row],[Home/Neutral]],def_diff_lookup,6,FALSE))</f>
        <v>101.17489933333334</v>
      </c>
      <c r="O539" s="21"/>
      <c r="P539" s="21"/>
      <c r="Q539">
        <f>VLOOKUP(Table2[[#This Row],[Home/Neutral]],pace_lookup,7,FALSE)</f>
        <v>94</v>
      </c>
      <c r="R539" s="5">
        <f>VLOOKUP(Table2[[#This Row],[Visitor/Neutral]],pace_lookup,7,FALSE)</f>
        <v>97.4</v>
      </c>
      <c r="S539" s="7"/>
      <c r="U539" s="15"/>
      <c r="W539" s="2">
        <f>-home-VLOOKUP(Table2[[#This Row],[Home/Neutral]],rtg_vlookup,4,FALSE)+VLOOKUP(Table2[[#This Row],[Visitor/Neutral]],rtg_vlookup,4,FALSE)</f>
        <v>-2.308688524590166</v>
      </c>
      <c r="X539" s="15"/>
      <c r="Y539" s="2"/>
      <c r="Z539" s="2">
        <f>Table2[[#This Row],[A/EV]]-Table2[[#This Row],[H/EV]]</f>
        <v>-10.187496581130944</v>
      </c>
      <c r="AA539" s="29"/>
      <c r="AB539" s="30"/>
      <c r="AC539" s="30"/>
      <c r="AD539" s="30"/>
      <c r="AE539" s="30"/>
      <c r="AF539" s="7" t="b">
        <f>IF(VLOOKUP(Table2[[#This Row],[Home/Neutral]],division_lookup,9,FALSE)=VLOOKUP(Table2[[#This Row],[Visitor/Neutral]],division_lookup,9,FALSE),TRUE,FALSE)</f>
        <v>0</v>
      </c>
      <c r="AG539" s="15" t="str">
        <f>VLOOKUP(Table2[[#This Row],[Home/Neutral]],division_lookup,9,FALSE)</f>
        <v>C</v>
      </c>
      <c r="AH539" s="15" t="str">
        <f>IF(Table2[[#This Row],[Total/EV]]&lt;Table2[[#This Row],[Total/V]],"UNDER","OVER")</f>
        <v>OVER</v>
      </c>
      <c r="AI539" s="26">
        <f>Table2[[#This Row],[SRS/Real]]-Table2[[#This Row],[Spread/V]]</f>
        <v>0</v>
      </c>
      <c r="AJ539" s="2">
        <f>Table2[[#This Row],[EV/Real]]-Table2[[#This Row],[Spread/V]]</f>
        <v>0</v>
      </c>
      <c r="AK539" s="2">
        <f>Table2[[#This Row],[SRS/Diff]]-Table2[[#This Row],[EV/Diff]]</f>
        <v>0</v>
      </c>
      <c r="AL539" s="18">
        <f>Table2[[#This Row],[SRS]]-Table2[[#This Row],[Spread]]</f>
        <v>-2.308688524590166</v>
      </c>
      <c r="AM539" s="21">
        <f>Table2[[#This Row],[(A) Err]]^2</f>
        <v>5.3300427035743176</v>
      </c>
      <c r="AN539" s="6">
        <f>Table2[[#This Row],[EV]]-Table2[[#This Row],[Spread]]</f>
        <v>-10.187496581130944</v>
      </c>
      <c r="AO539" s="1">
        <f>Table2[[#This Row],[EV Err]]^2</f>
        <v>103.78508659055467</v>
      </c>
      <c r="AP539" s="1"/>
    </row>
    <row r="540" spans="1:42" x14ac:dyDescent="0.25">
      <c r="A540" s="34">
        <v>42740</v>
      </c>
      <c r="B540" t="s">
        <v>119</v>
      </c>
      <c r="C540" t="s">
        <v>129</v>
      </c>
      <c r="E540" s="21"/>
      <c r="G540" s="21"/>
      <c r="H540" s="7"/>
      <c r="I540" s="21"/>
      <c r="K540"/>
      <c r="L540" s="21">
        <f>(Table2[[#This Row],[H/Pace]]/100)*(VLOOKUP(Table2[[#This Row],[Home/Neutral]],home_lookup,8,FALSE)+VLOOKUP(Table2[[#This Row],[Home/Neutral]],OFR_lookup,2,FALSE)+VLOOKUP(Table2[[#This Row],[Visitor/Neutral]],def_diff_lookup,6,FALSE))</f>
        <v>107.04933376977628</v>
      </c>
      <c r="M540" s="21"/>
      <c r="N540" s="21">
        <f>(Table2[[#This Row],[A/Pace]]/100)*(VLOOKUP(Table2[[#This Row],[Visitor/Neutral]],OFR_lookup,2,FALSE)+VLOOKUP(Table2[[#This Row],[Home/Neutral]],def_diff_lookup,6,FALSE))</f>
        <v>107.87600999999999</v>
      </c>
      <c r="O540" s="21"/>
      <c r="P540" s="21"/>
      <c r="Q540">
        <f>VLOOKUP(Table2[[#This Row],[Home/Neutral]],pace_lookup,7,FALSE)</f>
        <v>96.9</v>
      </c>
      <c r="R540" s="5">
        <f>VLOOKUP(Table2[[#This Row],[Visitor/Neutral]],pace_lookup,7,FALSE)</f>
        <v>99</v>
      </c>
      <c r="S540" s="7"/>
      <c r="U540" s="15"/>
      <c r="W540" s="2">
        <f>-home-VLOOKUP(Table2[[#This Row],[Home/Neutral]],rtg_vlookup,4,FALSE)+VLOOKUP(Table2[[#This Row],[Visitor/Neutral]],rtg_vlookup,4,FALSE)</f>
        <v>-4.9486885245901657</v>
      </c>
      <c r="X540" s="15"/>
      <c r="Y540" s="2"/>
      <c r="Z540" s="2">
        <f>Table2[[#This Row],[A/EV]]-Table2[[#This Row],[H/EV]]</f>
        <v>0.82667623022371117</v>
      </c>
      <c r="AA540" s="29"/>
      <c r="AB540" s="30"/>
      <c r="AC540" s="30"/>
      <c r="AD540" s="30"/>
      <c r="AE540" s="30"/>
      <c r="AF540" s="7" t="b">
        <f>IF(VLOOKUP(Table2[[#This Row],[Home/Neutral]],division_lookup,9,FALSE)=VLOOKUP(Table2[[#This Row],[Visitor/Neutral]],division_lookup,9,FALSE),TRUE,FALSE)</f>
        <v>0</v>
      </c>
      <c r="AG540" s="15" t="str">
        <f>VLOOKUP(Table2[[#This Row],[Home/Neutral]],division_lookup,9,FALSE)</f>
        <v>SW</v>
      </c>
      <c r="AH540" s="15" t="str">
        <f>IF(Table2[[#This Row],[Total/EV]]&lt;Table2[[#This Row],[Total/V]],"UNDER","OVER")</f>
        <v>OVER</v>
      </c>
      <c r="AI540" s="26">
        <f>Table2[[#This Row],[SRS/Real]]-Table2[[#This Row],[Spread/V]]</f>
        <v>0</v>
      </c>
      <c r="AJ540" s="2">
        <f>Table2[[#This Row],[EV/Real]]-Table2[[#This Row],[Spread/V]]</f>
        <v>0</v>
      </c>
      <c r="AK540" s="2">
        <f>Table2[[#This Row],[SRS/Diff]]-Table2[[#This Row],[EV/Diff]]</f>
        <v>0</v>
      </c>
      <c r="AL540" s="18">
        <f>Table2[[#This Row],[SRS]]-Table2[[#This Row],[Spread]]</f>
        <v>-4.9486885245901657</v>
      </c>
      <c r="AM540" s="21">
        <f>Table2[[#This Row],[(A) Err]]^2</f>
        <v>24.489518113410391</v>
      </c>
      <c r="AN540" s="6">
        <f>Table2[[#This Row],[EV]]-Table2[[#This Row],[Spread]]</f>
        <v>0.82667623022371117</v>
      </c>
      <c r="AO540" s="1">
        <f>Table2[[#This Row],[EV Err]]^2</f>
        <v>0.68339358961688634</v>
      </c>
      <c r="AP540" s="1"/>
    </row>
    <row r="541" spans="1:42" x14ac:dyDescent="0.25">
      <c r="A541" s="34">
        <v>42740</v>
      </c>
      <c r="B541" t="s">
        <v>120</v>
      </c>
      <c r="C541" t="s">
        <v>111</v>
      </c>
      <c r="E541" s="21"/>
      <c r="G541" s="21"/>
      <c r="H541" s="7"/>
      <c r="I541" s="21"/>
      <c r="K541"/>
      <c r="L541" s="21">
        <f>(Table2[[#This Row],[H/Pace]]/100)*(VLOOKUP(Table2[[#This Row],[Home/Neutral]],home_lookup,8,FALSE)+VLOOKUP(Table2[[#This Row],[Home/Neutral]],OFR_lookup,2,FALSE)+VLOOKUP(Table2[[#This Row],[Visitor/Neutral]],def_diff_lookup,6,FALSE))</f>
        <v>110.20280542930861</v>
      </c>
      <c r="M541" s="21"/>
      <c r="N541" s="21">
        <f>(Table2[[#This Row],[A/Pace]]/100)*(VLOOKUP(Table2[[#This Row],[Visitor/Neutral]],OFR_lookup,2,FALSE)+VLOOKUP(Table2[[#This Row],[Home/Neutral]],def_diff_lookup,6,FALSE))</f>
        <v>106.00417999999999</v>
      </c>
      <c r="O541" s="21"/>
      <c r="P541" s="21"/>
      <c r="Q541">
        <f>VLOOKUP(Table2[[#This Row],[Home/Neutral]],pace_lookup,7,FALSE)</f>
        <v>98.3</v>
      </c>
      <c r="R541" s="5">
        <f>VLOOKUP(Table2[[#This Row],[Visitor/Neutral]],pace_lookup,7,FALSE)</f>
        <v>102</v>
      </c>
      <c r="S541" s="7"/>
      <c r="U541" s="15"/>
      <c r="W541" s="2">
        <f>-home-VLOOKUP(Table2[[#This Row],[Home/Neutral]],rtg_vlookup,4,FALSE)+VLOOKUP(Table2[[#This Row],[Visitor/Neutral]],rtg_vlookup,4,FALSE)</f>
        <v>-6.858688524590165</v>
      </c>
      <c r="X541" s="15"/>
      <c r="Y541" s="2"/>
      <c r="Z541" s="2">
        <f>Table2[[#This Row],[A/EV]]-Table2[[#This Row],[H/EV]]</f>
        <v>-4.1986254293086205</v>
      </c>
      <c r="AA541" s="29"/>
      <c r="AB541" s="30"/>
      <c r="AC541" s="30"/>
      <c r="AD541" s="30"/>
      <c r="AE541" s="30"/>
      <c r="AF541" s="7" t="b">
        <f>IF(VLOOKUP(Table2[[#This Row],[Home/Neutral]],division_lookup,9,FALSE)=VLOOKUP(Table2[[#This Row],[Visitor/Neutral]],division_lookup,9,FALSE),TRUE,FALSE)</f>
        <v>0</v>
      </c>
      <c r="AG541" s="15" t="str">
        <f>VLOOKUP(Table2[[#This Row],[Home/Neutral]],division_lookup,9,FALSE)</f>
        <v>C</v>
      </c>
      <c r="AH541" s="15" t="str">
        <f>IF(Table2[[#This Row],[Total/EV]]&lt;Table2[[#This Row],[Total/V]],"UNDER","OVER")</f>
        <v>OVER</v>
      </c>
      <c r="AI541" s="26">
        <f>Table2[[#This Row],[SRS/Real]]-Table2[[#This Row],[Spread/V]]</f>
        <v>0</v>
      </c>
      <c r="AJ541" s="2">
        <f>Table2[[#This Row],[EV/Real]]-Table2[[#This Row],[Spread/V]]</f>
        <v>0</v>
      </c>
      <c r="AK541" s="2">
        <f>Table2[[#This Row],[SRS/Diff]]-Table2[[#This Row],[EV/Diff]]</f>
        <v>0</v>
      </c>
      <c r="AL541" s="18">
        <f>Table2[[#This Row],[SRS]]-Table2[[#This Row],[Spread]]</f>
        <v>-6.858688524590165</v>
      </c>
      <c r="AM541" s="21">
        <f>Table2[[#This Row],[(A) Err]]^2</f>
        <v>47.041608277344814</v>
      </c>
      <c r="AN541" s="6">
        <f>Table2[[#This Row],[EV]]-Table2[[#This Row],[Spread]]</f>
        <v>-4.1986254293086205</v>
      </c>
      <c r="AO541" s="1">
        <f>Table2[[#This Row],[EV Err]]^2</f>
        <v>17.628455495636999</v>
      </c>
      <c r="AP541" s="1"/>
    </row>
    <row r="542" spans="1:42" x14ac:dyDescent="0.25">
      <c r="A542" s="34">
        <v>42740</v>
      </c>
      <c r="B542" t="s">
        <v>127</v>
      </c>
      <c r="C542" t="s">
        <v>109</v>
      </c>
      <c r="E542" s="21"/>
      <c r="G542" s="21"/>
      <c r="H542" s="7"/>
      <c r="I542" s="21"/>
      <c r="K542"/>
      <c r="L542" s="21">
        <f>(Table2[[#This Row],[H/Pace]]/100)*(VLOOKUP(Table2[[#This Row],[Home/Neutral]],home_lookup,8,FALSE)+VLOOKUP(Table2[[#This Row],[Home/Neutral]],OFR_lookup,2,FALSE)+VLOOKUP(Table2[[#This Row],[Visitor/Neutral]],def_diff_lookup,6,FALSE))</f>
        <v>95.857594937430477</v>
      </c>
      <c r="M542" s="21"/>
      <c r="N542" s="21">
        <f>(Table2[[#This Row],[A/Pace]]/100)*(VLOOKUP(Table2[[#This Row],[Visitor/Neutral]],OFR_lookup,2,FALSE)+VLOOKUP(Table2[[#This Row],[Home/Neutral]],def_diff_lookup,6,FALSE))</f>
        <v>99.969461333333314</v>
      </c>
      <c r="O542" s="21"/>
      <c r="P542" s="21"/>
      <c r="Q542">
        <f>VLOOKUP(Table2[[#This Row],[Home/Neutral]],pace_lookup,7,FALSE)</f>
        <v>99.3</v>
      </c>
      <c r="R542" s="5">
        <f>VLOOKUP(Table2[[#This Row],[Visitor/Neutral]],pace_lookup,7,FALSE)</f>
        <v>99.2</v>
      </c>
      <c r="S542" s="7"/>
      <c r="U542" s="15"/>
      <c r="W542" s="2">
        <f>-home-VLOOKUP(Table2[[#This Row],[Home/Neutral]],rtg_vlookup,4,FALSE)+VLOOKUP(Table2[[#This Row],[Visitor/Neutral]],rtg_vlookup,4,FALSE)</f>
        <v>2.1613114754098346</v>
      </c>
      <c r="X542" s="15"/>
      <c r="Y542" s="2"/>
      <c r="Z542" s="2">
        <f>Table2[[#This Row],[A/EV]]-Table2[[#This Row],[H/EV]]</f>
        <v>4.1118663959028368</v>
      </c>
      <c r="AA542" s="29"/>
      <c r="AB542" s="30"/>
      <c r="AC542" s="30"/>
      <c r="AD542" s="30"/>
      <c r="AE542" s="30"/>
      <c r="AF542" s="7" t="b">
        <f>IF(VLOOKUP(Table2[[#This Row],[Home/Neutral]],division_lookup,9,FALSE)=VLOOKUP(Table2[[#This Row],[Visitor/Neutral]],division_lookup,9,FALSE),TRUE,FALSE)</f>
        <v>0</v>
      </c>
      <c r="AG542" s="15" t="str">
        <f>VLOOKUP(Table2[[#This Row],[Home/Neutral]],division_lookup,9,FALSE)</f>
        <v>SW</v>
      </c>
      <c r="AH542" s="15" t="str">
        <f>IF(Table2[[#This Row],[Total/EV]]&lt;Table2[[#This Row],[Total/V]],"UNDER","OVER")</f>
        <v>OVER</v>
      </c>
      <c r="AI542" s="26">
        <f>Table2[[#This Row],[SRS/Real]]-Table2[[#This Row],[Spread/V]]</f>
        <v>0</v>
      </c>
      <c r="AJ542" s="2">
        <f>Table2[[#This Row],[EV/Real]]-Table2[[#This Row],[Spread/V]]</f>
        <v>0</v>
      </c>
      <c r="AK542" s="2">
        <f>Table2[[#This Row],[SRS/Diff]]-Table2[[#This Row],[EV/Diff]]</f>
        <v>0</v>
      </c>
      <c r="AL542" s="18">
        <f>Table2[[#This Row],[SRS]]-Table2[[#This Row],[Spread]]</f>
        <v>2.1613114754098346</v>
      </c>
      <c r="AM542" s="21">
        <f>Table2[[#This Row],[(A) Err]]^2</f>
        <v>4.6712672937382358</v>
      </c>
      <c r="AN542" s="6">
        <f>Table2[[#This Row],[EV]]-Table2[[#This Row],[Spread]]</f>
        <v>4.1118663959028368</v>
      </c>
      <c r="AO542" s="1">
        <f>Table2[[#This Row],[EV Err]]^2</f>
        <v>16.907445257754983</v>
      </c>
      <c r="AP542" s="1"/>
    </row>
    <row r="543" spans="1:42" x14ac:dyDescent="0.25">
      <c r="A543" s="34">
        <v>42740</v>
      </c>
      <c r="B543" t="s">
        <v>132</v>
      </c>
      <c r="C543" t="s">
        <v>122</v>
      </c>
      <c r="E543" s="21"/>
      <c r="G543" s="21"/>
      <c r="H543" s="7"/>
      <c r="I543" s="21"/>
      <c r="K543"/>
      <c r="L543" s="21">
        <f>(Table2[[#This Row],[H/Pace]]/100)*(VLOOKUP(Table2[[#This Row],[Home/Neutral]],home_lookup,8,FALSE)+VLOOKUP(Table2[[#This Row],[Home/Neutral]],OFR_lookup,2,FALSE)+VLOOKUP(Table2[[#This Row],[Visitor/Neutral]],def_diff_lookup,6,FALSE))</f>
        <v>113.47990144606979</v>
      </c>
      <c r="M543" s="21"/>
      <c r="N543" s="21">
        <f>(Table2[[#This Row],[A/Pace]]/100)*(VLOOKUP(Table2[[#This Row],[Visitor/Neutral]],OFR_lookup,2,FALSE)+VLOOKUP(Table2[[#This Row],[Home/Neutral]],def_diff_lookup,6,FALSE))</f>
        <v>114.71463799999999</v>
      </c>
      <c r="O543" s="21"/>
      <c r="P543" s="21"/>
      <c r="Q543">
        <f>VLOOKUP(Table2[[#This Row],[Home/Neutral]],pace_lookup,7,FALSE)</f>
        <v>98.8</v>
      </c>
      <c r="R543" s="5">
        <f>VLOOKUP(Table2[[#This Row],[Visitor/Neutral]],pace_lookup,7,FALSE)</f>
        <v>100.2</v>
      </c>
      <c r="S543" s="7"/>
      <c r="U543" s="15"/>
      <c r="W543" s="2">
        <f>-home-VLOOKUP(Table2[[#This Row],[Home/Neutral]],rtg_vlookup,4,FALSE)+VLOOKUP(Table2[[#This Row],[Visitor/Neutral]],rtg_vlookup,4,FALSE)</f>
        <v>-2.5886885245901659</v>
      </c>
      <c r="X543" s="15"/>
      <c r="Y543" s="2"/>
      <c r="Z543" s="2">
        <f>Table2[[#This Row],[A/EV]]-Table2[[#This Row],[H/EV]]</f>
        <v>1.2347365539302046</v>
      </c>
      <c r="AA543" s="29"/>
      <c r="AB543" s="30"/>
      <c r="AC543" s="30"/>
      <c r="AD543" s="30"/>
      <c r="AE543" s="30"/>
      <c r="AF543" s="7" t="b">
        <f>IF(VLOOKUP(Table2[[#This Row],[Home/Neutral]],division_lookup,9,FALSE)=VLOOKUP(Table2[[#This Row],[Visitor/Neutral]],division_lookup,9,FALSE),TRUE,FALSE)</f>
        <v>0</v>
      </c>
      <c r="AG543" s="15" t="str">
        <f>VLOOKUP(Table2[[#This Row],[Home/Neutral]],division_lookup,9,FALSE)</f>
        <v>NW</v>
      </c>
      <c r="AH543" s="15" t="str">
        <f>IF(Table2[[#This Row],[Total/EV]]&lt;Table2[[#This Row],[Total/V]],"UNDER","OVER")</f>
        <v>OVER</v>
      </c>
      <c r="AI543" s="26">
        <f>Table2[[#This Row],[SRS/Real]]-Table2[[#This Row],[Spread/V]]</f>
        <v>0</v>
      </c>
      <c r="AJ543" s="2">
        <f>Table2[[#This Row],[EV/Real]]-Table2[[#This Row],[Spread/V]]</f>
        <v>0</v>
      </c>
      <c r="AK543" s="2">
        <f>Table2[[#This Row],[SRS/Diff]]-Table2[[#This Row],[EV/Diff]]</f>
        <v>0</v>
      </c>
      <c r="AL543" s="18">
        <f>Table2[[#This Row],[SRS]]-Table2[[#This Row],[Spread]]</f>
        <v>-2.5886885245901659</v>
      </c>
      <c r="AM543" s="21">
        <f>Table2[[#This Row],[(A) Err]]^2</f>
        <v>6.7013082773448094</v>
      </c>
      <c r="AN543" s="6">
        <f>Table2[[#This Row],[EV]]-Table2[[#This Row],[Spread]]</f>
        <v>1.2347365539302046</v>
      </c>
      <c r="AO543" s="1">
        <f>Table2[[#This Row],[EV Err]]^2</f>
        <v>1.5245743576114372</v>
      </c>
      <c r="AP543" s="1"/>
    </row>
    <row r="544" spans="1:42" x14ac:dyDescent="0.25">
      <c r="A544" s="34">
        <v>42740</v>
      </c>
      <c r="B544" t="s">
        <v>135</v>
      </c>
      <c r="C544" t="s">
        <v>136</v>
      </c>
      <c r="E544" s="21"/>
      <c r="G544" s="21"/>
      <c r="H544" s="7"/>
      <c r="I544" s="21"/>
      <c r="K544"/>
      <c r="L544" s="21">
        <f>(Table2[[#This Row],[H/Pace]]/100)*(VLOOKUP(Table2[[#This Row],[Home/Neutral]],home_lookup,8,FALSE)+VLOOKUP(Table2[[#This Row],[Home/Neutral]],OFR_lookup,2,FALSE)+VLOOKUP(Table2[[#This Row],[Visitor/Neutral]],def_diff_lookup,6,FALSE))</f>
        <v>105.37554035324614</v>
      </c>
      <c r="M544" s="21"/>
      <c r="N544" s="21">
        <f>(Table2[[#This Row],[A/Pace]]/100)*(VLOOKUP(Table2[[#This Row],[Visitor/Neutral]],OFR_lookup,2,FALSE)+VLOOKUP(Table2[[#This Row],[Home/Neutral]],def_diff_lookup,6,FALSE))</f>
        <v>98.193834999999993</v>
      </c>
      <c r="O544" s="21"/>
      <c r="P544" s="21"/>
      <c r="Q544">
        <f>VLOOKUP(Table2[[#This Row],[Home/Neutral]],pace_lookup,7,FALSE)</f>
        <v>95.4</v>
      </c>
      <c r="R544" s="5">
        <f>VLOOKUP(Table2[[#This Row],[Visitor/Neutral]],pace_lookup,7,FALSE)</f>
        <v>91.5</v>
      </c>
      <c r="S544" s="7"/>
      <c r="U544" s="15"/>
      <c r="W544" s="2">
        <f>-home-VLOOKUP(Table2[[#This Row],[Home/Neutral]],rtg_vlookup,4,FALSE)+VLOOKUP(Table2[[#This Row],[Visitor/Neutral]],rtg_vlookup,4,FALSE)</f>
        <v>-4.4686885245901653</v>
      </c>
      <c r="X544" s="15"/>
      <c r="Y544" s="2"/>
      <c r="Z544" s="2">
        <f>Table2[[#This Row],[A/EV]]-Table2[[#This Row],[H/EV]]</f>
        <v>-7.1817053532461443</v>
      </c>
      <c r="AA544" s="29"/>
      <c r="AB544" s="30"/>
      <c r="AC544" s="30"/>
      <c r="AD544" s="30"/>
      <c r="AE544" s="30"/>
      <c r="AF544" s="7" t="b">
        <f>IF(VLOOKUP(Table2[[#This Row],[Home/Neutral]],division_lookup,9,FALSE)=VLOOKUP(Table2[[#This Row],[Visitor/Neutral]],division_lookup,9,FALSE),TRUE,FALSE)</f>
        <v>0</v>
      </c>
      <c r="AG544" s="15" t="str">
        <f>VLOOKUP(Table2[[#This Row],[Home/Neutral]],division_lookup,9,FALSE)</f>
        <v>A</v>
      </c>
      <c r="AH544" s="15" t="str">
        <f>IF(Table2[[#This Row],[Total/EV]]&lt;Table2[[#This Row],[Total/V]],"UNDER","OVER")</f>
        <v>OVER</v>
      </c>
      <c r="AI544" s="26">
        <f>Table2[[#This Row],[SRS/Real]]-Table2[[#This Row],[Spread/V]]</f>
        <v>0</v>
      </c>
      <c r="AJ544" s="2">
        <f>Table2[[#This Row],[EV/Real]]-Table2[[#This Row],[Spread/V]]</f>
        <v>0</v>
      </c>
      <c r="AK544" s="2">
        <f>Table2[[#This Row],[SRS/Diff]]-Table2[[#This Row],[EV/Diff]]</f>
        <v>0</v>
      </c>
      <c r="AL544" s="18">
        <f>Table2[[#This Row],[SRS]]-Table2[[#This Row],[Spread]]</f>
        <v>-4.4686885245901653</v>
      </c>
      <c r="AM544" s="21">
        <f>Table2[[#This Row],[(A) Err]]^2</f>
        <v>19.969177129803828</v>
      </c>
      <c r="AN544" s="6">
        <f>Table2[[#This Row],[EV]]-Table2[[#This Row],[Spread]]</f>
        <v>-7.1817053532461443</v>
      </c>
      <c r="AO544" s="1">
        <f>Table2[[#This Row],[EV Err]]^2</f>
        <v>51.576891780844328</v>
      </c>
      <c r="AP544" s="1"/>
    </row>
    <row r="545" spans="1:42" x14ac:dyDescent="0.25">
      <c r="A545" s="34">
        <v>42741</v>
      </c>
      <c r="B545" t="s">
        <v>110</v>
      </c>
      <c r="C545" t="s">
        <v>138</v>
      </c>
      <c r="E545" s="21"/>
      <c r="G545" s="21"/>
      <c r="H545" s="7"/>
      <c r="I545" s="21"/>
      <c r="K545"/>
      <c r="L545" s="21">
        <f>(Table2[[#This Row],[H/Pace]]/100)*(VLOOKUP(Table2[[#This Row],[Home/Neutral]],home_lookup,8,FALSE)+VLOOKUP(Table2[[#This Row],[Home/Neutral]],OFR_lookup,2,FALSE)+VLOOKUP(Table2[[#This Row],[Visitor/Neutral]],def_diff_lookup,6,FALSE))</f>
        <v>107.4177111890094</v>
      </c>
      <c r="M545" s="21"/>
      <c r="N545" s="21">
        <f>(Table2[[#This Row],[A/Pace]]/100)*(VLOOKUP(Table2[[#This Row],[Visitor/Neutral]],OFR_lookup,2,FALSE)+VLOOKUP(Table2[[#This Row],[Home/Neutral]],def_diff_lookup,6,FALSE))</f>
        <v>96.988775000000004</v>
      </c>
      <c r="O545" s="21"/>
      <c r="P545" s="21"/>
      <c r="Q545">
        <f>VLOOKUP(Table2[[#This Row],[Home/Neutral]],pace_lookup,7,FALSE)</f>
        <v>96.2</v>
      </c>
      <c r="R545" s="5">
        <f>VLOOKUP(Table2[[#This Row],[Visitor/Neutral]],pace_lookup,7,FALSE)</f>
        <v>97.5</v>
      </c>
      <c r="S545" s="7"/>
      <c r="U545" s="15"/>
      <c r="W545" s="2">
        <f>-home-VLOOKUP(Table2[[#This Row],[Home/Neutral]],rtg_vlookup,4,FALSE)+VLOOKUP(Table2[[#This Row],[Visitor/Neutral]],rtg_vlookup,4,FALSE)</f>
        <v>-12.888688524590167</v>
      </c>
      <c r="X545" s="15"/>
      <c r="Y545" s="2"/>
      <c r="Z545" s="2">
        <f>Table2[[#This Row],[A/EV]]-Table2[[#This Row],[H/EV]]</f>
        <v>-10.428936189009391</v>
      </c>
      <c r="AA545" s="29"/>
      <c r="AB545" s="30"/>
      <c r="AC545" s="30"/>
      <c r="AD545" s="30"/>
      <c r="AE545" s="30"/>
      <c r="AF545" s="7" t="b">
        <f>IF(VLOOKUP(Table2[[#This Row],[Home/Neutral]],division_lookup,9,FALSE)=VLOOKUP(Table2[[#This Row],[Visitor/Neutral]],division_lookup,9,FALSE),TRUE,FALSE)</f>
        <v>1</v>
      </c>
      <c r="AG545" s="15" t="str">
        <f>VLOOKUP(Table2[[#This Row],[Home/Neutral]],division_lookup,9,FALSE)</f>
        <v>A</v>
      </c>
      <c r="AH545" s="15" t="str">
        <f>IF(Table2[[#This Row],[Total/EV]]&lt;Table2[[#This Row],[Total/V]],"UNDER","OVER")</f>
        <v>OVER</v>
      </c>
      <c r="AI545" s="26">
        <f>Table2[[#This Row],[SRS/Real]]-Table2[[#This Row],[Spread/V]]</f>
        <v>0</v>
      </c>
      <c r="AJ545" s="2">
        <f>Table2[[#This Row],[EV/Real]]-Table2[[#This Row],[Spread/V]]</f>
        <v>0</v>
      </c>
      <c r="AK545" s="2">
        <f>Table2[[#This Row],[SRS/Diff]]-Table2[[#This Row],[EV/Diff]]</f>
        <v>0</v>
      </c>
      <c r="AL545" s="18">
        <f>Table2[[#This Row],[SRS]]-Table2[[#This Row],[Spread]]</f>
        <v>-12.888688524590167</v>
      </c>
      <c r="AM545" s="21">
        <f>Table2[[#This Row],[(A) Err]]^2</f>
        <v>166.11829188390226</v>
      </c>
      <c r="AN545" s="6">
        <f>Table2[[#This Row],[EV]]-Table2[[#This Row],[Spread]]</f>
        <v>-10.428936189009391</v>
      </c>
      <c r="AO545" s="1">
        <f>Table2[[#This Row],[EV Err]]^2</f>
        <v>108.76271003442973</v>
      </c>
      <c r="AP545" s="1"/>
    </row>
    <row r="546" spans="1:42" x14ac:dyDescent="0.25">
      <c r="A546" s="34">
        <v>42741</v>
      </c>
      <c r="B546" t="s">
        <v>111</v>
      </c>
      <c r="C546" t="s">
        <v>114</v>
      </c>
      <c r="E546" s="21"/>
      <c r="G546" s="21"/>
      <c r="H546" s="7"/>
      <c r="I546" s="21"/>
      <c r="K546"/>
      <c r="L546" s="21">
        <f>(Table2[[#This Row],[H/Pace]]/100)*(VLOOKUP(Table2[[#This Row],[Home/Neutral]],home_lookup,8,FALSE)+VLOOKUP(Table2[[#This Row],[Home/Neutral]],OFR_lookup,2,FALSE)+VLOOKUP(Table2[[#This Row],[Visitor/Neutral]],def_diff_lookup,6,FALSE))</f>
        <v>99.640618327716354</v>
      </c>
      <c r="M546" s="21"/>
      <c r="N546" s="21">
        <f>(Table2[[#This Row],[A/Pace]]/100)*(VLOOKUP(Table2[[#This Row],[Visitor/Neutral]],OFR_lookup,2,FALSE)+VLOOKUP(Table2[[#This Row],[Home/Neutral]],def_diff_lookup,6,FALSE))</f>
        <v>115.85089366666665</v>
      </c>
      <c r="O546" s="21"/>
      <c r="P546" s="21"/>
      <c r="Q546">
        <f>VLOOKUP(Table2[[#This Row],[Home/Neutral]],pace_lookup,7,FALSE)</f>
        <v>102</v>
      </c>
      <c r="R546" s="5">
        <f>VLOOKUP(Table2[[#This Row],[Visitor/Neutral]],pace_lookup,7,FALSE)</f>
        <v>97.3</v>
      </c>
      <c r="S546" s="7"/>
      <c r="U546" s="15"/>
      <c r="W546" s="2">
        <f>-home-VLOOKUP(Table2[[#This Row],[Home/Neutral]],rtg_vlookup,4,FALSE)+VLOOKUP(Table2[[#This Row],[Visitor/Neutral]],rtg_vlookup,4,FALSE)</f>
        <v>14.651311475409834</v>
      </c>
      <c r="X546" s="15"/>
      <c r="Y546" s="2"/>
      <c r="Z546" s="2">
        <f>Table2[[#This Row],[A/EV]]-Table2[[#This Row],[H/EV]]</f>
        <v>16.210275338950296</v>
      </c>
      <c r="AA546" s="29"/>
      <c r="AB546" s="30"/>
      <c r="AC546" s="30"/>
      <c r="AD546" s="30"/>
      <c r="AE546" s="30"/>
      <c r="AF546" s="7" t="b">
        <f>IF(VLOOKUP(Table2[[#This Row],[Home/Neutral]],division_lookup,9,FALSE)=VLOOKUP(Table2[[#This Row],[Visitor/Neutral]],division_lookup,9,FALSE),TRUE,FALSE)</f>
        <v>0</v>
      </c>
      <c r="AG546" s="15" t="str">
        <f>VLOOKUP(Table2[[#This Row],[Home/Neutral]],division_lookup,9,FALSE)</f>
        <v>A</v>
      </c>
      <c r="AH546" s="15" t="str">
        <f>IF(Table2[[#This Row],[Total/EV]]&lt;Table2[[#This Row],[Total/V]],"UNDER","OVER")</f>
        <v>OVER</v>
      </c>
      <c r="AI546" s="26">
        <f>Table2[[#This Row],[SRS/Real]]-Table2[[#This Row],[Spread/V]]</f>
        <v>0</v>
      </c>
      <c r="AJ546" s="2">
        <f>Table2[[#This Row],[EV/Real]]-Table2[[#This Row],[Spread/V]]</f>
        <v>0</v>
      </c>
      <c r="AK546" s="2">
        <f>Table2[[#This Row],[SRS/Diff]]-Table2[[#This Row],[EV/Diff]]</f>
        <v>0</v>
      </c>
      <c r="AL546" s="18">
        <f>Table2[[#This Row],[SRS]]-Table2[[#This Row],[Spread]]</f>
        <v>14.651311475409834</v>
      </c>
      <c r="AM546" s="21">
        <f>Table2[[#This Row],[(A) Err]]^2</f>
        <v>214.66092794947588</v>
      </c>
      <c r="AN546" s="6">
        <f>Table2[[#This Row],[EV]]-Table2[[#This Row],[Spread]]</f>
        <v>16.210275338950296</v>
      </c>
      <c r="AO546" s="1">
        <f>Table2[[#This Row],[EV Err]]^2</f>
        <v>262.77302656458016</v>
      </c>
      <c r="AP546" s="1"/>
    </row>
    <row r="547" spans="1:42" x14ac:dyDescent="0.25">
      <c r="A547" s="34">
        <v>42741</v>
      </c>
      <c r="B547" t="s">
        <v>118</v>
      </c>
      <c r="C547" t="s">
        <v>123</v>
      </c>
      <c r="E547" s="21"/>
      <c r="G547" s="21"/>
      <c r="H547" s="7"/>
      <c r="I547" s="21"/>
      <c r="K547"/>
      <c r="L547" s="21">
        <f>(Table2[[#This Row],[H/Pace]]/100)*(VLOOKUP(Table2[[#This Row],[Home/Neutral]],home_lookup,8,FALSE)+VLOOKUP(Table2[[#This Row],[Home/Neutral]],OFR_lookup,2,FALSE)+VLOOKUP(Table2[[#This Row],[Visitor/Neutral]],def_diff_lookup,6,FALSE))</f>
        <v>111.18831838078236</v>
      </c>
      <c r="M547" s="21"/>
      <c r="N547" s="21">
        <f>(Table2[[#This Row],[A/Pace]]/100)*(VLOOKUP(Table2[[#This Row],[Visitor/Neutral]],OFR_lookup,2,FALSE)+VLOOKUP(Table2[[#This Row],[Home/Neutral]],def_diff_lookup,6,FALSE))</f>
        <v>94.956491666666665</v>
      </c>
      <c r="O547" s="21"/>
      <c r="P547" s="21"/>
      <c r="Q547">
        <f>VLOOKUP(Table2[[#This Row],[Home/Neutral]],pace_lookup,7,FALSE)</f>
        <v>100.4</v>
      </c>
      <c r="R547" s="5">
        <f>VLOOKUP(Table2[[#This Row],[Visitor/Neutral]],pace_lookup,7,FALSE)</f>
        <v>92.5</v>
      </c>
      <c r="S547" s="7"/>
      <c r="U547" s="15"/>
      <c r="W547" s="2">
        <f>-home-VLOOKUP(Table2[[#This Row],[Home/Neutral]],rtg_vlookup,4,FALSE)+VLOOKUP(Table2[[#This Row],[Visitor/Neutral]],rtg_vlookup,4,FALSE)</f>
        <v>-13.518688524590166</v>
      </c>
      <c r="X547" s="15"/>
      <c r="Y547" s="2"/>
      <c r="Z547" s="2">
        <f>Table2[[#This Row],[A/EV]]-Table2[[#This Row],[H/EV]]</f>
        <v>-16.231826714115698</v>
      </c>
      <c r="AA547" s="29"/>
      <c r="AB547" s="30"/>
      <c r="AC547" s="30"/>
      <c r="AD547" s="30"/>
      <c r="AE547" s="30"/>
      <c r="AF547" s="7" t="b">
        <f>IF(VLOOKUP(Table2[[#This Row],[Home/Neutral]],division_lookup,9,FALSE)=VLOOKUP(Table2[[#This Row],[Visitor/Neutral]],division_lookup,9,FALSE),TRUE,FALSE)</f>
        <v>0</v>
      </c>
      <c r="AG547" s="15" t="str">
        <f>VLOOKUP(Table2[[#This Row],[Home/Neutral]],division_lookup,9,FALSE)</f>
        <v>P</v>
      </c>
      <c r="AH547" s="15" t="str">
        <f>IF(Table2[[#This Row],[Total/EV]]&lt;Table2[[#This Row],[Total/V]],"UNDER","OVER")</f>
        <v>OVER</v>
      </c>
      <c r="AI547" s="26">
        <f>Table2[[#This Row],[SRS/Real]]-Table2[[#This Row],[Spread/V]]</f>
        <v>0</v>
      </c>
      <c r="AJ547" s="2">
        <f>Table2[[#This Row],[EV/Real]]-Table2[[#This Row],[Spread/V]]</f>
        <v>0</v>
      </c>
      <c r="AK547" s="2">
        <f>Table2[[#This Row],[SRS/Diff]]-Table2[[#This Row],[EV/Diff]]</f>
        <v>0</v>
      </c>
      <c r="AL547" s="18">
        <f>Table2[[#This Row],[SRS]]-Table2[[#This Row],[Spread]]</f>
        <v>-13.518688524590166</v>
      </c>
      <c r="AM547" s="21">
        <f>Table2[[#This Row],[(A) Err]]^2</f>
        <v>182.75493942488583</v>
      </c>
      <c r="AN547" s="6">
        <f>Table2[[#This Row],[EV]]-Table2[[#This Row],[Spread]]</f>
        <v>-16.231826714115698</v>
      </c>
      <c r="AO547" s="1">
        <f>Table2[[#This Row],[EV Err]]^2</f>
        <v>263.47219847708004</v>
      </c>
      <c r="AP547" s="1"/>
    </row>
    <row r="548" spans="1:42" x14ac:dyDescent="0.25">
      <c r="A548" s="34">
        <v>42741</v>
      </c>
      <c r="B548" t="s">
        <v>122</v>
      </c>
      <c r="C548" t="s">
        <v>124</v>
      </c>
      <c r="E548" s="21"/>
      <c r="G548" s="21"/>
      <c r="H548" s="7"/>
      <c r="I548" s="21"/>
      <c r="K548"/>
      <c r="L548" s="21">
        <f>(Table2[[#This Row],[H/Pace]]/100)*(VLOOKUP(Table2[[#This Row],[Home/Neutral]],home_lookup,8,FALSE)+VLOOKUP(Table2[[#This Row],[Home/Neutral]],OFR_lookup,2,FALSE)+VLOOKUP(Table2[[#This Row],[Visitor/Neutral]],def_diff_lookup,6,FALSE))</f>
        <v>107.59356832744731</v>
      </c>
      <c r="M548" s="21"/>
      <c r="N548" s="21">
        <f>(Table2[[#This Row],[A/Pace]]/100)*(VLOOKUP(Table2[[#This Row],[Visitor/Neutral]],OFR_lookup,2,FALSE)+VLOOKUP(Table2[[#This Row],[Home/Neutral]],def_diff_lookup,6,FALSE))</f>
        <v>101.01390966666666</v>
      </c>
      <c r="O548" s="21"/>
      <c r="P548" s="21"/>
      <c r="Q548">
        <f>VLOOKUP(Table2[[#This Row],[Home/Neutral]],pace_lookup,7,FALSE)</f>
        <v>100.2</v>
      </c>
      <c r="R548" s="5">
        <f>VLOOKUP(Table2[[#This Row],[Visitor/Neutral]],pace_lookup,7,FALSE)</f>
        <v>93.7</v>
      </c>
      <c r="S548" s="7"/>
      <c r="U548" s="15"/>
      <c r="W548" s="2">
        <f>-home-VLOOKUP(Table2[[#This Row],[Home/Neutral]],rtg_vlookup,4,FALSE)+VLOOKUP(Table2[[#This Row],[Visitor/Neutral]],rtg_vlookup,4,FALSE)</f>
        <v>-1.7286885245901658</v>
      </c>
      <c r="X548" s="15"/>
      <c r="Y548" s="2"/>
      <c r="Z548" s="2">
        <f>Table2[[#This Row],[A/EV]]-Table2[[#This Row],[H/EV]]</f>
        <v>-6.5796586607806518</v>
      </c>
      <c r="AA548" s="29"/>
      <c r="AB548" s="30"/>
      <c r="AC548" s="30"/>
      <c r="AD548" s="30"/>
      <c r="AE548" s="30"/>
      <c r="AF548" s="7" t="b">
        <f>IF(VLOOKUP(Table2[[#This Row],[Home/Neutral]],division_lookup,9,FALSE)=VLOOKUP(Table2[[#This Row],[Visitor/Neutral]],division_lookup,9,FALSE),TRUE,FALSE)</f>
        <v>0</v>
      </c>
      <c r="AG548" s="15" t="str">
        <f>VLOOKUP(Table2[[#This Row],[Home/Neutral]],division_lookup,9,FALSE)</f>
        <v>P</v>
      </c>
      <c r="AH548" s="15" t="str">
        <f>IF(Table2[[#This Row],[Total/EV]]&lt;Table2[[#This Row],[Total/V]],"UNDER","OVER")</f>
        <v>OVER</v>
      </c>
      <c r="AI548" s="26">
        <f>Table2[[#This Row],[SRS/Real]]-Table2[[#This Row],[Spread/V]]</f>
        <v>0</v>
      </c>
      <c r="AJ548" s="2">
        <f>Table2[[#This Row],[EV/Real]]-Table2[[#This Row],[Spread/V]]</f>
        <v>0</v>
      </c>
      <c r="AK548" s="2">
        <f>Table2[[#This Row],[SRS/Diff]]-Table2[[#This Row],[EV/Diff]]</f>
        <v>0</v>
      </c>
      <c r="AL548" s="18">
        <f>Table2[[#This Row],[SRS]]-Table2[[#This Row],[Spread]]</f>
        <v>-1.7286885245901658</v>
      </c>
      <c r="AM548" s="21">
        <f>Table2[[#This Row],[(A) Err]]^2</f>
        <v>2.9883640150497239</v>
      </c>
      <c r="AN548" s="6">
        <f>Table2[[#This Row],[EV]]-Table2[[#This Row],[Spread]]</f>
        <v>-6.5796586607806518</v>
      </c>
      <c r="AO548" s="1">
        <f>Table2[[#This Row],[EV Err]]^2</f>
        <v>43.291908092385839</v>
      </c>
      <c r="AP548" s="1"/>
    </row>
    <row r="549" spans="1:42" x14ac:dyDescent="0.25">
      <c r="A549" s="34">
        <v>42741</v>
      </c>
      <c r="B549" t="s">
        <v>125</v>
      </c>
      <c r="C549" t="s">
        <v>128</v>
      </c>
      <c r="E549" s="21"/>
      <c r="G549" s="21"/>
      <c r="H549" s="7"/>
      <c r="I549" s="21"/>
      <c r="K549"/>
      <c r="L549" s="21">
        <f>(Table2[[#This Row],[H/Pace]]/100)*(VLOOKUP(Table2[[#This Row],[Home/Neutral]],home_lookup,8,FALSE)+VLOOKUP(Table2[[#This Row],[Home/Neutral]],OFR_lookup,2,FALSE)+VLOOKUP(Table2[[#This Row],[Visitor/Neutral]],def_diff_lookup,6,FALSE))</f>
        <v>111.51521550061909</v>
      </c>
      <c r="M549" s="21"/>
      <c r="N549" s="21">
        <f>(Table2[[#This Row],[A/Pace]]/100)*(VLOOKUP(Table2[[#This Row],[Visitor/Neutral]],OFR_lookup,2,FALSE)+VLOOKUP(Table2[[#This Row],[Home/Neutral]],def_diff_lookup,6,FALSE))</f>
        <v>105.93545699999999</v>
      </c>
      <c r="O549" s="21"/>
      <c r="P549" s="21"/>
      <c r="Q549">
        <f>VLOOKUP(Table2[[#This Row],[Home/Neutral]],pace_lookup,7,FALSE)</f>
        <v>96.1</v>
      </c>
      <c r="R549" s="5">
        <f>VLOOKUP(Table2[[#This Row],[Visitor/Neutral]],pace_lookup,7,FALSE)</f>
        <v>96.3</v>
      </c>
      <c r="S549" s="7"/>
      <c r="U549" s="15"/>
      <c r="W549" s="2">
        <f>-home-VLOOKUP(Table2[[#This Row],[Home/Neutral]],rtg_vlookup,4,FALSE)+VLOOKUP(Table2[[#This Row],[Visitor/Neutral]],rtg_vlookup,4,FALSE)</f>
        <v>-2.1586885245901657</v>
      </c>
      <c r="X549" s="15"/>
      <c r="Y549" s="2"/>
      <c r="Z549" s="2">
        <f>Table2[[#This Row],[A/EV]]-Table2[[#This Row],[H/EV]]</f>
        <v>-5.5797585006191071</v>
      </c>
      <c r="AA549" s="29"/>
      <c r="AB549" s="30"/>
      <c r="AC549" s="30"/>
      <c r="AD549" s="30"/>
      <c r="AE549" s="30"/>
      <c r="AF549" s="7" t="b">
        <f>IF(VLOOKUP(Table2[[#This Row],[Home/Neutral]],division_lookup,9,FALSE)=VLOOKUP(Table2[[#This Row],[Visitor/Neutral]],division_lookup,9,FALSE),TRUE,FALSE)</f>
        <v>0</v>
      </c>
      <c r="AG549" s="15" t="str">
        <f>VLOOKUP(Table2[[#This Row],[Home/Neutral]],division_lookup,9,FALSE)</f>
        <v>C</v>
      </c>
      <c r="AH549" s="15" t="str">
        <f>IF(Table2[[#This Row],[Total/EV]]&lt;Table2[[#This Row],[Total/V]],"UNDER","OVER")</f>
        <v>OVER</v>
      </c>
      <c r="AI549" s="26">
        <f>Table2[[#This Row],[SRS/Real]]-Table2[[#This Row],[Spread/V]]</f>
        <v>0</v>
      </c>
      <c r="AJ549" s="2">
        <f>Table2[[#This Row],[EV/Real]]-Table2[[#This Row],[Spread/V]]</f>
        <v>0</v>
      </c>
      <c r="AK549" s="2">
        <f>Table2[[#This Row],[SRS/Diff]]-Table2[[#This Row],[EV/Diff]]</f>
        <v>0</v>
      </c>
      <c r="AL549" s="18">
        <f>Table2[[#This Row],[SRS]]-Table2[[#This Row],[Spread]]</f>
        <v>-2.1586885245901657</v>
      </c>
      <c r="AM549" s="21">
        <f>Table2[[#This Row],[(A) Err]]^2</f>
        <v>4.6599361461972668</v>
      </c>
      <c r="AN549" s="6">
        <f>Table2[[#This Row],[EV]]-Table2[[#This Row],[Spread]]</f>
        <v>-5.5797585006191071</v>
      </c>
      <c r="AO549" s="1">
        <f>Table2[[#This Row],[EV Err]]^2</f>
        <v>31.133704925231186</v>
      </c>
      <c r="AP549" s="1"/>
    </row>
    <row r="550" spans="1:42" x14ac:dyDescent="0.25">
      <c r="A550" s="34">
        <v>42741</v>
      </c>
      <c r="B550" t="s">
        <v>130</v>
      </c>
      <c r="C550" t="s">
        <v>119</v>
      </c>
      <c r="E550" s="21"/>
      <c r="G550" s="21"/>
      <c r="H550" s="7"/>
      <c r="I550" s="21"/>
      <c r="K550"/>
      <c r="L550" s="21">
        <f>(Table2[[#This Row],[H/Pace]]/100)*(VLOOKUP(Table2[[#This Row],[Home/Neutral]],home_lookup,8,FALSE)+VLOOKUP(Table2[[#This Row],[Home/Neutral]],OFR_lookup,2,FALSE)+VLOOKUP(Table2[[#This Row],[Visitor/Neutral]],def_diff_lookup,6,FALSE))</f>
        <v>99.050024967109408</v>
      </c>
      <c r="M550" s="21"/>
      <c r="N550" s="21">
        <f>(Table2[[#This Row],[A/Pace]]/100)*(VLOOKUP(Table2[[#This Row],[Visitor/Neutral]],OFR_lookup,2,FALSE)+VLOOKUP(Table2[[#This Row],[Home/Neutral]],def_diff_lookup,6,FALSE))</f>
        <v>109.366831</v>
      </c>
      <c r="O550" s="21"/>
      <c r="P550" s="21"/>
      <c r="Q550">
        <f>VLOOKUP(Table2[[#This Row],[Home/Neutral]],pace_lookup,7,FALSE)</f>
        <v>94.2</v>
      </c>
      <c r="R550" s="5">
        <f>VLOOKUP(Table2[[#This Row],[Visitor/Neutral]],pace_lookup,7,FALSE)</f>
        <v>96.9</v>
      </c>
      <c r="S550" s="7"/>
      <c r="U550" s="15"/>
      <c r="W550" s="2">
        <f>-home-VLOOKUP(Table2[[#This Row],[Home/Neutral]],rtg_vlookup,4,FALSE)+VLOOKUP(Table2[[#This Row],[Visitor/Neutral]],rtg_vlookup,4,FALSE)</f>
        <v>9.5313114754098347</v>
      </c>
      <c r="X550" s="15"/>
      <c r="Y550" s="2"/>
      <c r="Z550" s="2">
        <f>Table2[[#This Row],[A/EV]]-Table2[[#This Row],[H/EV]]</f>
        <v>10.316806032890597</v>
      </c>
      <c r="AA550" s="29"/>
      <c r="AB550" s="30"/>
      <c r="AC550" s="30"/>
      <c r="AD550" s="30"/>
      <c r="AE550" s="30"/>
      <c r="AF550" s="7" t="b">
        <f>IF(VLOOKUP(Table2[[#This Row],[Home/Neutral]],division_lookup,9,FALSE)=VLOOKUP(Table2[[#This Row],[Visitor/Neutral]],division_lookup,9,FALSE),TRUE,FALSE)</f>
        <v>0</v>
      </c>
      <c r="AG550" s="15" t="str">
        <f>VLOOKUP(Table2[[#This Row],[Home/Neutral]],division_lookup,9,FALSE)</f>
        <v>SE</v>
      </c>
      <c r="AH550" s="15" t="str">
        <f>IF(Table2[[#This Row],[Total/EV]]&lt;Table2[[#This Row],[Total/V]],"UNDER","OVER")</f>
        <v>OVER</v>
      </c>
      <c r="AI550" s="26">
        <f>Table2[[#This Row],[SRS/Real]]-Table2[[#This Row],[Spread/V]]</f>
        <v>0</v>
      </c>
      <c r="AJ550" s="2">
        <f>Table2[[#This Row],[EV/Real]]-Table2[[#This Row],[Spread/V]]</f>
        <v>0</v>
      </c>
      <c r="AK550" s="2">
        <f>Table2[[#This Row],[SRS/Diff]]-Table2[[#This Row],[EV/Diff]]</f>
        <v>0</v>
      </c>
      <c r="AL550" s="18">
        <f>Table2[[#This Row],[SRS]]-Table2[[#This Row],[Spread]]</f>
        <v>9.5313114754098347</v>
      </c>
      <c r="AM550" s="21">
        <f>Table2[[#This Row],[(A) Err]]^2</f>
        <v>90.845898441279203</v>
      </c>
      <c r="AN550" s="6">
        <f>Table2[[#This Row],[EV]]-Table2[[#This Row],[Spread]]</f>
        <v>10.316806032890597</v>
      </c>
      <c r="AO550" s="1">
        <f>Table2[[#This Row],[EV Err]]^2</f>
        <v>106.4364867202878</v>
      </c>
      <c r="AP550" s="1"/>
    </row>
    <row r="551" spans="1:42" x14ac:dyDescent="0.25">
      <c r="A551" s="34">
        <v>42741</v>
      </c>
      <c r="B551" t="s">
        <v>133</v>
      </c>
      <c r="C551" t="s">
        <v>121</v>
      </c>
      <c r="E551" s="21"/>
      <c r="G551" s="21"/>
      <c r="H551" s="7"/>
      <c r="I551" s="21"/>
      <c r="K551"/>
      <c r="L551" s="21">
        <f>(Table2[[#This Row],[H/Pace]]/100)*(VLOOKUP(Table2[[#This Row],[Home/Neutral]],home_lookup,8,FALSE)+VLOOKUP(Table2[[#This Row],[Home/Neutral]],OFR_lookup,2,FALSE)+VLOOKUP(Table2[[#This Row],[Visitor/Neutral]],def_diff_lookup,6,FALSE))</f>
        <v>104.01022748279979</v>
      </c>
      <c r="M551" s="21"/>
      <c r="N551" s="21">
        <f>(Table2[[#This Row],[A/Pace]]/100)*(VLOOKUP(Table2[[#This Row],[Visitor/Neutral]],OFR_lookup,2,FALSE)+VLOOKUP(Table2[[#This Row],[Home/Neutral]],def_diff_lookup,6,FALSE))</f>
        <v>114.08522266666667</v>
      </c>
      <c r="O551" s="21"/>
      <c r="P551" s="21"/>
      <c r="Q551">
        <f>VLOOKUP(Table2[[#This Row],[Home/Neutral]],pace_lookup,7,FALSE)</f>
        <v>94.2</v>
      </c>
      <c r="R551" s="5">
        <f>VLOOKUP(Table2[[#This Row],[Visitor/Neutral]],pace_lookup,7,FALSE)</f>
        <v>96.4</v>
      </c>
      <c r="S551" s="7"/>
      <c r="U551" s="15"/>
      <c r="W551" s="2">
        <f>-home-VLOOKUP(Table2[[#This Row],[Home/Neutral]],rtg_vlookup,4,FALSE)+VLOOKUP(Table2[[#This Row],[Visitor/Neutral]],rtg_vlookup,4,FALSE)</f>
        <v>11.871311475409835</v>
      </c>
      <c r="X551" s="15"/>
      <c r="Y551" s="2"/>
      <c r="Z551" s="2">
        <f>Table2[[#This Row],[A/EV]]-Table2[[#This Row],[H/EV]]</f>
        <v>10.074995183866875</v>
      </c>
      <c r="AA551" s="29"/>
      <c r="AB551" s="30"/>
      <c r="AC551" s="30"/>
      <c r="AD551" s="30"/>
      <c r="AE551" s="30"/>
      <c r="AF551" s="7" t="b">
        <f>IF(VLOOKUP(Table2[[#This Row],[Home/Neutral]],division_lookup,9,FALSE)=VLOOKUP(Table2[[#This Row],[Visitor/Neutral]],division_lookup,9,FALSE),TRUE,FALSE)</f>
        <v>1</v>
      </c>
      <c r="AG551" s="15" t="str">
        <f>VLOOKUP(Table2[[#This Row],[Home/Neutral]],division_lookup,9,FALSE)</f>
        <v>P</v>
      </c>
      <c r="AH551" s="15" t="str">
        <f>IF(Table2[[#This Row],[Total/EV]]&lt;Table2[[#This Row],[Total/V]],"UNDER","OVER")</f>
        <v>OVER</v>
      </c>
      <c r="AI551" s="26">
        <f>Table2[[#This Row],[SRS/Real]]-Table2[[#This Row],[Spread/V]]</f>
        <v>0</v>
      </c>
      <c r="AJ551" s="2">
        <f>Table2[[#This Row],[EV/Real]]-Table2[[#This Row],[Spread/V]]</f>
        <v>0</v>
      </c>
      <c r="AK551" s="2">
        <f>Table2[[#This Row],[SRS/Diff]]-Table2[[#This Row],[EV/Diff]]</f>
        <v>0</v>
      </c>
      <c r="AL551" s="18">
        <f>Table2[[#This Row],[SRS]]-Table2[[#This Row],[Spread]]</f>
        <v>11.871311475409835</v>
      </c>
      <c r="AM551" s="21">
        <f>Table2[[#This Row],[(A) Err]]^2</f>
        <v>140.92803614619723</v>
      </c>
      <c r="AN551" s="6">
        <f>Table2[[#This Row],[EV]]-Table2[[#This Row],[Spread]]</f>
        <v>10.074995183866875</v>
      </c>
      <c r="AO551" s="1">
        <f>Table2[[#This Row],[EV Err]]^2</f>
        <v>101.50552795494073</v>
      </c>
      <c r="AP551" s="1"/>
    </row>
    <row r="552" spans="1:42" x14ac:dyDescent="0.25">
      <c r="A552" s="34">
        <v>42741</v>
      </c>
      <c r="B552" t="s">
        <v>137</v>
      </c>
      <c r="C552" t="s">
        <v>126</v>
      </c>
      <c r="E552" s="21"/>
      <c r="G552" s="21"/>
      <c r="H552" s="7"/>
      <c r="I552" s="21"/>
      <c r="K552"/>
      <c r="L552" s="21">
        <f>(Table2[[#This Row],[H/Pace]]/100)*(VLOOKUP(Table2[[#This Row],[Home/Neutral]],home_lookup,8,FALSE)+VLOOKUP(Table2[[#This Row],[Home/Neutral]],OFR_lookup,2,FALSE)+VLOOKUP(Table2[[#This Row],[Visitor/Neutral]],def_diff_lookup,6,FALSE))</f>
        <v>110.9785325542187</v>
      </c>
      <c r="M552" s="21"/>
      <c r="N552" s="21">
        <f>(Table2[[#This Row],[A/Pace]]/100)*(VLOOKUP(Table2[[#This Row],[Visitor/Neutral]],OFR_lookup,2,FALSE)+VLOOKUP(Table2[[#This Row],[Home/Neutral]],def_diff_lookup,6,FALSE))</f>
        <v>107.361683</v>
      </c>
      <c r="O552" s="21"/>
      <c r="P552" s="21"/>
      <c r="Q552">
        <f>VLOOKUP(Table2[[#This Row],[Home/Neutral]],pace_lookup,7,FALSE)</f>
        <v>96</v>
      </c>
      <c r="R552" s="5">
        <f>VLOOKUP(Table2[[#This Row],[Visitor/Neutral]],pace_lookup,7,FALSE)</f>
        <v>95.7</v>
      </c>
      <c r="S552" s="7"/>
      <c r="U552" s="15"/>
      <c r="W552" s="2">
        <f>-home-VLOOKUP(Table2[[#This Row],[Home/Neutral]],rtg_vlookup,4,FALSE)+VLOOKUP(Table2[[#This Row],[Visitor/Neutral]],rtg_vlookup,4,FALSE)</f>
        <v>-0.96868852459016597</v>
      </c>
      <c r="X552" s="15"/>
      <c r="Y552" s="2"/>
      <c r="Z552" s="2">
        <f>Table2[[#This Row],[A/EV]]-Table2[[#This Row],[H/EV]]</f>
        <v>-3.6168495542187031</v>
      </c>
      <c r="AA552" s="29"/>
      <c r="AB552" s="30"/>
      <c r="AC552" s="30"/>
      <c r="AD552" s="30"/>
      <c r="AE552" s="30"/>
      <c r="AF552" s="7" t="b">
        <f>IF(VLOOKUP(Table2[[#This Row],[Home/Neutral]],division_lookup,9,FALSE)=VLOOKUP(Table2[[#This Row],[Visitor/Neutral]],division_lookup,9,FALSE),TRUE,FALSE)</f>
        <v>0</v>
      </c>
      <c r="AG552" s="15" t="str">
        <f>VLOOKUP(Table2[[#This Row],[Home/Neutral]],division_lookup,9,FALSE)</f>
        <v>SE</v>
      </c>
      <c r="AH552" s="15" t="str">
        <f>IF(Table2[[#This Row],[Total/EV]]&lt;Table2[[#This Row],[Total/V]],"UNDER","OVER")</f>
        <v>OVER</v>
      </c>
      <c r="AI552" s="26">
        <f>Table2[[#This Row],[SRS/Real]]-Table2[[#This Row],[Spread/V]]</f>
        <v>0</v>
      </c>
      <c r="AJ552" s="2">
        <f>Table2[[#This Row],[EV/Real]]-Table2[[#This Row],[Spread/V]]</f>
        <v>0</v>
      </c>
      <c r="AK552" s="2">
        <f>Table2[[#This Row],[SRS/Diff]]-Table2[[#This Row],[EV/Diff]]</f>
        <v>0</v>
      </c>
      <c r="AL552" s="18">
        <f>Table2[[#This Row],[SRS]]-Table2[[#This Row],[Spread]]</f>
        <v>-0.96868852459016597</v>
      </c>
      <c r="AM552" s="21">
        <f>Table2[[#This Row],[(A) Err]]^2</f>
        <v>0.93835745767267253</v>
      </c>
      <c r="AN552" s="6">
        <f>Table2[[#This Row],[EV]]-Table2[[#This Row],[Spread]]</f>
        <v>-3.6168495542187031</v>
      </c>
      <c r="AO552" s="1">
        <f>Table2[[#This Row],[EV Err]]^2</f>
        <v>13.081600697852032</v>
      </c>
      <c r="AP552" s="1"/>
    </row>
    <row r="553" spans="1:42" x14ac:dyDescent="0.25">
      <c r="A553" s="34">
        <v>42742</v>
      </c>
      <c r="B553" t="s">
        <v>110</v>
      </c>
      <c r="C553" t="s">
        <v>127</v>
      </c>
      <c r="E553" s="21"/>
      <c r="G553" s="21"/>
      <c r="H553" s="7"/>
      <c r="I553" s="21"/>
      <c r="K553"/>
      <c r="L553" s="21">
        <f>(Table2[[#This Row],[H/Pace]]/100)*(VLOOKUP(Table2[[#This Row],[Home/Neutral]],home_lookup,8,FALSE)+VLOOKUP(Table2[[#This Row],[Home/Neutral]],OFR_lookup,2,FALSE)+VLOOKUP(Table2[[#This Row],[Visitor/Neutral]],def_diff_lookup,6,FALSE))</f>
        <v>104.51247118900939</v>
      </c>
      <c r="M553" s="21"/>
      <c r="N553" s="21">
        <f>(Table2[[#This Row],[A/Pace]]/100)*(VLOOKUP(Table2[[#This Row],[Visitor/Neutral]],OFR_lookup,2,FALSE)+VLOOKUP(Table2[[#This Row],[Home/Neutral]],def_diff_lookup,6,FALSE))</f>
        <v>102.691757</v>
      </c>
      <c r="O553" s="21"/>
      <c r="P553" s="21"/>
      <c r="Q553">
        <f>VLOOKUP(Table2[[#This Row],[Home/Neutral]],pace_lookup,7,FALSE)</f>
        <v>96.2</v>
      </c>
      <c r="R553" s="5">
        <f>VLOOKUP(Table2[[#This Row],[Visitor/Neutral]],pace_lookup,7,FALSE)</f>
        <v>99.3</v>
      </c>
      <c r="S553" s="7"/>
      <c r="U553" s="15"/>
      <c r="W553" s="2">
        <f>-home-VLOOKUP(Table2[[#This Row],[Home/Neutral]],rtg_vlookup,4,FALSE)+VLOOKUP(Table2[[#This Row],[Visitor/Neutral]],rtg_vlookup,4,FALSE)</f>
        <v>-5.9186885245901664</v>
      </c>
      <c r="X553" s="15"/>
      <c r="Y553" s="2"/>
      <c r="Z553" s="2">
        <f>Table2[[#This Row],[A/EV]]-Table2[[#This Row],[H/EV]]</f>
        <v>-1.8207141890093936</v>
      </c>
      <c r="AA553" s="29"/>
      <c r="AB553" s="30"/>
      <c r="AC553" s="30"/>
      <c r="AD553" s="30"/>
      <c r="AE553" s="30"/>
      <c r="AF553" s="7" t="b">
        <f>IF(VLOOKUP(Table2[[#This Row],[Home/Neutral]],division_lookup,9,FALSE)=VLOOKUP(Table2[[#This Row],[Visitor/Neutral]],division_lookup,9,FALSE),TRUE,FALSE)</f>
        <v>0</v>
      </c>
      <c r="AG553" s="15" t="str">
        <f>VLOOKUP(Table2[[#This Row],[Home/Neutral]],division_lookup,9,FALSE)</f>
        <v>A</v>
      </c>
      <c r="AH553" s="15" t="str">
        <f>IF(Table2[[#This Row],[Total/EV]]&lt;Table2[[#This Row],[Total/V]],"UNDER","OVER")</f>
        <v>OVER</v>
      </c>
      <c r="AI553" s="26">
        <f>Table2[[#This Row],[SRS/Real]]-Table2[[#This Row],[Spread/V]]</f>
        <v>0</v>
      </c>
      <c r="AJ553" s="2">
        <f>Table2[[#This Row],[EV/Real]]-Table2[[#This Row],[Spread/V]]</f>
        <v>0</v>
      </c>
      <c r="AK553" s="2">
        <f>Table2[[#This Row],[SRS/Diff]]-Table2[[#This Row],[EV/Diff]]</f>
        <v>0</v>
      </c>
      <c r="AL553" s="18">
        <f>Table2[[#This Row],[SRS]]-Table2[[#This Row],[Spread]]</f>
        <v>-5.9186885245901664</v>
      </c>
      <c r="AM553" s="21">
        <f>Table2[[#This Row],[(A) Err]]^2</f>
        <v>35.030873851115324</v>
      </c>
      <c r="AN553" s="6">
        <f>Table2[[#This Row],[EV]]-Table2[[#This Row],[Spread]]</f>
        <v>-1.8207141890093936</v>
      </c>
      <c r="AO553" s="1">
        <f>Table2[[#This Row],[EV Err]]^2</f>
        <v>3.3150001580601338</v>
      </c>
      <c r="AP553" s="1"/>
    </row>
    <row r="554" spans="1:42" x14ac:dyDescent="0.25">
      <c r="A554" s="34">
        <v>42742</v>
      </c>
      <c r="B554" t="s">
        <v>113</v>
      </c>
      <c r="C554" t="s">
        <v>135</v>
      </c>
      <c r="E554" s="21"/>
      <c r="G554" s="21"/>
      <c r="H554" s="7"/>
      <c r="I554" s="21"/>
      <c r="K554"/>
      <c r="L554" s="21">
        <f>(Table2[[#This Row],[H/Pace]]/100)*(VLOOKUP(Table2[[#This Row],[Home/Neutral]],home_lookup,8,FALSE)+VLOOKUP(Table2[[#This Row],[Home/Neutral]],OFR_lookup,2,FALSE)+VLOOKUP(Table2[[#This Row],[Visitor/Neutral]],def_diff_lookup,6,FALSE))</f>
        <v>109.99387388016279</v>
      </c>
      <c r="M554" s="21"/>
      <c r="N554" s="21">
        <f>(Table2[[#This Row],[A/Pace]]/100)*(VLOOKUP(Table2[[#This Row],[Visitor/Neutral]],OFR_lookup,2,FALSE)+VLOOKUP(Table2[[#This Row],[Home/Neutral]],def_diff_lookup,6,FALSE))</f>
        <v>107.84556600000001</v>
      </c>
      <c r="O554" s="21"/>
      <c r="P554" s="21"/>
      <c r="Q554">
        <f>VLOOKUP(Table2[[#This Row],[Home/Neutral]],pace_lookup,7,FALSE)</f>
        <v>95.1</v>
      </c>
      <c r="R554" s="5">
        <f>VLOOKUP(Table2[[#This Row],[Visitor/Neutral]],pace_lookup,7,FALSE)</f>
        <v>95.4</v>
      </c>
      <c r="S554" s="7"/>
      <c r="U554" s="15"/>
      <c r="W554" s="2">
        <f>-home-VLOOKUP(Table2[[#This Row],[Home/Neutral]],rtg_vlookup,4,FALSE)+VLOOKUP(Table2[[#This Row],[Visitor/Neutral]],rtg_vlookup,4,FALSE)</f>
        <v>-1.4886885245901658</v>
      </c>
      <c r="X554" s="15"/>
      <c r="Y554" s="2"/>
      <c r="Z554" s="2">
        <f>Table2[[#This Row],[A/EV]]-Table2[[#This Row],[H/EV]]</f>
        <v>-2.1483078801627897</v>
      </c>
      <c r="AA554" s="29"/>
      <c r="AB554" s="30"/>
      <c r="AC554" s="30"/>
      <c r="AD554" s="30"/>
      <c r="AE554" s="30"/>
      <c r="AF554" s="7" t="b">
        <f>IF(VLOOKUP(Table2[[#This Row],[Home/Neutral]],division_lookup,9,FALSE)=VLOOKUP(Table2[[#This Row],[Visitor/Neutral]],division_lookup,9,FALSE),TRUE,FALSE)</f>
        <v>0</v>
      </c>
      <c r="AG554" s="15" t="str">
        <f>VLOOKUP(Table2[[#This Row],[Home/Neutral]],division_lookup,9,FALSE)</f>
        <v>C</v>
      </c>
      <c r="AH554" s="15" t="str">
        <f>IF(Table2[[#This Row],[Total/EV]]&lt;Table2[[#This Row],[Total/V]],"UNDER","OVER")</f>
        <v>OVER</v>
      </c>
      <c r="AI554" s="26">
        <f>Table2[[#This Row],[SRS/Real]]-Table2[[#This Row],[Spread/V]]</f>
        <v>0</v>
      </c>
      <c r="AJ554" s="2">
        <f>Table2[[#This Row],[EV/Real]]-Table2[[#This Row],[Spread/V]]</f>
        <v>0</v>
      </c>
      <c r="AK554" s="2">
        <f>Table2[[#This Row],[SRS/Diff]]-Table2[[#This Row],[EV/Diff]]</f>
        <v>0</v>
      </c>
      <c r="AL554" s="18">
        <f>Table2[[#This Row],[SRS]]-Table2[[#This Row],[Spread]]</f>
        <v>-1.4886885245901658</v>
      </c>
      <c r="AM554" s="21">
        <f>Table2[[#This Row],[(A) Err]]^2</f>
        <v>2.2161935232464445</v>
      </c>
      <c r="AN554" s="6">
        <f>Table2[[#This Row],[EV]]-Table2[[#This Row],[Spread]]</f>
        <v>-2.1483078801627897</v>
      </c>
      <c r="AO554" s="1">
        <f>Table2[[#This Row],[EV Err]]^2</f>
        <v>4.6152267479695395</v>
      </c>
      <c r="AP554" s="1"/>
    </row>
    <row r="555" spans="1:42" x14ac:dyDescent="0.25">
      <c r="A555" s="34">
        <v>42742</v>
      </c>
      <c r="B555" t="s">
        <v>115</v>
      </c>
      <c r="C555" t="s">
        <v>109</v>
      </c>
      <c r="E555" s="21"/>
      <c r="G555" s="21"/>
      <c r="H555" s="7"/>
      <c r="I555" s="21"/>
      <c r="K555"/>
      <c r="L555" s="21">
        <f>(Table2[[#This Row],[H/Pace]]/100)*(VLOOKUP(Table2[[#This Row],[Home/Neutral]],home_lookup,8,FALSE)+VLOOKUP(Table2[[#This Row],[Home/Neutral]],OFR_lookup,2,FALSE)+VLOOKUP(Table2[[#This Row],[Visitor/Neutral]],def_diff_lookup,6,FALSE))</f>
        <v>89.023443115967765</v>
      </c>
      <c r="M555" s="21"/>
      <c r="N555" s="21">
        <f>(Table2[[#This Row],[A/Pace]]/100)*(VLOOKUP(Table2[[#This Row],[Visitor/Neutral]],OFR_lookup,2,FALSE)+VLOOKUP(Table2[[#This Row],[Home/Neutral]],def_diff_lookup,6,FALSE))</f>
        <v>100.56466133333333</v>
      </c>
      <c r="O555" s="21"/>
      <c r="P555" s="21"/>
      <c r="Q555">
        <f>VLOOKUP(Table2[[#This Row],[Home/Neutral]],pace_lookup,7,FALSE)</f>
        <v>92.9</v>
      </c>
      <c r="R555" s="5">
        <f>VLOOKUP(Table2[[#This Row],[Visitor/Neutral]],pace_lookup,7,FALSE)</f>
        <v>99.2</v>
      </c>
      <c r="S555" s="7"/>
      <c r="U555" s="15"/>
      <c r="W555" s="2">
        <f>-home-VLOOKUP(Table2[[#This Row],[Home/Neutral]],rtg_vlookup,4,FALSE)+VLOOKUP(Table2[[#This Row],[Visitor/Neutral]],rtg_vlookup,4,FALSE)</f>
        <v>8.3613114754098348</v>
      </c>
      <c r="X555" s="15"/>
      <c r="Y555" s="2"/>
      <c r="Z555" s="2">
        <f>Table2[[#This Row],[A/EV]]-Table2[[#This Row],[H/EV]]</f>
        <v>11.541218217365568</v>
      </c>
      <c r="AA555" s="29"/>
      <c r="AB555" s="30"/>
      <c r="AC555" s="30"/>
      <c r="AD555" s="30"/>
      <c r="AE555" s="30"/>
      <c r="AF555" s="7" t="b">
        <f>IF(VLOOKUP(Table2[[#This Row],[Home/Neutral]],division_lookup,9,FALSE)=VLOOKUP(Table2[[#This Row],[Visitor/Neutral]],division_lookup,9,FALSE),TRUE,FALSE)</f>
        <v>0</v>
      </c>
      <c r="AG555" s="15" t="str">
        <f>VLOOKUP(Table2[[#This Row],[Home/Neutral]],division_lookup,9,FALSE)</f>
        <v>SW</v>
      </c>
      <c r="AH555" s="15" t="str">
        <f>IF(Table2[[#This Row],[Total/EV]]&lt;Table2[[#This Row],[Total/V]],"UNDER","OVER")</f>
        <v>OVER</v>
      </c>
      <c r="AI555" s="26">
        <f>Table2[[#This Row],[SRS/Real]]-Table2[[#This Row],[Spread/V]]</f>
        <v>0</v>
      </c>
      <c r="AJ555" s="2">
        <f>Table2[[#This Row],[EV/Real]]-Table2[[#This Row],[Spread/V]]</f>
        <v>0</v>
      </c>
      <c r="AK555" s="2">
        <f>Table2[[#This Row],[SRS/Diff]]-Table2[[#This Row],[EV/Diff]]</f>
        <v>0</v>
      </c>
      <c r="AL555" s="18">
        <f>Table2[[#This Row],[SRS]]-Table2[[#This Row],[Spread]]</f>
        <v>8.3613114754098348</v>
      </c>
      <c r="AM555" s="21">
        <f>Table2[[#This Row],[(A) Err]]^2</f>
        <v>69.911529588820187</v>
      </c>
      <c r="AN555" s="6">
        <f>Table2[[#This Row],[EV]]-Table2[[#This Row],[Spread]]</f>
        <v>11.541218217365568</v>
      </c>
      <c r="AO555" s="1">
        <f>Table2[[#This Row],[EV Err]]^2</f>
        <v>133.19971794085086</v>
      </c>
      <c r="AP555" s="1"/>
    </row>
    <row r="556" spans="1:42" x14ac:dyDescent="0.25">
      <c r="A556" s="34">
        <v>42742</v>
      </c>
      <c r="B556" t="s">
        <v>120</v>
      </c>
      <c r="C556" t="s">
        <v>128</v>
      </c>
      <c r="E556" s="21"/>
      <c r="G556" s="21"/>
      <c r="H556" s="7"/>
      <c r="I556" s="21"/>
      <c r="K556"/>
      <c r="L556" s="21">
        <f>(Table2[[#This Row],[H/Pace]]/100)*(VLOOKUP(Table2[[#This Row],[Home/Neutral]],home_lookup,8,FALSE)+VLOOKUP(Table2[[#This Row],[Home/Neutral]],OFR_lookup,2,FALSE)+VLOOKUP(Table2[[#This Row],[Visitor/Neutral]],def_diff_lookup,6,FALSE))</f>
        <v>109.07235542930862</v>
      </c>
      <c r="M556" s="21"/>
      <c r="N556" s="21">
        <f>(Table2[[#This Row],[A/Pace]]/100)*(VLOOKUP(Table2[[#This Row],[Visitor/Neutral]],OFR_lookup,2,FALSE)+VLOOKUP(Table2[[#This Row],[Home/Neutral]],def_diff_lookup,6,FALSE))</f>
        <v>105.63692699999999</v>
      </c>
      <c r="O556" s="21"/>
      <c r="P556" s="21"/>
      <c r="Q556">
        <f>VLOOKUP(Table2[[#This Row],[Home/Neutral]],pace_lookup,7,FALSE)</f>
        <v>98.3</v>
      </c>
      <c r="R556" s="5">
        <f>VLOOKUP(Table2[[#This Row],[Visitor/Neutral]],pace_lookup,7,FALSE)</f>
        <v>96.3</v>
      </c>
      <c r="S556" s="7"/>
      <c r="U556" s="15"/>
      <c r="W556" s="2">
        <f>-home-VLOOKUP(Table2[[#This Row],[Home/Neutral]],rtg_vlookup,4,FALSE)+VLOOKUP(Table2[[#This Row],[Visitor/Neutral]],rtg_vlookup,4,FALSE)</f>
        <v>6.1311475409834504E-2</v>
      </c>
      <c r="X556" s="15"/>
      <c r="Y556" s="2"/>
      <c r="Z556" s="2">
        <f>Table2[[#This Row],[A/EV]]-Table2[[#This Row],[H/EV]]</f>
        <v>-3.4354284293086295</v>
      </c>
      <c r="AA556" s="29"/>
      <c r="AB556" s="30"/>
      <c r="AC556" s="30"/>
      <c r="AD556" s="30"/>
      <c r="AE556" s="30"/>
      <c r="AF556" s="7" t="b">
        <f>IF(VLOOKUP(Table2[[#This Row],[Home/Neutral]],division_lookup,9,FALSE)=VLOOKUP(Table2[[#This Row],[Visitor/Neutral]],division_lookup,9,FALSE),TRUE,FALSE)</f>
        <v>0</v>
      </c>
      <c r="AG556" s="15" t="str">
        <f>VLOOKUP(Table2[[#This Row],[Home/Neutral]],division_lookup,9,FALSE)</f>
        <v>C</v>
      </c>
      <c r="AH556" s="15" t="str">
        <f>IF(Table2[[#This Row],[Total/EV]]&lt;Table2[[#This Row],[Total/V]],"UNDER","OVER")</f>
        <v>OVER</v>
      </c>
      <c r="AI556" s="26">
        <f>Table2[[#This Row],[SRS/Real]]-Table2[[#This Row],[Spread/V]]</f>
        <v>0</v>
      </c>
      <c r="AJ556" s="2">
        <f>Table2[[#This Row],[EV/Real]]-Table2[[#This Row],[Spread/V]]</f>
        <v>0</v>
      </c>
      <c r="AK556" s="2">
        <f>Table2[[#This Row],[SRS/Diff]]-Table2[[#This Row],[EV/Diff]]</f>
        <v>0</v>
      </c>
      <c r="AL556" s="18">
        <f>Table2[[#This Row],[SRS]]-Table2[[#This Row],[Spread]]</f>
        <v>6.1311475409834504E-2</v>
      </c>
      <c r="AM556" s="21">
        <f>Table2[[#This Row],[(A) Err]]^2</f>
        <v>3.759097016930741E-3</v>
      </c>
      <c r="AN556" s="6">
        <f>Table2[[#This Row],[EV]]-Table2[[#This Row],[Spread]]</f>
        <v>-3.4354284293086295</v>
      </c>
      <c r="AO556" s="1">
        <f>Table2[[#This Row],[EV Err]]^2</f>
        <v>11.802168492901957</v>
      </c>
      <c r="AP556" s="1"/>
    </row>
    <row r="557" spans="1:42" x14ac:dyDescent="0.25">
      <c r="A557" s="34">
        <v>42742</v>
      </c>
      <c r="B557" t="s">
        <v>126</v>
      </c>
      <c r="C557" t="s">
        <v>136</v>
      </c>
      <c r="E557" s="21"/>
      <c r="G557" s="21"/>
      <c r="H557" s="7"/>
      <c r="I557" s="21"/>
      <c r="K557"/>
      <c r="L557" s="21">
        <f>(Table2[[#This Row],[H/Pace]]/100)*(VLOOKUP(Table2[[#This Row],[Home/Neutral]],home_lookup,8,FALSE)+VLOOKUP(Table2[[#This Row],[Home/Neutral]],OFR_lookup,2,FALSE)+VLOOKUP(Table2[[#This Row],[Visitor/Neutral]],def_diff_lookup,6,FALSE))</f>
        <v>110.60552777050785</v>
      </c>
      <c r="M557" s="21"/>
      <c r="N557" s="21">
        <f>(Table2[[#This Row],[A/Pace]]/100)*(VLOOKUP(Table2[[#This Row],[Visitor/Neutral]],OFR_lookup,2,FALSE)+VLOOKUP(Table2[[#This Row],[Home/Neutral]],def_diff_lookup,6,FALSE))</f>
        <v>100.307485</v>
      </c>
      <c r="O557" s="21"/>
      <c r="P557" s="21"/>
      <c r="Q557">
        <f>VLOOKUP(Table2[[#This Row],[Home/Neutral]],pace_lookup,7,FALSE)</f>
        <v>95.7</v>
      </c>
      <c r="R557" s="5">
        <f>VLOOKUP(Table2[[#This Row],[Visitor/Neutral]],pace_lookup,7,FALSE)</f>
        <v>91.5</v>
      </c>
      <c r="S557" s="7"/>
      <c r="U557" s="15"/>
      <c r="W557" s="2">
        <f>-home-VLOOKUP(Table2[[#This Row],[Home/Neutral]],rtg_vlookup,4,FALSE)+VLOOKUP(Table2[[#This Row],[Visitor/Neutral]],rtg_vlookup,4,FALSE)</f>
        <v>2.6513114754098339</v>
      </c>
      <c r="X557" s="15"/>
      <c r="Y557" s="2"/>
      <c r="Z557" s="2">
        <f>Table2[[#This Row],[A/EV]]-Table2[[#This Row],[H/EV]]</f>
        <v>-10.298042770507848</v>
      </c>
      <c r="AA557" s="29"/>
      <c r="AB557" s="30"/>
      <c r="AC557" s="30"/>
      <c r="AD557" s="30"/>
      <c r="AE557" s="30"/>
      <c r="AF557" s="7" t="b">
        <f>IF(VLOOKUP(Table2[[#This Row],[Home/Neutral]],division_lookup,9,FALSE)=VLOOKUP(Table2[[#This Row],[Visitor/Neutral]],division_lookup,9,FALSE),TRUE,FALSE)</f>
        <v>1</v>
      </c>
      <c r="AG557" s="15" t="str">
        <f>VLOOKUP(Table2[[#This Row],[Home/Neutral]],division_lookup,9,FALSE)</f>
        <v>NW</v>
      </c>
      <c r="AH557" s="15" t="str">
        <f>IF(Table2[[#This Row],[Total/EV]]&lt;Table2[[#This Row],[Total/V]],"UNDER","OVER")</f>
        <v>OVER</v>
      </c>
      <c r="AI557" s="26">
        <f>Table2[[#This Row],[SRS/Real]]-Table2[[#This Row],[Spread/V]]</f>
        <v>0</v>
      </c>
      <c r="AJ557" s="2">
        <f>Table2[[#This Row],[EV/Real]]-Table2[[#This Row],[Spread/V]]</f>
        <v>0</v>
      </c>
      <c r="AK557" s="2">
        <f>Table2[[#This Row],[SRS/Diff]]-Table2[[#This Row],[EV/Diff]]</f>
        <v>0</v>
      </c>
      <c r="AL557" s="18">
        <f>Table2[[#This Row],[SRS]]-Table2[[#This Row],[Spread]]</f>
        <v>2.6513114754098339</v>
      </c>
      <c r="AM557" s="21">
        <f>Table2[[#This Row],[(A) Err]]^2</f>
        <v>7.0294525396398706</v>
      </c>
      <c r="AN557" s="6">
        <f>Table2[[#This Row],[EV]]-Table2[[#This Row],[Spread]]</f>
        <v>-10.298042770507848</v>
      </c>
      <c r="AO557" s="1">
        <f>Table2[[#This Row],[EV Err]]^2</f>
        <v>106.04968490320896</v>
      </c>
      <c r="AP557" s="1"/>
    </row>
    <row r="558" spans="1:42" x14ac:dyDescent="0.25">
      <c r="A558" s="34">
        <v>42742</v>
      </c>
      <c r="B558" t="s">
        <v>129</v>
      </c>
      <c r="C558" t="s">
        <v>116</v>
      </c>
      <c r="E558" s="21"/>
      <c r="G558" s="21"/>
      <c r="H558" s="7"/>
      <c r="I558" s="21"/>
      <c r="K558"/>
      <c r="L558" s="21">
        <f>(Table2[[#This Row],[H/Pace]]/100)*(VLOOKUP(Table2[[#This Row],[Home/Neutral]],home_lookup,8,FALSE)+VLOOKUP(Table2[[#This Row],[Home/Neutral]],OFR_lookup,2,FALSE)+VLOOKUP(Table2[[#This Row],[Visitor/Neutral]],def_diff_lookup,6,FALSE))</f>
        <v>107.66870376890107</v>
      </c>
      <c r="M558" s="21"/>
      <c r="N558" s="21">
        <f>(Table2[[#This Row],[A/Pace]]/100)*(VLOOKUP(Table2[[#This Row],[Visitor/Neutral]],OFR_lookup,2,FALSE)+VLOOKUP(Table2[[#This Row],[Home/Neutral]],def_diff_lookup,6,FALSE))</f>
        <v>103.31736566666667</v>
      </c>
      <c r="O558" s="21"/>
      <c r="P558" s="21"/>
      <c r="Q558">
        <f>VLOOKUP(Table2[[#This Row],[Home/Neutral]],pace_lookup,7,FALSE)</f>
        <v>99</v>
      </c>
      <c r="R558" s="5">
        <f>VLOOKUP(Table2[[#This Row],[Visitor/Neutral]],pace_lookup,7,FALSE)</f>
        <v>99.1</v>
      </c>
      <c r="S558" s="7"/>
      <c r="U558" s="15"/>
      <c r="W558" s="2">
        <f>-home-VLOOKUP(Table2[[#This Row],[Home/Neutral]],rtg_vlookup,4,FALSE)+VLOOKUP(Table2[[#This Row],[Visitor/Neutral]],rtg_vlookup,4,FALSE)</f>
        <v>-5.0286885245901658</v>
      </c>
      <c r="X558" s="15"/>
      <c r="Y558" s="2"/>
      <c r="Z558" s="2">
        <f>Table2[[#This Row],[A/EV]]-Table2[[#This Row],[H/EV]]</f>
        <v>-4.3513381022343935</v>
      </c>
      <c r="AA558" s="29"/>
      <c r="AB558" s="30"/>
      <c r="AC558" s="30"/>
      <c r="AD558" s="30"/>
      <c r="AE558" s="30"/>
      <c r="AF558" s="7" t="b">
        <f>IF(VLOOKUP(Table2[[#This Row],[Home/Neutral]],division_lookup,9,FALSE)=VLOOKUP(Table2[[#This Row],[Visitor/Neutral]],division_lookup,9,FALSE),TRUE,FALSE)</f>
        <v>1</v>
      </c>
      <c r="AG558" s="15" t="str">
        <f>VLOOKUP(Table2[[#This Row],[Home/Neutral]],division_lookup,9,FALSE)</f>
        <v>NW</v>
      </c>
      <c r="AH558" s="15" t="str">
        <f>IF(Table2[[#This Row],[Total/EV]]&lt;Table2[[#This Row],[Total/V]],"UNDER","OVER")</f>
        <v>OVER</v>
      </c>
      <c r="AI558" s="26">
        <f>Table2[[#This Row],[SRS/Real]]-Table2[[#This Row],[Spread/V]]</f>
        <v>0</v>
      </c>
      <c r="AJ558" s="2">
        <f>Table2[[#This Row],[EV/Real]]-Table2[[#This Row],[Spread/V]]</f>
        <v>0</v>
      </c>
      <c r="AK558" s="2">
        <f>Table2[[#This Row],[SRS/Diff]]-Table2[[#This Row],[EV/Diff]]</f>
        <v>0</v>
      </c>
      <c r="AL558" s="18">
        <f>Table2[[#This Row],[SRS]]-Table2[[#This Row],[Spread]]</f>
        <v>-5.0286885245901658</v>
      </c>
      <c r="AM558" s="21">
        <f>Table2[[#This Row],[(A) Err]]^2</f>
        <v>25.287708277344819</v>
      </c>
      <c r="AN558" s="6">
        <f>Table2[[#This Row],[EV]]-Table2[[#This Row],[Spread]]</f>
        <v>-4.3513381022343935</v>
      </c>
      <c r="AO558" s="1">
        <f>Table2[[#This Row],[EV Err]]^2</f>
        <v>18.934143279956814</v>
      </c>
      <c r="AP558" s="1"/>
    </row>
    <row r="559" spans="1:42" x14ac:dyDescent="0.25">
      <c r="A559" s="34">
        <v>42742</v>
      </c>
      <c r="B559" t="s">
        <v>132</v>
      </c>
      <c r="C559" t="s">
        <v>117</v>
      </c>
      <c r="E559" s="21"/>
      <c r="G559" s="21"/>
      <c r="H559" s="7"/>
      <c r="I559" s="21"/>
      <c r="K559"/>
      <c r="L559" s="21">
        <f>(Table2[[#This Row],[H/Pace]]/100)*(VLOOKUP(Table2[[#This Row],[Home/Neutral]],home_lookup,8,FALSE)+VLOOKUP(Table2[[#This Row],[Home/Neutral]],OFR_lookup,2,FALSE)+VLOOKUP(Table2[[#This Row],[Visitor/Neutral]],def_diff_lookup,6,FALSE))</f>
        <v>105.12142144606979</v>
      </c>
      <c r="M559" s="21"/>
      <c r="N559" s="21">
        <f>(Table2[[#This Row],[A/Pace]]/100)*(VLOOKUP(Table2[[#This Row],[Visitor/Neutral]],OFR_lookup,2,FALSE)+VLOOKUP(Table2[[#This Row],[Home/Neutral]],def_diff_lookup,6,FALSE))</f>
        <v>103.25492666666665</v>
      </c>
      <c r="O559" s="21"/>
      <c r="P559" s="21"/>
      <c r="Q559">
        <f>VLOOKUP(Table2[[#This Row],[Home/Neutral]],pace_lookup,7,FALSE)</f>
        <v>98.8</v>
      </c>
      <c r="R559" s="5">
        <f>VLOOKUP(Table2[[#This Row],[Visitor/Neutral]],pace_lookup,7,FALSE)</f>
        <v>94</v>
      </c>
      <c r="S559" s="7"/>
      <c r="U559" s="15"/>
      <c r="W559" s="2">
        <f>-home-VLOOKUP(Table2[[#This Row],[Home/Neutral]],rtg_vlookup,4,FALSE)+VLOOKUP(Table2[[#This Row],[Visitor/Neutral]],rtg_vlookup,4,FALSE)</f>
        <v>1.2313114754098342</v>
      </c>
      <c r="X559" s="15"/>
      <c r="Y559" s="2"/>
      <c r="Z559" s="2">
        <f>Table2[[#This Row],[A/EV]]-Table2[[#This Row],[H/EV]]</f>
        <v>-1.8664947794031406</v>
      </c>
      <c r="AA559" s="29"/>
      <c r="AB559" s="30"/>
      <c r="AC559" s="30"/>
      <c r="AD559" s="30"/>
      <c r="AE559" s="30"/>
      <c r="AF559" s="7" t="b">
        <f>IF(VLOOKUP(Table2[[#This Row],[Home/Neutral]],division_lookup,9,FALSE)=VLOOKUP(Table2[[#This Row],[Visitor/Neutral]],division_lookup,9,FALSE),TRUE,FALSE)</f>
        <v>0</v>
      </c>
      <c r="AG559" s="15" t="str">
        <f>VLOOKUP(Table2[[#This Row],[Home/Neutral]],division_lookup,9,FALSE)</f>
        <v>NW</v>
      </c>
      <c r="AH559" s="15" t="str">
        <f>IF(Table2[[#This Row],[Total/EV]]&lt;Table2[[#This Row],[Total/V]],"UNDER","OVER")</f>
        <v>OVER</v>
      </c>
      <c r="AI559" s="26">
        <f>Table2[[#This Row],[SRS/Real]]-Table2[[#This Row],[Spread/V]]</f>
        <v>0</v>
      </c>
      <c r="AJ559" s="2">
        <f>Table2[[#This Row],[EV/Real]]-Table2[[#This Row],[Spread/V]]</f>
        <v>0</v>
      </c>
      <c r="AK559" s="2">
        <f>Table2[[#This Row],[SRS/Diff]]-Table2[[#This Row],[EV/Diff]]</f>
        <v>0</v>
      </c>
      <c r="AL559" s="18">
        <f>Table2[[#This Row],[SRS]]-Table2[[#This Row],[Spread]]</f>
        <v>1.2313114754098342</v>
      </c>
      <c r="AM559" s="21">
        <f>Table2[[#This Row],[(A) Err]]^2</f>
        <v>1.5161279494759428</v>
      </c>
      <c r="AN559" s="6">
        <f>Table2[[#This Row],[EV]]-Table2[[#This Row],[Spread]]</f>
        <v>-1.8664947794031406</v>
      </c>
      <c r="AO559" s="1">
        <f>Table2[[#This Row],[EV Err]]^2</f>
        <v>3.4838027615391782</v>
      </c>
      <c r="AP559" s="1"/>
    </row>
    <row r="560" spans="1:42" x14ac:dyDescent="0.25">
      <c r="A560" s="34">
        <v>42742</v>
      </c>
      <c r="B560" t="s">
        <v>134</v>
      </c>
      <c r="C560" t="s">
        <v>112</v>
      </c>
      <c r="E560" s="21"/>
      <c r="G560" s="21"/>
      <c r="H560" s="7"/>
      <c r="I560" s="21"/>
      <c r="K560"/>
      <c r="L560" s="21">
        <f>(Table2[[#This Row],[H/Pace]]/100)*(VLOOKUP(Table2[[#This Row],[Home/Neutral]],home_lookup,8,FALSE)+VLOOKUP(Table2[[#This Row],[Home/Neutral]],OFR_lookup,2,FALSE)+VLOOKUP(Table2[[#This Row],[Visitor/Neutral]],def_diff_lookup,6,FALSE))</f>
        <v>99.804853436381933</v>
      </c>
      <c r="M560" s="21"/>
      <c r="N560" s="21">
        <f>(Table2[[#This Row],[A/Pace]]/100)*(VLOOKUP(Table2[[#This Row],[Visitor/Neutral]],OFR_lookup,2,FALSE)+VLOOKUP(Table2[[#This Row],[Home/Neutral]],def_diff_lookup,6,FALSE))</f>
        <v>103.64885933333335</v>
      </c>
      <c r="O560" s="21"/>
      <c r="P560" s="21"/>
      <c r="Q560">
        <f>VLOOKUP(Table2[[#This Row],[Home/Neutral]],pace_lookup,7,FALSE)</f>
        <v>93.4</v>
      </c>
      <c r="R560" s="5">
        <f>VLOOKUP(Table2[[#This Row],[Visitor/Neutral]],pace_lookup,7,FALSE)</f>
        <v>97.4</v>
      </c>
      <c r="S560" s="7"/>
      <c r="U560" s="15"/>
      <c r="W560" s="2">
        <f>-home-VLOOKUP(Table2[[#This Row],[Home/Neutral]],rtg_vlookup,4,FALSE)+VLOOKUP(Table2[[#This Row],[Visitor/Neutral]],rtg_vlookup,4,FALSE)</f>
        <v>-8.1286885245901637</v>
      </c>
      <c r="X560" s="15"/>
      <c r="Y560" s="2"/>
      <c r="Z560" s="2">
        <f>Table2[[#This Row],[A/EV]]-Table2[[#This Row],[H/EV]]</f>
        <v>3.8440058969514155</v>
      </c>
      <c r="AA560" s="29"/>
      <c r="AB560" s="30"/>
      <c r="AC560" s="30"/>
      <c r="AD560" s="30"/>
      <c r="AE560" s="30"/>
      <c r="AF560" s="7" t="b">
        <f>IF(VLOOKUP(Table2[[#This Row],[Home/Neutral]],division_lookup,9,FALSE)=VLOOKUP(Table2[[#This Row],[Visitor/Neutral]],division_lookup,9,FALSE),TRUE,FALSE)</f>
        <v>0</v>
      </c>
      <c r="AG560" s="15" t="str">
        <f>VLOOKUP(Table2[[#This Row],[Home/Neutral]],division_lookup,9,FALSE)</f>
        <v>SW</v>
      </c>
      <c r="AH560" s="15" t="str">
        <f>IF(Table2[[#This Row],[Total/EV]]&lt;Table2[[#This Row],[Total/V]],"UNDER","OVER")</f>
        <v>OVER</v>
      </c>
      <c r="AI560" s="26">
        <f>Table2[[#This Row],[SRS/Real]]-Table2[[#This Row],[Spread/V]]</f>
        <v>0</v>
      </c>
      <c r="AJ560" s="2">
        <f>Table2[[#This Row],[EV/Real]]-Table2[[#This Row],[Spread/V]]</f>
        <v>0</v>
      </c>
      <c r="AK560" s="2">
        <f>Table2[[#This Row],[SRS/Diff]]-Table2[[#This Row],[EV/Diff]]</f>
        <v>0</v>
      </c>
      <c r="AL560" s="18">
        <f>Table2[[#This Row],[SRS]]-Table2[[#This Row],[Spread]]</f>
        <v>-8.1286885245901637</v>
      </c>
      <c r="AM560" s="21">
        <f>Table2[[#This Row],[(A) Err]]^2</f>
        <v>66.075577129803818</v>
      </c>
      <c r="AN560" s="6">
        <f>Table2[[#This Row],[EV]]-Table2[[#This Row],[Spread]]</f>
        <v>3.8440058969514155</v>
      </c>
      <c r="AO560" s="1">
        <f>Table2[[#This Row],[EV Err]]^2</f>
        <v>14.776381335797256</v>
      </c>
      <c r="AP560" s="1"/>
    </row>
    <row r="561" spans="1:42" x14ac:dyDescent="0.25">
      <c r="A561" s="34">
        <v>42743</v>
      </c>
      <c r="B561" t="s">
        <v>111</v>
      </c>
      <c r="C561" t="s">
        <v>138</v>
      </c>
      <c r="E561" s="21"/>
      <c r="G561" s="21"/>
      <c r="H561" s="7"/>
      <c r="I561" s="21"/>
      <c r="K561"/>
      <c r="L561" s="21">
        <f>(Table2[[#This Row],[H/Pace]]/100)*(VLOOKUP(Table2[[#This Row],[Home/Neutral]],home_lookup,8,FALSE)+VLOOKUP(Table2[[#This Row],[Home/Neutral]],OFR_lookup,2,FALSE)+VLOOKUP(Table2[[#This Row],[Visitor/Neutral]],def_diff_lookup,6,FALSE))</f>
        <v>101.93561832771636</v>
      </c>
      <c r="M561" s="21"/>
      <c r="N561" s="21">
        <f>(Table2[[#This Row],[A/Pace]]/100)*(VLOOKUP(Table2[[#This Row],[Visitor/Neutral]],OFR_lookup,2,FALSE)+VLOOKUP(Table2[[#This Row],[Home/Neutral]],def_diff_lookup,6,FALSE))</f>
        <v>100.46952499999999</v>
      </c>
      <c r="O561" s="21"/>
      <c r="P561" s="21"/>
      <c r="Q561">
        <f>VLOOKUP(Table2[[#This Row],[Home/Neutral]],pace_lookup,7,FALSE)</f>
        <v>102</v>
      </c>
      <c r="R561" s="5">
        <f>VLOOKUP(Table2[[#This Row],[Visitor/Neutral]],pace_lookup,7,FALSE)</f>
        <v>97.5</v>
      </c>
      <c r="S561" s="7"/>
      <c r="U561" s="15"/>
      <c r="W561" s="2">
        <f>-home-VLOOKUP(Table2[[#This Row],[Home/Neutral]],rtg_vlookup,4,FALSE)+VLOOKUP(Table2[[#This Row],[Visitor/Neutral]],rtg_vlookup,4,FALSE)</f>
        <v>-3.6286885245901672</v>
      </c>
      <c r="X561" s="15"/>
      <c r="Y561" s="2"/>
      <c r="Z561" s="2">
        <f>Table2[[#This Row],[A/EV]]-Table2[[#This Row],[H/EV]]</f>
        <v>-1.466093327716365</v>
      </c>
      <c r="AA561" s="29"/>
      <c r="AB561" s="30"/>
      <c r="AC561" s="30"/>
      <c r="AD561" s="30"/>
      <c r="AE561" s="30"/>
      <c r="AF561" s="7" t="b">
        <f>IF(VLOOKUP(Table2[[#This Row],[Home/Neutral]],division_lookup,9,FALSE)=VLOOKUP(Table2[[#This Row],[Visitor/Neutral]],division_lookup,9,FALSE),TRUE,FALSE)</f>
        <v>1</v>
      </c>
      <c r="AG561" s="15" t="str">
        <f>VLOOKUP(Table2[[#This Row],[Home/Neutral]],division_lookup,9,FALSE)</f>
        <v>A</v>
      </c>
      <c r="AH561" s="15" t="str">
        <f>IF(Table2[[#This Row],[Total/EV]]&lt;Table2[[#This Row],[Total/V]],"UNDER","OVER")</f>
        <v>OVER</v>
      </c>
      <c r="AI561" s="26">
        <f>Table2[[#This Row],[SRS/Real]]-Table2[[#This Row],[Spread/V]]</f>
        <v>0</v>
      </c>
      <c r="AJ561" s="2">
        <f>Table2[[#This Row],[EV/Real]]-Table2[[#This Row],[Spread/V]]</f>
        <v>0</v>
      </c>
      <c r="AK561" s="2">
        <f>Table2[[#This Row],[SRS/Diff]]-Table2[[#This Row],[EV/Diff]]</f>
        <v>0</v>
      </c>
      <c r="AL561" s="18">
        <f>Table2[[#This Row],[SRS]]-Table2[[#This Row],[Spread]]</f>
        <v>-3.6286885245901672</v>
      </c>
      <c r="AM561" s="21">
        <f>Table2[[#This Row],[(A) Err]]^2</f>
        <v>13.167380408492365</v>
      </c>
      <c r="AN561" s="6">
        <f>Table2[[#This Row],[EV]]-Table2[[#This Row],[Spread]]</f>
        <v>-1.466093327716365</v>
      </c>
      <c r="AO561" s="1">
        <f>Table2[[#This Row],[EV Err]]^2</f>
        <v>2.149429645574445</v>
      </c>
      <c r="AP561" s="1"/>
    </row>
    <row r="562" spans="1:42" x14ac:dyDescent="0.25">
      <c r="A562" s="34">
        <v>42743</v>
      </c>
      <c r="B562" t="s">
        <v>121</v>
      </c>
      <c r="C562" t="s">
        <v>124</v>
      </c>
      <c r="E562" s="21"/>
      <c r="G562" s="21"/>
      <c r="H562" s="7"/>
      <c r="I562" s="21"/>
      <c r="K562"/>
      <c r="L562" s="21">
        <f>(Table2[[#This Row],[H/Pace]]/100)*(VLOOKUP(Table2[[#This Row],[Home/Neutral]],home_lookup,8,FALSE)+VLOOKUP(Table2[[#This Row],[Home/Neutral]],OFR_lookup,2,FALSE)+VLOOKUP(Table2[[#This Row],[Visitor/Neutral]],def_diff_lookup,6,FALSE))</f>
        <v>111.74996060751253</v>
      </c>
      <c r="M562" s="21"/>
      <c r="N562" s="21">
        <f>(Table2[[#This Row],[A/Pace]]/100)*(VLOOKUP(Table2[[#This Row],[Visitor/Neutral]],OFR_lookup,2,FALSE)+VLOOKUP(Table2[[#This Row],[Home/Neutral]],def_diff_lookup,6,FALSE))</f>
        <v>92.730829666666665</v>
      </c>
      <c r="O562" s="21"/>
      <c r="P562" s="21"/>
      <c r="Q562">
        <f>VLOOKUP(Table2[[#This Row],[Home/Neutral]],pace_lookup,7,FALSE)</f>
        <v>96.4</v>
      </c>
      <c r="R562" s="5">
        <f>VLOOKUP(Table2[[#This Row],[Visitor/Neutral]],pace_lookup,7,FALSE)</f>
        <v>93.7</v>
      </c>
      <c r="S562" s="7"/>
      <c r="U562" s="15"/>
      <c r="W562" s="2">
        <f>-home-VLOOKUP(Table2[[#This Row],[Home/Neutral]],rtg_vlookup,4,FALSE)+VLOOKUP(Table2[[#This Row],[Visitor/Neutral]],rtg_vlookup,4,FALSE)</f>
        <v>-16.708688524590166</v>
      </c>
      <c r="X562" s="15"/>
      <c r="Y562" s="2"/>
      <c r="Z562" s="2">
        <f>Table2[[#This Row],[A/EV]]-Table2[[#This Row],[H/EV]]</f>
        <v>-19.019130940845869</v>
      </c>
      <c r="AA562" s="29"/>
      <c r="AB562" s="30"/>
      <c r="AC562" s="30"/>
      <c r="AD562" s="30"/>
      <c r="AE562" s="30"/>
      <c r="AF562" s="7" t="b">
        <f>IF(VLOOKUP(Table2[[#This Row],[Home/Neutral]],division_lookup,9,FALSE)=VLOOKUP(Table2[[#This Row],[Visitor/Neutral]],division_lookup,9,FALSE),TRUE,FALSE)</f>
        <v>0</v>
      </c>
      <c r="AG562" s="15" t="str">
        <f>VLOOKUP(Table2[[#This Row],[Home/Neutral]],division_lookup,9,FALSE)</f>
        <v>P</v>
      </c>
      <c r="AH562" s="15" t="str">
        <f>IF(Table2[[#This Row],[Total/EV]]&lt;Table2[[#This Row],[Total/V]],"UNDER","OVER")</f>
        <v>OVER</v>
      </c>
      <c r="AI562" s="26">
        <f>Table2[[#This Row],[SRS/Real]]-Table2[[#This Row],[Spread/V]]</f>
        <v>0</v>
      </c>
      <c r="AJ562" s="2">
        <f>Table2[[#This Row],[EV/Real]]-Table2[[#This Row],[Spread/V]]</f>
        <v>0</v>
      </c>
      <c r="AK562" s="2">
        <f>Table2[[#This Row],[SRS/Diff]]-Table2[[#This Row],[EV/Diff]]</f>
        <v>0</v>
      </c>
      <c r="AL562" s="18">
        <f>Table2[[#This Row],[SRS]]-Table2[[#This Row],[Spread]]</f>
        <v>-16.708688524590166</v>
      </c>
      <c r="AM562" s="21">
        <f>Table2[[#This Row],[(A) Err]]^2</f>
        <v>279.18027221177107</v>
      </c>
      <c r="AN562" s="6">
        <f>Table2[[#This Row],[EV]]-Table2[[#This Row],[Spread]]</f>
        <v>-19.019130940845869</v>
      </c>
      <c r="AO562" s="1">
        <f>Table2[[#This Row],[EV Err]]^2</f>
        <v>361.72734174504069</v>
      </c>
      <c r="AP562" s="1"/>
    </row>
    <row r="563" spans="1:42" x14ac:dyDescent="0.25">
      <c r="A563" s="34">
        <v>42743</v>
      </c>
      <c r="B563" t="s">
        <v>122</v>
      </c>
      <c r="C563" t="s">
        <v>130</v>
      </c>
      <c r="E563" s="21"/>
      <c r="G563" s="21"/>
      <c r="H563" s="7"/>
      <c r="I563" s="21"/>
      <c r="K563"/>
      <c r="L563" s="21">
        <f>(Table2[[#This Row],[H/Pace]]/100)*(VLOOKUP(Table2[[#This Row],[Home/Neutral]],home_lookup,8,FALSE)+VLOOKUP(Table2[[#This Row],[Home/Neutral]],OFR_lookup,2,FALSE)+VLOOKUP(Table2[[#This Row],[Visitor/Neutral]],def_diff_lookup,6,FALSE))</f>
        <v>109.6176083274473</v>
      </c>
      <c r="M563" s="21"/>
      <c r="N563" s="21">
        <f>(Table2[[#This Row],[A/Pace]]/100)*(VLOOKUP(Table2[[#This Row],[Visitor/Neutral]],OFR_lookup,2,FALSE)+VLOOKUP(Table2[[#This Row],[Home/Neutral]],def_diff_lookup,6,FALSE))</f>
        <v>96.447297999999989</v>
      </c>
      <c r="O563" s="21"/>
      <c r="P563" s="21"/>
      <c r="Q563">
        <f>VLOOKUP(Table2[[#This Row],[Home/Neutral]],pace_lookup,7,FALSE)</f>
        <v>100.2</v>
      </c>
      <c r="R563" s="5">
        <f>VLOOKUP(Table2[[#This Row],[Visitor/Neutral]],pace_lookup,7,FALSE)</f>
        <v>94.2</v>
      </c>
      <c r="S563" s="7"/>
      <c r="U563" s="15"/>
      <c r="W563" s="2">
        <f>-home-VLOOKUP(Table2[[#This Row],[Home/Neutral]],rtg_vlookup,4,FALSE)+VLOOKUP(Table2[[#This Row],[Visitor/Neutral]],rtg_vlookup,4,FALSE)</f>
        <v>-9.1586885245901666</v>
      </c>
      <c r="X563" s="15"/>
      <c r="Y563" s="2"/>
      <c r="Z563" s="2">
        <f>Table2[[#This Row],[A/EV]]-Table2[[#This Row],[H/EV]]</f>
        <v>-13.170310327447311</v>
      </c>
      <c r="AA563" s="29"/>
      <c r="AB563" s="30"/>
      <c r="AC563" s="30"/>
      <c r="AD563" s="30"/>
      <c r="AE563" s="30"/>
      <c r="AF563" s="7" t="b">
        <f>IF(VLOOKUP(Table2[[#This Row],[Home/Neutral]],division_lookup,9,FALSE)=VLOOKUP(Table2[[#This Row],[Visitor/Neutral]],division_lookup,9,FALSE),TRUE,FALSE)</f>
        <v>0</v>
      </c>
      <c r="AG563" s="15" t="str">
        <f>VLOOKUP(Table2[[#This Row],[Home/Neutral]],division_lookup,9,FALSE)</f>
        <v>P</v>
      </c>
      <c r="AH563" s="15" t="str">
        <f>IF(Table2[[#This Row],[Total/EV]]&lt;Table2[[#This Row],[Total/V]],"UNDER","OVER")</f>
        <v>OVER</v>
      </c>
      <c r="AI563" s="26">
        <f>Table2[[#This Row],[SRS/Real]]-Table2[[#This Row],[Spread/V]]</f>
        <v>0</v>
      </c>
      <c r="AJ563" s="2">
        <f>Table2[[#This Row],[EV/Real]]-Table2[[#This Row],[Spread/V]]</f>
        <v>0</v>
      </c>
      <c r="AK563" s="2">
        <f>Table2[[#This Row],[SRS/Diff]]-Table2[[#This Row],[EV/Diff]]</f>
        <v>0</v>
      </c>
      <c r="AL563" s="18">
        <f>Table2[[#This Row],[SRS]]-Table2[[#This Row],[Spread]]</f>
        <v>-9.1586885245901666</v>
      </c>
      <c r="AM563" s="21">
        <f>Table2[[#This Row],[(A) Err]]^2</f>
        <v>83.881575490459596</v>
      </c>
      <c r="AN563" s="6">
        <f>Table2[[#This Row],[EV]]-Table2[[#This Row],[Spread]]</f>
        <v>-13.170310327447311</v>
      </c>
      <c r="AO563" s="1">
        <f>Table2[[#This Row],[EV Err]]^2</f>
        <v>173.45707412126529</v>
      </c>
      <c r="AP563" s="1"/>
    </row>
    <row r="564" spans="1:42" x14ac:dyDescent="0.25">
      <c r="A564" s="34">
        <v>42743</v>
      </c>
      <c r="B564" t="s">
        <v>123</v>
      </c>
      <c r="C564" t="s">
        <v>136</v>
      </c>
      <c r="E564" s="21"/>
      <c r="G564" s="21"/>
      <c r="H564" s="7"/>
      <c r="I564" s="21"/>
      <c r="K564"/>
      <c r="L564" s="21">
        <f>(Table2[[#This Row],[H/Pace]]/100)*(VLOOKUP(Table2[[#This Row],[Home/Neutral]],home_lookup,8,FALSE)+VLOOKUP(Table2[[#This Row],[Home/Neutral]],OFR_lookup,2,FALSE)+VLOOKUP(Table2[[#This Row],[Visitor/Neutral]],def_diff_lookup,6,FALSE))</f>
        <v>97.600677095639185</v>
      </c>
      <c r="M564" s="21"/>
      <c r="N564" s="21">
        <f>(Table2[[#This Row],[A/Pace]]/100)*(VLOOKUP(Table2[[#This Row],[Visitor/Neutral]],OFR_lookup,2,FALSE)+VLOOKUP(Table2[[#This Row],[Home/Neutral]],def_diff_lookup,6,FALSE))</f>
        <v>94.122084999999998</v>
      </c>
      <c r="O564" s="21"/>
      <c r="P564" s="21"/>
      <c r="Q564">
        <f>VLOOKUP(Table2[[#This Row],[Home/Neutral]],pace_lookup,7,FALSE)</f>
        <v>92.5</v>
      </c>
      <c r="R564" s="5">
        <f>VLOOKUP(Table2[[#This Row],[Visitor/Neutral]],pace_lookup,7,FALSE)</f>
        <v>91.5</v>
      </c>
      <c r="S564" s="7"/>
      <c r="U564" s="15"/>
      <c r="W564" s="2">
        <f>-home-VLOOKUP(Table2[[#This Row],[Home/Neutral]],rtg_vlookup,4,FALSE)+VLOOKUP(Table2[[#This Row],[Visitor/Neutral]],rtg_vlookup,4,FALSE)</f>
        <v>0.79131147540983404</v>
      </c>
      <c r="X564" s="15"/>
      <c r="Y564" s="2"/>
      <c r="Z564" s="2">
        <f>Table2[[#This Row],[A/EV]]-Table2[[#This Row],[H/EV]]</f>
        <v>-3.4785920956391863</v>
      </c>
      <c r="AA564" s="29"/>
      <c r="AB564" s="30"/>
      <c r="AC564" s="30"/>
      <c r="AD564" s="30"/>
      <c r="AE564" s="30"/>
      <c r="AF564" s="7" t="b">
        <f>IF(VLOOKUP(Table2[[#This Row],[Home/Neutral]],division_lookup,9,FALSE)=VLOOKUP(Table2[[#This Row],[Visitor/Neutral]],division_lookup,9,FALSE),TRUE,FALSE)</f>
        <v>0</v>
      </c>
      <c r="AG564" s="15" t="str">
        <f>VLOOKUP(Table2[[#This Row],[Home/Neutral]],division_lookup,9,FALSE)</f>
        <v>SW</v>
      </c>
      <c r="AH564" s="15" t="str">
        <f>IF(Table2[[#This Row],[Total/EV]]&lt;Table2[[#This Row],[Total/V]],"UNDER","OVER")</f>
        <v>OVER</v>
      </c>
      <c r="AI564" s="26">
        <f>Table2[[#This Row],[SRS/Real]]-Table2[[#This Row],[Spread/V]]</f>
        <v>0</v>
      </c>
      <c r="AJ564" s="2">
        <f>Table2[[#This Row],[EV/Real]]-Table2[[#This Row],[Spread/V]]</f>
        <v>0</v>
      </c>
      <c r="AK564" s="2">
        <f>Table2[[#This Row],[SRS/Diff]]-Table2[[#This Row],[EV/Diff]]</f>
        <v>0</v>
      </c>
      <c r="AL564" s="18">
        <f>Table2[[#This Row],[SRS]]-Table2[[#This Row],[Spread]]</f>
        <v>0.79131147540983404</v>
      </c>
      <c r="AM564" s="21">
        <f>Table2[[#This Row],[(A) Err]]^2</f>
        <v>0.62617385111528834</v>
      </c>
      <c r="AN564" s="6">
        <f>Table2[[#This Row],[EV]]-Table2[[#This Row],[Spread]]</f>
        <v>-3.4785920956391863</v>
      </c>
      <c r="AO564" s="1">
        <f>Table2[[#This Row],[EV Err]]^2</f>
        <v>12.100602967843425</v>
      </c>
      <c r="AP564" s="1"/>
    </row>
    <row r="565" spans="1:42" x14ac:dyDescent="0.25">
      <c r="A565" s="34">
        <v>42743</v>
      </c>
      <c r="B565" t="s">
        <v>125</v>
      </c>
      <c r="C565" t="s">
        <v>137</v>
      </c>
      <c r="E565" s="21"/>
      <c r="G565" s="21"/>
      <c r="H565" s="7"/>
      <c r="I565" s="21"/>
      <c r="K565"/>
      <c r="L565" s="21">
        <f>(Table2[[#This Row],[H/Pace]]/100)*(VLOOKUP(Table2[[#This Row],[Home/Neutral]],home_lookup,8,FALSE)+VLOOKUP(Table2[[#This Row],[Home/Neutral]],OFR_lookup,2,FALSE)+VLOOKUP(Table2[[#This Row],[Visitor/Neutral]],def_diff_lookup,6,FALSE))</f>
        <v>111.87078550061908</v>
      </c>
      <c r="M565" s="21"/>
      <c r="N565" s="21">
        <f>(Table2[[#This Row],[A/Pace]]/100)*(VLOOKUP(Table2[[#This Row],[Visitor/Neutral]],OFR_lookup,2,FALSE)+VLOOKUP(Table2[[#This Row],[Home/Neutral]],def_diff_lookup,6,FALSE))</f>
        <v>104.87584</v>
      </c>
      <c r="O565" s="21"/>
      <c r="P565" s="21"/>
      <c r="Q565">
        <f>VLOOKUP(Table2[[#This Row],[Home/Neutral]],pace_lookup,7,FALSE)</f>
        <v>96.1</v>
      </c>
      <c r="R565" s="5">
        <f>VLOOKUP(Table2[[#This Row],[Visitor/Neutral]],pace_lookup,7,FALSE)</f>
        <v>96</v>
      </c>
      <c r="S565" s="7"/>
      <c r="U565" s="15"/>
      <c r="W565" s="2">
        <f>-home-VLOOKUP(Table2[[#This Row],[Home/Neutral]],rtg_vlookup,4,FALSE)+VLOOKUP(Table2[[#This Row],[Visitor/Neutral]],rtg_vlookup,4,FALSE)</f>
        <v>-3.2886885245901656</v>
      </c>
      <c r="X565" s="15"/>
      <c r="Y565" s="2"/>
      <c r="Z565" s="2">
        <f>Table2[[#This Row],[A/EV]]-Table2[[#This Row],[H/EV]]</f>
        <v>-6.9949455006190817</v>
      </c>
      <c r="AA565" s="29"/>
      <c r="AB565" s="30"/>
      <c r="AC565" s="30"/>
      <c r="AD565" s="30"/>
      <c r="AE565" s="30"/>
      <c r="AF565" s="7" t="b">
        <f>IF(VLOOKUP(Table2[[#This Row],[Home/Neutral]],division_lookup,9,FALSE)=VLOOKUP(Table2[[#This Row],[Visitor/Neutral]],division_lookup,9,FALSE),TRUE,FALSE)</f>
        <v>0</v>
      </c>
      <c r="AG565" s="15" t="str">
        <f>VLOOKUP(Table2[[#This Row],[Home/Neutral]],division_lookup,9,FALSE)</f>
        <v>C</v>
      </c>
      <c r="AH565" s="15" t="str">
        <f>IF(Table2[[#This Row],[Total/EV]]&lt;Table2[[#This Row],[Total/V]],"UNDER","OVER")</f>
        <v>OVER</v>
      </c>
      <c r="AI565" s="26">
        <f>Table2[[#This Row],[SRS/Real]]-Table2[[#This Row],[Spread/V]]</f>
        <v>0</v>
      </c>
      <c r="AJ565" s="2">
        <f>Table2[[#This Row],[EV/Real]]-Table2[[#This Row],[Spread/V]]</f>
        <v>0</v>
      </c>
      <c r="AK565" s="2">
        <f>Table2[[#This Row],[SRS/Diff]]-Table2[[#This Row],[EV/Diff]]</f>
        <v>0</v>
      </c>
      <c r="AL565" s="18">
        <f>Table2[[#This Row],[SRS]]-Table2[[#This Row],[Spread]]</f>
        <v>-3.2886885245901656</v>
      </c>
      <c r="AM565" s="21">
        <f>Table2[[#This Row],[(A) Err]]^2</f>
        <v>10.81547221177104</v>
      </c>
      <c r="AN565" s="6">
        <f>Table2[[#This Row],[EV]]-Table2[[#This Row],[Spread]]</f>
        <v>-6.9949455006190817</v>
      </c>
      <c r="AO565" s="1">
        <f>Table2[[#This Row],[EV Err]]^2</f>
        <v>48.929262556631137</v>
      </c>
      <c r="AP565" s="1"/>
    </row>
    <row r="566" spans="1:42" x14ac:dyDescent="0.25">
      <c r="A566" s="34">
        <v>42743</v>
      </c>
      <c r="B566" t="s">
        <v>131</v>
      </c>
      <c r="C566" t="s">
        <v>114</v>
      </c>
      <c r="E566" s="21"/>
      <c r="G566" s="21"/>
      <c r="H566" s="7"/>
      <c r="I566" s="21"/>
      <c r="K566"/>
      <c r="L566" s="21">
        <f>(Table2[[#This Row],[H/Pace]]/100)*(VLOOKUP(Table2[[#This Row],[Home/Neutral]],home_lookup,8,FALSE)+VLOOKUP(Table2[[#This Row],[Home/Neutral]],OFR_lookup,2,FALSE)+VLOOKUP(Table2[[#This Row],[Visitor/Neutral]],def_diff_lookup,6,FALSE))</f>
        <v>96.424819791197663</v>
      </c>
      <c r="M566" s="21"/>
      <c r="N566" s="21">
        <f>(Table2[[#This Row],[A/Pace]]/100)*(VLOOKUP(Table2[[#This Row],[Visitor/Neutral]],OFR_lookup,2,FALSE)+VLOOKUP(Table2[[#This Row],[Home/Neutral]],def_diff_lookup,6,FALSE))</f>
        <v>112.77621366666666</v>
      </c>
      <c r="O566" s="21"/>
      <c r="P566" s="21"/>
      <c r="Q566">
        <f>VLOOKUP(Table2[[#This Row],[Home/Neutral]],pace_lookup,7,FALSE)</f>
        <v>101.7</v>
      </c>
      <c r="R566" s="5">
        <f>VLOOKUP(Table2[[#This Row],[Visitor/Neutral]],pace_lookup,7,FALSE)</f>
        <v>97.3</v>
      </c>
      <c r="S566" s="7"/>
      <c r="U566" s="15"/>
      <c r="W566" s="2">
        <f>-home-VLOOKUP(Table2[[#This Row],[Home/Neutral]],rtg_vlookup,4,FALSE)+VLOOKUP(Table2[[#This Row],[Visitor/Neutral]],rtg_vlookup,4,FALSE)</f>
        <v>12.251311475409835</v>
      </c>
      <c r="X566" s="15"/>
      <c r="Y566" s="2"/>
      <c r="Z566" s="2">
        <f>Table2[[#This Row],[A/EV]]-Table2[[#This Row],[H/EV]]</f>
        <v>16.351393875469</v>
      </c>
      <c r="AA566" s="29"/>
      <c r="AB566" s="30"/>
      <c r="AC566" s="30"/>
      <c r="AD566" s="30"/>
      <c r="AE566" s="30"/>
      <c r="AF566" s="7" t="b">
        <f>IF(VLOOKUP(Table2[[#This Row],[Home/Neutral]],division_lookup,9,FALSE)=VLOOKUP(Table2[[#This Row],[Visitor/Neutral]],division_lookup,9,FALSE),TRUE,FALSE)</f>
        <v>0</v>
      </c>
      <c r="AG566" s="15" t="str">
        <f>VLOOKUP(Table2[[#This Row],[Home/Neutral]],division_lookup,9,FALSE)</f>
        <v>P</v>
      </c>
      <c r="AH566" s="15" t="str">
        <f>IF(Table2[[#This Row],[Total/EV]]&lt;Table2[[#This Row],[Total/V]],"UNDER","OVER")</f>
        <v>OVER</v>
      </c>
      <c r="AI566" s="26">
        <f>Table2[[#This Row],[SRS/Real]]-Table2[[#This Row],[Spread/V]]</f>
        <v>0</v>
      </c>
      <c r="AJ566" s="2">
        <f>Table2[[#This Row],[EV/Real]]-Table2[[#This Row],[Spread/V]]</f>
        <v>0</v>
      </c>
      <c r="AK566" s="2">
        <f>Table2[[#This Row],[SRS/Diff]]-Table2[[#This Row],[EV/Diff]]</f>
        <v>0</v>
      </c>
      <c r="AL566" s="18">
        <f>Table2[[#This Row],[SRS]]-Table2[[#This Row],[Spread]]</f>
        <v>12.251311475409835</v>
      </c>
      <c r="AM566" s="21">
        <f>Table2[[#This Row],[(A) Err]]^2</f>
        <v>150.09463286750872</v>
      </c>
      <c r="AN566" s="6">
        <f>Table2[[#This Row],[EV]]-Table2[[#This Row],[Spread]]</f>
        <v>16.351393875469</v>
      </c>
      <c r="AO566" s="1">
        <f>Table2[[#This Row],[EV Err]]^2</f>
        <v>267.36808167072513</v>
      </c>
      <c r="AP566" s="1"/>
    </row>
    <row r="567" spans="1:42" x14ac:dyDescent="0.25">
      <c r="A567" s="34">
        <v>42743</v>
      </c>
      <c r="B567" t="s">
        <v>133</v>
      </c>
      <c r="C567" t="s">
        <v>118</v>
      </c>
      <c r="E567" s="21"/>
      <c r="G567" s="21"/>
      <c r="H567" s="7"/>
      <c r="I567" s="21"/>
      <c r="K567"/>
      <c r="L567" s="21">
        <f>(Table2[[#This Row],[H/Pace]]/100)*(VLOOKUP(Table2[[#This Row],[Home/Neutral]],home_lookup,8,FALSE)+VLOOKUP(Table2[[#This Row],[Home/Neutral]],OFR_lookup,2,FALSE)+VLOOKUP(Table2[[#This Row],[Visitor/Neutral]],def_diff_lookup,6,FALSE))</f>
        <v>106.96810748279979</v>
      </c>
      <c r="M567" s="21"/>
      <c r="N567" s="21">
        <f>(Table2[[#This Row],[A/Pace]]/100)*(VLOOKUP(Table2[[#This Row],[Visitor/Neutral]],OFR_lookup,2,FALSE)+VLOOKUP(Table2[[#This Row],[Home/Neutral]],def_diff_lookup,6,FALSE))</f>
        <v>120.65636933333333</v>
      </c>
      <c r="O567" s="21"/>
      <c r="P567" s="21"/>
      <c r="Q567">
        <f>VLOOKUP(Table2[[#This Row],[Home/Neutral]],pace_lookup,7,FALSE)</f>
        <v>94.2</v>
      </c>
      <c r="R567" s="5">
        <f>VLOOKUP(Table2[[#This Row],[Visitor/Neutral]],pace_lookup,7,FALSE)</f>
        <v>100.4</v>
      </c>
      <c r="S567" s="7"/>
      <c r="U567" s="15"/>
      <c r="W567" s="2">
        <f>-home-VLOOKUP(Table2[[#This Row],[Home/Neutral]],rtg_vlookup,4,FALSE)+VLOOKUP(Table2[[#This Row],[Visitor/Neutral]],rtg_vlookup,4,FALSE)</f>
        <v>10.561311475409834</v>
      </c>
      <c r="X567" s="15"/>
      <c r="Y567" s="2"/>
      <c r="Z567" s="2">
        <f>Table2[[#This Row],[A/EV]]-Table2[[#This Row],[H/EV]]</f>
        <v>13.688261850533536</v>
      </c>
      <c r="AA567" s="29"/>
      <c r="AB567" s="30"/>
      <c r="AC567" s="30"/>
      <c r="AD567" s="30"/>
      <c r="AE567" s="30"/>
      <c r="AF567" s="7" t="b">
        <f>IF(VLOOKUP(Table2[[#This Row],[Home/Neutral]],division_lookup,9,FALSE)=VLOOKUP(Table2[[#This Row],[Visitor/Neutral]],division_lookup,9,FALSE),TRUE,FALSE)</f>
        <v>1</v>
      </c>
      <c r="AG567" s="15" t="str">
        <f>VLOOKUP(Table2[[#This Row],[Home/Neutral]],division_lookup,9,FALSE)</f>
        <v>P</v>
      </c>
      <c r="AH567" s="15" t="str">
        <f>IF(Table2[[#This Row],[Total/EV]]&lt;Table2[[#This Row],[Total/V]],"UNDER","OVER")</f>
        <v>OVER</v>
      </c>
      <c r="AI567" s="26">
        <f>Table2[[#This Row],[SRS/Real]]-Table2[[#This Row],[Spread/V]]</f>
        <v>0</v>
      </c>
      <c r="AJ567" s="2">
        <f>Table2[[#This Row],[EV/Real]]-Table2[[#This Row],[Spread/V]]</f>
        <v>0</v>
      </c>
      <c r="AK567" s="2">
        <f>Table2[[#This Row],[SRS/Diff]]-Table2[[#This Row],[EV/Diff]]</f>
        <v>0</v>
      </c>
      <c r="AL567" s="18">
        <f>Table2[[#This Row],[SRS]]-Table2[[#This Row],[Spread]]</f>
        <v>10.561311475409834</v>
      </c>
      <c r="AM567" s="21">
        <f>Table2[[#This Row],[(A) Err]]^2</f>
        <v>111.54130008062344</v>
      </c>
      <c r="AN567" s="6">
        <f>Table2[[#This Row],[EV]]-Table2[[#This Row],[Spread]]</f>
        <v>13.688261850533536</v>
      </c>
      <c r="AO567" s="1">
        <f>Table2[[#This Row],[EV Err]]^2</f>
        <v>187.36851248877178</v>
      </c>
      <c r="AP567" s="1"/>
    </row>
    <row r="568" spans="1:42" x14ac:dyDescent="0.25">
      <c r="A568" s="34">
        <v>42743</v>
      </c>
      <c r="B568" t="s">
        <v>135</v>
      </c>
      <c r="C568" t="s">
        <v>119</v>
      </c>
      <c r="E568" s="21"/>
      <c r="G568" s="21"/>
      <c r="H568" s="7"/>
      <c r="I568" s="21"/>
      <c r="K568"/>
      <c r="L568" s="21">
        <f>(Table2[[#This Row],[H/Pace]]/100)*(VLOOKUP(Table2[[#This Row],[Home/Neutral]],home_lookup,8,FALSE)+VLOOKUP(Table2[[#This Row],[Home/Neutral]],OFR_lookup,2,FALSE)+VLOOKUP(Table2[[#This Row],[Visitor/Neutral]],def_diff_lookup,6,FALSE))</f>
        <v>112.25388035324615</v>
      </c>
      <c r="M568" s="21"/>
      <c r="N568" s="21">
        <f>(Table2[[#This Row],[A/Pace]]/100)*(VLOOKUP(Table2[[#This Row],[Visitor/Neutral]],OFR_lookup,2,FALSE)+VLOOKUP(Table2[[#This Row],[Home/Neutral]],def_diff_lookup,6,FALSE))</f>
        <v>110.423041</v>
      </c>
      <c r="O568" s="21"/>
      <c r="P568" s="21"/>
      <c r="Q568">
        <f>VLOOKUP(Table2[[#This Row],[Home/Neutral]],pace_lookup,7,FALSE)</f>
        <v>95.4</v>
      </c>
      <c r="R568" s="5">
        <f>VLOOKUP(Table2[[#This Row],[Visitor/Neutral]],pace_lookup,7,FALSE)</f>
        <v>96.9</v>
      </c>
      <c r="S568" s="7"/>
      <c r="U568" s="15"/>
      <c r="W568" s="2">
        <f>-home-VLOOKUP(Table2[[#This Row],[Home/Neutral]],rtg_vlookup,4,FALSE)+VLOOKUP(Table2[[#This Row],[Visitor/Neutral]],rtg_vlookup,4,FALSE)</f>
        <v>-5.0386885245901656</v>
      </c>
      <c r="X568" s="15"/>
      <c r="Y568" s="2"/>
      <c r="Z568" s="2">
        <f>Table2[[#This Row],[A/EV]]-Table2[[#This Row],[H/EV]]</f>
        <v>-1.830839353246148</v>
      </c>
      <c r="AA568" s="29"/>
      <c r="AB568" s="30"/>
      <c r="AC568" s="30"/>
      <c r="AD568" s="30"/>
      <c r="AE568" s="30"/>
      <c r="AF568" s="7" t="b">
        <f>IF(VLOOKUP(Table2[[#This Row],[Home/Neutral]],division_lookup,9,FALSE)=VLOOKUP(Table2[[#This Row],[Visitor/Neutral]],division_lookup,9,FALSE),TRUE,FALSE)</f>
        <v>0</v>
      </c>
      <c r="AG568" s="15" t="str">
        <f>VLOOKUP(Table2[[#This Row],[Home/Neutral]],division_lookup,9,FALSE)</f>
        <v>A</v>
      </c>
      <c r="AH568" s="15" t="str">
        <f>IF(Table2[[#This Row],[Total/EV]]&lt;Table2[[#This Row],[Total/V]],"UNDER","OVER")</f>
        <v>OVER</v>
      </c>
      <c r="AI568" s="26">
        <f>Table2[[#This Row],[SRS/Real]]-Table2[[#This Row],[Spread/V]]</f>
        <v>0</v>
      </c>
      <c r="AJ568" s="2">
        <f>Table2[[#This Row],[EV/Real]]-Table2[[#This Row],[Spread/V]]</f>
        <v>0</v>
      </c>
      <c r="AK568" s="2">
        <f>Table2[[#This Row],[SRS/Diff]]-Table2[[#This Row],[EV/Diff]]</f>
        <v>0</v>
      </c>
      <c r="AL568" s="18">
        <f>Table2[[#This Row],[SRS]]-Table2[[#This Row],[Spread]]</f>
        <v>-5.0386885245901656</v>
      </c>
      <c r="AM568" s="21">
        <f>Table2[[#This Row],[(A) Err]]^2</f>
        <v>25.388382047836618</v>
      </c>
      <c r="AN568" s="6">
        <f>Table2[[#This Row],[EV]]-Table2[[#This Row],[Spread]]</f>
        <v>-1.830839353246148</v>
      </c>
      <c r="AO568" s="1">
        <f>Table2[[#This Row],[EV Err]]^2</f>
        <v>3.3519727373947736</v>
      </c>
      <c r="AP568" s="1"/>
    </row>
    <row r="569" spans="1:42" x14ac:dyDescent="0.25">
      <c r="A569" s="34">
        <v>42744</v>
      </c>
      <c r="B569" t="s">
        <v>113</v>
      </c>
      <c r="C569" t="s">
        <v>129</v>
      </c>
      <c r="E569" s="21"/>
      <c r="G569" s="21"/>
      <c r="H569" s="7"/>
      <c r="I569" s="21"/>
      <c r="K569"/>
      <c r="L569" s="21">
        <f>(Table2[[#This Row],[H/Pace]]/100)*(VLOOKUP(Table2[[#This Row],[Home/Neutral]],home_lookup,8,FALSE)+VLOOKUP(Table2[[#This Row],[Home/Neutral]],OFR_lookup,2,FALSE)+VLOOKUP(Table2[[#This Row],[Visitor/Neutral]],def_diff_lookup,6,FALSE))</f>
        <v>107.31205388016279</v>
      </c>
      <c r="M569" s="21"/>
      <c r="N569" s="21">
        <f>(Table2[[#This Row],[A/Pace]]/100)*(VLOOKUP(Table2[[#This Row],[Visitor/Neutral]],OFR_lookup,2,FALSE)+VLOOKUP(Table2[[#This Row],[Home/Neutral]],def_diff_lookup,6,FALSE))</f>
        <v>104.73770999999999</v>
      </c>
      <c r="O569" s="21"/>
      <c r="P569" s="21"/>
      <c r="Q569">
        <f>VLOOKUP(Table2[[#This Row],[Home/Neutral]],pace_lookup,7,FALSE)</f>
        <v>95.1</v>
      </c>
      <c r="R569" s="5">
        <f>VLOOKUP(Table2[[#This Row],[Visitor/Neutral]],pace_lookup,7,FALSE)</f>
        <v>99</v>
      </c>
      <c r="S569" s="7"/>
      <c r="U569" s="15"/>
      <c r="W569" s="2">
        <f>-home-VLOOKUP(Table2[[#This Row],[Home/Neutral]],rtg_vlookup,4,FALSE)+VLOOKUP(Table2[[#This Row],[Visitor/Neutral]],rtg_vlookup,4,FALSE)</f>
        <v>-5.9186885245901664</v>
      </c>
      <c r="X569" s="15"/>
      <c r="Y569" s="2"/>
      <c r="Z569" s="2">
        <f>Table2[[#This Row],[A/EV]]-Table2[[#This Row],[H/EV]]</f>
        <v>-2.5743438801628002</v>
      </c>
      <c r="AA569" s="29"/>
      <c r="AB569" s="30"/>
      <c r="AC569" s="30"/>
      <c r="AD569" s="30"/>
      <c r="AE569" s="30"/>
      <c r="AF569" s="7" t="b">
        <f>IF(VLOOKUP(Table2[[#This Row],[Home/Neutral]],division_lookup,9,FALSE)=VLOOKUP(Table2[[#This Row],[Visitor/Neutral]],division_lookup,9,FALSE),TRUE,FALSE)</f>
        <v>0</v>
      </c>
      <c r="AG569" s="15" t="str">
        <f>VLOOKUP(Table2[[#This Row],[Home/Neutral]],division_lookup,9,FALSE)</f>
        <v>C</v>
      </c>
      <c r="AH569" s="15" t="str">
        <f>IF(Table2[[#This Row],[Total/EV]]&lt;Table2[[#This Row],[Total/V]],"UNDER","OVER")</f>
        <v>OVER</v>
      </c>
      <c r="AI569" s="26">
        <f>Table2[[#This Row],[SRS/Real]]-Table2[[#This Row],[Spread/V]]</f>
        <v>0</v>
      </c>
      <c r="AJ569" s="2">
        <f>Table2[[#This Row],[EV/Real]]-Table2[[#This Row],[Spread/V]]</f>
        <v>0</v>
      </c>
      <c r="AK569" s="2">
        <f>Table2[[#This Row],[SRS/Diff]]-Table2[[#This Row],[EV/Diff]]</f>
        <v>0</v>
      </c>
      <c r="AL569" s="18">
        <f>Table2[[#This Row],[SRS]]-Table2[[#This Row],[Spread]]</f>
        <v>-5.9186885245901664</v>
      </c>
      <c r="AM569" s="21">
        <f>Table2[[#This Row],[(A) Err]]^2</f>
        <v>35.030873851115324</v>
      </c>
      <c r="AN569" s="6">
        <f>Table2[[#This Row],[EV]]-Table2[[#This Row],[Spread]]</f>
        <v>-2.5743438801628002</v>
      </c>
      <c r="AO569" s="1">
        <f>Table2[[#This Row],[EV Err]]^2</f>
        <v>6.6272464133316618</v>
      </c>
      <c r="AP569" s="1"/>
    </row>
    <row r="570" spans="1:42" x14ac:dyDescent="0.25">
      <c r="A570" s="34">
        <v>42744</v>
      </c>
      <c r="B570" t="s">
        <v>126</v>
      </c>
      <c r="C570" t="s">
        <v>115</v>
      </c>
      <c r="E570" s="21"/>
      <c r="G570" s="21"/>
      <c r="H570" s="7"/>
      <c r="I570" s="21"/>
      <c r="K570"/>
      <c r="L570" s="21">
        <f>(Table2[[#This Row],[H/Pace]]/100)*(VLOOKUP(Table2[[#This Row],[Home/Neutral]],home_lookup,8,FALSE)+VLOOKUP(Table2[[#This Row],[Home/Neutral]],OFR_lookup,2,FALSE)+VLOOKUP(Table2[[#This Row],[Visitor/Neutral]],def_diff_lookup,6,FALSE))</f>
        <v>114.23255777050787</v>
      </c>
      <c r="M570" s="21"/>
      <c r="N570" s="21">
        <f>(Table2[[#This Row],[A/Pace]]/100)*(VLOOKUP(Table2[[#This Row],[Visitor/Neutral]],OFR_lookup,2,FALSE)+VLOOKUP(Table2[[#This Row],[Home/Neutral]],def_diff_lookup,6,FALSE))</f>
        <v>93.183964333333336</v>
      </c>
      <c r="O570" s="21"/>
      <c r="P570" s="21"/>
      <c r="Q570">
        <f>VLOOKUP(Table2[[#This Row],[Home/Neutral]],pace_lookup,7,FALSE)</f>
        <v>95.7</v>
      </c>
      <c r="R570" s="5">
        <f>VLOOKUP(Table2[[#This Row],[Visitor/Neutral]],pace_lookup,7,FALSE)</f>
        <v>92.9</v>
      </c>
      <c r="S570" s="7"/>
      <c r="U570" s="15"/>
      <c r="W570" s="2">
        <f>-home-VLOOKUP(Table2[[#This Row],[Home/Neutral]],rtg_vlookup,4,FALSE)+VLOOKUP(Table2[[#This Row],[Visitor/Neutral]],rtg_vlookup,4,FALSE)</f>
        <v>-10.458688524590166</v>
      </c>
      <c r="X570" s="15"/>
      <c r="Y570" s="2"/>
      <c r="Z570" s="2">
        <f>Table2[[#This Row],[A/EV]]-Table2[[#This Row],[H/EV]]</f>
        <v>-21.048593437174532</v>
      </c>
      <c r="AA570" s="29"/>
      <c r="AB570" s="30"/>
      <c r="AC570" s="30"/>
      <c r="AD570" s="30"/>
      <c r="AE570" s="30"/>
      <c r="AF570" s="7" t="b">
        <f>IF(VLOOKUP(Table2[[#This Row],[Home/Neutral]],division_lookup,9,FALSE)=VLOOKUP(Table2[[#This Row],[Visitor/Neutral]],division_lookup,9,FALSE),TRUE,FALSE)</f>
        <v>0</v>
      </c>
      <c r="AG570" s="15" t="str">
        <f>VLOOKUP(Table2[[#This Row],[Home/Neutral]],division_lookup,9,FALSE)</f>
        <v>NW</v>
      </c>
      <c r="AH570" s="15" t="str">
        <f>IF(Table2[[#This Row],[Total/EV]]&lt;Table2[[#This Row],[Total/V]],"UNDER","OVER")</f>
        <v>OVER</v>
      </c>
      <c r="AI570" s="26">
        <f>Table2[[#This Row],[SRS/Real]]-Table2[[#This Row],[Spread/V]]</f>
        <v>0</v>
      </c>
      <c r="AJ570" s="2">
        <f>Table2[[#This Row],[EV/Real]]-Table2[[#This Row],[Spread/V]]</f>
        <v>0</v>
      </c>
      <c r="AK570" s="2">
        <f>Table2[[#This Row],[SRS/Diff]]-Table2[[#This Row],[EV/Diff]]</f>
        <v>0</v>
      </c>
      <c r="AL570" s="18">
        <f>Table2[[#This Row],[SRS]]-Table2[[#This Row],[Spread]]</f>
        <v>-10.458688524590166</v>
      </c>
      <c r="AM570" s="21">
        <f>Table2[[#This Row],[(A) Err]]^2</f>
        <v>109.38416565439401</v>
      </c>
      <c r="AN570" s="6">
        <f>Table2[[#This Row],[EV]]-Table2[[#This Row],[Spread]]</f>
        <v>-21.048593437174532</v>
      </c>
      <c r="AO570" s="1">
        <f>Table2[[#This Row],[EV Err]]^2</f>
        <v>443.04328568346676</v>
      </c>
      <c r="AP570" s="1"/>
    </row>
    <row r="571" spans="1:42" x14ac:dyDescent="0.25">
      <c r="A571" s="34">
        <v>42744</v>
      </c>
      <c r="B571" t="s">
        <v>128</v>
      </c>
      <c r="C571" t="s">
        <v>127</v>
      </c>
      <c r="E571" s="21"/>
      <c r="G571" s="21"/>
      <c r="H571" s="7"/>
      <c r="I571" s="21"/>
      <c r="K571"/>
      <c r="L571" s="21">
        <f>(Table2[[#This Row],[H/Pace]]/100)*(VLOOKUP(Table2[[#This Row],[Home/Neutral]],home_lookup,8,FALSE)+VLOOKUP(Table2[[#This Row],[Home/Neutral]],OFR_lookup,2,FALSE)+VLOOKUP(Table2[[#This Row],[Visitor/Neutral]],def_diff_lookup,6,FALSE))</f>
        <v>107.14201987783019</v>
      </c>
      <c r="M571" s="21"/>
      <c r="N571" s="21">
        <f>(Table2[[#This Row],[A/Pace]]/100)*(VLOOKUP(Table2[[#This Row],[Visitor/Neutral]],OFR_lookup,2,FALSE)+VLOOKUP(Table2[[#This Row],[Home/Neutral]],def_diff_lookup,6,FALSE))</f>
        <v>105.09481700000001</v>
      </c>
      <c r="O571" s="21"/>
      <c r="P571" s="21"/>
      <c r="Q571">
        <f>VLOOKUP(Table2[[#This Row],[Home/Neutral]],pace_lookup,7,FALSE)</f>
        <v>96.3</v>
      </c>
      <c r="R571" s="5">
        <f>VLOOKUP(Table2[[#This Row],[Visitor/Neutral]],pace_lookup,7,FALSE)</f>
        <v>99.3</v>
      </c>
      <c r="S571" s="7"/>
      <c r="U571" s="15"/>
      <c r="W571" s="2">
        <f>-home-VLOOKUP(Table2[[#This Row],[Home/Neutral]],rtg_vlookup,4,FALSE)+VLOOKUP(Table2[[#This Row],[Visitor/Neutral]],rtg_vlookup,4,FALSE)</f>
        <v>-3.5786885245901661</v>
      </c>
      <c r="X571" s="15"/>
      <c r="Y571" s="2"/>
      <c r="Z571" s="2">
        <f>Table2[[#This Row],[A/EV]]-Table2[[#This Row],[H/EV]]</f>
        <v>-2.0472028778301876</v>
      </c>
      <c r="AA571" s="29"/>
      <c r="AB571" s="30"/>
      <c r="AC571" s="30"/>
      <c r="AD571" s="30"/>
      <c r="AE571" s="30"/>
      <c r="AF571" s="7" t="b">
        <f>IF(VLOOKUP(Table2[[#This Row],[Home/Neutral]],division_lookup,9,FALSE)=VLOOKUP(Table2[[#This Row],[Visitor/Neutral]],division_lookup,9,FALSE),TRUE,FALSE)</f>
        <v>0</v>
      </c>
      <c r="AG571" s="15" t="str">
        <f>VLOOKUP(Table2[[#This Row],[Home/Neutral]],division_lookup,9,FALSE)</f>
        <v>A</v>
      </c>
      <c r="AH571" s="15" t="str">
        <f>IF(Table2[[#This Row],[Total/EV]]&lt;Table2[[#This Row],[Total/V]],"UNDER","OVER")</f>
        <v>OVER</v>
      </c>
      <c r="AI571" s="26">
        <f>Table2[[#This Row],[SRS/Real]]-Table2[[#This Row],[Spread/V]]</f>
        <v>0</v>
      </c>
      <c r="AJ571" s="2">
        <f>Table2[[#This Row],[EV/Real]]-Table2[[#This Row],[Spread/V]]</f>
        <v>0</v>
      </c>
      <c r="AK571" s="2">
        <f>Table2[[#This Row],[SRS/Diff]]-Table2[[#This Row],[EV/Diff]]</f>
        <v>0</v>
      </c>
      <c r="AL571" s="18">
        <f>Table2[[#This Row],[SRS]]-Table2[[#This Row],[Spread]]</f>
        <v>-3.5786885245901661</v>
      </c>
      <c r="AM571" s="21">
        <f>Table2[[#This Row],[(A) Err]]^2</f>
        <v>12.80701155603334</v>
      </c>
      <c r="AN571" s="6">
        <f>Table2[[#This Row],[EV]]-Table2[[#This Row],[Spread]]</f>
        <v>-2.0472028778301876</v>
      </c>
      <c r="AO571" s="1">
        <f>Table2[[#This Row],[EV Err]]^2</f>
        <v>4.1910396229962021</v>
      </c>
      <c r="AP571" s="1"/>
    </row>
    <row r="572" spans="1:42" x14ac:dyDescent="0.25">
      <c r="A572" s="34">
        <v>42745</v>
      </c>
      <c r="B572" t="s">
        <v>111</v>
      </c>
      <c r="C572" t="s">
        <v>109</v>
      </c>
      <c r="E572" s="21"/>
      <c r="G572" s="21"/>
      <c r="H572" s="7"/>
      <c r="I572" s="21"/>
      <c r="K572"/>
      <c r="L572" s="21">
        <f>(Table2[[#This Row],[H/Pace]]/100)*(VLOOKUP(Table2[[#This Row],[Home/Neutral]],home_lookup,8,FALSE)+VLOOKUP(Table2[[#This Row],[Home/Neutral]],OFR_lookup,2,FALSE)+VLOOKUP(Table2[[#This Row],[Visitor/Neutral]],def_diff_lookup,6,FALSE))</f>
        <v>93.173818327716361</v>
      </c>
      <c r="M572" s="21"/>
      <c r="N572" s="21">
        <f>(Table2[[#This Row],[A/Pace]]/100)*(VLOOKUP(Table2[[#This Row],[Visitor/Neutral]],OFR_lookup,2,FALSE)+VLOOKUP(Table2[[#This Row],[Home/Neutral]],def_diff_lookup,6,FALSE))</f>
        <v>105.51474133333332</v>
      </c>
      <c r="O572" s="21"/>
      <c r="P572" s="21"/>
      <c r="Q572">
        <f>VLOOKUP(Table2[[#This Row],[Home/Neutral]],pace_lookup,7,FALSE)</f>
        <v>102</v>
      </c>
      <c r="R572" s="5">
        <f>VLOOKUP(Table2[[#This Row],[Visitor/Neutral]],pace_lookup,7,FALSE)</f>
        <v>99.2</v>
      </c>
      <c r="S572" s="7"/>
      <c r="U572" s="15"/>
      <c r="W572" s="2">
        <f>-home-VLOOKUP(Table2[[#This Row],[Home/Neutral]],rtg_vlookup,4,FALSE)+VLOOKUP(Table2[[#This Row],[Visitor/Neutral]],rtg_vlookup,4,FALSE)</f>
        <v>8.2813114754098329</v>
      </c>
      <c r="X572" s="15"/>
      <c r="Y572" s="2"/>
      <c r="Z572" s="2">
        <f>Table2[[#This Row],[A/EV]]-Table2[[#This Row],[H/EV]]</f>
        <v>12.340923005616958</v>
      </c>
      <c r="AA572" s="29"/>
      <c r="AB572" s="30"/>
      <c r="AC572" s="30"/>
      <c r="AD572" s="30"/>
      <c r="AE572" s="30"/>
      <c r="AF572" s="7" t="b">
        <f>IF(VLOOKUP(Table2[[#This Row],[Home/Neutral]],division_lookup,9,FALSE)=VLOOKUP(Table2[[#This Row],[Visitor/Neutral]],division_lookup,9,FALSE),TRUE,FALSE)</f>
        <v>0</v>
      </c>
      <c r="AG572" s="15" t="str">
        <f>VLOOKUP(Table2[[#This Row],[Home/Neutral]],division_lookup,9,FALSE)</f>
        <v>A</v>
      </c>
      <c r="AH572" s="15" t="str">
        <f>IF(Table2[[#This Row],[Total/EV]]&lt;Table2[[#This Row],[Total/V]],"UNDER","OVER")</f>
        <v>OVER</v>
      </c>
      <c r="AI572" s="26">
        <f>Table2[[#This Row],[SRS/Real]]-Table2[[#This Row],[Spread/V]]</f>
        <v>0</v>
      </c>
      <c r="AJ572" s="2">
        <f>Table2[[#This Row],[EV/Real]]-Table2[[#This Row],[Spread/V]]</f>
        <v>0</v>
      </c>
      <c r="AK572" s="2">
        <f>Table2[[#This Row],[SRS/Diff]]-Table2[[#This Row],[EV/Diff]]</f>
        <v>0</v>
      </c>
      <c r="AL572" s="18">
        <f>Table2[[#This Row],[SRS]]-Table2[[#This Row],[Spread]]</f>
        <v>8.2813114754098329</v>
      </c>
      <c r="AM572" s="21">
        <f>Table2[[#This Row],[(A) Err]]^2</f>
        <v>68.580119752754584</v>
      </c>
      <c r="AN572" s="6">
        <f>Table2[[#This Row],[EV]]-Table2[[#This Row],[Spread]]</f>
        <v>12.340923005616958</v>
      </c>
      <c r="AO572" s="1">
        <f>Table2[[#This Row],[EV Err]]^2</f>
        <v>152.29838063056587</v>
      </c>
      <c r="AP572" s="1"/>
    </row>
    <row r="573" spans="1:42" x14ac:dyDescent="0.25">
      <c r="A573" s="34">
        <v>42745</v>
      </c>
      <c r="B573" t="s">
        <v>118</v>
      </c>
      <c r="C573" t="s">
        <v>124</v>
      </c>
      <c r="E573" s="21"/>
      <c r="G573" s="21"/>
      <c r="H573" s="7"/>
      <c r="I573" s="21"/>
      <c r="K573"/>
      <c r="L573" s="21">
        <f>(Table2[[#This Row],[H/Pace]]/100)*(VLOOKUP(Table2[[#This Row],[Home/Neutral]],home_lookup,8,FALSE)+VLOOKUP(Table2[[#This Row],[Home/Neutral]],OFR_lookup,2,FALSE)+VLOOKUP(Table2[[#This Row],[Visitor/Neutral]],def_diff_lookup,6,FALSE))</f>
        <v>112.53367838078238</v>
      </c>
      <c r="M573" s="21"/>
      <c r="N573" s="21">
        <f>(Table2[[#This Row],[A/Pace]]/100)*(VLOOKUP(Table2[[#This Row],[Visitor/Neutral]],OFR_lookup,2,FALSE)+VLOOKUP(Table2[[#This Row],[Home/Neutral]],def_diff_lookup,6,FALSE))</f>
        <v>95.673009666666673</v>
      </c>
      <c r="O573" s="21"/>
      <c r="P573" s="21"/>
      <c r="Q573">
        <f>VLOOKUP(Table2[[#This Row],[Home/Neutral]],pace_lookup,7,FALSE)</f>
        <v>100.4</v>
      </c>
      <c r="R573" s="5">
        <f>VLOOKUP(Table2[[#This Row],[Visitor/Neutral]],pace_lookup,7,FALSE)</f>
        <v>93.7</v>
      </c>
      <c r="S573" s="7"/>
      <c r="U573" s="15"/>
      <c r="W573" s="2">
        <f>-home-VLOOKUP(Table2[[#This Row],[Home/Neutral]],rtg_vlookup,4,FALSE)+VLOOKUP(Table2[[#This Row],[Visitor/Neutral]],rtg_vlookup,4,FALSE)</f>
        <v>-15.398688524590165</v>
      </c>
      <c r="X573" s="15"/>
      <c r="Y573" s="2"/>
      <c r="Z573" s="2">
        <f>Table2[[#This Row],[A/EV]]-Table2[[#This Row],[H/EV]]</f>
        <v>-16.860668714115704</v>
      </c>
      <c r="AA573" s="29"/>
      <c r="AB573" s="30"/>
      <c r="AC573" s="30"/>
      <c r="AD573" s="30"/>
      <c r="AE573" s="30"/>
      <c r="AF573" s="7" t="b">
        <f>IF(VLOOKUP(Table2[[#This Row],[Home/Neutral]],division_lookup,9,FALSE)=VLOOKUP(Table2[[#This Row],[Visitor/Neutral]],division_lookup,9,FALSE),TRUE,FALSE)</f>
        <v>0</v>
      </c>
      <c r="AG573" s="15" t="str">
        <f>VLOOKUP(Table2[[#This Row],[Home/Neutral]],division_lookup,9,FALSE)</f>
        <v>P</v>
      </c>
      <c r="AH573" s="15" t="str">
        <f>IF(Table2[[#This Row],[Total/EV]]&lt;Table2[[#This Row],[Total/V]],"UNDER","OVER")</f>
        <v>OVER</v>
      </c>
      <c r="AI573" s="26">
        <f>Table2[[#This Row],[SRS/Real]]-Table2[[#This Row],[Spread/V]]</f>
        <v>0</v>
      </c>
      <c r="AJ573" s="2">
        <f>Table2[[#This Row],[EV/Real]]-Table2[[#This Row],[Spread/V]]</f>
        <v>0</v>
      </c>
      <c r="AK573" s="2">
        <f>Table2[[#This Row],[SRS/Diff]]-Table2[[#This Row],[EV/Diff]]</f>
        <v>0</v>
      </c>
      <c r="AL573" s="18">
        <f>Table2[[#This Row],[SRS]]-Table2[[#This Row],[Spread]]</f>
        <v>-15.398688524590165</v>
      </c>
      <c r="AM573" s="21">
        <f>Table2[[#This Row],[(A) Err]]^2</f>
        <v>237.11960827734484</v>
      </c>
      <c r="AN573" s="6">
        <f>Table2[[#This Row],[EV]]-Table2[[#This Row],[Spread]]</f>
        <v>-16.860668714115704</v>
      </c>
      <c r="AO573" s="1">
        <f>Table2[[#This Row],[EV Err]]^2</f>
        <v>284.2821494871601</v>
      </c>
      <c r="AP573" s="1"/>
    </row>
    <row r="574" spans="1:42" x14ac:dyDescent="0.25">
      <c r="A574" s="34">
        <v>42745</v>
      </c>
      <c r="B574" t="s">
        <v>119</v>
      </c>
      <c r="C574" t="s">
        <v>112</v>
      </c>
      <c r="E574" s="21"/>
      <c r="G574" s="21"/>
      <c r="H574" s="7"/>
      <c r="I574" s="21"/>
      <c r="K574"/>
      <c r="L574" s="21">
        <f>(Table2[[#This Row],[H/Pace]]/100)*(VLOOKUP(Table2[[#This Row],[Home/Neutral]],home_lookup,8,FALSE)+VLOOKUP(Table2[[#This Row],[Home/Neutral]],OFR_lookup,2,FALSE)+VLOOKUP(Table2[[#This Row],[Visitor/Neutral]],def_diff_lookup,6,FALSE))</f>
        <v>108.00864376977627</v>
      </c>
      <c r="M574" s="21"/>
      <c r="N574" s="21">
        <f>(Table2[[#This Row],[A/Pace]]/100)*(VLOOKUP(Table2[[#This Row],[Visitor/Neutral]],OFR_lookup,2,FALSE)+VLOOKUP(Table2[[#This Row],[Home/Neutral]],def_diff_lookup,6,FALSE))</f>
        <v>107.62277933333334</v>
      </c>
      <c r="O574" s="21"/>
      <c r="P574" s="21"/>
      <c r="Q574">
        <f>VLOOKUP(Table2[[#This Row],[Home/Neutral]],pace_lookup,7,FALSE)</f>
        <v>96.9</v>
      </c>
      <c r="R574" s="5">
        <f>VLOOKUP(Table2[[#This Row],[Visitor/Neutral]],pace_lookup,7,FALSE)</f>
        <v>97.4</v>
      </c>
      <c r="S574" s="7"/>
      <c r="U574" s="15"/>
      <c r="W574" s="2">
        <f>-home-VLOOKUP(Table2[[#This Row],[Home/Neutral]],rtg_vlookup,4,FALSE)+VLOOKUP(Table2[[#This Row],[Visitor/Neutral]],rtg_vlookup,4,FALSE)</f>
        <v>-4.4186885245901655</v>
      </c>
      <c r="X574" s="15"/>
      <c r="Y574" s="2"/>
      <c r="Z574" s="2">
        <f>Table2[[#This Row],[A/EV]]-Table2[[#This Row],[H/EV]]</f>
        <v>-0.38586443644292956</v>
      </c>
      <c r="AA574" s="29"/>
      <c r="AB574" s="30"/>
      <c r="AC574" s="30"/>
      <c r="AD574" s="30"/>
      <c r="AE574" s="30"/>
      <c r="AF574" s="7" t="b">
        <f>IF(VLOOKUP(Table2[[#This Row],[Home/Neutral]],division_lookup,9,FALSE)=VLOOKUP(Table2[[#This Row],[Visitor/Neutral]],division_lookup,9,FALSE),TRUE,FALSE)</f>
        <v>0</v>
      </c>
      <c r="AG574" s="15" t="str">
        <f>VLOOKUP(Table2[[#This Row],[Home/Neutral]],division_lookup,9,FALSE)</f>
        <v>SW</v>
      </c>
      <c r="AH574" s="15" t="str">
        <f>IF(Table2[[#This Row],[Total/EV]]&lt;Table2[[#This Row],[Total/V]],"UNDER","OVER")</f>
        <v>OVER</v>
      </c>
      <c r="AI574" s="26">
        <f>Table2[[#This Row],[SRS/Real]]-Table2[[#This Row],[Spread/V]]</f>
        <v>0</v>
      </c>
      <c r="AJ574" s="2">
        <f>Table2[[#This Row],[EV/Real]]-Table2[[#This Row],[Spread/V]]</f>
        <v>0</v>
      </c>
      <c r="AK574" s="2">
        <f>Table2[[#This Row],[SRS/Diff]]-Table2[[#This Row],[EV/Diff]]</f>
        <v>0</v>
      </c>
      <c r="AL574" s="18">
        <f>Table2[[#This Row],[SRS]]-Table2[[#This Row],[Spread]]</f>
        <v>-4.4186885245901655</v>
      </c>
      <c r="AM574" s="21">
        <f>Table2[[#This Row],[(A) Err]]^2</f>
        <v>19.524808277344814</v>
      </c>
      <c r="AN574" s="6">
        <f>Table2[[#This Row],[EV]]-Table2[[#This Row],[Spread]]</f>
        <v>-0.38586443644292956</v>
      </c>
      <c r="AO574" s="1">
        <f>Table2[[#This Row],[EV Err]]^2</f>
        <v>0.14889136331141964</v>
      </c>
      <c r="AP574" s="1"/>
    </row>
    <row r="575" spans="1:42" x14ac:dyDescent="0.25">
      <c r="A575" s="34">
        <v>42745</v>
      </c>
      <c r="B575" t="s">
        <v>122</v>
      </c>
      <c r="C575" t="s">
        <v>132</v>
      </c>
      <c r="E575" s="21"/>
      <c r="G575" s="21"/>
      <c r="H575" s="7"/>
      <c r="I575" s="21"/>
      <c r="K575"/>
      <c r="L575" s="21">
        <f>(Table2[[#This Row],[H/Pace]]/100)*(VLOOKUP(Table2[[#This Row],[Home/Neutral]],home_lookup,8,FALSE)+VLOOKUP(Table2[[#This Row],[Home/Neutral]],OFR_lookup,2,FALSE)+VLOOKUP(Table2[[#This Row],[Visitor/Neutral]],def_diff_lookup,6,FALSE))</f>
        <v>115.33902832744731</v>
      </c>
      <c r="M575" s="21"/>
      <c r="N575" s="21">
        <f>(Table2[[#This Row],[A/Pace]]/100)*(VLOOKUP(Table2[[#This Row],[Visitor/Neutral]],OFR_lookup,2,FALSE)+VLOOKUP(Table2[[#This Row],[Home/Neutral]],def_diff_lookup,6,FALSE))</f>
        <v>112.92411866666666</v>
      </c>
      <c r="O575" s="21"/>
      <c r="P575" s="21"/>
      <c r="Q575">
        <f>VLOOKUP(Table2[[#This Row],[Home/Neutral]],pace_lookup,7,FALSE)</f>
        <v>100.2</v>
      </c>
      <c r="R575" s="5">
        <f>VLOOKUP(Table2[[#This Row],[Visitor/Neutral]],pace_lookup,7,FALSE)</f>
        <v>98.8</v>
      </c>
      <c r="S575" s="7"/>
      <c r="U575" s="15"/>
      <c r="W575" s="2">
        <f>-home-VLOOKUP(Table2[[#This Row],[Home/Neutral]],rtg_vlookup,4,FALSE)+VLOOKUP(Table2[[#This Row],[Visitor/Neutral]],rtg_vlookup,4,FALSE)</f>
        <v>-2.9686885245901657</v>
      </c>
      <c r="X575" s="15"/>
      <c r="Y575" s="2"/>
      <c r="Z575" s="2">
        <f>Table2[[#This Row],[A/EV]]-Table2[[#This Row],[H/EV]]</f>
        <v>-2.4149096607806513</v>
      </c>
      <c r="AA575" s="29"/>
      <c r="AB575" s="30"/>
      <c r="AC575" s="30"/>
      <c r="AD575" s="30"/>
      <c r="AE575" s="30"/>
      <c r="AF575" s="7" t="b">
        <f>IF(VLOOKUP(Table2[[#This Row],[Home/Neutral]],division_lookup,9,FALSE)=VLOOKUP(Table2[[#This Row],[Visitor/Neutral]],division_lookup,9,FALSE),TRUE,FALSE)</f>
        <v>0</v>
      </c>
      <c r="AG575" s="15" t="str">
        <f>VLOOKUP(Table2[[#This Row],[Home/Neutral]],division_lookup,9,FALSE)</f>
        <v>P</v>
      </c>
      <c r="AH575" s="15" t="str">
        <f>IF(Table2[[#This Row],[Total/EV]]&lt;Table2[[#This Row],[Total/V]],"UNDER","OVER")</f>
        <v>OVER</v>
      </c>
      <c r="AI575" s="26">
        <f>Table2[[#This Row],[SRS/Real]]-Table2[[#This Row],[Spread/V]]</f>
        <v>0</v>
      </c>
      <c r="AJ575" s="2">
        <f>Table2[[#This Row],[EV/Real]]-Table2[[#This Row],[Spread/V]]</f>
        <v>0</v>
      </c>
      <c r="AK575" s="2">
        <f>Table2[[#This Row],[SRS/Diff]]-Table2[[#This Row],[EV/Diff]]</f>
        <v>0</v>
      </c>
      <c r="AL575" s="18">
        <f>Table2[[#This Row],[SRS]]-Table2[[#This Row],[Spread]]</f>
        <v>-2.9686885245901657</v>
      </c>
      <c r="AM575" s="21">
        <f>Table2[[#This Row],[(A) Err]]^2</f>
        <v>8.813111556033336</v>
      </c>
      <c r="AN575" s="6">
        <f>Table2[[#This Row],[EV]]-Table2[[#This Row],[Spread]]</f>
        <v>-2.4149096607806513</v>
      </c>
      <c r="AO575" s="1">
        <f>Table2[[#This Row],[EV Err]]^2</f>
        <v>5.8317886697317203</v>
      </c>
      <c r="AP575" s="1"/>
    </row>
    <row r="576" spans="1:42" x14ac:dyDescent="0.25">
      <c r="A576" s="34">
        <v>42745</v>
      </c>
      <c r="B576" t="s">
        <v>133</v>
      </c>
      <c r="C576" t="s">
        <v>117</v>
      </c>
      <c r="E576" s="21"/>
      <c r="G576" s="21"/>
      <c r="H576" s="7"/>
      <c r="I576" s="21"/>
      <c r="K576"/>
      <c r="L576" s="21">
        <f>(Table2[[#This Row],[H/Pace]]/100)*(VLOOKUP(Table2[[#This Row],[Home/Neutral]],home_lookup,8,FALSE)+VLOOKUP(Table2[[#This Row],[Home/Neutral]],OFR_lookup,2,FALSE)+VLOOKUP(Table2[[#This Row],[Visitor/Neutral]],def_diff_lookup,6,FALSE))</f>
        <v>104.3681874827998</v>
      </c>
      <c r="M576" s="21"/>
      <c r="N576" s="21">
        <f>(Table2[[#This Row],[A/Pace]]/100)*(VLOOKUP(Table2[[#This Row],[Visitor/Neutral]],OFR_lookup,2,FALSE)+VLOOKUP(Table2[[#This Row],[Home/Neutral]],def_diff_lookup,6,FALSE))</f>
        <v>101.11172666666666</v>
      </c>
      <c r="O576" s="21"/>
      <c r="P576" s="21"/>
      <c r="Q576">
        <f>VLOOKUP(Table2[[#This Row],[Home/Neutral]],pace_lookup,7,FALSE)</f>
        <v>94.2</v>
      </c>
      <c r="R576" s="5">
        <f>VLOOKUP(Table2[[#This Row],[Visitor/Neutral]],pace_lookup,7,FALSE)</f>
        <v>94</v>
      </c>
      <c r="S576" s="7"/>
      <c r="U576" s="15"/>
      <c r="W576" s="2">
        <f>-home-VLOOKUP(Table2[[#This Row],[Home/Neutral]],rtg_vlookup,4,FALSE)+VLOOKUP(Table2[[#This Row],[Visitor/Neutral]],rtg_vlookup,4,FALSE)</f>
        <v>0.71131147540983419</v>
      </c>
      <c r="X576" s="15"/>
      <c r="Y576" s="2"/>
      <c r="Z576" s="2">
        <f>Table2[[#This Row],[A/EV]]-Table2[[#This Row],[H/EV]]</f>
        <v>-3.2564608161331421</v>
      </c>
      <c r="AA576" s="29"/>
      <c r="AB576" s="30"/>
      <c r="AC576" s="30"/>
      <c r="AD576" s="30"/>
      <c r="AE576" s="30"/>
      <c r="AF576" s="7" t="b">
        <f>IF(VLOOKUP(Table2[[#This Row],[Home/Neutral]],division_lookup,9,FALSE)=VLOOKUP(Table2[[#This Row],[Visitor/Neutral]],division_lookup,9,FALSE),TRUE,FALSE)</f>
        <v>0</v>
      </c>
      <c r="AG576" s="15" t="str">
        <f>VLOOKUP(Table2[[#This Row],[Home/Neutral]],division_lookup,9,FALSE)</f>
        <v>P</v>
      </c>
      <c r="AH576" s="15" t="str">
        <f>IF(Table2[[#This Row],[Total/EV]]&lt;Table2[[#This Row],[Total/V]],"UNDER","OVER")</f>
        <v>OVER</v>
      </c>
      <c r="AI576" s="26">
        <f>Table2[[#This Row],[SRS/Real]]-Table2[[#This Row],[Spread/V]]</f>
        <v>0</v>
      </c>
      <c r="AJ576" s="2">
        <f>Table2[[#This Row],[EV/Real]]-Table2[[#This Row],[Spread/V]]</f>
        <v>0</v>
      </c>
      <c r="AK576" s="2">
        <f>Table2[[#This Row],[SRS/Diff]]-Table2[[#This Row],[EV/Diff]]</f>
        <v>0</v>
      </c>
      <c r="AL576" s="18">
        <f>Table2[[#This Row],[SRS]]-Table2[[#This Row],[Spread]]</f>
        <v>0.71131147540983419</v>
      </c>
      <c r="AM576" s="21">
        <f>Table2[[#This Row],[(A) Err]]^2</f>
        <v>0.50596401504971511</v>
      </c>
      <c r="AN576" s="6">
        <f>Table2[[#This Row],[EV]]-Table2[[#This Row],[Spread]]</f>
        <v>-3.2564608161331421</v>
      </c>
      <c r="AO576" s="1">
        <f>Table2[[#This Row],[EV Err]]^2</f>
        <v>10.604537047010529</v>
      </c>
      <c r="AP576" s="1"/>
    </row>
    <row r="577" spans="1:42" x14ac:dyDescent="0.25">
      <c r="A577" s="34">
        <v>42745</v>
      </c>
      <c r="B577" t="s">
        <v>134</v>
      </c>
      <c r="C577" t="s">
        <v>125</v>
      </c>
      <c r="E577" s="21"/>
      <c r="G577" s="21"/>
      <c r="H577" s="7"/>
      <c r="I577" s="21"/>
      <c r="K577"/>
      <c r="L577" s="21">
        <f>(Table2[[#This Row],[H/Pace]]/100)*(VLOOKUP(Table2[[#This Row],[Home/Neutral]],home_lookup,8,FALSE)+VLOOKUP(Table2[[#This Row],[Home/Neutral]],OFR_lookup,2,FALSE)+VLOOKUP(Table2[[#This Row],[Visitor/Neutral]],def_diff_lookup,6,FALSE))</f>
        <v>102.60685343638194</v>
      </c>
      <c r="M577" s="21"/>
      <c r="N577" s="21">
        <f>(Table2[[#This Row],[A/Pace]]/100)*(VLOOKUP(Table2[[#This Row],[Visitor/Neutral]],OFR_lookup,2,FALSE)+VLOOKUP(Table2[[#This Row],[Home/Neutral]],def_diff_lookup,6,FALSE))</f>
        <v>100.79512566666666</v>
      </c>
      <c r="O577" s="21"/>
      <c r="P577" s="21"/>
      <c r="Q577">
        <f>VLOOKUP(Table2[[#This Row],[Home/Neutral]],pace_lookup,7,FALSE)</f>
        <v>93.4</v>
      </c>
      <c r="R577" s="5">
        <f>VLOOKUP(Table2[[#This Row],[Visitor/Neutral]],pace_lookup,7,FALSE)</f>
        <v>96.1</v>
      </c>
      <c r="S577" s="7"/>
      <c r="U577" s="15"/>
      <c r="W577" s="2">
        <f>-home-VLOOKUP(Table2[[#This Row],[Home/Neutral]],rtg_vlookup,4,FALSE)+VLOOKUP(Table2[[#This Row],[Visitor/Neutral]],rtg_vlookup,4,FALSE)</f>
        <v>-12.648688524590165</v>
      </c>
      <c r="X577" s="15"/>
      <c r="Y577" s="2"/>
      <c r="Z577" s="2">
        <f>Table2[[#This Row],[A/EV]]-Table2[[#This Row],[H/EV]]</f>
        <v>-1.8117277697152758</v>
      </c>
      <c r="AA577" s="29"/>
      <c r="AB577" s="30"/>
      <c r="AC577" s="30"/>
      <c r="AD577" s="30"/>
      <c r="AE577" s="30"/>
      <c r="AF577" s="7" t="b">
        <f>IF(VLOOKUP(Table2[[#This Row],[Home/Neutral]],division_lookup,9,FALSE)=VLOOKUP(Table2[[#This Row],[Visitor/Neutral]],division_lookup,9,FALSE),TRUE,FALSE)</f>
        <v>0</v>
      </c>
      <c r="AG577" s="15" t="str">
        <f>VLOOKUP(Table2[[#This Row],[Home/Neutral]],division_lookup,9,FALSE)</f>
        <v>SW</v>
      </c>
      <c r="AH577" s="15" t="str">
        <f>IF(Table2[[#This Row],[Total/EV]]&lt;Table2[[#This Row],[Total/V]],"UNDER","OVER")</f>
        <v>OVER</v>
      </c>
      <c r="AI577" s="26">
        <f>Table2[[#This Row],[SRS/Real]]-Table2[[#This Row],[Spread/V]]</f>
        <v>0</v>
      </c>
      <c r="AJ577" s="2">
        <f>Table2[[#This Row],[EV/Real]]-Table2[[#This Row],[Spread/V]]</f>
        <v>0</v>
      </c>
      <c r="AK577" s="2">
        <f>Table2[[#This Row],[SRS/Diff]]-Table2[[#This Row],[EV/Diff]]</f>
        <v>0</v>
      </c>
      <c r="AL577" s="18">
        <f>Table2[[#This Row],[SRS]]-Table2[[#This Row],[Spread]]</f>
        <v>-12.648688524590165</v>
      </c>
      <c r="AM577" s="21">
        <f>Table2[[#This Row],[(A) Err]]^2</f>
        <v>159.98932139209893</v>
      </c>
      <c r="AN577" s="6">
        <f>Table2[[#This Row],[EV]]-Table2[[#This Row],[Spread]]</f>
        <v>-1.8117277697152758</v>
      </c>
      <c r="AO577" s="1">
        <f>Table2[[#This Row],[EV Err]]^2</f>
        <v>3.2823575115574877</v>
      </c>
      <c r="AP577" s="1"/>
    </row>
    <row r="578" spans="1:42" x14ac:dyDescent="0.25">
      <c r="A578" s="34">
        <v>42745</v>
      </c>
      <c r="B578" t="s">
        <v>135</v>
      </c>
      <c r="C578" t="s">
        <v>110</v>
      </c>
      <c r="E578" s="21"/>
      <c r="G578" s="21"/>
      <c r="H578" s="7"/>
      <c r="I578" s="21"/>
      <c r="K578"/>
      <c r="L578" s="21">
        <f>(Table2[[#This Row],[H/Pace]]/100)*(VLOOKUP(Table2[[#This Row],[Home/Neutral]],home_lookup,8,FALSE)+VLOOKUP(Table2[[#This Row],[Home/Neutral]],OFR_lookup,2,FALSE)+VLOOKUP(Table2[[#This Row],[Visitor/Neutral]],def_diff_lookup,6,FALSE))</f>
        <v>110.34588035324614</v>
      </c>
      <c r="M578" s="21"/>
      <c r="N578" s="21">
        <f>(Table2[[#This Row],[A/Pace]]/100)*(VLOOKUP(Table2[[#This Row],[Visitor/Neutral]],OFR_lookup,2,FALSE)+VLOOKUP(Table2[[#This Row],[Home/Neutral]],def_diff_lookup,6,FALSE))</f>
        <v>104.61333133333333</v>
      </c>
      <c r="O578" s="21"/>
      <c r="P578" s="21"/>
      <c r="Q578">
        <f>VLOOKUP(Table2[[#This Row],[Home/Neutral]],pace_lookup,7,FALSE)</f>
        <v>95.4</v>
      </c>
      <c r="R578" s="5">
        <f>VLOOKUP(Table2[[#This Row],[Visitor/Neutral]],pace_lookup,7,FALSE)</f>
        <v>96.2</v>
      </c>
      <c r="S578" s="7"/>
      <c r="U578" s="15"/>
      <c r="W578" s="2">
        <f>-home-VLOOKUP(Table2[[#This Row],[Home/Neutral]],rtg_vlookup,4,FALSE)+VLOOKUP(Table2[[#This Row],[Visitor/Neutral]],rtg_vlookup,4,FALSE)</f>
        <v>-8.2386885245901649</v>
      </c>
      <c r="X578" s="15"/>
      <c r="Y578" s="2"/>
      <c r="Z578" s="2">
        <f>Table2[[#This Row],[A/EV]]-Table2[[#This Row],[H/EV]]</f>
        <v>-5.7325490199128097</v>
      </c>
      <c r="AA578" s="29"/>
      <c r="AB578" s="30"/>
      <c r="AC578" s="30"/>
      <c r="AD578" s="30"/>
      <c r="AE578" s="30"/>
      <c r="AF578" s="7" t="b">
        <f>IF(VLOOKUP(Table2[[#This Row],[Home/Neutral]],division_lookup,9,FALSE)=VLOOKUP(Table2[[#This Row],[Visitor/Neutral]],division_lookup,9,FALSE),TRUE,FALSE)</f>
        <v>1</v>
      </c>
      <c r="AG578" s="15" t="str">
        <f>VLOOKUP(Table2[[#This Row],[Home/Neutral]],division_lookup,9,FALSE)</f>
        <v>A</v>
      </c>
      <c r="AH578" s="15" t="str">
        <f>IF(Table2[[#This Row],[Total/EV]]&lt;Table2[[#This Row],[Total/V]],"UNDER","OVER")</f>
        <v>OVER</v>
      </c>
      <c r="AI578" s="26">
        <f>Table2[[#This Row],[SRS/Real]]-Table2[[#This Row],[Spread/V]]</f>
        <v>0</v>
      </c>
      <c r="AJ578" s="2">
        <f>Table2[[#This Row],[EV/Real]]-Table2[[#This Row],[Spread/V]]</f>
        <v>0</v>
      </c>
      <c r="AK578" s="2">
        <f>Table2[[#This Row],[SRS/Diff]]-Table2[[#This Row],[EV/Diff]]</f>
        <v>0</v>
      </c>
      <c r="AL578" s="18">
        <f>Table2[[#This Row],[SRS]]-Table2[[#This Row],[Spread]]</f>
        <v>-8.2386885245901649</v>
      </c>
      <c r="AM578" s="21">
        <f>Table2[[#This Row],[(A) Err]]^2</f>
        <v>67.875988605213664</v>
      </c>
      <c r="AN578" s="6">
        <f>Table2[[#This Row],[EV]]-Table2[[#This Row],[Spread]]</f>
        <v>-5.7325490199128097</v>
      </c>
      <c r="AO578" s="1">
        <f>Table2[[#This Row],[EV Err]]^2</f>
        <v>32.862118265703316</v>
      </c>
      <c r="AP578" s="1"/>
    </row>
    <row r="579" spans="1:42" x14ac:dyDescent="0.25">
      <c r="A579" s="34">
        <v>42745</v>
      </c>
      <c r="B579" t="s">
        <v>136</v>
      </c>
      <c r="C579" t="s">
        <v>114</v>
      </c>
      <c r="E579" s="21"/>
      <c r="G579" s="21"/>
      <c r="H579" s="7"/>
      <c r="I579" s="21"/>
      <c r="K579"/>
      <c r="L579" s="21">
        <f>(Table2[[#This Row],[H/Pace]]/100)*(VLOOKUP(Table2[[#This Row],[Home/Neutral]],home_lookup,8,FALSE)+VLOOKUP(Table2[[#This Row],[Home/Neutral]],OFR_lookup,2,FALSE)+VLOOKUP(Table2[[#This Row],[Visitor/Neutral]],def_diff_lookup,6,FALSE))</f>
        <v>104.572185349919</v>
      </c>
      <c r="M579" s="21"/>
      <c r="N579" s="21">
        <f>(Table2[[#This Row],[A/Pace]]/100)*(VLOOKUP(Table2[[#This Row],[Visitor/Neutral]],OFR_lookup,2,FALSE)+VLOOKUP(Table2[[#This Row],[Home/Neutral]],def_diff_lookup,6,FALSE))</f>
        <v>107.30795366666665</v>
      </c>
      <c r="O579" s="21"/>
      <c r="P579" s="21"/>
      <c r="Q579">
        <f>VLOOKUP(Table2[[#This Row],[Home/Neutral]],pace_lookup,7,FALSE)</f>
        <v>91.5</v>
      </c>
      <c r="R579" s="5">
        <f>VLOOKUP(Table2[[#This Row],[Visitor/Neutral]],pace_lookup,7,FALSE)</f>
        <v>97.3</v>
      </c>
      <c r="S579" s="7"/>
      <c r="U579" s="15"/>
      <c r="W579" s="2">
        <f>-home-VLOOKUP(Table2[[#This Row],[Home/Neutral]],rtg_vlookup,4,FALSE)+VLOOKUP(Table2[[#This Row],[Visitor/Neutral]],rtg_vlookup,4,FALSE)</f>
        <v>1.6213114754098346</v>
      </c>
      <c r="X579" s="15"/>
      <c r="Y579" s="2"/>
      <c r="Z579" s="2">
        <f>Table2[[#This Row],[A/EV]]-Table2[[#This Row],[H/EV]]</f>
        <v>2.7357683167476523</v>
      </c>
      <c r="AA579" s="29"/>
      <c r="AB579" s="30"/>
      <c r="AC579" s="30"/>
      <c r="AD579" s="30"/>
      <c r="AE579" s="30"/>
      <c r="AF579" s="7" t="b">
        <f>IF(VLOOKUP(Table2[[#This Row],[Home/Neutral]],division_lookup,9,FALSE)=VLOOKUP(Table2[[#This Row],[Visitor/Neutral]],division_lookup,9,FALSE),TRUE,FALSE)</f>
        <v>0</v>
      </c>
      <c r="AG579" s="15" t="str">
        <f>VLOOKUP(Table2[[#This Row],[Home/Neutral]],division_lookup,9,FALSE)</f>
        <v>NW</v>
      </c>
      <c r="AH579" s="15" t="str">
        <f>IF(Table2[[#This Row],[Total/EV]]&lt;Table2[[#This Row],[Total/V]],"UNDER","OVER")</f>
        <v>OVER</v>
      </c>
      <c r="AI579" s="26">
        <f>Table2[[#This Row],[SRS/Real]]-Table2[[#This Row],[Spread/V]]</f>
        <v>0</v>
      </c>
      <c r="AJ579" s="2">
        <f>Table2[[#This Row],[EV/Real]]-Table2[[#This Row],[Spread/V]]</f>
        <v>0</v>
      </c>
      <c r="AK579" s="2">
        <f>Table2[[#This Row],[SRS/Diff]]-Table2[[#This Row],[EV/Diff]]</f>
        <v>0</v>
      </c>
      <c r="AL579" s="18">
        <f>Table2[[#This Row],[SRS]]-Table2[[#This Row],[Spread]]</f>
        <v>1.6213114754098346</v>
      </c>
      <c r="AM579" s="21">
        <f>Table2[[#This Row],[(A) Err]]^2</f>
        <v>2.6286509002956144</v>
      </c>
      <c r="AN579" s="6">
        <f>Table2[[#This Row],[EV]]-Table2[[#This Row],[Spread]]</f>
        <v>2.7357683167476523</v>
      </c>
      <c r="AO579" s="1">
        <f>Table2[[#This Row],[EV Err]]^2</f>
        <v>7.4844282829202831</v>
      </c>
      <c r="AP579" s="1"/>
    </row>
    <row r="580" spans="1:42" x14ac:dyDescent="0.25">
      <c r="A580" s="34">
        <v>42745</v>
      </c>
      <c r="B580" t="s">
        <v>137</v>
      </c>
      <c r="C580" t="s">
        <v>113</v>
      </c>
      <c r="E580" s="21"/>
      <c r="G580" s="21"/>
      <c r="H580" s="7"/>
      <c r="I580" s="21"/>
      <c r="K580"/>
      <c r="L580" s="21">
        <f>(Table2[[#This Row],[H/Pace]]/100)*(VLOOKUP(Table2[[#This Row],[Home/Neutral]],home_lookup,8,FALSE)+VLOOKUP(Table2[[#This Row],[Home/Neutral]],OFR_lookup,2,FALSE)+VLOOKUP(Table2[[#This Row],[Visitor/Neutral]],def_diff_lookup,6,FALSE))</f>
        <v>107.46493255421871</v>
      </c>
      <c r="M580" s="21"/>
      <c r="N580" s="21">
        <f>(Table2[[#This Row],[A/Pace]]/100)*(VLOOKUP(Table2[[#This Row],[Visitor/Neutral]],OFR_lookup,2,FALSE)+VLOOKUP(Table2[[#This Row],[Home/Neutral]],def_diff_lookup,6,FALSE))</f>
        <v>108.75223899999999</v>
      </c>
      <c r="O580" s="21"/>
      <c r="P580" s="21"/>
      <c r="Q580">
        <f>VLOOKUP(Table2[[#This Row],[Home/Neutral]],pace_lookup,7,FALSE)</f>
        <v>96</v>
      </c>
      <c r="R580" s="5">
        <f>VLOOKUP(Table2[[#This Row],[Visitor/Neutral]],pace_lookup,7,FALSE)</f>
        <v>95.1</v>
      </c>
      <c r="S580" s="7"/>
      <c r="U580" s="15"/>
      <c r="W580" s="2">
        <f>-home-VLOOKUP(Table2[[#This Row],[Home/Neutral]],rtg_vlookup,4,FALSE)+VLOOKUP(Table2[[#This Row],[Visitor/Neutral]],rtg_vlookup,4,FALSE)</f>
        <v>4.8613114754098348</v>
      </c>
      <c r="X580" s="15"/>
      <c r="Y580" s="2"/>
      <c r="Z580" s="2">
        <f>Table2[[#This Row],[A/EV]]-Table2[[#This Row],[H/EV]]</f>
        <v>1.2873064457812831</v>
      </c>
      <c r="AA580" s="29"/>
      <c r="AB580" s="30"/>
      <c r="AC580" s="30"/>
      <c r="AD580" s="30"/>
      <c r="AE580" s="30"/>
      <c r="AF580" s="7" t="b">
        <f>IF(VLOOKUP(Table2[[#This Row],[Home/Neutral]],division_lookup,9,FALSE)=VLOOKUP(Table2[[#This Row],[Visitor/Neutral]],division_lookup,9,FALSE),TRUE,FALSE)</f>
        <v>0</v>
      </c>
      <c r="AG580" s="15" t="str">
        <f>VLOOKUP(Table2[[#This Row],[Home/Neutral]],division_lookup,9,FALSE)</f>
        <v>SE</v>
      </c>
      <c r="AH580" s="15" t="str">
        <f>IF(Table2[[#This Row],[Total/EV]]&lt;Table2[[#This Row],[Total/V]],"UNDER","OVER")</f>
        <v>OVER</v>
      </c>
      <c r="AI580" s="26">
        <f>Table2[[#This Row],[SRS/Real]]-Table2[[#This Row],[Spread/V]]</f>
        <v>0</v>
      </c>
      <c r="AJ580" s="2">
        <f>Table2[[#This Row],[EV/Real]]-Table2[[#This Row],[Spread/V]]</f>
        <v>0</v>
      </c>
      <c r="AK580" s="2">
        <f>Table2[[#This Row],[SRS/Diff]]-Table2[[#This Row],[EV/Diff]]</f>
        <v>0</v>
      </c>
      <c r="AL580" s="18">
        <f>Table2[[#This Row],[SRS]]-Table2[[#This Row],[Spread]]</f>
        <v>4.8613114754098348</v>
      </c>
      <c r="AM580" s="21">
        <f>Table2[[#This Row],[(A) Err]]^2</f>
        <v>23.632349260951344</v>
      </c>
      <c r="AN580" s="6">
        <f>Table2[[#This Row],[EV]]-Table2[[#This Row],[Spread]]</f>
        <v>1.2873064457812831</v>
      </c>
      <c r="AO580" s="1">
        <f>Table2[[#This Row],[EV Err]]^2</f>
        <v>1.6571578853500395</v>
      </c>
      <c r="AP580" s="1"/>
    </row>
    <row r="581" spans="1:42" x14ac:dyDescent="0.25">
      <c r="A581" s="34">
        <v>42746</v>
      </c>
      <c r="B581" t="s">
        <v>110</v>
      </c>
      <c r="C581" t="s">
        <v>137</v>
      </c>
      <c r="E581" s="21"/>
      <c r="G581" s="21"/>
      <c r="H581" s="7"/>
      <c r="I581" s="21"/>
      <c r="K581"/>
      <c r="L581" s="21">
        <f>(Table2[[#This Row],[H/Pace]]/100)*(VLOOKUP(Table2[[#This Row],[Home/Neutral]],home_lookup,8,FALSE)+VLOOKUP(Table2[[#This Row],[Home/Neutral]],OFR_lookup,2,FALSE)+VLOOKUP(Table2[[#This Row],[Visitor/Neutral]],def_diff_lookup,6,FALSE))</f>
        <v>109.1396911890094</v>
      </c>
      <c r="M581" s="21"/>
      <c r="N581" s="21">
        <f>(Table2[[#This Row],[A/Pace]]/100)*(VLOOKUP(Table2[[#This Row],[Visitor/Neutral]],OFR_lookup,2,FALSE)+VLOOKUP(Table2[[#This Row],[Home/Neutral]],def_diff_lookup,6,FALSE))</f>
        <v>103.57984</v>
      </c>
      <c r="O581" s="21"/>
      <c r="P581" s="21"/>
      <c r="Q581">
        <f>VLOOKUP(Table2[[#This Row],[Home/Neutral]],pace_lookup,7,FALSE)</f>
        <v>96.2</v>
      </c>
      <c r="R581" s="5">
        <f>VLOOKUP(Table2[[#This Row],[Visitor/Neutral]],pace_lookup,7,FALSE)</f>
        <v>96</v>
      </c>
      <c r="S581" s="7"/>
      <c r="U581" s="15"/>
      <c r="W581" s="2">
        <f>-home-VLOOKUP(Table2[[#This Row],[Home/Neutral]],rtg_vlookup,4,FALSE)+VLOOKUP(Table2[[#This Row],[Visitor/Neutral]],rtg_vlookup,4,FALSE)</f>
        <v>-6.2486885245901655</v>
      </c>
      <c r="X581" s="15"/>
      <c r="Y581" s="2"/>
      <c r="Z581" s="2">
        <f>Table2[[#This Row],[A/EV]]-Table2[[#This Row],[H/EV]]</f>
        <v>-5.5598511890093931</v>
      </c>
      <c r="AA581" s="29"/>
      <c r="AB581" s="30"/>
      <c r="AC581" s="30"/>
      <c r="AD581" s="30"/>
      <c r="AE581" s="30"/>
      <c r="AF581" s="7" t="b">
        <f>IF(VLOOKUP(Table2[[#This Row],[Home/Neutral]],division_lookup,9,FALSE)=VLOOKUP(Table2[[#This Row],[Visitor/Neutral]],division_lookup,9,FALSE),TRUE,FALSE)</f>
        <v>0</v>
      </c>
      <c r="AG581" s="15" t="str">
        <f>VLOOKUP(Table2[[#This Row],[Home/Neutral]],division_lookup,9,FALSE)</f>
        <v>A</v>
      </c>
      <c r="AH581" s="15" t="str">
        <f>IF(Table2[[#This Row],[Total/EV]]&lt;Table2[[#This Row],[Total/V]],"UNDER","OVER")</f>
        <v>OVER</v>
      </c>
      <c r="AI581" s="26">
        <f>Table2[[#This Row],[SRS/Real]]-Table2[[#This Row],[Spread/V]]</f>
        <v>0</v>
      </c>
      <c r="AJ581" s="2">
        <f>Table2[[#This Row],[EV/Real]]-Table2[[#This Row],[Spread/V]]</f>
        <v>0</v>
      </c>
      <c r="AK581" s="2">
        <f>Table2[[#This Row],[SRS/Diff]]-Table2[[#This Row],[EV/Diff]]</f>
        <v>0</v>
      </c>
      <c r="AL581" s="18">
        <f>Table2[[#This Row],[SRS]]-Table2[[#This Row],[Spread]]</f>
        <v>-6.2486885245901655</v>
      </c>
      <c r="AM581" s="21">
        <f>Table2[[#This Row],[(A) Err]]^2</f>
        <v>39.046108277344821</v>
      </c>
      <c r="AN581" s="6">
        <f>Table2[[#This Row],[EV]]-Table2[[#This Row],[Spread]]</f>
        <v>-5.5598511890093931</v>
      </c>
      <c r="AO581" s="1">
        <f>Table2[[#This Row],[EV Err]]^2</f>
        <v>30.911945243929164</v>
      </c>
      <c r="AP581" s="1"/>
    </row>
    <row r="582" spans="1:42" x14ac:dyDescent="0.25">
      <c r="A582" s="34">
        <v>42746</v>
      </c>
      <c r="B582" t="s">
        <v>121</v>
      </c>
      <c r="C582" t="s">
        <v>130</v>
      </c>
      <c r="E582" s="21"/>
      <c r="G582" s="21"/>
      <c r="H582" s="7"/>
      <c r="I582" s="21"/>
      <c r="K582"/>
      <c r="L582" s="21">
        <f>(Table2[[#This Row],[H/Pace]]/100)*(VLOOKUP(Table2[[#This Row],[Home/Neutral]],home_lookup,8,FALSE)+VLOOKUP(Table2[[#This Row],[Home/Neutral]],OFR_lookup,2,FALSE)+VLOOKUP(Table2[[#This Row],[Visitor/Neutral]],def_diff_lookup,6,FALSE))</f>
        <v>113.69724060751253</v>
      </c>
      <c r="M582" s="21"/>
      <c r="N582" s="21">
        <f>(Table2[[#This Row],[A/Pace]]/100)*(VLOOKUP(Table2[[#This Row],[Visitor/Neutral]],OFR_lookup,2,FALSE)+VLOOKUP(Table2[[#This Row],[Home/Neutral]],def_diff_lookup,6,FALSE))</f>
        <v>88.120018000000002</v>
      </c>
      <c r="O582" s="21"/>
      <c r="P582" s="21"/>
      <c r="Q582">
        <f>VLOOKUP(Table2[[#This Row],[Home/Neutral]],pace_lookup,7,FALSE)</f>
        <v>96.4</v>
      </c>
      <c r="R582" s="5">
        <f>VLOOKUP(Table2[[#This Row],[Visitor/Neutral]],pace_lookup,7,FALSE)</f>
        <v>94.2</v>
      </c>
      <c r="S582" s="7"/>
      <c r="U582" s="15"/>
      <c r="W582" s="2">
        <f>-home-VLOOKUP(Table2[[#This Row],[Home/Neutral]],rtg_vlookup,4,FALSE)+VLOOKUP(Table2[[#This Row],[Visitor/Neutral]],rtg_vlookup,4,FALSE)</f>
        <v>-24.138688524590165</v>
      </c>
      <c r="X582" s="15"/>
      <c r="Y582" s="2"/>
      <c r="Z582" s="2">
        <f>Table2[[#This Row],[A/EV]]-Table2[[#This Row],[H/EV]]</f>
        <v>-25.577222607512525</v>
      </c>
      <c r="AA582" s="29"/>
      <c r="AB582" s="30"/>
      <c r="AC582" s="30"/>
      <c r="AD582" s="30"/>
      <c r="AE582" s="30"/>
      <c r="AF582" s="7" t="b">
        <f>IF(VLOOKUP(Table2[[#This Row],[Home/Neutral]],division_lookup,9,FALSE)=VLOOKUP(Table2[[#This Row],[Visitor/Neutral]],division_lookup,9,FALSE),TRUE,FALSE)</f>
        <v>0</v>
      </c>
      <c r="AG582" s="15" t="str">
        <f>VLOOKUP(Table2[[#This Row],[Home/Neutral]],division_lookup,9,FALSE)</f>
        <v>P</v>
      </c>
      <c r="AH582" s="15" t="str">
        <f>IF(Table2[[#This Row],[Total/EV]]&lt;Table2[[#This Row],[Total/V]],"UNDER","OVER")</f>
        <v>OVER</v>
      </c>
      <c r="AI582" s="26">
        <f>Table2[[#This Row],[SRS/Real]]-Table2[[#This Row],[Spread/V]]</f>
        <v>0</v>
      </c>
      <c r="AJ582" s="2">
        <f>Table2[[#This Row],[EV/Real]]-Table2[[#This Row],[Spread/V]]</f>
        <v>0</v>
      </c>
      <c r="AK582" s="2">
        <f>Table2[[#This Row],[SRS/Diff]]-Table2[[#This Row],[EV/Diff]]</f>
        <v>0</v>
      </c>
      <c r="AL582" s="18">
        <f>Table2[[#This Row],[SRS]]-Table2[[#This Row],[Spread]]</f>
        <v>-24.138688524590165</v>
      </c>
      <c r="AM582" s="21">
        <f>Table2[[#This Row],[(A) Err]]^2</f>
        <v>582.6762836871809</v>
      </c>
      <c r="AN582" s="6">
        <f>Table2[[#This Row],[EV]]-Table2[[#This Row],[Spread]]</f>
        <v>-25.577222607512525</v>
      </c>
      <c r="AO582" s="1">
        <f>Table2[[#This Row],[EV Err]]^2</f>
        <v>654.19431631424982</v>
      </c>
      <c r="AP582" s="1"/>
    </row>
    <row r="583" spans="1:42" x14ac:dyDescent="0.25">
      <c r="A583" s="34">
        <v>42746</v>
      </c>
      <c r="B583" t="s">
        <v>126</v>
      </c>
      <c r="C583" t="s">
        <v>119</v>
      </c>
      <c r="E583" s="21"/>
      <c r="G583" s="21"/>
      <c r="H583" s="7"/>
      <c r="I583" s="21"/>
      <c r="K583"/>
      <c r="L583" s="21">
        <f>(Table2[[#This Row],[H/Pace]]/100)*(VLOOKUP(Table2[[#This Row],[Home/Neutral]],home_lookup,8,FALSE)+VLOOKUP(Table2[[#This Row],[Home/Neutral]],OFR_lookup,2,FALSE)+VLOOKUP(Table2[[#This Row],[Visitor/Neutral]],def_diff_lookup,6,FALSE))</f>
        <v>117.50549777050786</v>
      </c>
      <c r="M583" s="21"/>
      <c r="N583" s="21">
        <f>(Table2[[#This Row],[A/Pace]]/100)*(VLOOKUP(Table2[[#This Row],[Visitor/Neutral]],OFR_lookup,2,FALSE)+VLOOKUP(Table2[[#This Row],[Home/Neutral]],def_diff_lookup,6,FALSE))</f>
        <v>112.66143100000001</v>
      </c>
      <c r="O583" s="21"/>
      <c r="P583" s="21"/>
      <c r="Q583">
        <f>VLOOKUP(Table2[[#This Row],[Home/Neutral]],pace_lookup,7,FALSE)</f>
        <v>95.7</v>
      </c>
      <c r="R583" s="5">
        <f>VLOOKUP(Table2[[#This Row],[Visitor/Neutral]],pace_lookup,7,FALSE)</f>
        <v>96.9</v>
      </c>
      <c r="S583" s="7"/>
      <c r="U583" s="15"/>
      <c r="W583" s="2">
        <f>-home-VLOOKUP(Table2[[#This Row],[Home/Neutral]],rtg_vlookup,4,FALSE)+VLOOKUP(Table2[[#This Row],[Visitor/Neutral]],rtg_vlookup,4,FALSE)</f>
        <v>2.0813114754098345</v>
      </c>
      <c r="X583" s="15"/>
      <c r="Y583" s="2"/>
      <c r="Z583" s="2">
        <f>Table2[[#This Row],[A/EV]]-Table2[[#This Row],[H/EV]]</f>
        <v>-4.8440667705078511</v>
      </c>
      <c r="AA583" s="29"/>
      <c r="AB583" s="30"/>
      <c r="AC583" s="30"/>
      <c r="AD583" s="30"/>
      <c r="AE583" s="30"/>
      <c r="AF583" s="7" t="b">
        <f>IF(VLOOKUP(Table2[[#This Row],[Home/Neutral]],division_lookup,9,FALSE)=VLOOKUP(Table2[[#This Row],[Visitor/Neutral]],division_lookup,9,FALSE),TRUE,FALSE)</f>
        <v>0</v>
      </c>
      <c r="AG583" s="15" t="str">
        <f>VLOOKUP(Table2[[#This Row],[Home/Neutral]],division_lookup,9,FALSE)</f>
        <v>NW</v>
      </c>
      <c r="AH583" s="15" t="str">
        <f>IF(Table2[[#This Row],[Total/EV]]&lt;Table2[[#This Row],[Total/V]],"UNDER","OVER")</f>
        <v>OVER</v>
      </c>
      <c r="AI583" s="26">
        <f>Table2[[#This Row],[SRS/Real]]-Table2[[#This Row],[Spread/V]]</f>
        <v>0</v>
      </c>
      <c r="AJ583" s="2">
        <f>Table2[[#This Row],[EV/Real]]-Table2[[#This Row],[Spread/V]]</f>
        <v>0</v>
      </c>
      <c r="AK583" s="2">
        <f>Table2[[#This Row],[SRS/Diff]]-Table2[[#This Row],[EV/Diff]]</f>
        <v>0</v>
      </c>
      <c r="AL583" s="18">
        <f>Table2[[#This Row],[SRS]]-Table2[[#This Row],[Spread]]</f>
        <v>2.0813114754098345</v>
      </c>
      <c r="AM583" s="21">
        <f>Table2[[#This Row],[(A) Err]]^2</f>
        <v>4.3318574576726618</v>
      </c>
      <c r="AN583" s="6">
        <f>Table2[[#This Row],[EV]]-Table2[[#This Row],[Spread]]</f>
        <v>-4.8440667705078511</v>
      </c>
      <c r="AO583" s="1">
        <f>Table2[[#This Row],[EV Err]]^2</f>
        <v>23.464982877138361</v>
      </c>
      <c r="AP583" s="1"/>
    </row>
    <row r="584" spans="1:42" x14ac:dyDescent="0.25">
      <c r="A584" s="34">
        <v>42746</v>
      </c>
      <c r="B584" t="s">
        <v>129</v>
      </c>
      <c r="C584" t="s">
        <v>123</v>
      </c>
      <c r="E584" s="21"/>
      <c r="G584" s="21"/>
      <c r="H584" s="7"/>
      <c r="I584" s="21"/>
      <c r="K584"/>
      <c r="L584" s="21">
        <f>(Table2[[#This Row],[H/Pace]]/100)*(VLOOKUP(Table2[[#This Row],[Home/Neutral]],home_lookup,8,FALSE)+VLOOKUP(Table2[[#This Row],[Home/Neutral]],OFR_lookup,2,FALSE)+VLOOKUP(Table2[[#This Row],[Visitor/Neutral]],def_diff_lookup,6,FALSE))</f>
        <v>103.89680376890107</v>
      </c>
      <c r="M584" s="21"/>
      <c r="N584" s="21">
        <f>(Table2[[#This Row],[A/Pace]]/100)*(VLOOKUP(Table2[[#This Row],[Visitor/Neutral]],OFR_lookup,2,FALSE)+VLOOKUP(Table2[[#This Row],[Home/Neutral]],def_diff_lookup,6,FALSE))</f>
        <v>94.234991666666659</v>
      </c>
      <c r="O584" s="21"/>
      <c r="P584" s="21"/>
      <c r="Q584">
        <f>VLOOKUP(Table2[[#This Row],[Home/Neutral]],pace_lookup,7,FALSE)</f>
        <v>99</v>
      </c>
      <c r="R584" s="5">
        <f>VLOOKUP(Table2[[#This Row],[Visitor/Neutral]],pace_lookup,7,FALSE)</f>
        <v>92.5</v>
      </c>
      <c r="S584" s="7"/>
      <c r="U584" s="15"/>
      <c r="W584" s="2">
        <f>-home-VLOOKUP(Table2[[#This Row],[Home/Neutral]],rtg_vlookup,4,FALSE)+VLOOKUP(Table2[[#This Row],[Visitor/Neutral]],rtg_vlookup,4,FALSE)</f>
        <v>-3.6086885245901654</v>
      </c>
      <c r="X584" s="15"/>
      <c r="Y584" s="2"/>
      <c r="Z584" s="2">
        <f>Table2[[#This Row],[A/EV]]-Table2[[#This Row],[H/EV]]</f>
        <v>-9.661812102234407</v>
      </c>
      <c r="AA584" s="29"/>
      <c r="AB584" s="30"/>
      <c r="AC584" s="30"/>
      <c r="AD584" s="30"/>
      <c r="AE584" s="30"/>
      <c r="AF584" s="7" t="b">
        <f>IF(VLOOKUP(Table2[[#This Row],[Home/Neutral]],division_lookup,9,FALSE)=VLOOKUP(Table2[[#This Row],[Visitor/Neutral]],division_lookup,9,FALSE),TRUE,FALSE)</f>
        <v>0</v>
      </c>
      <c r="AG584" s="15" t="str">
        <f>VLOOKUP(Table2[[#This Row],[Home/Neutral]],division_lookup,9,FALSE)</f>
        <v>NW</v>
      </c>
      <c r="AH584" s="15" t="str">
        <f>IF(Table2[[#This Row],[Total/EV]]&lt;Table2[[#This Row],[Total/V]],"UNDER","OVER")</f>
        <v>OVER</v>
      </c>
      <c r="AI584" s="26">
        <f>Table2[[#This Row],[SRS/Real]]-Table2[[#This Row],[Spread/V]]</f>
        <v>0</v>
      </c>
      <c r="AJ584" s="2">
        <f>Table2[[#This Row],[EV/Real]]-Table2[[#This Row],[Spread/V]]</f>
        <v>0</v>
      </c>
      <c r="AK584" s="2">
        <f>Table2[[#This Row],[SRS/Diff]]-Table2[[#This Row],[EV/Diff]]</f>
        <v>0</v>
      </c>
      <c r="AL584" s="18">
        <f>Table2[[#This Row],[SRS]]-Table2[[#This Row],[Spread]]</f>
        <v>-3.6086885245901654</v>
      </c>
      <c r="AM584" s="21">
        <f>Table2[[#This Row],[(A) Err]]^2</f>
        <v>13.022632867508745</v>
      </c>
      <c r="AN584" s="6">
        <f>Table2[[#This Row],[EV]]-Table2[[#This Row],[Spread]]</f>
        <v>-9.661812102234407</v>
      </c>
      <c r="AO584" s="1">
        <f>Table2[[#This Row],[EV Err]]^2</f>
        <v>93.350613098883258</v>
      </c>
      <c r="AP584" s="1"/>
    </row>
    <row r="585" spans="1:42" x14ac:dyDescent="0.25">
      <c r="A585" s="34">
        <v>42746</v>
      </c>
      <c r="B585" t="s">
        <v>138</v>
      </c>
      <c r="C585" t="s">
        <v>128</v>
      </c>
      <c r="E585" s="21"/>
      <c r="G585" s="21"/>
      <c r="H585" s="7"/>
      <c r="I585" s="21"/>
      <c r="K585"/>
      <c r="L585" s="21">
        <f>(Table2[[#This Row],[H/Pace]]/100)*(VLOOKUP(Table2[[#This Row],[Home/Neutral]],home_lookup,8,FALSE)+VLOOKUP(Table2[[#This Row],[Home/Neutral]],OFR_lookup,2,FALSE)+VLOOKUP(Table2[[#This Row],[Visitor/Neutral]],def_diff_lookup,6,FALSE))</f>
        <v>102.16653353124011</v>
      </c>
      <c r="M585" s="21"/>
      <c r="N585" s="21">
        <f>(Table2[[#This Row],[A/Pace]]/100)*(VLOOKUP(Table2[[#This Row],[Visitor/Neutral]],OFR_lookup,2,FALSE)+VLOOKUP(Table2[[#This Row],[Home/Neutral]],def_diff_lookup,6,FALSE))</f>
        <v>105.59840699999999</v>
      </c>
      <c r="O585" s="21"/>
      <c r="P585" s="21"/>
      <c r="Q585">
        <f>VLOOKUP(Table2[[#This Row],[Home/Neutral]],pace_lookup,7,FALSE)</f>
        <v>97.5</v>
      </c>
      <c r="R585" s="5">
        <f>VLOOKUP(Table2[[#This Row],[Visitor/Neutral]],pace_lookup,7,FALSE)</f>
        <v>96.3</v>
      </c>
      <c r="S585" s="7"/>
      <c r="U585" s="15"/>
      <c r="W585" s="2">
        <f>-home-VLOOKUP(Table2[[#This Row],[Home/Neutral]],rtg_vlookup,4,FALSE)+VLOOKUP(Table2[[#This Row],[Visitor/Neutral]],rtg_vlookup,4,FALSE)</f>
        <v>4.9913114754098356</v>
      </c>
      <c r="X585" s="15"/>
      <c r="Y585" s="2"/>
      <c r="Z585" s="2">
        <f>Table2[[#This Row],[A/EV]]-Table2[[#This Row],[H/EV]]</f>
        <v>3.4318734687598891</v>
      </c>
      <c r="AA585" s="29"/>
      <c r="AB585" s="30"/>
      <c r="AC585" s="30"/>
      <c r="AD585" s="30"/>
      <c r="AE585" s="30"/>
      <c r="AF585" s="7" t="b">
        <f>IF(VLOOKUP(Table2[[#This Row],[Home/Neutral]],division_lookup,9,FALSE)=VLOOKUP(Table2[[#This Row],[Visitor/Neutral]],division_lookup,9,FALSE),TRUE,FALSE)</f>
        <v>1</v>
      </c>
      <c r="AG585" s="15" t="str">
        <f>VLOOKUP(Table2[[#This Row],[Home/Neutral]],division_lookup,9,FALSE)</f>
        <v>A</v>
      </c>
      <c r="AH585" s="15" t="str">
        <f>IF(Table2[[#This Row],[Total/EV]]&lt;Table2[[#This Row],[Total/V]],"UNDER","OVER")</f>
        <v>OVER</v>
      </c>
      <c r="AI585" s="26">
        <f>Table2[[#This Row],[SRS/Real]]-Table2[[#This Row],[Spread/V]]</f>
        <v>0</v>
      </c>
      <c r="AJ585" s="2">
        <f>Table2[[#This Row],[EV/Real]]-Table2[[#This Row],[Spread/V]]</f>
        <v>0</v>
      </c>
      <c r="AK585" s="2">
        <f>Table2[[#This Row],[SRS/Diff]]-Table2[[#This Row],[EV/Diff]]</f>
        <v>0</v>
      </c>
      <c r="AL585" s="18">
        <f>Table2[[#This Row],[SRS]]-Table2[[#This Row],[Spread]]</f>
        <v>4.9913114754098356</v>
      </c>
      <c r="AM585" s="21">
        <f>Table2[[#This Row],[(A) Err]]^2</f>
        <v>24.91319024455791</v>
      </c>
      <c r="AN585" s="6">
        <f>Table2[[#This Row],[EV]]-Table2[[#This Row],[Spread]]</f>
        <v>3.4318734687598891</v>
      </c>
      <c r="AO585" s="1">
        <f>Table2[[#This Row],[EV Err]]^2</f>
        <v>11.777755505578034</v>
      </c>
      <c r="AP585" s="1"/>
    </row>
    <row r="586" spans="1:42" x14ac:dyDescent="0.25">
      <c r="A586" s="34">
        <v>42746</v>
      </c>
      <c r="B586" t="s">
        <v>132</v>
      </c>
      <c r="C586" t="s">
        <v>114</v>
      </c>
      <c r="E586" s="21"/>
      <c r="G586" s="21"/>
      <c r="H586" s="7"/>
      <c r="I586" s="21"/>
      <c r="K586"/>
      <c r="L586" s="21">
        <f>(Table2[[#This Row],[H/Pace]]/100)*(VLOOKUP(Table2[[#This Row],[Home/Neutral]],home_lookup,8,FALSE)+VLOOKUP(Table2[[#This Row],[Home/Neutral]],OFR_lookup,2,FALSE)+VLOOKUP(Table2[[#This Row],[Visitor/Neutral]],def_diff_lookup,6,FALSE))</f>
        <v>108.45098144606979</v>
      </c>
      <c r="M586" s="21"/>
      <c r="N586" s="21">
        <f>(Table2[[#This Row],[A/Pace]]/100)*(VLOOKUP(Table2[[#This Row],[Visitor/Neutral]],OFR_lookup,2,FALSE)+VLOOKUP(Table2[[#This Row],[Home/Neutral]],def_diff_lookup,6,FALSE))</f>
        <v>117.04768366666666</v>
      </c>
      <c r="O586" s="21"/>
      <c r="P586" s="21"/>
      <c r="Q586">
        <f>VLOOKUP(Table2[[#This Row],[Home/Neutral]],pace_lookup,7,FALSE)</f>
        <v>98.8</v>
      </c>
      <c r="R586" s="5">
        <f>VLOOKUP(Table2[[#This Row],[Visitor/Neutral]],pace_lookup,7,FALSE)</f>
        <v>97.3</v>
      </c>
      <c r="S586" s="7"/>
      <c r="U586" s="15"/>
      <c r="W586" s="2">
        <f>-home-VLOOKUP(Table2[[#This Row],[Home/Neutral]],rtg_vlookup,4,FALSE)+VLOOKUP(Table2[[#This Row],[Visitor/Neutral]],rtg_vlookup,4,FALSE)</f>
        <v>8.3113114754098341</v>
      </c>
      <c r="X586" s="15"/>
      <c r="Y586" s="2"/>
      <c r="Z586" s="2">
        <f>Table2[[#This Row],[A/EV]]-Table2[[#This Row],[H/EV]]</f>
        <v>8.5967022205968675</v>
      </c>
      <c r="AA586" s="29"/>
      <c r="AB586" s="30"/>
      <c r="AC586" s="30"/>
      <c r="AD586" s="30"/>
      <c r="AE586" s="30"/>
      <c r="AF586" s="7" t="b">
        <f>IF(VLOOKUP(Table2[[#This Row],[Home/Neutral]],division_lookup,9,FALSE)=VLOOKUP(Table2[[#This Row],[Visitor/Neutral]],division_lookup,9,FALSE),TRUE,FALSE)</f>
        <v>0</v>
      </c>
      <c r="AG586" s="15" t="str">
        <f>VLOOKUP(Table2[[#This Row],[Home/Neutral]],division_lookup,9,FALSE)</f>
        <v>NW</v>
      </c>
      <c r="AH586" s="15" t="str">
        <f>IF(Table2[[#This Row],[Total/EV]]&lt;Table2[[#This Row],[Total/V]],"UNDER","OVER")</f>
        <v>OVER</v>
      </c>
      <c r="AI586" s="26">
        <f>Table2[[#This Row],[SRS/Real]]-Table2[[#This Row],[Spread/V]]</f>
        <v>0</v>
      </c>
      <c r="AJ586" s="2">
        <f>Table2[[#This Row],[EV/Real]]-Table2[[#This Row],[Spread/V]]</f>
        <v>0</v>
      </c>
      <c r="AK586" s="2">
        <f>Table2[[#This Row],[SRS/Diff]]-Table2[[#This Row],[EV/Diff]]</f>
        <v>0</v>
      </c>
      <c r="AL586" s="18">
        <f>Table2[[#This Row],[SRS]]-Table2[[#This Row],[Spread]]</f>
        <v>8.3113114754098341</v>
      </c>
      <c r="AM586" s="21">
        <f>Table2[[#This Row],[(A) Err]]^2</f>
        <v>69.077898441279189</v>
      </c>
      <c r="AN586" s="6">
        <f>Table2[[#This Row],[EV]]-Table2[[#This Row],[Spread]]</f>
        <v>8.5967022205968675</v>
      </c>
      <c r="AO586" s="1">
        <f>Table2[[#This Row],[EV Err]]^2</f>
        <v>73.903289069615113</v>
      </c>
      <c r="AP586" s="1"/>
    </row>
    <row r="587" spans="1:42" x14ac:dyDescent="0.25">
      <c r="A587" s="34">
        <v>42747</v>
      </c>
      <c r="B587" t="s">
        <v>111</v>
      </c>
      <c r="C587" t="s">
        <v>127</v>
      </c>
      <c r="E587" s="21"/>
      <c r="G587" s="21"/>
      <c r="H587" s="7"/>
      <c r="I587" s="21"/>
      <c r="K587"/>
      <c r="L587" s="21">
        <f>(Table2[[#This Row],[H/Pace]]/100)*(VLOOKUP(Table2[[#This Row],[Home/Neutral]],home_lookup,8,FALSE)+VLOOKUP(Table2[[#This Row],[Home/Neutral]],OFR_lookup,2,FALSE)+VLOOKUP(Table2[[#This Row],[Visitor/Neutral]],def_diff_lookup,6,FALSE))</f>
        <v>98.855218327716344</v>
      </c>
      <c r="M587" s="21"/>
      <c r="N587" s="21">
        <f>(Table2[[#This Row],[A/Pace]]/100)*(VLOOKUP(Table2[[#This Row],[Visitor/Neutral]],OFR_lookup,2,FALSE)+VLOOKUP(Table2[[#This Row],[Home/Neutral]],def_diff_lookup,6,FALSE))</f>
        <v>106.23676699999999</v>
      </c>
      <c r="O587" s="21"/>
      <c r="P587" s="21"/>
      <c r="Q587">
        <f>VLOOKUP(Table2[[#This Row],[Home/Neutral]],pace_lookup,7,FALSE)</f>
        <v>102</v>
      </c>
      <c r="R587" s="5">
        <f>VLOOKUP(Table2[[#This Row],[Visitor/Neutral]],pace_lookup,7,FALSE)</f>
        <v>99.3</v>
      </c>
      <c r="S587" s="7"/>
      <c r="U587" s="15"/>
      <c r="W587" s="2">
        <f>-home-VLOOKUP(Table2[[#This Row],[Home/Neutral]],rtg_vlookup,4,FALSE)+VLOOKUP(Table2[[#This Row],[Visitor/Neutral]],rtg_vlookup,4,FALSE)</f>
        <v>3.3413114754098334</v>
      </c>
      <c r="X587" s="15"/>
      <c r="Y587" s="2"/>
      <c r="Z587" s="2">
        <f>Table2[[#This Row],[A/EV]]-Table2[[#This Row],[H/EV]]</f>
        <v>7.3815486722836425</v>
      </c>
      <c r="AA587" s="29"/>
      <c r="AB587" s="30"/>
      <c r="AC587" s="30"/>
      <c r="AD587" s="30"/>
      <c r="AE587" s="30"/>
      <c r="AF587" s="7" t="b">
        <f>IF(VLOOKUP(Table2[[#This Row],[Home/Neutral]],division_lookup,9,FALSE)=VLOOKUP(Table2[[#This Row],[Visitor/Neutral]],division_lookup,9,FALSE),TRUE,FALSE)</f>
        <v>0</v>
      </c>
      <c r="AG587" s="15" t="str">
        <f>VLOOKUP(Table2[[#This Row],[Home/Neutral]],division_lookup,9,FALSE)</f>
        <v>A</v>
      </c>
      <c r="AH587" s="15" t="str">
        <f>IF(Table2[[#This Row],[Total/EV]]&lt;Table2[[#This Row],[Total/V]],"UNDER","OVER")</f>
        <v>OVER</v>
      </c>
      <c r="AI587" s="26">
        <f>Table2[[#This Row],[SRS/Real]]-Table2[[#This Row],[Spread/V]]</f>
        <v>0</v>
      </c>
      <c r="AJ587" s="2">
        <f>Table2[[#This Row],[EV/Real]]-Table2[[#This Row],[Spread/V]]</f>
        <v>0</v>
      </c>
      <c r="AK587" s="2">
        <f>Table2[[#This Row],[SRS/Diff]]-Table2[[#This Row],[EV/Diff]]</f>
        <v>0</v>
      </c>
      <c r="AL587" s="18">
        <f>Table2[[#This Row],[SRS]]-Table2[[#This Row],[Spread]]</f>
        <v>3.3413114754098334</v>
      </c>
      <c r="AM587" s="21">
        <f>Table2[[#This Row],[(A) Err]]^2</f>
        <v>11.164362375705437</v>
      </c>
      <c r="AN587" s="6">
        <f>Table2[[#This Row],[EV]]-Table2[[#This Row],[Spread]]</f>
        <v>7.3815486722836425</v>
      </c>
      <c r="AO587" s="1">
        <f>Table2[[#This Row],[EV Err]]^2</f>
        <v>54.487260801292408</v>
      </c>
      <c r="AP587" s="1"/>
    </row>
    <row r="588" spans="1:42" x14ac:dyDescent="0.25">
      <c r="A588" s="34">
        <v>42747</v>
      </c>
      <c r="B588" t="s">
        <v>116</v>
      </c>
      <c r="C588" t="s">
        <v>120</v>
      </c>
      <c r="E588" s="21"/>
      <c r="G588" s="21"/>
      <c r="H588" s="7"/>
      <c r="I588" s="21"/>
      <c r="K588"/>
      <c r="L588" s="21">
        <f>(Table2[[#This Row],[H/Pace]]/100)*(VLOOKUP(Table2[[#This Row],[Home/Neutral]],home_lookup,8,FALSE)+VLOOKUP(Table2[[#This Row],[Home/Neutral]],OFR_lookup,2,FALSE)+VLOOKUP(Table2[[#This Row],[Visitor/Neutral]],def_diff_lookup,6,FALSE))</f>
        <v>106.65985470161863</v>
      </c>
      <c r="M588" s="21"/>
      <c r="N588" s="21">
        <f>(Table2[[#This Row],[A/Pace]]/100)*(VLOOKUP(Table2[[#This Row],[Visitor/Neutral]],OFR_lookup,2,FALSE)+VLOOKUP(Table2[[#This Row],[Home/Neutral]],def_diff_lookup,6,FALSE))</f>
        <v>102.19825033333333</v>
      </c>
      <c r="O588" s="21"/>
      <c r="P588" s="21"/>
      <c r="Q588">
        <f>VLOOKUP(Table2[[#This Row],[Home/Neutral]],pace_lookup,7,FALSE)</f>
        <v>99.1</v>
      </c>
      <c r="R588" s="5">
        <f>VLOOKUP(Table2[[#This Row],[Visitor/Neutral]],pace_lookup,7,FALSE)</f>
        <v>98.3</v>
      </c>
      <c r="S588" s="7"/>
      <c r="U588" s="15"/>
      <c r="W588" s="2">
        <f>-home-VLOOKUP(Table2[[#This Row],[Home/Neutral]],rtg_vlookup,4,FALSE)+VLOOKUP(Table2[[#This Row],[Visitor/Neutral]],rtg_vlookup,4,FALSE)</f>
        <v>-6.7386885245901667</v>
      </c>
      <c r="X588" s="15"/>
      <c r="Y588" s="2"/>
      <c r="Z588" s="2">
        <f>Table2[[#This Row],[A/EV]]-Table2[[#This Row],[H/EV]]</f>
        <v>-4.4616043682852933</v>
      </c>
      <c r="AA588" s="29"/>
      <c r="AB588" s="30"/>
      <c r="AC588" s="30"/>
      <c r="AD588" s="30"/>
      <c r="AE588" s="30"/>
      <c r="AF588" s="7" t="b">
        <f>IF(VLOOKUP(Table2[[#This Row],[Home/Neutral]],division_lookup,9,FALSE)=VLOOKUP(Table2[[#This Row],[Visitor/Neutral]],division_lookup,9,FALSE),TRUE,FALSE)</f>
        <v>0</v>
      </c>
      <c r="AG588" s="15" t="str">
        <f>VLOOKUP(Table2[[#This Row],[Home/Neutral]],division_lookup,9,FALSE)</f>
        <v>NW</v>
      </c>
      <c r="AH588" s="15" t="str">
        <f>IF(Table2[[#This Row],[Total/EV]]&lt;Table2[[#This Row],[Total/V]],"UNDER","OVER")</f>
        <v>OVER</v>
      </c>
      <c r="AI588" s="26">
        <f>Table2[[#This Row],[SRS/Real]]-Table2[[#This Row],[Spread/V]]</f>
        <v>0</v>
      </c>
      <c r="AJ588" s="2">
        <f>Table2[[#This Row],[EV/Real]]-Table2[[#This Row],[Spread/V]]</f>
        <v>0</v>
      </c>
      <c r="AK588" s="2">
        <f>Table2[[#This Row],[SRS/Diff]]-Table2[[#This Row],[EV/Diff]]</f>
        <v>0</v>
      </c>
      <c r="AL588" s="18">
        <f>Table2[[#This Row],[SRS]]-Table2[[#This Row],[Spread]]</f>
        <v>-6.7386885245901667</v>
      </c>
      <c r="AM588" s="21">
        <f>Table2[[#This Row],[(A) Err]]^2</f>
        <v>45.409923031443199</v>
      </c>
      <c r="AN588" s="6">
        <f>Table2[[#This Row],[EV]]-Table2[[#This Row],[Spread]]</f>
        <v>-4.4616043682852933</v>
      </c>
      <c r="AO588" s="1">
        <f>Table2[[#This Row],[EV Err]]^2</f>
        <v>19.905913539102411</v>
      </c>
      <c r="AP588" s="1"/>
    </row>
    <row r="589" spans="1:42" x14ac:dyDescent="0.25">
      <c r="A589" s="34">
        <v>42747</v>
      </c>
      <c r="B589" t="s">
        <v>118</v>
      </c>
      <c r="C589" t="s">
        <v>117</v>
      </c>
      <c r="E589" s="21"/>
      <c r="G589" s="21"/>
      <c r="H589" s="7"/>
      <c r="I589" s="21"/>
      <c r="K589"/>
      <c r="L589" s="21">
        <f>(Table2[[#This Row],[H/Pace]]/100)*(VLOOKUP(Table2[[#This Row],[Home/Neutral]],home_lookup,8,FALSE)+VLOOKUP(Table2[[#This Row],[Home/Neutral]],OFR_lookup,2,FALSE)+VLOOKUP(Table2[[#This Row],[Visitor/Neutral]],def_diff_lookup,6,FALSE))</f>
        <v>110.83691838078238</v>
      </c>
      <c r="M589" s="21"/>
      <c r="N589" s="21">
        <f>(Table2[[#This Row],[A/Pace]]/100)*(VLOOKUP(Table2[[#This Row],[Visitor/Neutral]],OFR_lookup,2,FALSE)+VLOOKUP(Table2[[#This Row],[Home/Neutral]],def_diff_lookup,6,FALSE))</f>
        <v>96.994526666666658</v>
      </c>
      <c r="O589" s="21"/>
      <c r="P589" s="21"/>
      <c r="Q589">
        <f>VLOOKUP(Table2[[#This Row],[Home/Neutral]],pace_lookup,7,FALSE)</f>
        <v>100.4</v>
      </c>
      <c r="R589" s="5">
        <f>VLOOKUP(Table2[[#This Row],[Visitor/Neutral]],pace_lookup,7,FALSE)</f>
        <v>94</v>
      </c>
      <c r="S589" s="7"/>
      <c r="U589" s="15"/>
      <c r="W589" s="2">
        <f>-home-VLOOKUP(Table2[[#This Row],[Home/Neutral]],rtg_vlookup,4,FALSE)+VLOOKUP(Table2[[#This Row],[Visitor/Neutral]],rtg_vlookup,4,FALSE)</f>
        <v>-12.628688524590165</v>
      </c>
      <c r="X589" s="15"/>
      <c r="Y589" s="2"/>
      <c r="Z589" s="2">
        <f>Table2[[#This Row],[A/EV]]-Table2[[#This Row],[H/EV]]</f>
        <v>-13.84239171411572</v>
      </c>
      <c r="AA589" s="29"/>
      <c r="AB589" s="30"/>
      <c r="AC589" s="30"/>
      <c r="AD589" s="30"/>
      <c r="AE589" s="30"/>
      <c r="AF589" s="7" t="b">
        <f>IF(VLOOKUP(Table2[[#This Row],[Home/Neutral]],division_lookup,9,FALSE)=VLOOKUP(Table2[[#This Row],[Visitor/Neutral]],division_lookup,9,FALSE),TRUE,FALSE)</f>
        <v>0</v>
      </c>
      <c r="AG589" s="15" t="str">
        <f>VLOOKUP(Table2[[#This Row],[Home/Neutral]],division_lookup,9,FALSE)</f>
        <v>P</v>
      </c>
      <c r="AH589" s="15" t="str">
        <f>IF(Table2[[#This Row],[Total/EV]]&lt;Table2[[#This Row],[Total/V]],"UNDER","OVER")</f>
        <v>OVER</v>
      </c>
      <c r="AI589" s="26">
        <f>Table2[[#This Row],[SRS/Real]]-Table2[[#This Row],[Spread/V]]</f>
        <v>0</v>
      </c>
      <c r="AJ589" s="2">
        <f>Table2[[#This Row],[EV/Real]]-Table2[[#This Row],[Spread/V]]</f>
        <v>0</v>
      </c>
      <c r="AK589" s="2">
        <f>Table2[[#This Row],[SRS/Diff]]-Table2[[#This Row],[EV/Diff]]</f>
        <v>0</v>
      </c>
      <c r="AL589" s="18">
        <f>Table2[[#This Row],[SRS]]-Table2[[#This Row],[Spread]]</f>
        <v>-12.628688524590165</v>
      </c>
      <c r="AM589" s="21">
        <f>Table2[[#This Row],[(A) Err]]^2</f>
        <v>159.48377385111533</v>
      </c>
      <c r="AN589" s="6">
        <f>Table2[[#This Row],[EV]]-Table2[[#This Row],[Spread]]</f>
        <v>-13.84239171411572</v>
      </c>
      <c r="AO589" s="1">
        <f>Table2[[#This Row],[EV Err]]^2</f>
        <v>191.61180836701956</v>
      </c>
      <c r="AP589" s="1"/>
    </row>
    <row r="590" spans="1:42" x14ac:dyDescent="0.25">
      <c r="A590" s="34">
        <v>42747</v>
      </c>
      <c r="B590" t="s">
        <v>128</v>
      </c>
      <c r="C590" t="s">
        <v>113</v>
      </c>
      <c r="E590" s="21"/>
      <c r="G590" s="21"/>
      <c r="H590" s="7"/>
      <c r="I590" s="21"/>
      <c r="K590"/>
      <c r="L590" s="21">
        <f>(Table2[[#This Row],[H/Pace]]/100)*(VLOOKUP(Table2[[#This Row],[Home/Neutral]],home_lookup,8,FALSE)+VLOOKUP(Table2[[#This Row],[Home/Neutral]],OFR_lookup,2,FALSE)+VLOOKUP(Table2[[#This Row],[Visitor/Neutral]],def_diff_lookup,6,FALSE))</f>
        <v>107.96056987783021</v>
      </c>
      <c r="M590" s="21"/>
      <c r="N590" s="21">
        <f>(Table2[[#This Row],[A/Pace]]/100)*(VLOOKUP(Table2[[#This Row],[Visitor/Neutral]],OFR_lookup,2,FALSE)+VLOOKUP(Table2[[#This Row],[Home/Neutral]],def_diff_lookup,6,FALSE))</f>
        <v>108.400369</v>
      </c>
      <c r="O590" s="21"/>
      <c r="P590" s="21"/>
      <c r="Q590">
        <f>VLOOKUP(Table2[[#This Row],[Home/Neutral]],pace_lookup,7,FALSE)</f>
        <v>96.3</v>
      </c>
      <c r="R590" s="5">
        <f>VLOOKUP(Table2[[#This Row],[Visitor/Neutral]],pace_lookup,7,FALSE)</f>
        <v>95.1</v>
      </c>
      <c r="S590" s="7"/>
      <c r="U590" s="15"/>
      <c r="W590" s="2">
        <f>-home-VLOOKUP(Table2[[#This Row],[Home/Neutral]],rtg_vlookup,4,FALSE)+VLOOKUP(Table2[[#This Row],[Visitor/Neutral]],rtg_vlookup,4,FALSE)</f>
        <v>3.7313114754098344</v>
      </c>
      <c r="X590" s="15"/>
      <c r="Y590" s="2"/>
      <c r="Z590" s="2">
        <f>Table2[[#This Row],[A/EV]]-Table2[[#This Row],[H/EV]]</f>
        <v>0.43979912216978789</v>
      </c>
      <c r="AA590" s="29"/>
      <c r="AB590" s="30"/>
      <c r="AC590" s="30"/>
      <c r="AD590" s="30"/>
      <c r="AE590" s="30"/>
      <c r="AF590" s="7" t="b">
        <f>IF(VLOOKUP(Table2[[#This Row],[Home/Neutral]],division_lookup,9,FALSE)=VLOOKUP(Table2[[#This Row],[Visitor/Neutral]],division_lookup,9,FALSE),TRUE,FALSE)</f>
        <v>0</v>
      </c>
      <c r="AG590" s="15" t="str">
        <f>VLOOKUP(Table2[[#This Row],[Home/Neutral]],division_lookup,9,FALSE)</f>
        <v>A</v>
      </c>
      <c r="AH590" s="15" t="str">
        <f>IF(Table2[[#This Row],[Total/EV]]&lt;Table2[[#This Row],[Total/V]],"UNDER","OVER")</f>
        <v>OVER</v>
      </c>
      <c r="AI590" s="26">
        <f>Table2[[#This Row],[SRS/Real]]-Table2[[#This Row],[Spread/V]]</f>
        <v>0</v>
      </c>
      <c r="AJ590" s="2">
        <f>Table2[[#This Row],[EV/Real]]-Table2[[#This Row],[Spread/V]]</f>
        <v>0</v>
      </c>
      <c r="AK590" s="2">
        <f>Table2[[#This Row],[SRS/Diff]]-Table2[[#This Row],[EV/Diff]]</f>
        <v>0</v>
      </c>
      <c r="AL590" s="18">
        <f>Table2[[#This Row],[SRS]]-Table2[[#This Row],[Spread]]</f>
        <v>3.7313114754098344</v>
      </c>
      <c r="AM590" s="21">
        <f>Table2[[#This Row],[(A) Err]]^2</f>
        <v>13.922685326525116</v>
      </c>
      <c r="AN590" s="6">
        <f>Table2[[#This Row],[EV]]-Table2[[#This Row],[Spread]]</f>
        <v>0.43979912216978789</v>
      </c>
      <c r="AO590" s="1">
        <f>Table2[[#This Row],[EV Err]]^2</f>
        <v>0.19342326786131603</v>
      </c>
      <c r="AP590" s="1"/>
    </row>
    <row r="591" spans="1:42" x14ac:dyDescent="0.25">
      <c r="A591" s="34">
        <v>42747</v>
      </c>
      <c r="B591" t="s">
        <v>131</v>
      </c>
      <c r="C591" t="s">
        <v>115</v>
      </c>
      <c r="E591" s="21"/>
      <c r="G591" s="21"/>
      <c r="H591" s="7"/>
      <c r="I591" s="21"/>
      <c r="K591"/>
      <c r="L591" s="21">
        <f>(Table2[[#This Row],[H/Pace]]/100)*(VLOOKUP(Table2[[#This Row],[Home/Neutral]],home_lookup,8,FALSE)+VLOOKUP(Table2[[#This Row],[Home/Neutral]],OFR_lookup,2,FALSE)+VLOOKUP(Table2[[#This Row],[Visitor/Neutral]],def_diff_lookup,6,FALSE))</f>
        <v>96.251929791197668</v>
      </c>
      <c r="M591" s="21"/>
      <c r="N591" s="21">
        <f>(Table2[[#This Row],[A/Pace]]/100)*(VLOOKUP(Table2[[#This Row],[Visitor/Neutral]],OFR_lookup,2,FALSE)+VLOOKUP(Table2[[#This Row],[Home/Neutral]],def_diff_lookup,6,FALSE))</f>
        <v>91.251644333333346</v>
      </c>
      <c r="O591" s="21"/>
      <c r="P591" s="21"/>
      <c r="Q591">
        <f>VLOOKUP(Table2[[#This Row],[Home/Neutral]],pace_lookup,7,FALSE)</f>
        <v>101.7</v>
      </c>
      <c r="R591" s="5">
        <f>VLOOKUP(Table2[[#This Row],[Visitor/Neutral]],pace_lookup,7,FALSE)</f>
        <v>92.9</v>
      </c>
      <c r="S591" s="7"/>
      <c r="U591" s="15"/>
      <c r="W591" s="2">
        <f>-home-VLOOKUP(Table2[[#This Row],[Home/Neutral]],rtg_vlookup,4,FALSE)+VLOOKUP(Table2[[#This Row],[Visitor/Neutral]],rtg_vlookup,4,FALSE)</f>
        <v>-5.2586885245901653</v>
      </c>
      <c r="X591" s="15"/>
      <c r="Y591" s="2"/>
      <c r="Z591" s="2">
        <f>Table2[[#This Row],[A/EV]]-Table2[[#This Row],[H/EV]]</f>
        <v>-5.0002854578643223</v>
      </c>
      <c r="AA591" s="29"/>
      <c r="AB591" s="30"/>
      <c r="AC591" s="30"/>
      <c r="AD591" s="30"/>
      <c r="AE591" s="30"/>
      <c r="AF591" s="7" t="b">
        <f>IF(VLOOKUP(Table2[[#This Row],[Home/Neutral]],division_lookup,9,FALSE)=VLOOKUP(Table2[[#This Row],[Visitor/Neutral]],division_lookup,9,FALSE),TRUE,FALSE)</f>
        <v>0</v>
      </c>
      <c r="AG591" s="15" t="str">
        <f>VLOOKUP(Table2[[#This Row],[Home/Neutral]],division_lookup,9,FALSE)</f>
        <v>P</v>
      </c>
      <c r="AH591" s="15" t="str">
        <f>IF(Table2[[#This Row],[Total/EV]]&lt;Table2[[#This Row],[Total/V]],"UNDER","OVER")</f>
        <v>OVER</v>
      </c>
      <c r="AI591" s="26">
        <f>Table2[[#This Row],[SRS/Real]]-Table2[[#This Row],[Spread/V]]</f>
        <v>0</v>
      </c>
      <c r="AJ591" s="2">
        <f>Table2[[#This Row],[EV/Real]]-Table2[[#This Row],[Spread/V]]</f>
        <v>0</v>
      </c>
      <c r="AK591" s="2">
        <f>Table2[[#This Row],[SRS/Diff]]-Table2[[#This Row],[EV/Diff]]</f>
        <v>0</v>
      </c>
      <c r="AL591" s="18">
        <f>Table2[[#This Row],[SRS]]-Table2[[#This Row],[Spread]]</f>
        <v>-5.2586885245901653</v>
      </c>
      <c r="AM591" s="21">
        <f>Table2[[#This Row],[(A) Err]]^2</f>
        <v>27.653804998656291</v>
      </c>
      <c r="AN591" s="6">
        <f>Table2[[#This Row],[EV]]-Table2[[#This Row],[Spread]]</f>
        <v>-5.0002854578643223</v>
      </c>
      <c r="AO591" s="1">
        <f>Table2[[#This Row],[EV Err]]^2</f>
        <v>25.002854660129415</v>
      </c>
      <c r="AP591" s="1"/>
    </row>
    <row r="592" spans="1:42" x14ac:dyDescent="0.25">
      <c r="A592" s="34">
        <v>42747</v>
      </c>
      <c r="B592" t="s">
        <v>134</v>
      </c>
      <c r="C592" t="s">
        <v>122</v>
      </c>
      <c r="E592" s="21"/>
      <c r="G592" s="21"/>
      <c r="H592" s="7"/>
      <c r="I592" s="21"/>
      <c r="K592"/>
      <c r="L592" s="21">
        <f>(Table2[[#This Row],[H/Pace]]/100)*(VLOOKUP(Table2[[#This Row],[Home/Neutral]],home_lookup,8,FALSE)+VLOOKUP(Table2[[#This Row],[Home/Neutral]],OFR_lookup,2,FALSE)+VLOOKUP(Table2[[#This Row],[Visitor/Neutral]],def_diff_lookup,6,FALSE))</f>
        <v>104.93251343638192</v>
      </c>
      <c r="M592" s="21"/>
      <c r="N592" s="21">
        <f>(Table2[[#This Row],[A/Pace]]/100)*(VLOOKUP(Table2[[#This Row],[Visitor/Neutral]],OFR_lookup,2,FALSE)+VLOOKUP(Table2[[#This Row],[Home/Neutral]],def_diff_lookup,6,FALSE))</f>
        <v>107.82087799999999</v>
      </c>
      <c r="O592" s="21"/>
      <c r="P592" s="21"/>
      <c r="Q592">
        <f>VLOOKUP(Table2[[#This Row],[Home/Neutral]],pace_lookup,7,FALSE)</f>
        <v>93.4</v>
      </c>
      <c r="R592" s="5">
        <f>VLOOKUP(Table2[[#This Row],[Visitor/Neutral]],pace_lookup,7,FALSE)</f>
        <v>100.2</v>
      </c>
      <c r="S592" s="7"/>
      <c r="U592" s="15"/>
      <c r="W592" s="2">
        <f>-home-VLOOKUP(Table2[[#This Row],[Home/Neutral]],rtg_vlookup,4,FALSE)+VLOOKUP(Table2[[#This Row],[Visitor/Neutral]],rtg_vlookup,4,FALSE)</f>
        <v>-12.418688524590165</v>
      </c>
      <c r="X592" s="15"/>
      <c r="Y592" s="2"/>
      <c r="Z592" s="2">
        <f>Table2[[#This Row],[A/EV]]-Table2[[#This Row],[H/EV]]</f>
        <v>2.8883645636180688</v>
      </c>
      <c r="AA592" s="29"/>
      <c r="AB592" s="30"/>
      <c r="AC592" s="30"/>
      <c r="AD592" s="30"/>
      <c r="AE592" s="30"/>
      <c r="AF592" s="7" t="b">
        <f>IF(VLOOKUP(Table2[[#This Row],[Home/Neutral]],division_lookup,9,FALSE)=VLOOKUP(Table2[[#This Row],[Visitor/Neutral]],division_lookup,9,FALSE),TRUE,FALSE)</f>
        <v>0</v>
      </c>
      <c r="AG592" s="15" t="str">
        <f>VLOOKUP(Table2[[#This Row],[Home/Neutral]],division_lookup,9,FALSE)</f>
        <v>SW</v>
      </c>
      <c r="AH592" s="15" t="str">
        <f>IF(Table2[[#This Row],[Total/EV]]&lt;Table2[[#This Row],[Total/V]],"UNDER","OVER")</f>
        <v>OVER</v>
      </c>
      <c r="AI592" s="26">
        <f>Table2[[#This Row],[SRS/Real]]-Table2[[#This Row],[Spread/V]]</f>
        <v>0</v>
      </c>
      <c r="AJ592" s="2">
        <f>Table2[[#This Row],[EV/Real]]-Table2[[#This Row],[Spread/V]]</f>
        <v>0</v>
      </c>
      <c r="AK592" s="2">
        <f>Table2[[#This Row],[SRS/Diff]]-Table2[[#This Row],[EV/Diff]]</f>
        <v>0</v>
      </c>
      <c r="AL592" s="18">
        <f>Table2[[#This Row],[SRS]]-Table2[[#This Row],[Spread]]</f>
        <v>-12.418688524590165</v>
      </c>
      <c r="AM592" s="21">
        <f>Table2[[#This Row],[(A) Err]]^2</f>
        <v>154.22382467078745</v>
      </c>
      <c r="AN592" s="6">
        <f>Table2[[#This Row],[EV]]-Table2[[#This Row],[Spread]]</f>
        <v>2.8883645636180688</v>
      </c>
      <c r="AO592" s="1">
        <f>Table2[[#This Row],[EV Err]]^2</f>
        <v>8.3426498523645964</v>
      </c>
      <c r="AP592" s="1"/>
    </row>
    <row r="593" spans="1:42" x14ac:dyDescent="0.25">
      <c r="A593" s="34">
        <v>42748</v>
      </c>
      <c r="B593" t="s">
        <v>109</v>
      </c>
      <c r="C593" t="s">
        <v>110</v>
      </c>
      <c r="E593" s="21"/>
      <c r="G593" s="21"/>
      <c r="H593" s="7"/>
      <c r="I593" s="21"/>
      <c r="K593"/>
      <c r="L593" s="21">
        <f>(Table2[[#This Row],[H/Pace]]/100)*(VLOOKUP(Table2[[#This Row],[Home/Neutral]],home_lookup,8,FALSE)+VLOOKUP(Table2[[#This Row],[Home/Neutral]],OFR_lookup,2,FALSE)+VLOOKUP(Table2[[#This Row],[Visitor/Neutral]],def_diff_lookup,6,FALSE))</f>
        <v>101.11968660728638</v>
      </c>
      <c r="M593" s="21"/>
      <c r="N593" s="21">
        <f>(Table2[[#This Row],[A/Pace]]/100)*(VLOOKUP(Table2[[#This Row],[Visitor/Neutral]],OFR_lookup,2,FALSE)+VLOOKUP(Table2[[#This Row],[Home/Neutral]],def_diff_lookup,6,FALSE))</f>
        <v>97.138591333333338</v>
      </c>
      <c r="O593" s="21"/>
      <c r="P593" s="21"/>
      <c r="Q593">
        <f>VLOOKUP(Table2[[#This Row],[Home/Neutral]],pace_lookup,7,FALSE)</f>
        <v>99.2</v>
      </c>
      <c r="R593" s="5">
        <f>VLOOKUP(Table2[[#This Row],[Visitor/Neutral]],pace_lookup,7,FALSE)</f>
        <v>96.2</v>
      </c>
      <c r="S593" s="7"/>
      <c r="U593" s="15"/>
      <c r="W593" s="2">
        <f>-home-VLOOKUP(Table2[[#This Row],[Home/Neutral]],rtg_vlookup,4,FALSE)+VLOOKUP(Table2[[#This Row],[Visitor/Neutral]],rtg_vlookup,4,FALSE)</f>
        <v>-4.5786885245901656</v>
      </c>
      <c r="X593" s="15"/>
      <c r="Y593" s="2"/>
      <c r="Z593" s="2">
        <f>Table2[[#This Row],[A/EV]]-Table2[[#This Row],[H/EV]]</f>
        <v>-3.981095273953045</v>
      </c>
      <c r="AA593" s="29"/>
      <c r="AB593" s="30"/>
      <c r="AC593" s="30"/>
      <c r="AD593" s="30"/>
      <c r="AE593" s="30"/>
      <c r="AF593" s="7" t="b">
        <f>IF(VLOOKUP(Table2[[#This Row],[Home/Neutral]],division_lookup,9,FALSE)=VLOOKUP(Table2[[#This Row],[Visitor/Neutral]],division_lookup,9,FALSE),TRUE,FALSE)</f>
        <v>0</v>
      </c>
      <c r="AG593" s="15" t="str">
        <f>VLOOKUP(Table2[[#This Row],[Home/Neutral]],division_lookup,9,FALSE)</f>
        <v>SE</v>
      </c>
      <c r="AH593" s="15" t="str">
        <f>IF(Table2[[#This Row],[Total/EV]]&lt;Table2[[#This Row],[Total/V]],"UNDER","OVER")</f>
        <v>OVER</v>
      </c>
      <c r="AI593" s="26">
        <f>Table2[[#This Row],[SRS/Real]]-Table2[[#This Row],[Spread/V]]</f>
        <v>0</v>
      </c>
      <c r="AJ593" s="2">
        <f>Table2[[#This Row],[EV/Real]]-Table2[[#This Row],[Spread/V]]</f>
        <v>0</v>
      </c>
      <c r="AK593" s="2">
        <f>Table2[[#This Row],[SRS/Diff]]-Table2[[#This Row],[EV/Diff]]</f>
        <v>0</v>
      </c>
      <c r="AL593" s="18">
        <f>Table2[[#This Row],[SRS]]-Table2[[#This Row],[Spread]]</f>
        <v>-4.5786885245901656</v>
      </c>
      <c r="AM593" s="21">
        <f>Table2[[#This Row],[(A) Err]]^2</f>
        <v>20.964388605213667</v>
      </c>
      <c r="AN593" s="6">
        <f>Table2[[#This Row],[EV]]-Table2[[#This Row],[Spread]]</f>
        <v>-3.981095273953045</v>
      </c>
      <c r="AO593" s="1">
        <f>Table2[[#This Row],[EV Err]]^2</f>
        <v>15.849119580291271</v>
      </c>
      <c r="AP593" s="1"/>
    </row>
    <row r="594" spans="1:42" x14ac:dyDescent="0.25">
      <c r="A594" s="34">
        <v>42748</v>
      </c>
      <c r="B594" t="s">
        <v>119</v>
      </c>
      <c r="C594" t="s">
        <v>123</v>
      </c>
      <c r="E594" s="21"/>
      <c r="G594" s="21"/>
      <c r="H594" s="7"/>
      <c r="I594" s="21"/>
      <c r="K594"/>
      <c r="L594" s="21">
        <f>(Table2[[#This Row],[H/Pace]]/100)*(VLOOKUP(Table2[[#This Row],[Home/Neutral]],home_lookup,8,FALSE)+VLOOKUP(Table2[[#This Row],[Home/Neutral]],OFR_lookup,2,FALSE)+VLOOKUP(Table2[[#This Row],[Visitor/Neutral]],def_diff_lookup,6,FALSE))</f>
        <v>105.46986376977627</v>
      </c>
      <c r="M594" s="21"/>
      <c r="N594" s="21">
        <f>(Table2[[#This Row],[A/Pace]]/100)*(VLOOKUP(Table2[[#This Row],[Visitor/Neutral]],OFR_lookup,2,FALSE)+VLOOKUP(Table2[[#This Row],[Home/Neutral]],def_diff_lookup,6,FALSE))</f>
        <v>98.52699166666666</v>
      </c>
      <c r="O594" s="21"/>
      <c r="P594" s="21"/>
      <c r="Q594">
        <f>VLOOKUP(Table2[[#This Row],[Home/Neutral]],pace_lookup,7,FALSE)</f>
        <v>96.9</v>
      </c>
      <c r="R594" s="5">
        <f>VLOOKUP(Table2[[#This Row],[Visitor/Neutral]],pace_lookup,7,FALSE)</f>
        <v>92.5</v>
      </c>
      <c r="S594" s="7"/>
      <c r="U594" s="15"/>
      <c r="W594" s="2">
        <f>-home-VLOOKUP(Table2[[#This Row],[Home/Neutral]],rtg_vlookup,4,FALSE)+VLOOKUP(Table2[[#This Row],[Visitor/Neutral]],rtg_vlookup,4,FALSE)</f>
        <v>-5.7786885245901658</v>
      </c>
      <c r="X594" s="15"/>
      <c r="Y594" s="2"/>
      <c r="Z594" s="2">
        <f>Table2[[#This Row],[A/EV]]-Table2[[#This Row],[H/EV]]</f>
        <v>-6.9428721031096075</v>
      </c>
      <c r="AA594" s="29"/>
      <c r="AB594" s="30"/>
      <c r="AC594" s="30"/>
      <c r="AD594" s="30"/>
      <c r="AE594" s="30"/>
      <c r="AF594" s="7" t="b">
        <f>IF(VLOOKUP(Table2[[#This Row],[Home/Neutral]],division_lookup,9,FALSE)=VLOOKUP(Table2[[#This Row],[Visitor/Neutral]],division_lookup,9,FALSE),TRUE,FALSE)</f>
        <v>1</v>
      </c>
      <c r="AG594" s="15" t="str">
        <f>VLOOKUP(Table2[[#This Row],[Home/Neutral]],division_lookup,9,FALSE)</f>
        <v>SW</v>
      </c>
      <c r="AH594" s="15" t="str">
        <f>IF(Table2[[#This Row],[Total/EV]]&lt;Table2[[#This Row],[Total/V]],"UNDER","OVER")</f>
        <v>OVER</v>
      </c>
      <c r="AI594" s="26">
        <f>Table2[[#This Row],[SRS/Real]]-Table2[[#This Row],[Spread/V]]</f>
        <v>0</v>
      </c>
      <c r="AJ594" s="2">
        <f>Table2[[#This Row],[EV/Real]]-Table2[[#This Row],[Spread/V]]</f>
        <v>0</v>
      </c>
      <c r="AK594" s="2">
        <f>Table2[[#This Row],[SRS/Diff]]-Table2[[#This Row],[EV/Diff]]</f>
        <v>0</v>
      </c>
      <c r="AL594" s="18">
        <f>Table2[[#This Row],[SRS]]-Table2[[#This Row],[Spread]]</f>
        <v>-5.7786885245901658</v>
      </c>
      <c r="AM594" s="21">
        <f>Table2[[#This Row],[(A) Err]]^2</f>
        <v>33.393241064230068</v>
      </c>
      <c r="AN594" s="6">
        <f>Table2[[#This Row],[EV]]-Table2[[#This Row],[Spread]]</f>
        <v>-6.9428721031096075</v>
      </c>
      <c r="AO594" s="1">
        <f>Table2[[#This Row],[EV Err]]^2</f>
        <v>48.203473040137624</v>
      </c>
      <c r="AP594" s="1"/>
    </row>
    <row r="595" spans="1:42" x14ac:dyDescent="0.25">
      <c r="A595" s="34">
        <v>42748</v>
      </c>
      <c r="B595" t="s">
        <v>125</v>
      </c>
      <c r="C595" t="s">
        <v>124</v>
      </c>
      <c r="E595" s="21"/>
      <c r="G595" s="21"/>
      <c r="H595" s="7"/>
      <c r="I595" s="21"/>
      <c r="K595"/>
      <c r="L595" s="21">
        <f>(Table2[[#This Row],[H/Pace]]/100)*(VLOOKUP(Table2[[#This Row],[Home/Neutral]],home_lookup,8,FALSE)+VLOOKUP(Table2[[#This Row],[Home/Neutral]],OFR_lookup,2,FALSE)+VLOOKUP(Table2[[#This Row],[Visitor/Neutral]],def_diff_lookup,6,FALSE))</f>
        <v>106.37386550061908</v>
      </c>
      <c r="M595" s="21"/>
      <c r="N595" s="21">
        <f>(Table2[[#This Row],[A/Pace]]/100)*(VLOOKUP(Table2[[#This Row],[Visitor/Neutral]],OFR_lookup,2,FALSE)+VLOOKUP(Table2[[#This Row],[Home/Neutral]],def_diff_lookup,6,FALSE))</f>
        <v>98.680779666666666</v>
      </c>
      <c r="O595" s="21"/>
      <c r="P595" s="21"/>
      <c r="Q595">
        <f>VLOOKUP(Table2[[#This Row],[Home/Neutral]],pace_lookup,7,FALSE)</f>
        <v>96.1</v>
      </c>
      <c r="R595" s="5">
        <f>VLOOKUP(Table2[[#This Row],[Visitor/Neutral]],pace_lookup,7,FALSE)</f>
        <v>93.7</v>
      </c>
      <c r="S595" s="7"/>
      <c r="U595" s="15"/>
      <c r="W595" s="2">
        <f>-home-VLOOKUP(Table2[[#This Row],[Home/Neutral]],rtg_vlookup,4,FALSE)+VLOOKUP(Table2[[#This Row],[Visitor/Neutral]],rtg_vlookup,4,FALSE)</f>
        <v>-1.4986885245901658</v>
      </c>
      <c r="X595" s="15"/>
      <c r="Y595" s="2"/>
      <c r="Z595" s="2">
        <f>Table2[[#This Row],[A/EV]]-Table2[[#This Row],[H/EV]]</f>
        <v>-7.6930858339524093</v>
      </c>
      <c r="AA595" s="29"/>
      <c r="AB595" s="30"/>
      <c r="AC595" s="30"/>
      <c r="AD595" s="30"/>
      <c r="AE595" s="30"/>
      <c r="AF595" s="7" t="b">
        <f>IF(VLOOKUP(Table2[[#This Row],[Home/Neutral]],division_lookup,9,FALSE)=VLOOKUP(Table2[[#This Row],[Visitor/Neutral]],division_lookup,9,FALSE),TRUE,FALSE)</f>
        <v>0</v>
      </c>
      <c r="AG595" s="15" t="str">
        <f>VLOOKUP(Table2[[#This Row],[Home/Neutral]],division_lookup,9,FALSE)</f>
        <v>C</v>
      </c>
      <c r="AH595" s="15" t="str">
        <f>IF(Table2[[#This Row],[Total/EV]]&lt;Table2[[#This Row],[Total/V]],"UNDER","OVER")</f>
        <v>OVER</v>
      </c>
      <c r="AI595" s="26">
        <f>Table2[[#This Row],[SRS/Real]]-Table2[[#This Row],[Spread/V]]</f>
        <v>0</v>
      </c>
      <c r="AJ595" s="2">
        <f>Table2[[#This Row],[EV/Real]]-Table2[[#This Row],[Spread/V]]</f>
        <v>0</v>
      </c>
      <c r="AK595" s="2">
        <f>Table2[[#This Row],[SRS/Diff]]-Table2[[#This Row],[EV/Diff]]</f>
        <v>0</v>
      </c>
      <c r="AL595" s="18">
        <f>Table2[[#This Row],[SRS]]-Table2[[#This Row],[Spread]]</f>
        <v>-1.4986885245901658</v>
      </c>
      <c r="AM595" s="21">
        <f>Table2[[#This Row],[(A) Err]]^2</f>
        <v>2.246067293738248</v>
      </c>
      <c r="AN595" s="6">
        <f>Table2[[#This Row],[EV]]-Table2[[#This Row],[Spread]]</f>
        <v>-7.6930858339524093</v>
      </c>
      <c r="AO595" s="1">
        <f>Table2[[#This Row],[EV Err]]^2</f>
        <v>59.183569648559235</v>
      </c>
      <c r="AP595" s="1"/>
    </row>
    <row r="596" spans="1:42" x14ac:dyDescent="0.25">
      <c r="A596" s="34">
        <v>42748</v>
      </c>
      <c r="B596" t="s">
        <v>126</v>
      </c>
      <c r="C596" t="s">
        <v>129</v>
      </c>
      <c r="E596" s="21"/>
      <c r="G596" s="21"/>
      <c r="H596" s="7"/>
      <c r="I596" s="21"/>
      <c r="K596"/>
      <c r="L596" s="21">
        <f>(Table2[[#This Row],[H/Pace]]/100)*(VLOOKUP(Table2[[#This Row],[Home/Neutral]],home_lookup,8,FALSE)+VLOOKUP(Table2[[#This Row],[Home/Neutral]],OFR_lookup,2,FALSE)+VLOOKUP(Table2[[#This Row],[Visitor/Neutral]],def_diff_lookup,6,FALSE))</f>
        <v>113.06501777050786</v>
      </c>
      <c r="M596" s="21"/>
      <c r="N596" s="21">
        <f>(Table2[[#This Row],[A/Pace]]/100)*(VLOOKUP(Table2[[#This Row],[Visitor/Neutral]],OFR_lookup,2,FALSE)+VLOOKUP(Table2[[#This Row],[Home/Neutral]],def_diff_lookup,6,FALSE))</f>
        <v>108.36111</v>
      </c>
      <c r="O596" s="21"/>
      <c r="P596" s="21"/>
      <c r="Q596">
        <f>VLOOKUP(Table2[[#This Row],[Home/Neutral]],pace_lookup,7,FALSE)</f>
        <v>95.7</v>
      </c>
      <c r="R596" s="5">
        <f>VLOOKUP(Table2[[#This Row],[Visitor/Neutral]],pace_lookup,7,FALSE)</f>
        <v>99</v>
      </c>
      <c r="S596" s="7"/>
      <c r="U596" s="15"/>
      <c r="W596" s="2">
        <f>-home-VLOOKUP(Table2[[#This Row],[Home/Neutral]],rtg_vlookup,4,FALSE)+VLOOKUP(Table2[[#This Row],[Visitor/Neutral]],rtg_vlookup,4,FALSE)</f>
        <v>-8.8688524590165851E-2</v>
      </c>
      <c r="X596" s="15"/>
      <c r="Y596" s="2"/>
      <c r="Z596" s="2">
        <f>Table2[[#This Row],[A/EV]]-Table2[[#This Row],[H/EV]]</f>
        <v>-4.7039077705078682</v>
      </c>
      <c r="AA596" s="29"/>
      <c r="AB596" s="30"/>
      <c r="AC596" s="30"/>
      <c r="AD596" s="30"/>
      <c r="AE596" s="30"/>
      <c r="AF596" s="7" t="b">
        <f>IF(VLOOKUP(Table2[[#This Row],[Home/Neutral]],division_lookup,9,FALSE)=VLOOKUP(Table2[[#This Row],[Visitor/Neutral]],division_lookup,9,FALSE),TRUE,FALSE)</f>
        <v>1</v>
      </c>
      <c r="AG596" s="15" t="str">
        <f>VLOOKUP(Table2[[#This Row],[Home/Neutral]],division_lookup,9,FALSE)</f>
        <v>NW</v>
      </c>
      <c r="AH596" s="15" t="str">
        <f>IF(Table2[[#This Row],[Total/EV]]&lt;Table2[[#This Row],[Total/V]],"UNDER","OVER")</f>
        <v>OVER</v>
      </c>
      <c r="AI596" s="26">
        <f>Table2[[#This Row],[SRS/Real]]-Table2[[#This Row],[Spread/V]]</f>
        <v>0</v>
      </c>
      <c r="AJ596" s="2">
        <f>Table2[[#This Row],[EV/Real]]-Table2[[#This Row],[Spread/V]]</f>
        <v>0</v>
      </c>
      <c r="AK596" s="2">
        <f>Table2[[#This Row],[SRS/Diff]]-Table2[[#This Row],[EV/Diff]]</f>
        <v>0</v>
      </c>
      <c r="AL596" s="18">
        <f>Table2[[#This Row],[SRS]]-Table2[[#This Row],[Spread]]</f>
        <v>-8.8688524590165851E-2</v>
      </c>
      <c r="AM596" s="21">
        <f>Table2[[#This Row],[(A) Err]]^2</f>
        <v>7.8656543939804521E-3</v>
      </c>
      <c r="AN596" s="6">
        <f>Table2[[#This Row],[EV]]-Table2[[#This Row],[Spread]]</f>
        <v>-4.7039077705078682</v>
      </c>
      <c r="AO596" s="1">
        <f>Table2[[#This Row],[EV Err]]^2</f>
        <v>22.126748313444303</v>
      </c>
      <c r="AP596" s="1"/>
    </row>
    <row r="597" spans="1:42" x14ac:dyDescent="0.25">
      <c r="A597" s="34">
        <v>42748</v>
      </c>
      <c r="B597" t="s">
        <v>138</v>
      </c>
      <c r="C597" t="s">
        <v>112</v>
      </c>
      <c r="E597" s="21"/>
      <c r="G597" s="21"/>
      <c r="H597" s="7"/>
      <c r="I597" s="21"/>
      <c r="K597"/>
      <c r="L597" s="21">
        <f>(Table2[[#This Row],[H/Pace]]/100)*(VLOOKUP(Table2[[#This Row],[Home/Neutral]],home_lookup,8,FALSE)+VLOOKUP(Table2[[#This Row],[Home/Neutral]],OFR_lookup,2,FALSE)+VLOOKUP(Table2[[#This Row],[Visitor/Neutral]],def_diff_lookup,6,FALSE))</f>
        <v>98.198283531240094</v>
      </c>
      <c r="M597" s="21"/>
      <c r="N597" s="21">
        <f>(Table2[[#This Row],[A/Pace]]/100)*(VLOOKUP(Table2[[#This Row],[Visitor/Neutral]],OFR_lookup,2,FALSE)+VLOOKUP(Table2[[#This Row],[Home/Neutral]],def_diff_lookup,6,FALSE))</f>
        <v>106.64877933333334</v>
      </c>
      <c r="O597" s="21"/>
      <c r="P597" s="21"/>
      <c r="Q597">
        <f>VLOOKUP(Table2[[#This Row],[Home/Neutral]],pace_lookup,7,FALSE)</f>
        <v>97.5</v>
      </c>
      <c r="R597" s="5">
        <f>VLOOKUP(Table2[[#This Row],[Visitor/Neutral]],pace_lookup,7,FALSE)</f>
        <v>97.4</v>
      </c>
      <c r="S597" s="7"/>
      <c r="U597" s="15"/>
      <c r="W597" s="2">
        <f>-home-VLOOKUP(Table2[[#This Row],[Home/Neutral]],rtg_vlookup,4,FALSE)+VLOOKUP(Table2[[#This Row],[Visitor/Neutral]],rtg_vlookup,4,FALSE)</f>
        <v>8.8913114754098359</v>
      </c>
      <c r="X597" s="15"/>
      <c r="Y597" s="2"/>
      <c r="Z597" s="2">
        <f>Table2[[#This Row],[A/EV]]-Table2[[#This Row],[H/EV]]</f>
        <v>8.4504958020932435</v>
      </c>
      <c r="AA597" s="29"/>
      <c r="AB597" s="30"/>
      <c r="AC597" s="30"/>
      <c r="AD597" s="30"/>
      <c r="AE597" s="30"/>
      <c r="AF597" s="7" t="b">
        <f>IF(VLOOKUP(Table2[[#This Row],[Home/Neutral]],division_lookup,9,FALSE)=VLOOKUP(Table2[[#This Row],[Visitor/Neutral]],division_lookup,9,FALSE),TRUE,FALSE)</f>
        <v>0</v>
      </c>
      <c r="AG597" s="15" t="str">
        <f>VLOOKUP(Table2[[#This Row],[Home/Neutral]],division_lookup,9,FALSE)</f>
        <v>A</v>
      </c>
      <c r="AH597" s="15" t="str">
        <f>IF(Table2[[#This Row],[Total/EV]]&lt;Table2[[#This Row],[Total/V]],"UNDER","OVER")</f>
        <v>OVER</v>
      </c>
      <c r="AI597" s="26">
        <f>Table2[[#This Row],[SRS/Real]]-Table2[[#This Row],[Spread/V]]</f>
        <v>0</v>
      </c>
      <c r="AJ597" s="2">
        <f>Table2[[#This Row],[EV/Real]]-Table2[[#This Row],[Spread/V]]</f>
        <v>0</v>
      </c>
      <c r="AK597" s="2">
        <f>Table2[[#This Row],[SRS/Diff]]-Table2[[#This Row],[EV/Diff]]</f>
        <v>0</v>
      </c>
      <c r="AL597" s="18">
        <f>Table2[[#This Row],[SRS]]-Table2[[#This Row],[Spread]]</f>
        <v>8.8913114754098359</v>
      </c>
      <c r="AM597" s="21">
        <f>Table2[[#This Row],[(A) Err]]^2</f>
        <v>79.055419752754631</v>
      </c>
      <c r="AN597" s="6">
        <f>Table2[[#This Row],[EV]]-Table2[[#This Row],[Spread]]</f>
        <v>8.4504958020932435</v>
      </c>
      <c r="AO597" s="1">
        <f>Table2[[#This Row],[EV Err]]^2</f>
        <v>71.410879301195536</v>
      </c>
      <c r="AP597" s="1"/>
    </row>
    <row r="598" spans="1:42" x14ac:dyDescent="0.25">
      <c r="A598" s="34">
        <v>42748</v>
      </c>
      <c r="B598" t="s">
        <v>132</v>
      </c>
      <c r="C598" t="s">
        <v>130</v>
      </c>
      <c r="E598" s="21"/>
      <c r="G598" s="21"/>
      <c r="H598" s="7"/>
      <c r="I598" s="21"/>
      <c r="K598"/>
      <c r="L598" s="21">
        <f>(Table2[[#This Row],[H/Pace]]/100)*(VLOOKUP(Table2[[#This Row],[Home/Neutral]],home_lookup,8,FALSE)+VLOOKUP(Table2[[#This Row],[Home/Neutral]],OFR_lookup,2,FALSE)+VLOOKUP(Table2[[#This Row],[Visitor/Neutral]],def_diff_lookup,6,FALSE))</f>
        <v>108.78690144606978</v>
      </c>
      <c r="M598" s="21"/>
      <c r="N598" s="21">
        <f>(Table2[[#This Row],[A/Pace]]/100)*(VLOOKUP(Table2[[#This Row],[Visitor/Neutral]],OFR_lookup,2,FALSE)+VLOOKUP(Table2[[#This Row],[Home/Neutral]],def_diff_lookup,6,FALSE))</f>
        <v>97.351618000000002</v>
      </c>
      <c r="O598" s="21"/>
      <c r="P598" s="21"/>
      <c r="Q598">
        <f>VLOOKUP(Table2[[#This Row],[Home/Neutral]],pace_lookup,7,FALSE)</f>
        <v>98.8</v>
      </c>
      <c r="R598" s="5">
        <f>VLOOKUP(Table2[[#This Row],[Visitor/Neutral]],pace_lookup,7,FALSE)</f>
        <v>94.2</v>
      </c>
      <c r="S598" s="7"/>
      <c r="U598" s="15"/>
      <c r="W598" s="2">
        <f>-home-VLOOKUP(Table2[[#This Row],[Home/Neutral]],rtg_vlookup,4,FALSE)+VLOOKUP(Table2[[#This Row],[Visitor/Neutral]],rtg_vlookup,4,FALSE)</f>
        <v>-8.9686885245901671</v>
      </c>
      <c r="X598" s="15"/>
      <c r="Y598" s="2"/>
      <c r="Z598" s="2">
        <f>Table2[[#This Row],[A/EV]]-Table2[[#This Row],[H/EV]]</f>
        <v>-11.435283446069775</v>
      </c>
      <c r="AA598" s="29"/>
      <c r="AB598" s="30"/>
      <c r="AC598" s="30"/>
      <c r="AD598" s="30"/>
      <c r="AE598" s="30"/>
      <c r="AF598" s="7" t="b">
        <f>IF(VLOOKUP(Table2[[#This Row],[Home/Neutral]],division_lookup,9,FALSE)=VLOOKUP(Table2[[#This Row],[Visitor/Neutral]],division_lookup,9,FALSE),TRUE,FALSE)</f>
        <v>0</v>
      </c>
      <c r="AG598" s="15" t="str">
        <f>VLOOKUP(Table2[[#This Row],[Home/Neutral]],division_lookup,9,FALSE)</f>
        <v>NW</v>
      </c>
      <c r="AH598" s="15" t="str">
        <f>IF(Table2[[#This Row],[Total/EV]]&lt;Table2[[#This Row],[Total/V]],"UNDER","OVER")</f>
        <v>OVER</v>
      </c>
      <c r="AI598" s="26">
        <f>Table2[[#This Row],[SRS/Real]]-Table2[[#This Row],[Spread/V]]</f>
        <v>0</v>
      </c>
      <c r="AJ598" s="2">
        <f>Table2[[#This Row],[EV/Real]]-Table2[[#This Row],[Spread/V]]</f>
        <v>0</v>
      </c>
      <c r="AK598" s="2">
        <f>Table2[[#This Row],[SRS/Diff]]-Table2[[#This Row],[EV/Diff]]</f>
        <v>0</v>
      </c>
      <c r="AL598" s="18">
        <f>Table2[[#This Row],[SRS]]-Table2[[#This Row],[Spread]]</f>
        <v>-8.9686885245901671</v>
      </c>
      <c r="AM598" s="21">
        <f>Table2[[#This Row],[(A) Err]]^2</f>
        <v>80.437373851115353</v>
      </c>
      <c r="AN598" s="6">
        <f>Table2[[#This Row],[EV]]-Table2[[#This Row],[Spread]]</f>
        <v>-11.435283446069775</v>
      </c>
      <c r="AO598" s="1">
        <f>Table2[[#This Row],[EV Err]]^2</f>
        <v>130.76570749195741</v>
      </c>
      <c r="AP598" s="1"/>
    </row>
    <row r="599" spans="1:42" x14ac:dyDescent="0.25">
      <c r="A599" s="34">
        <v>42748</v>
      </c>
      <c r="B599" t="s">
        <v>133</v>
      </c>
      <c r="C599" t="s">
        <v>114</v>
      </c>
      <c r="E599" s="21"/>
      <c r="G599" s="21"/>
      <c r="H599" s="7"/>
      <c r="I599" s="21"/>
      <c r="K599"/>
      <c r="L599" s="21">
        <f>(Table2[[#This Row],[H/Pace]]/100)*(VLOOKUP(Table2[[#This Row],[Home/Neutral]],home_lookup,8,FALSE)+VLOOKUP(Table2[[#This Row],[Home/Neutral]],OFR_lookup,2,FALSE)+VLOOKUP(Table2[[#This Row],[Visitor/Neutral]],def_diff_lookup,6,FALSE))</f>
        <v>107.5427274827998</v>
      </c>
      <c r="M599" s="21"/>
      <c r="N599" s="21">
        <f>(Table2[[#This Row],[A/Pace]]/100)*(VLOOKUP(Table2[[#This Row],[Visitor/Neutral]],OFR_lookup,2,FALSE)+VLOOKUP(Table2[[#This Row],[Home/Neutral]],def_diff_lookup,6,FALSE))</f>
        <v>114.82924366666666</v>
      </c>
      <c r="O599" s="21"/>
      <c r="P599" s="21"/>
      <c r="Q599">
        <f>VLOOKUP(Table2[[#This Row],[Home/Neutral]],pace_lookup,7,FALSE)</f>
        <v>94.2</v>
      </c>
      <c r="R599" s="5">
        <f>VLOOKUP(Table2[[#This Row],[Visitor/Neutral]],pace_lookup,7,FALSE)</f>
        <v>97.3</v>
      </c>
      <c r="S599" s="7"/>
      <c r="U599" s="15"/>
      <c r="W599" s="2">
        <f>-home-VLOOKUP(Table2[[#This Row],[Home/Neutral]],rtg_vlookup,4,FALSE)+VLOOKUP(Table2[[#This Row],[Visitor/Neutral]],rtg_vlookup,4,FALSE)</f>
        <v>7.7913114754098345</v>
      </c>
      <c r="X599" s="15"/>
      <c r="Y599" s="2"/>
      <c r="Z599" s="2">
        <f>Table2[[#This Row],[A/EV]]-Table2[[#This Row],[H/EV]]</f>
        <v>7.2865161838668513</v>
      </c>
      <c r="AA599" s="29"/>
      <c r="AB599" s="30"/>
      <c r="AC599" s="30"/>
      <c r="AD599" s="30"/>
      <c r="AE599" s="30"/>
      <c r="AF599" s="7" t="b">
        <f>IF(VLOOKUP(Table2[[#This Row],[Home/Neutral]],division_lookup,9,FALSE)=VLOOKUP(Table2[[#This Row],[Visitor/Neutral]],division_lookup,9,FALSE),TRUE,FALSE)</f>
        <v>0</v>
      </c>
      <c r="AG599" s="15" t="str">
        <f>VLOOKUP(Table2[[#This Row],[Home/Neutral]],division_lookup,9,FALSE)</f>
        <v>P</v>
      </c>
      <c r="AH599" s="15" t="str">
        <f>IF(Table2[[#This Row],[Total/EV]]&lt;Table2[[#This Row],[Total/V]],"UNDER","OVER")</f>
        <v>OVER</v>
      </c>
      <c r="AI599" s="26">
        <f>Table2[[#This Row],[SRS/Real]]-Table2[[#This Row],[Spread/V]]</f>
        <v>0</v>
      </c>
      <c r="AJ599" s="2">
        <f>Table2[[#This Row],[EV/Real]]-Table2[[#This Row],[Spread/V]]</f>
        <v>0</v>
      </c>
      <c r="AK599" s="2">
        <f>Table2[[#This Row],[SRS/Diff]]-Table2[[#This Row],[EV/Diff]]</f>
        <v>0</v>
      </c>
      <c r="AL599" s="18">
        <f>Table2[[#This Row],[SRS]]-Table2[[#This Row],[Spread]]</f>
        <v>7.7913114754098345</v>
      </c>
      <c r="AM599" s="21">
        <f>Table2[[#This Row],[(A) Err]]^2</f>
        <v>60.704534506852973</v>
      </c>
      <c r="AN599" s="6">
        <f>Table2[[#This Row],[EV]]-Table2[[#This Row],[Spread]]</f>
        <v>7.2865161838668513</v>
      </c>
      <c r="AO599" s="1">
        <f>Table2[[#This Row],[EV Err]]^2</f>
        <v>53.093318097753539</v>
      </c>
      <c r="AP599" s="1"/>
    </row>
    <row r="600" spans="1:42" x14ac:dyDescent="0.25">
      <c r="A600" s="34">
        <v>42748</v>
      </c>
      <c r="B600" t="s">
        <v>135</v>
      </c>
      <c r="C600" t="s">
        <v>111</v>
      </c>
      <c r="E600" s="21"/>
      <c r="G600" s="21"/>
      <c r="H600" s="7"/>
      <c r="I600" s="21"/>
      <c r="K600"/>
      <c r="L600" s="21">
        <f>(Table2[[#This Row],[H/Pace]]/100)*(VLOOKUP(Table2[[#This Row],[Home/Neutral]],home_lookup,8,FALSE)+VLOOKUP(Table2[[#This Row],[Home/Neutral]],OFR_lookup,2,FALSE)+VLOOKUP(Table2[[#This Row],[Visitor/Neutral]],def_diff_lookup,6,FALSE))</f>
        <v>113.75166035324614</v>
      </c>
      <c r="M600" s="21"/>
      <c r="N600" s="21">
        <f>(Table2[[#This Row],[A/Pace]]/100)*(VLOOKUP(Table2[[#This Row],[Visitor/Neutral]],OFR_lookup,2,FALSE)+VLOOKUP(Table2[[#This Row],[Home/Neutral]],def_diff_lookup,6,FALSE))</f>
        <v>105.12697999999999</v>
      </c>
      <c r="O600" s="21"/>
      <c r="P600" s="21"/>
      <c r="Q600">
        <f>VLOOKUP(Table2[[#This Row],[Home/Neutral]],pace_lookup,7,FALSE)</f>
        <v>95.4</v>
      </c>
      <c r="R600" s="5">
        <f>VLOOKUP(Table2[[#This Row],[Visitor/Neutral]],pace_lookup,7,FALSE)</f>
        <v>102</v>
      </c>
      <c r="S600" s="7"/>
      <c r="U600" s="15"/>
      <c r="W600" s="2">
        <f>-home-VLOOKUP(Table2[[#This Row],[Home/Neutral]],rtg_vlookup,4,FALSE)+VLOOKUP(Table2[[#This Row],[Visitor/Neutral]],rtg_vlookup,4,FALSE)</f>
        <v>-17.498688524590165</v>
      </c>
      <c r="X600" s="15"/>
      <c r="Y600" s="2"/>
      <c r="Z600" s="2">
        <f>Table2[[#This Row],[A/EV]]-Table2[[#This Row],[H/EV]]</f>
        <v>-8.6246803532461485</v>
      </c>
      <c r="AA600" s="29"/>
      <c r="AB600" s="30"/>
      <c r="AC600" s="30"/>
      <c r="AD600" s="30"/>
      <c r="AE600" s="30"/>
      <c r="AF600" s="7" t="b">
        <f>IF(VLOOKUP(Table2[[#This Row],[Home/Neutral]],division_lookup,9,FALSE)=VLOOKUP(Table2[[#This Row],[Visitor/Neutral]],division_lookup,9,FALSE),TRUE,FALSE)</f>
        <v>1</v>
      </c>
      <c r="AG600" s="15" t="str">
        <f>VLOOKUP(Table2[[#This Row],[Home/Neutral]],division_lookup,9,FALSE)</f>
        <v>A</v>
      </c>
      <c r="AH600" s="15" t="str">
        <f>IF(Table2[[#This Row],[Total/EV]]&lt;Table2[[#This Row],[Total/V]],"UNDER","OVER")</f>
        <v>OVER</v>
      </c>
      <c r="AI600" s="26">
        <f>Table2[[#This Row],[SRS/Real]]-Table2[[#This Row],[Spread/V]]</f>
        <v>0</v>
      </c>
      <c r="AJ600" s="2">
        <f>Table2[[#This Row],[EV/Real]]-Table2[[#This Row],[Spread/V]]</f>
        <v>0</v>
      </c>
      <c r="AK600" s="2">
        <f>Table2[[#This Row],[SRS/Diff]]-Table2[[#This Row],[EV/Diff]]</f>
        <v>0</v>
      </c>
      <c r="AL600" s="18">
        <f>Table2[[#This Row],[SRS]]-Table2[[#This Row],[Spread]]</f>
        <v>-17.498688524590165</v>
      </c>
      <c r="AM600" s="21">
        <f>Table2[[#This Row],[(A) Err]]^2</f>
        <v>306.2041000806235</v>
      </c>
      <c r="AN600" s="6">
        <f>Table2[[#This Row],[EV]]-Table2[[#This Row],[Spread]]</f>
        <v>-8.6246803532461485</v>
      </c>
      <c r="AO600" s="1">
        <f>Table2[[#This Row],[EV Err]]^2</f>
        <v>74.385111195670106</v>
      </c>
      <c r="AP600" s="1"/>
    </row>
    <row r="601" spans="1:42" x14ac:dyDescent="0.25">
      <c r="A601" s="34">
        <v>42748</v>
      </c>
      <c r="B601" t="s">
        <v>136</v>
      </c>
      <c r="C601" t="s">
        <v>117</v>
      </c>
      <c r="E601" s="21"/>
      <c r="G601" s="21"/>
      <c r="H601" s="7"/>
      <c r="I601" s="21"/>
      <c r="K601"/>
      <c r="L601" s="21">
        <f>(Table2[[#This Row],[H/Pace]]/100)*(VLOOKUP(Table2[[#This Row],[Home/Neutral]],home_lookup,8,FALSE)+VLOOKUP(Table2[[#This Row],[Home/Neutral]],OFR_lookup,2,FALSE)+VLOOKUP(Table2[[#This Row],[Visitor/Neutral]],def_diff_lookup,6,FALSE))</f>
        <v>101.48863534991899</v>
      </c>
      <c r="M601" s="21"/>
      <c r="N601" s="21">
        <f>(Table2[[#This Row],[A/Pace]]/100)*(VLOOKUP(Table2[[#This Row],[Visitor/Neutral]],OFR_lookup,2,FALSE)+VLOOKUP(Table2[[#This Row],[Home/Neutral]],def_diff_lookup,6,FALSE))</f>
        <v>93.845526666666643</v>
      </c>
      <c r="O601" s="21"/>
      <c r="P601" s="21"/>
      <c r="Q601">
        <f>VLOOKUP(Table2[[#This Row],[Home/Neutral]],pace_lookup,7,FALSE)</f>
        <v>91.5</v>
      </c>
      <c r="R601" s="5">
        <f>VLOOKUP(Table2[[#This Row],[Visitor/Neutral]],pace_lookup,7,FALSE)</f>
        <v>94</v>
      </c>
      <c r="S601" s="7"/>
      <c r="U601" s="15"/>
      <c r="W601" s="2">
        <f>-home-VLOOKUP(Table2[[#This Row],[Home/Neutral]],rtg_vlookup,4,FALSE)+VLOOKUP(Table2[[#This Row],[Visitor/Neutral]],rtg_vlookup,4,FALSE)</f>
        <v>-5.4586885245901655</v>
      </c>
      <c r="X601" s="15"/>
      <c r="Y601" s="2"/>
      <c r="Z601" s="2">
        <f>Table2[[#This Row],[A/EV]]-Table2[[#This Row],[H/EV]]</f>
        <v>-7.6431086832523505</v>
      </c>
      <c r="AA601" s="29"/>
      <c r="AB601" s="30"/>
      <c r="AC601" s="30"/>
      <c r="AD601" s="30"/>
      <c r="AE601" s="30"/>
      <c r="AF601" s="7" t="b">
        <f>IF(VLOOKUP(Table2[[#This Row],[Home/Neutral]],division_lookup,9,FALSE)=VLOOKUP(Table2[[#This Row],[Visitor/Neutral]],division_lookup,9,FALSE),TRUE,FALSE)</f>
        <v>0</v>
      </c>
      <c r="AG601" s="15" t="str">
        <f>VLOOKUP(Table2[[#This Row],[Home/Neutral]],division_lookup,9,FALSE)</f>
        <v>NW</v>
      </c>
      <c r="AH601" s="15" t="str">
        <f>IF(Table2[[#This Row],[Total/EV]]&lt;Table2[[#This Row],[Total/V]],"UNDER","OVER")</f>
        <v>OVER</v>
      </c>
      <c r="AI601" s="26">
        <f>Table2[[#This Row],[SRS/Real]]-Table2[[#This Row],[Spread/V]]</f>
        <v>0</v>
      </c>
      <c r="AJ601" s="2">
        <f>Table2[[#This Row],[EV/Real]]-Table2[[#This Row],[Spread/V]]</f>
        <v>0</v>
      </c>
      <c r="AK601" s="2">
        <f>Table2[[#This Row],[SRS/Diff]]-Table2[[#This Row],[EV/Diff]]</f>
        <v>0</v>
      </c>
      <c r="AL601" s="18">
        <f>Table2[[#This Row],[SRS]]-Table2[[#This Row],[Spread]]</f>
        <v>-5.4586885245901655</v>
      </c>
      <c r="AM601" s="21">
        <f>Table2[[#This Row],[(A) Err]]^2</f>
        <v>29.797280408492359</v>
      </c>
      <c r="AN601" s="6">
        <f>Table2[[#This Row],[EV]]-Table2[[#This Row],[Spread]]</f>
        <v>-7.6431086832523505</v>
      </c>
      <c r="AO601" s="1">
        <f>Table2[[#This Row],[EV Err]]^2</f>
        <v>58.417110344007476</v>
      </c>
      <c r="AP601" s="1"/>
    </row>
    <row r="602" spans="1:42" x14ac:dyDescent="0.25">
      <c r="A602" s="34">
        <v>42749</v>
      </c>
      <c r="B602" t="s">
        <v>113</v>
      </c>
      <c r="C602" t="s">
        <v>127</v>
      </c>
      <c r="E602" s="21"/>
      <c r="G602" s="21"/>
      <c r="H602" s="7"/>
      <c r="I602" s="21"/>
      <c r="K602"/>
      <c r="L602" s="21">
        <f>(Table2[[#This Row],[H/Pace]]/100)*(VLOOKUP(Table2[[#This Row],[Home/Neutral]],home_lookup,8,FALSE)+VLOOKUP(Table2[[#This Row],[Home/Neutral]],OFR_lookup,2,FALSE)+VLOOKUP(Table2[[#This Row],[Visitor/Neutral]],def_diff_lookup,6,FALSE))</f>
        <v>107.90167388016279</v>
      </c>
      <c r="M602" s="21"/>
      <c r="N602" s="21">
        <f>(Table2[[#This Row],[A/Pace]]/100)*(VLOOKUP(Table2[[#This Row],[Visitor/Neutral]],OFR_lookup,2,FALSE)+VLOOKUP(Table2[[#This Row],[Home/Neutral]],def_diff_lookup,6,FALSE))</f>
        <v>101.52994699999999</v>
      </c>
      <c r="O602" s="21"/>
      <c r="P602" s="21"/>
      <c r="Q602">
        <f>VLOOKUP(Table2[[#This Row],[Home/Neutral]],pace_lookup,7,FALSE)</f>
        <v>95.1</v>
      </c>
      <c r="R602" s="5">
        <f>VLOOKUP(Table2[[#This Row],[Visitor/Neutral]],pace_lookup,7,FALSE)</f>
        <v>99.3</v>
      </c>
      <c r="S602" s="7"/>
      <c r="U602" s="15"/>
      <c r="W602" s="2">
        <f>-home-VLOOKUP(Table2[[#This Row],[Home/Neutral]],rtg_vlookup,4,FALSE)+VLOOKUP(Table2[[#This Row],[Visitor/Neutral]],rtg_vlookup,4,FALSE)</f>
        <v>-10.088688524590166</v>
      </c>
      <c r="X602" s="15"/>
      <c r="Y602" s="2"/>
      <c r="Z602" s="2">
        <f>Table2[[#This Row],[A/EV]]-Table2[[#This Row],[H/EV]]</f>
        <v>-6.3717268801627966</v>
      </c>
      <c r="AA602" s="29"/>
      <c r="AB602" s="30"/>
      <c r="AC602" s="30"/>
      <c r="AD602" s="30"/>
      <c r="AE602" s="30"/>
      <c r="AF602" s="7" t="b">
        <f>IF(VLOOKUP(Table2[[#This Row],[Home/Neutral]],division_lookup,9,FALSE)=VLOOKUP(Table2[[#This Row],[Visitor/Neutral]],division_lookup,9,FALSE),TRUE,FALSE)</f>
        <v>0</v>
      </c>
      <c r="AG602" s="15" t="str">
        <f>VLOOKUP(Table2[[#This Row],[Home/Neutral]],division_lookup,9,FALSE)</f>
        <v>C</v>
      </c>
      <c r="AH602" s="15" t="str">
        <f>IF(Table2[[#This Row],[Total/EV]]&lt;Table2[[#This Row],[Total/V]],"UNDER","OVER")</f>
        <v>OVER</v>
      </c>
      <c r="AI602" s="26">
        <f>Table2[[#This Row],[SRS/Real]]-Table2[[#This Row],[Spread/V]]</f>
        <v>0</v>
      </c>
      <c r="AJ602" s="2">
        <f>Table2[[#This Row],[EV/Real]]-Table2[[#This Row],[Spread/V]]</f>
        <v>0</v>
      </c>
      <c r="AK602" s="2">
        <f>Table2[[#This Row],[SRS/Diff]]-Table2[[#This Row],[EV/Diff]]</f>
        <v>0</v>
      </c>
      <c r="AL602" s="18">
        <f>Table2[[#This Row],[SRS]]-Table2[[#This Row],[Spread]]</f>
        <v>-10.088688524590166</v>
      </c>
      <c r="AM602" s="21">
        <f>Table2[[#This Row],[(A) Err]]^2</f>
        <v>101.7816361461973</v>
      </c>
      <c r="AN602" s="6">
        <f>Table2[[#This Row],[EV]]-Table2[[#This Row],[Spread]]</f>
        <v>-6.3717268801627966</v>
      </c>
      <c r="AO602" s="1">
        <f>Table2[[#This Row],[EV Err]]^2</f>
        <v>40.598903435389126</v>
      </c>
      <c r="AP602" s="1"/>
    </row>
    <row r="603" spans="1:42" x14ac:dyDescent="0.25">
      <c r="A603" s="34">
        <v>42749</v>
      </c>
      <c r="B603" t="s">
        <v>121</v>
      </c>
      <c r="C603" t="s">
        <v>122</v>
      </c>
      <c r="E603" s="21"/>
      <c r="G603" s="21"/>
      <c r="H603" s="7"/>
      <c r="I603" s="21"/>
      <c r="K603"/>
      <c r="L603" s="21">
        <f>(Table2[[#This Row],[H/Pace]]/100)*(VLOOKUP(Table2[[#This Row],[Home/Neutral]],home_lookup,8,FALSE)+VLOOKUP(Table2[[#This Row],[Home/Neutral]],OFR_lookup,2,FALSE)+VLOOKUP(Table2[[#This Row],[Visitor/Neutral]],def_diff_lookup,6,FALSE))</f>
        <v>118.27624060751252</v>
      </c>
      <c r="M603" s="21"/>
      <c r="N603" s="21">
        <f>(Table2[[#This Row],[A/Pace]]/100)*(VLOOKUP(Table2[[#This Row],[Visitor/Neutral]],OFR_lookup,2,FALSE)+VLOOKUP(Table2[[#This Row],[Home/Neutral]],def_diff_lookup,6,FALSE))</f>
        <v>104.895038</v>
      </c>
      <c r="O603" s="21"/>
      <c r="P603" s="21"/>
      <c r="Q603">
        <f>VLOOKUP(Table2[[#This Row],[Home/Neutral]],pace_lookup,7,FALSE)</f>
        <v>96.4</v>
      </c>
      <c r="R603" s="5">
        <f>VLOOKUP(Table2[[#This Row],[Visitor/Neutral]],pace_lookup,7,FALSE)</f>
        <v>100.2</v>
      </c>
      <c r="S603" s="7"/>
      <c r="U603" s="15"/>
      <c r="W603" s="2">
        <f>-home-VLOOKUP(Table2[[#This Row],[Home/Neutral]],rtg_vlookup,4,FALSE)+VLOOKUP(Table2[[#This Row],[Visitor/Neutral]],rtg_vlookup,4,FALSE)</f>
        <v>-17.758688524590166</v>
      </c>
      <c r="X603" s="15"/>
      <c r="Y603" s="2"/>
      <c r="Z603" s="2">
        <f>Table2[[#This Row],[A/EV]]-Table2[[#This Row],[H/EV]]</f>
        <v>-13.38120260751252</v>
      </c>
      <c r="AA603" s="29"/>
      <c r="AB603" s="30"/>
      <c r="AC603" s="30"/>
      <c r="AD603" s="30"/>
      <c r="AE603" s="30"/>
      <c r="AF603" s="7" t="b">
        <f>IF(VLOOKUP(Table2[[#This Row],[Home/Neutral]],division_lookup,9,FALSE)=VLOOKUP(Table2[[#This Row],[Visitor/Neutral]],division_lookup,9,FALSE),TRUE,FALSE)</f>
        <v>1</v>
      </c>
      <c r="AG603" s="15" t="str">
        <f>VLOOKUP(Table2[[#This Row],[Home/Neutral]],division_lookup,9,FALSE)</f>
        <v>P</v>
      </c>
      <c r="AH603" s="15" t="str">
        <f>IF(Table2[[#This Row],[Total/EV]]&lt;Table2[[#This Row],[Total/V]],"UNDER","OVER")</f>
        <v>OVER</v>
      </c>
      <c r="AI603" s="26">
        <f>Table2[[#This Row],[SRS/Real]]-Table2[[#This Row],[Spread/V]]</f>
        <v>0</v>
      </c>
      <c r="AJ603" s="2">
        <f>Table2[[#This Row],[EV/Real]]-Table2[[#This Row],[Spread/V]]</f>
        <v>0</v>
      </c>
      <c r="AK603" s="2">
        <f>Table2[[#This Row],[SRS/Diff]]-Table2[[#This Row],[EV/Diff]]</f>
        <v>0</v>
      </c>
      <c r="AL603" s="18">
        <f>Table2[[#This Row],[SRS]]-Table2[[#This Row],[Spread]]</f>
        <v>-17.758688524590166</v>
      </c>
      <c r="AM603" s="21">
        <f>Table2[[#This Row],[(A) Err]]^2</f>
        <v>315.37101811341046</v>
      </c>
      <c r="AN603" s="6">
        <f>Table2[[#This Row],[EV]]-Table2[[#This Row],[Spread]]</f>
        <v>-13.38120260751252</v>
      </c>
      <c r="AO603" s="1">
        <f>Table2[[#This Row],[EV Err]]^2</f>
        <v>179.05658322329987</v>
      </c>
      <c r="AP603" s="1"/>
    </row>
    <row r="604" spans="1:42" x14ac:dyDescent="0.25">
      <c r="A604" s="34">
        <v>42749</v>
      </c>
      <c r="B604" t="s">
        <v>131</v>
      </c>
      <c r="C604" t="s">
        <v>134</v>
      </c>
      <c r="E604" s="21"/>
      <c r="G604" s="21"/>
      <c r="H604" s="7"/>
      <c r="I604" s="21"/>
      <c r="K604"/>
      <c r="L604" s="21">
        <f>(Table2[[#This Row],[H/Pace]]/100)*(VLOOKUP(Table2[[#This Row],[Home/Neutral]],home_lookup,8,FALSE)+VLOOKUP(Table2[[#This Row],[Home/Neutral]],OFR_lookup,2,FALSE)+VLOOKUP(Table2[[#This Row],[Visitor/Neutral]],def_diff_lookup,6,FALSE))</f>
        <v>95.580709791197663</v>
      </c>
      <c r="M604" s="21"/>
      <c r="N604" s="21">
        <f>(Table2[[#This Row],[A/Pace]]/100)*(VLOOKUP(Table2[[#This Row],[Visitor/Neutral]],OFR_lookup,2,FALSE)+VLOOKUP(Table2[[#This Row],[Home/Neutral]],def_diff_lookup,6,FALSE))</f>
        <v>106.30383266666666</v>
      </c>
      <c r="O604" s="21"/>
      <c r="P604" s="21"/>
      <c r="Q604">
        <f>VLOOKUP(Table2[[#This Row],[Home/Neutral]],pace_lookup,7,FALSE)</f>
        <v>101.7</v>
      </c>
      <c r="R604" s="5">
        <f>VLOOKUP(Table2[[#This Row],[Visitor/Neutral]],pace_lookup,7,FALSE)</f>
        <v>93.4</v>
      </c>
      <c r="S604" s="7"/>
      <c r="U604" s="15"/>
      <c r="W604" s="2">
        <f>-home-VLOOKUP(Table2[[#This Row],[Home/Neutral]],rtg_vlookup,4,FALSE)+VLOOKUP(Table2[[#This Row],[Visitor/Neutral]],rtg_vlookup,4,FALSE)</f>
        <v>10.991311475409834</v>
      </c>
      <c r="X604" s="15"/>
      <c r="Y604" s="2"/>
      <c r="Z604" s="2">
        <f>Table2[[#This Row],[A/EV]]-Table2[[#This Row],[H/EV]]</f>
        <v>10.723122875469002</v>
      </c>
      <c r="AA604" s="29"/>
      <c r="AB604" s="30"/>
      <c r="AC604" s="30"/>
      <c r="AD604" s="30"/>
      <c r="AE604" s="30"/>
      <c r="AF604" s="7" t="b">
        <f>IF(VLOOKUP(Table2[[#This Row],[Home/Neutral]],division_lookup,9,FALSE)=VLOOKUP(Table2[[#This Row],[Visitor/Neutral]],division_lookup,9,FALSE),TRUE,FALSE)</f>
        <v>0</v>
      </c>
      <c r="AG604" s="15" t="str">
        <f>VLOOKUP(Table2[[#This Row],[Home/Neutral]],division_lookup,9,FALSE)</f>
        <v>P</v>
      </c>
      <c r="AH604" s="15" t="str">
        <f>IF(Table2[[#This Row],[Total/EV]]&lt;Table2[[#This Row],[Total/V]],"UNDER","OVER")</f>
        <v>OVER</v>
      </c>
      <c r="AI604" s="26">
        <f>Table2[[#This Row],[SRS/Real]]-Table2[[#This Row],[Spread/V]]</f>
        <v>0</v>
      </c>
      <c r="AJ604" s="2">
        <f>Table2[[#This Row],[EV/Real]]-Table2[[#This Row],[Spread/V]]</f>
        <v>0</v>
      </c>
      <c r="AK604" s="2">
        <f>Table2[[#This Row],[SRS/Diff]]-Table2[[#This Row],[EV/Diff]]</f>
        <v>0</v>
      </c>
      <c r="AL604" s="18">
        <f>Table2[[#This Row],[SRS]]-Table2[[#This Row],[Spread]]</f>
        <v>10.991311475409834</v>
      </c>
      <c r="AM604" s="21">
        <f>Table2[[#This Row],[(A) Err]]^2</f>
        <v>120.8089279494759</v>
      </c>
      <c r="AN604" s="6">
        <f>Table2[[#This Row],[EV]]-Table2[[#This Row],[Spread]]</f>
        <v>10.723122875469002</v>
      </c>
      <c r="AO604" s="1">
        <f>Table2[[#This Row],[EV Err]]^2</f>
        <v>114.9853642024066</v>
      </c>
      <c r="AP604" s="1"/>
    </row>
    <row r="605" spans="1:42" x14ac:dyDescent="0.25">
      <c r="A605" s="34">
        <v>42749</v>
      </c>
      <c r="B605" t="s">
        <v>136</v>
      </c>
      <c r="C605" t="s">
        <v>130</v>
      </c>
      <c r="E605" s="21"/>
      <c r="G605" s="21"/>
      <c r="H605" s="7"/>
      <c r="I605" s="21"/>
      <c r="K605"/>
      <c r="L605" s="21">
        <f>(Table2[[#This Row],[H/Pace]]/100)*(VLOOKUP(Table2[[#This Row],[Home/Neutral]],home_lookup,8,FALSE)+VLOOKUP(Table2[[#This Row],[Home/Neutral]],OFR_lookup,2,FALSE)+VLOOKUP(Table2[[#This Row],[Visitor/Neutral]],def_diff_lookup,6,FALSE))</f>
        <v>104.88328534991899</v>
      </c>
      <c r="M605" s="21"/>
      <c r="N605" s="21">
        <f>(Table2[[#This Row],[A/Pace]]/100)*(VLOOKUP(Table2[[#This Row],[Visitor/Neutral]],OFR_lookup,2,FALSE)+VLOOKUP(Table2[[#This Row],[Home/Neutral]],def_diff_lookup,6,FALSE))</f>
        <v>87.922197999999995</v>
      </c>
      <c r="O605" s="21"/>
      <c r="P605" s="21"/>
      <c r="Q605">
        <f>VLOOKUP(Table2[[#This Row],[Home/Neutral]],pace_lookup,7,FALSE)</f>
        <v>91.5</v>
      </c>
      <c r="R605" s="5">
        <f>VLOOKUP(Table2[[#This Row],[Visitor/Neutral]],pace_lookup,7,FALSE)</f>
        <v>94.2</v>
      </c>
      <c r="S605" s="7"/>
      <c r="U605" s="15"/>
      <c r="W605" s="2">
        <f>-home-VLOOKUP(Table2[[#This Row],[Home/Neutral]],rtg_vlookup,4,FALSE)+VLOOKUP(Table2[[#This Row],[Visitor/Neutral]],rtg_vlookup,4,FALSE)</f>
        <v>-15.658688524590167</v>
      </c>
      <c r="X605" s="15"/>
      <c r="Y605" s="2"/>
      <c r="Z605" s="2">
        <f>Table2[[#This Row],[A/EV]]-Table2[[#This Row],[H/EV]]</f>
        <v>-16.961087349918998</v>
      </c>
      <c r="AA605" s="29"/>
      <c r="AB605" s="30"/>
      <c r="AC605" s="30"/>
      <c r="AD605" s="30"/>
      <c r="AE605" s="30"/>
      <c r="AF605" s="7" t="b">
        <f>IF(VLOOKUP(Table2[[#This Row],[Home/Neutral]],division_lookup,9,FALSE)=VLOOKUP(Table2[[#This Row],[Visitor/Neutral]],division_lookup,9,FALSE),TRUE,FALSE)</f>
        <v>0</v>
      </c>
      <c r="AG605" s="15" t="str">
        <f>VLOOKUP(Table2[[#This Row],[Home/Neutral]],division_lookup,9,FALSE)</f>
        <v>NW</v>
      </c>
      <c r="AH605" s="15" t="str">
        <f>IF(Table2[[#This Row],[Total/EV]]&lt;Table2[[#This Row],[Total/V]],"UNDER","OVER")</f>
        <v>OVER</v>
      </c>
      <c r="AI605" s="26">
        <f>Table2[[#This Row],[SRS/Real]]-Table2[[#This Row],[Spread/V]]</f>
        <v>0</v>
      </c>
      <c r="AJ605" s="2">
        <f>Table2[[#This Row],[EV/Real]]-Table2[[#This Row],[Spread/V]]</f>
        <v>0</v>
      </c>
      <c r="AK605" s="2">
        <f>Table2[[#This Row],[SRS/Diff]]-Table2[[#This Row],[EV/Diff]]</f>
        <v>0</v>
      </c>
      <c r="AL605" s="18">
        <f>Table2[[#This Row],[SRS]]-Table2[[#This Row],[Spread]]</f>
        <v>-15.658688524590167</v>
      </c>
      <c r="AM605" s="21">
        <f>Table2[[#This Row],[(A) Err]]^2</f>
        <v>245.19452631013178</v>
      </c>
      <c r="AN605" s="6">
        <f>Table2[[#This Row],[EV]]-Table2[[#This Row],[Spread]]</f>
        <v>-16.961087349918998</v>
      </c>
      <c r="AO605" s="1">
        <f>Table2[[#This Row],[EV Err]]^2</f>
        <v>287.67848409158228</v>
      </c>
      <c r="AP605" s="1"/>
    </row>
    <row r="606" spans="1:42" x14ac:dyDescent="0.25">
      <c r="A606" s="34">
        <v>42749</v>
      </c>
      <c r="B606" t="s">
        <v>137</v>
      </c>
      <c r="C606" t="s">
        <v>138</v>
      </c>
      <c r="E606" s="21"/>
      <c r="G606" s="21"/>
      <c r="H606" s="7"/>
      <c r="I606" s="21"/>
      <c r="K606"/>
      <c r="L606" s="21">
        <f>(Table2[[#This Row],[H/Pace]]/100)*(VLOOKUP(Table2[[#This Row],[Home/Neutral]],home_lookup,8,FALSE)+VLOOKUP(Table2[[#This Row],[Home/Neutral]],OFR_lookup,2,FALSE)+VLOOKUP(Table2[[#This Row],[Visitor/Neutral]],def_diff_lookup,6,FALSE))</f>
        <v>109.54813255421871</v>
      </c>
      <c r="M606" s="21"/>
      <c r="N606" s="21">
        <f>(Table2[[#This Row],[A/Pace]]/100)*(VLOOKUP(Table2[[#This Row],[Visitor/Neutral]],OFR_lookup,2,FALSE)+VLOOKUP(Table2[[#This Row],[Home/Neutral]],def_diff_lookup,6,FALSE))</f>
        <v>99.709024999999997</v>
      </c>
      <c r="O606" s="21"/>
      <c r="P606" s="21"/>
      <c r="Q606">
        <f>VLOOKUP(Table2[[#This Row],[Home/Neutral]],pace_lookup,7,FALSE)</f>
        <v>96</v>
      </c>
      <c r="R606" s="5">
        <f>VLOOKUP(Table2[[#This Row],[Visitor/Neutral]],pace_lookup,7,FALSE)</f>
        <v>97.5</v>
      </c>
      <c r="S606" s="7"/>
      <c r="U606" s="15"/>
      <c r="W606" s="2">
        <f>-home-VLOOKUP(Table2[[#This Row],[Home/Neutral]],rtg_vlookup,4,FALSE)+VLOOKUP(Table2[[#This Row],[Visitor/Neutral]],rtg_vlookup,4,FALSE)</f>
        <v>-9.4186885245901664</v>
      </c>
      <c r="X606" s="15"/>
      <c r="Y606" s="2"/>
      <c r="Z606" s="2">
        <f>Table2[[#This Row],[A/EV]]-Table2[[#This Row],[H/EV]]</f>
        <v>-9.8391075542187139</v>
      </c>
      <c r="AA606" s="29"/>
      <c r="AB606" s="30"/>
      <c r="AC606" s="30"/>
      <c r="AD606" s="30"/>
      <c r="AE606" s="30"/>
      <c r="AF606" s="7" t="b">
        <f>IF(VLOOKUP(Table2[[#This Row],[Home/Neutral]],division_lookup,9,FALSE)=VLOOKUP(Table2[[#This Row],[Visitor/Neutral]],division_lookup,9,FALSE),TRUE,FALSE)</f>
        <v>0</v>
      </c>
      <c r="AG606" s="15" t="str">
        <f>VLOOKUP(Table2[[#This Row],[Home/Neutral]],division_lookup,9,FALSE)</f>
        <v>SE</v>
      </c>
      <c r="AH606" s="15" t="str">
        <f>IF(Table2[[#This Row],[Total/EV]]&lt;Table2[[#This Row],[Total/V]],"UNDER","OVER")</f>
        <v>OVER</v>
      </c>
      <c r="AI606" s="26">
        <f>Table2[[#This Row],[SRS/Real]]-Table2[[#This Row],[Spread/V]]</f>
        <v>0</v>
      </c>
      <c r="AJ606" s="2">
        <f>Table2[[#This Row],[EV/Real]]-Table2[[#This Row],[Spread/V]]</f>
        <v>0</v>
      </c>
      <c r="AK606" s="2">
        <f>Table2[[#This Row],[SRS/Diff]]-Table2[[#This Row],[EV/Diff]]</f>
        <v>0</v>
      </c>
      <c r="AL606" s="18">
        <f>Table2[[#This Row],[SRS]]-Table2[[#This Row],[Spread]]</f>
        <v>-9.4186885245901664</v>
      </c>
      <c r="AM606" s="21">
        <f>Table2[[#This Row],[(A) Err]]^2</f>
        <v>88.711693523246481</v>
      </c>
      <c r="AN606" s="6">
        <f>Table2[[#This Row],[EV]]-Table2[[#This Row],[Spread]]</f>
        <v>-9.8391075542187139</v>
      </c>
      <c r="AO606" s="1">
        <f>Table2[[#This Row],[EV Err]]^2</f>
        <v>96.808037463483757</v>
      </c>
      <c r="AP606" s="1"/>
    </row>
    <row r="607" spans="1:42" x14ac:dyDescent="0.25">
      <c r="A607" s="34">
        <v>42750</v>
      </c>
      <c r="B607" t="s">
        <v>109</v>
      </c>
      <c r="C607" t="s">
        <v>125</v>
      </c>
      <c r="E607" s="21"/>
      <c r="G607" s="21"/>
      <c r="H607" s="7"/>
      <c r="I607" s="21"/>
      <c r="K607"/>
      <c r="L607" s="21">
        <f>(Table2[[#This Row],[H/Pace]]/100)*(VLOOKUP(Table2[[#This Row],[Home/Neutral]],home_lookup,8,FALSE)+VLOOKUP(Table2[[#This Row],[Home/Neutral]],OFR_lookup,2,FALSE)+VLOOKUP(Table2[[#This Row],[Visitor/Neutral]],def_diff_lookup,6,FALSE))</f>
        <v>102.45888660728637</v>
      </c>
      <c r="M607" s="21"/>
      <c r="N607" s="21">
        <f>(Table2[[#This Row],[A/Pace]]/100)*(VLOOKUP(Table2[[#This Row],[Visitor/Neutral]],OFR_lookup,2,FALSE)+VLOOKUP(Table2[[#This Row],[Home/Neutral]],def_diff_lookup,6,FALSE))</f>
        <v>95.500015666666656</v>
      </c>
      <c r="O607" s="21"/>
      <c r="P607" s="21"/>
      <c r="Q607">
        <f>VLOOKUP(Table2[[#This Row],[Home/Neutral]],pace_lookup,7,FALSE)</f>
        <v>99.2</v>
      </c>
      <c r="R607" s="5">
        <f>VLOOKUP(Table2[[#This Row],[Visitor/Neutral]],pace_lookup,7,FALSE)</f>
        <v>96.1</v>
      </c>
      <c r="S607" s="7"/>
      <c r="U607" s="15"/>
      <c r="W607" s="2">
        <f>-home-VLOOKUP(Table2[[#This Row],[Home/Neutral]],rtg_vlookup,4,FALSE)+VLOOKUP(Table2[[#This Row],[Visitor/Neutral]],rtg_vlookup,4,FALSE)</f>
        <v>-7.5386885245901656</v>
      </c>
      <c r="X607" s="15"/>
      <c r="Y607" s="2"/>
      <c r="Z607" s="2">
        <f>Table2[[#This Row],[A/EV]]-Table2[[#This Row],[H/EV]]</f>
        <v>-6.9588709406197182</v>
      </c>
      <c r="AA607" s="29"/>
      <c r="AB607" s="30"/>
      <c r="AC607" s="30"/>
      <c r="AD607" s="30"/>
      <c r="AE607" s="30"/>
      <c r="AF607" s="7" t="b">
        <f>IF(VLOOKUP(Table2[[#This Row],[Home/Neutral]],division_lookup,9,FALSE)=VLOOKUP(Table2[[#This Row],[Visitor/Neutral]],division_lookup,9,FALSE),TRUE,FALSE)</f>
        <v>0</v>
      </c>
      <c r="AG607" s="15" t="str">
        <f>VLOOKUP(Table2[[#This Row],[Home/Neutral]],division_lookup,9,FALSE)</f>
        <v>SE</v>
      </c>
      <c r="AH607" s="15" t="str">
        <f>IF(Table2[[#This Row],[Total/EV]]&lt;Table2[[#This Row],[Total/V]],"UNDER","OVER")</f>
        <v>OVER</v>
      </c>
      <c r="AI607" s="26">
        <f>Table2[[#This Row],[SRS/Real]]-Table2[[#This Row],[Spread/V]]</f>
        <v>0</v>
      </c>
      <c r="AJ607" s="2">
        <f>Table2[[#This Row],[EV/Real]]-Table2[[#This Row],[Spread/V]]</f>
        <v>0</v>
      </c>
      <c r="AK607" s="2">
        <f>Table2[[#This Row],[SRS/Diff]]-Table2[[#This Row],[EV/Diff]]</f>
        <v>0</v>
      </c>
      <c r="AL607" s="18">
        <f>Table2[[#This Row],[SRS]]-Table2[[#This Row],[Spread]]</f>
        <v>-7.5386885245901656</v>
      </c>
      <c r="AM607" s="21">
        <f>Table2[[#This Row],[(A) Err]]^2</f>
        <v>56.831824670787448</v>
      </c>
      <c r="AN607" s="6">
        <f>Table2[[#This Row],[EV]]-Table2[[#This Row],[Spread]]</f>
        <v>-6.9588709406197182</v>
      </c>
      <c r="AO607" s="1">
        <f>Table2[[#This Row],[EV Err]]^2</f>
        <v>48.425884768201563</v>
      </c>
      <c r="AP607" s="1"/>
    </row>
    <row r="608" spans="1:42" x14ac:dyDescent="0.25">
      <c r="A608" s="34">
        <v>42750</v>
      </c>
      <c r="B608" t="s">
        <v>111</v>
      </c>
      <c r="C608" t="s">
        <v>119</v>
      </c>
      <c r="E608" s="21"/>
      <c r="G608" s="21"/>
      <c r="H608" s="7"/>
      <c r="I608" s="21"/>
      <c r="K608"/>
      <c r="L608" s="21">
        <f>(Table2[[#This Row],[H/Pace]]/100)*(VLOOKUP(Table2[[#This Row],[Home/Neutral]],home_lookup,8,FALSE)+VLOOKUP(Table2[[#This Row],[Home/Neutral]],OFR_lookup,2,FALSE)+VLOOKUP(Table2[[#This Row],[Visitor/Neutral]],def_diff_lookup,6,FALSE))</f>
        <v>102.95561832771635</v>
      </c>
      <c r="M608" s="21"/>
      <c r="N608" s="21">
        <f>(Table2[[#This Row],[A/Pace]]/100)*(VLOOKUP(Table2[[#This Row],[Visitor/Neutral]],OFR_lookup,2,FALSE)+VLOOKUP(Table2[[#This Row],[Home/Neutral]],def_diff_lookup,6,FALSE))</f>
        <v>113.70795100000001</v>
      </c>
      <c r="O608" s="21"/>
      <c r="P608" s="21"/>
      <c r="Q608">
        <f>VLOOKUP(Table2[[#This Row],[Home/Neutral]],pace_lookup,7,FALSE)</f>
        <v>102</v>
      </c>
      <c r="R608" s="5">
        <f>VLOOKUP(Table2[[#This Row],[Visitor/Neutral]],pace_lookup,7,FALSE)</f>
        <v>96.9</v>
      </c>
      <c r="S608" s="7"/>
      <c r="U608" s="15"/>
      <c r="W608" s="2">
        <f>-home-VLOOKUP(Table2[[#This Row],[Home/Neutral]],rtg_vlookup,4,FALSE)+VLOOKUP(Table2[[#This Row],[Visitor/Neutral]],rtg_vlookup,4,FALSE)</f>
        <v>9.6813114754098333</v>
      </c>
      <c r="X608" s="15"/>
      <c r="Y608" s="2"/>
      <c r="Z608" s="2">
        <f>Table2[[#This Row],[A/EV]]-Table2[[#This Row],[H/EV]]</f>
        <v>10.752332672283657</v>
      </c>
      <c r="AA608" s="29"/>
      <c r="AB608" s="30"/>
      <c r="AC608" s="30"/>
      <c r="AD608" s="30"/>
      <c r="AE608" s="30"/>
      <c r="AF608" s="7" t="b">
        <f>IF(VLOOKUP(Table2[[#This Row],[Home/Neutral]],division_lookup,9,FALSE)=VLOOKUP(Table2[[#This Row],[Visitor/Neutral]],division_lookup,9,FALSE),TRUE,FALSE)</f>
        <v>0</v>
      </c>
      <c r="AG608" s="15" t="str">
        <f>VLOOKUP(Table2[[#This Row],[Home/Neutral]],division_lookup,9,FALSE)</f>
        <v>A</v>
      </c>
      <c r="AH608" s="15" t="str">
        <f>IF(Table2[[#This Row],[Total/EV]]&lt;Table2[[#This Row],[Total/V]],"UNDER","OVER")</f>
        <v>OVER</v>
      </c>
      <c r="AI608" s="26">
        <f>Table2[[#This Row],[SRS/Real]]-Table2[[#This Row],[Spread/V]]</f>
        <v>0</v>
      </c>
      <c r="AJ608" s="2">
        <f>Table2[[#This Row],[EV/Real]]-Table2[[#This Row],[Spread/V]]</f>
        <v>0</v>
      </c>
      <c r="AK608" s="2">
        <f>Table2[[#This Row],[SRS/Diff]]-Table2[[#This Row],[EV/Diff]]</f>
        <v>0</v>
      </c>
      <c r="AL608" s="18">
        <f>Table2[[#This Row],[SRS]]-Table2[[#This Row],[Spread]]</f>
        <v>9.6813114754098333</v>
      </c>
      <c r="AM608" s="21">
        <f>Table2[[#This Row],[(A) Err]]^2</f>
        <v>93.727791883902128</v>
      </c>
      <c r="AN608" s="6">
        <f>Table2[[#This Row],[EV]]-Table2[[#This Row],[Spread]]</f>
        <v>10.752332672283657</v>
      </c>
      <c r="AO608" s="1">
        <f>Table2[[#This Row],[EV Err]]^2</f>
        <v>115.61265789545861</v>
      </c>
      <c r="AP608" s="1"/>
    </row>
    <row r="609" spans="1:42" x14ac:dyDescent="0.25">
      <c r="A609" s="34">
        <v>42750</v>
      </c>
      <c r="B609" t="s">
        <v>115</v>
      </c>
      <c r="C609" t="s">
        <v>126</v>
      </c>
      <c r="E609" s="21"/>
      <c r="G609" s="21"/>
      <c r="H609" s="7"/>
      <c r="I609" s="21"/>
      <c r="K609"/>
      <c r="L609" s="21">
        <f>(Table2[[#This Row],[H/Pace]]/100)*(VLOOKUP(Table2[[#This Row],[Home/Neutral]],home_lookup,8,FALSE)+VLOOKUP(Table2[[#This Row],[Home/Neutral]],OFR_lookup,2,FALSE)+VLOOKUP(Table2[[#This Row],[Visitor/Neutral]],def_diff_lookup,6,FALSE))</f>
        <v>98.387763115967758</v>
      </c>
      <c r="M609" s="21"/>
      <c r="N609" s="21">
        <f>(Table2[[#This Row],[A/Pace]]/100)*(VLOOKUP(Table2[[#This Row],[Visitor/Neutral]],OFR_lookup,2,FALSE)+VLOOKUP(Table2[[#This Row],[Home/Neutral]],def_diff_lookup,6,FALSE))</f>
        <v>103.33271300000001</v>
      </c>
      <c r="O609" s="21"/>
      <c r="P609" s="21"/>
      <c r="Q609">
        <f>VLOOKUP(Table2[[#This Row],[Home/Neutral]],pace_lookup,7,FALSE)</f>
        <v>92.9</v>
      </c>
      <c r="R609" s="5">
        <f>VLOOKUP(Table2[[#This Row],[Visitor/Neutral]],pace_lookup,7,FALSE)</f>
        <v>95.7</v>
      </c>
      <c r="S609" s="7"/>
      <c r="U609" s="15"/>
      <c r="W609" s="2">
        <f>-home-VLOOKUP(Table2[[#This Row],[Home/Neutral]],rtg_vlookup,4,FALSE)+VLOOKUP(Table2[[#This Row],[Visitor/Neutral]],rtg_vlookup,4,FALSE)</f>
        <v>4.9013114754098339</v>
      </c>
      <c r="X609" s="15"/>
      <c r="Y609" s="2"/>
      <c r="Z609" s="2">
        <f>Table2[[#This Row],[A/EV]]-Table2[[#This Row],[H/EV]]</f>
        <v>4.9449498840322548</v>
      </c>
      <c r="AA609" s="29"/>
      <c r="AB609" s="30"/>
      <c r="AC609" s="30"/>
      <c r="AD609" s="30"/>
      <c r="AE609" s="30"/>
      <c r="AF609" s="7" t="b">
        <f>IF(VLOOKUP(Table2[[#This Row],[Home/Neutral]],division_lookup,9,FALSE)=VLOOKUP(Table2[[#This Row],[Visitor/Neutral]],division_lookup,9,FALSE),TRUE,FALSE)</f>
        <v>0</v>
      </c>
      <c r="AG609" s="15" t="str">
        <f>VLOOKUP(Table2[[#This Row],[Home/Neutral]],division_lookup,9,FALSE)</f>
        <v>SW</v>
      </c>
      <c r="AH609" s="15" t="str">
        <f>IF(Table2[[#This Row],[Total/EV]]&lt;Table2[[#This Row],[Total/V]],"UNDER","OVER")</f>
        <v>OVER</v>
      </c>
      <c r="AI609" s="26">
        <f>Table2[[#This Row],[SRS/Real]]-Table2[[#This Row],[Spread/V]]</f>
        <v>0</v>
      </c>
      <c r="AJ609" s="2">
        <f>Table2[[#This Row],[EV/Real]]-Table2[[#This Row],[Spread/V]]</f>
        <v>0</v>
      </c>
      <c r="AK609" s="2">
        <f>Table2[[#This Row],[SRS/Diff]]-Table2[[#This Row],[EV/Diff]]</f>
        <v>0</v>
      </c>
      <c r="AL609" s="18">
        <f>Table2[[#This Row],[SRS]]-Table2[[#This Row],[Spread]]</f>
        <v>4.9013114754098339</v>
      </c>
      <c r="AM609" s="21">
        <f>Table2[[#This Row],[(A) Err]]^2</f>
        <v>24.022854178984122</v>
      </c>
      <c r="AN609" s="6">
        <f>Table2[[#This Row],[EV]]-Table2[[#This Row],[Spread]]</f>
        <v>4.9449498840322548</v>
      </c>
      <c r="AO609" s="1">
        <f>Table2[[#This Row],[EV Err]]^2</f>
        <v>24.45252935559061</v>
      </c>
      <c r="AP609" s="1"/>
    </row>
    <row r="610" spans="1:42" x14ac:dyDescent="0.25">
      <c r="A610" s="34">
        <v>42750</v>
      </c>
      <c r="B610" t="s">
        <v>122</v>
      </c>
      <c r="C610" t="s">
        <v>117</v>
      </c>
      <c r="E610" s="21"/>
      <c r="G610" s="21"/>
      <c r="H610" s="7"/>
      <c r="I610" s="21"/>
      <c r="K610"/>
      <c r="L610" s="21">
        <f>(Table2[[#This Row],[H/Pace]]/100)*(VLOOKUP(Table2[[#This Row],[Home/Neutral]],home_lookup,8,FALSE)+VLOOKUP(Table2[[#This Row],[Home/Neutral]],OFR_lookup,2,FALSE)+VLOOKUP(Table2[[#This Row],[Visitor/Neutral]],def_diff_lookup,6,FALSE))</f>
        <v>105.90018832744731</v>
      </c>
      <c r="M610" s="21"/>
      <c r="N610" s="21">
        <f>(Table2[[#This Row],[A/Pace]]/100)*(VLOOKUP(Table2[[#This Row],[Visitor/Neutral]],OFR_lookup,2,FALSE)+VLOOKUP(Table2[[#This Row],[Home/Neutral]],def_diff_lookup,6,FALSE))</f>
        <v>102.35252666666665</v>
      </c>
      <c r="O610" s="21"/>
      <c r="P610" s="21"/>
      <c r="Q610">
        <f>VLOOKUP(Table2[[#This Row],[Home/Neutral]],pace_lookup,7,FALSE)</f>
        <v>100.2</v>
      </c>
      <c r="R610" s="5">
        <f>VLOOKUP(Table2[[#This Row],[Visitor/Neutral]],pace_lookup,7,FALSE)</f>
        <v>94</v>
      </c>
      <c r="S610" s="7"/>
      <c r="U610" s="15"/>
      <c r="W610" s="2">
        <f>-home-VLOOKUP(Table2[[#This Row],[Home/Neutral]],rtg_vlookup,4,FALSE)+VLOOKUP(Table2[[#This Row],[Visitor/Neutral]],rtg_vlookup,4,FALSE)</f>
        <v>1.0413114754098343</v>
      </c>
      <c r="X610" s="15"/>
      <c r="Y610" s="2"/>
      <c r="Z610" s="2">
        <f>Table2[[#This Row],[A/EV]]-Table2[[#This Row],[H/EV]]</f>
        <v>-3.5476616607806619</v>
      </c>
      <c r="AA610" s="29"/>
      <c r="AB610" s="30"/>
      <c r="AC610" s="30"/>
      <c r="AD610" s="30"/>
      <c r="AE610" s="30"/>
      <c r="AF610" s="7" t="b">
        <f>IF(VLOOKUP(Table2[[#This Row],[Home/Neutral]],division_lookup,9,FALSE)=VLOOKUP(Table2[[#This Row],[Visitor/Neutral]],division_lookup,9,FALSE),TRUE,FALSE)</f>
        <v>0</v>
      </c>
      <c r="AG610" s="15" t="str">
        <f>VLOOKUP(Table2[[#This Row],[Home/Neutral]],division_lookup,9,FALSE)</f>
        <v>P</v>
      </c>
      <c r="AH610" s="15" t="str">
        <f>IF(Table2[[#This Row],[Total/EV]]&lt;Table2[[#This Row],[Total/V]],"UNDER","OVER")</f>
        <v>OVER</v>
      </c>
      <c r="AI610" s="26">
        <f>Table2[[#This Row],[SRS/Real]]-Table2[[#This Row],[Spread/V]]</f>
        <v>0</v>
      </c>
      <c r="AJ610" s="2">
        <f>Table2[[#This Row],[EV/Real]]-Table2[[#This Row],[Spread/V]]</f>
        <v>0</v>
      </c>
      <c r="AK610" s="2">
        <f>Table2[[#This Row],[SRS/Diff]]-Table2[[#This Row],[EV/Diff]]</f>
        <v>0</v>
      </c>
      <c r="AL610" s="18">
        <f>Table2[[#This Row],[SRS]]-Table2[[#This Row],[Spread]]</f>
        <v>1.0413114754098343</v>
      </c>
      <c r="AM610" s="21">
        <f>Table2[[#This Row],[(A) Err]]^2</f>
        <v>1.0843295888202058</v>
      </c>
      <c r="AN610" s="6">
        <f>Table2[[#This Row],[EV]]-Table2[[#This Row],[Spread]]</f>
        <v>-3.5476616607806619</v>
      </c>
      <c r="AO610" s="1">
        <f>Table2[[#This Row],[EV Err]]^2</f>
        <v>12.585903259373005</v>
      </c>
      <c r="AP610" s="1"/>
    </row>
    <row r="611" spans="1:42" x14ac:dyDescent="0.25">
      <c r="A611" s="34">
        <v>42750</v>
      </c>
      <c r="B611" t="s">
        <v>123</v>
      </c>
      <c r="C611" t="s">
        <v>113</v>
      </c>
      <c r="E611" s="21"/>
      <c r="G611" s="21"/>
      <c r="H611" s="7"/>
      <c r="I611" s="21"/>
      <c r="K611"/>
      <c r="L611" s="21">
        <f>(Table2[[#This Row],[H/Pace]]/100)*(VLOOKUP(Table2[[#This Row],[Home/Neutral]],home_lookup,8,FALSE)+VLOOKUP(Table2[[#This Row],[Home/Neutral]],OFR_lookup,2,FALSE)+VLOOKUP(Table2[[#This Row],[Visitor/Neutral]],def_diff_lookup,6,FALSE))</f>
        <v>101.33767709563918</v>
      </c>
      <c r="M611" s="21"/>
      <c r="N611" s="21">
        <f>(Table2[[#This Row],[A/Pace]]/100)*(VLOOKUP(Table2[[#This Row],[Visitor/Neutral]],OFR_lookup,2,FALSE)+VLOOKUP(Table2[[#This Row],[Home/Neutral]],def_diff_lookup,6,FALSE))</f>
        <v>102.03817899999999</v>
      </c>
      <c r="O611" s="21"/>
      <c r="P611" s="21"/>
      <c r="Q611">
        <f>VLOOKUP(Table2[[#This Row],[Home/Neutral]],pace_lookup,7,FALSE)</f>
        <v>92.5</v>
      </c>
      <c r="R611" s="5">
        <f>VLOOKUP(Table2[[#This Row],[Visitor/Neutral]],pace_lookup,7,FALSE)</f>
        <v>95.1</v>
      </c>
      <c r="S611" s="7"/>
      <c r="U611" s="15"/>
      <c r="W611" s="2">
        <f>-home-VLOOKUP(Table2[[#This Row],[Home/Neutral]],rtg_vlookup,4,FALSE)+VLOOKUP(Table2[[#This Row],[Visitor/Neutral]],rtg_vlookup,4,FALSE)</f>
        <v>1.1913114754098344</v>
      </c>
      <c r="X611" s="15"/>
      <c r="Y611" s="2"/>
      <c r="Z611" s="2">
        <f>Table2[[#This Row],[A/EV]]-Table2[[#This Row],[H/EV]]</f>
        <v>0.70050190436080584</v>
      </c>
      <c r="AA611" s="29"/>
      <c r="AB611" s="30"/>
      <c r="AC611" s="30"/>
      <c r="AD611" s="30"/>
      <c r="AE611" s="30"/>
      <c r="AF611" s="7" t="b">
        <f>IF(VLOOKUP(Table2[[#This Row],[Home/Neutral]],division_lookup,9,FALSE)=VLOOKUP(Table2[[#This Row],[Visitor/Neutral]],division_lookup,9,FALSE),TRUE,FALSE)</f>
        <v>0</v>
      </c>
      <c r="AG611" s="15" t="str">
        <f>VLOOKUP(Table2[[#This Row],[Home/Neutral]],division_lookup,9,FALSE)</f>
        <v>SW</v>
      </c>
      <c r="AH611" s="15" t="str">
        <f>IF(Table2[[#This Row],[Total/EV]]&lt;Table2[[#This Row],[Total/V]],"UNDER","OVER")</f>
        <v>OVER</v>
      </c>
      <c r="AI611" s="26">
        <f>Table2[[#This Row],[SRS/Real]]-Table2[[#This Row],[Spread/V]]</f>
        <v>0</v>
      </c>
      <c r="AJ611" s="2">
        <f>Table2[[#This Row],[EV/Real]]-Table2[[#This Row],[Spread/V]]</f>
        <v>0</v>
      </c>
      <c r="AK611" s="2">
        <f>Table2[[#This Row],[SRS/Diff]]-Table2[[#This Row],[EV/Diff]]</f>
        <v>0</v>
      </c>
      <c r="AL611" s="18">
        <f>Table2[[#This Row],[SRS]]-Table2[[#This Row],[Spread]]</f>
        <v>1.1913114754098344</v>
      </c>
      <c r="AM611" s="21">
        <f>Table2[[#This Row],[(A) Err]]^2</f>
        <v>1.4192230314431564</v>
      </c>
      <c r="AN611" s="6">
        <f>Table2[[#This Row],[EV]]-Table2[[#This Row],[Spread]]</f>
        <v>0.70050190436080584</v>
      </c>
      <c r="AO611" s="1">
        <f>Table2[[#This Row],[EV Err]]^2</f>
        <v>0.49070291801311555</v>
      </c>
      <c r="AP611" s="1"/>
    </row>
    <row r="612" spans="1:42" x14ac:dyDescent="0.25">
      <c r="A612" s="34">
        <v>42750</v>
      </c>
      <c r="B612" t="s">
        <v>133</v>
      </c>
      <c r="C612" t="s">
        <v>129</v>
      </c>
      <c r="E612" s="21"/>
      <c r="G612" s="21"/>
      <c r="H612" s="7"/>
      <c r="I612" s="21"/>
      <c r="K612"/>
      <c r="L612" s="21">
        <f>(Table2[[#This Row],[H/Pace]]/100)*(VLOOKUP(Table2[[#This Row],[Home/Neutral]],home_lookup,8,FALSE)+VLOOKUP(Table2[[#This Row],[Home/Neutral]],OFR_lookup,2,FALSE)+VLOOKUP(Table2[[#This Row],[Visitor/Neutral]],def_diff_lookup,6,FALSE))</f>
        <v>106.2333474827998</v>
      </c>
      <c r="M612" s="21"/>
      <c r="N612" s="21">
        <f>(Table2[[#This Row],[A/Pace]]/100)*(VLOOKUP(Table2[[#This Row],[Visitor/Neutral]],OFR_lookup,2,FALSE)+VLOOKUP(Table2[[#This Row],[Home/Neutral]],def_diff_lookup,6,FALSE))</f>
        <v>108.39080999999999</v>
      </c>
      <c r="O612" s="21"/>
      <c r="P612" s="21"/>
      <c r="Q612">
        <f>VLOOKUP(Table2[[#This Row],[Home/Neutral]],pace_lookup,7,FALSE)</f>
        <v>94.2</v>
      </c>
      <c r="R612" s="5">
        <f>VLOOKUP(Table2[[#This Row],[Visitor/Neutral]],pace_lookup,7,FALSE)</f>
        <v>99</v>
      </c>
      <c r="S612" s="7"/>
      <c r="U612" s="15"/>
      <c r="W612" s="2">
        <f>-home-VLOOKUP(Table2[[#This Row],[Home/Neutral]],rtg_vlookup,4,FALSE)+VLOOKUP(Table2[[#This Row],[Visitor/Neutral]],rtg_vlookup,4,FALSE)</f>
        <v>0.65131147540983414</v>
      </c>
      <c r="X612" s="15"/>
      <c r="Y612" s="2"/>
      <c r="Z612" s="2">
        <f>Table2[[#This Row],[A/EV]]-Table2[[#This Row],[H/EV]]</f>
        <v>2.1574625172001873</v>
      </c>
      <c r="AA612" s="29"/>
      <c r="AB612" s="30"/>
      <c r="AC612" s="30"/>
      <c r="AD612" s="30"/>
      <c r="AE612" s="30"/>
      <c r="AF612" s="7" t="b">
        <f>IF(VLOOKUP(Table2[[#This Row],[Home/Neutral]],division_lookup,9,FALSE)=VLOOKUP(Table2[[#This Row],[Visitor/Neutral]],division_lookup,9,FALSE),TRUE,FALSE)</f>
        <v>0</v>
      </c>
      <c r="AG612" s="15" t="str">
        <f>VLOOKUP(Table2[[#This Row],[Home/Neutral]],division_lookup,9,FALSE)</f>
        <v>P</v>
      </c>
      <c r="AH612" s="15" t="str">
        <f>IF(Table2[[#This Row],[Total/EV]]&lt;Table2[[#This Row],[Total/V]],"UNDER","OVER")</f>
        <v>OVER</v>
      </c>
      <c r="AI612" s="26">
        <f>Table2[[#This Row],[SRS/Real]]-Table2[[#This Row],[Spread/V]]</f>
        <v>0</v>
      </c>
      <c r="AJ612" s="2">
        <f>Table2[[#This Row],[EV/Real]]-Table2[[#This Row],[Spread/V]]</f>
        <v>0</v>
      </c>
      <c r="AK612" s="2">
        <f>Table2[[#This Row],[SRS/Diff]]-Table2[[#This Row],[EV/Diff]]</f>
        <v>0</v>
      </c>
      <c r="AL612" s="18">
        <f>Table2[[#This Row],[SRS]]-Table2[[#This Row],[Spread]]</f>
        <v>0.65131147540983414</v>
      </c>
      <c r="AM612" s="21">
        <f>Table2[[#This Row],[(A) Err]]^2</f>
        <v>0.42420663800053499</v>
      </c>
      <c r="AN612" s="6">
        <f>Table2[[#This Row],[EV]]-Table2[[#This Row],[Spread]]</f>
        <v>2.1574625172001873</v>
      </c>
      <c r="AO612" s="1">
        <f>Table2[[#This Row],[EV Err]]^2</f>
        <v>4.6546445131237686</v>
      </c>
      <c r="AP612" s="1"/>
    </row>
    <row r="613" spans="1:42" x14ac:dyDescent="0.25">
      <c r="A613" s="34">
        <v>42750</v>
      </c>
      <c r="B613" t="s">
        <v>135</v>
      </c>
      <c r="C613" t="s">
        <v>128</v>
      </c>
      <c r="E613" s="21"/>
      <c r="G613" s="21"/>
      <c r="H613" s="7"/>
      <c r="I613" s="21"/>
      <c r="K613"/>
      <c r="L613" s="21">
        <f>(Table2[[#This Row],[H/Pace]]/100)*(VLOOKUP(Table2[[#This Row],[Home/Neutral]],home_lookup,8,FALSE)+VLOOKUP(Table2[[#This Row],[Home/Neutral]],OFR_lookup,2,FALSE)+VLOOKUP(Table2[[#This Row],[Visitor/Neutral]],def_diff_lookup,6,FALSE))</f>
        <v>112.65456035324615</v>
      </c>
      <c r="M613" s="21"/>
      <c r="N613" s="21">
        <f>(Table2[[#This Row],[A/Pace]]/100)*(VLOOKUP(Table2[[#This Row],[Visitor/Neutral]],OFR_lookup,2,FALSE)+VLOOKUP(Table2[[#This Row],[Home/Neutral]],def_diff_lookup,6,FALSE))</f>
        <v>104.80874699999998</v>
      </c>
      <c r="O613" s="21"/>
      <c r="P613" s="21"/>
      <c r="Q613">
        <f>VLOOKUP(Table2[[#This Row],[Home/Neutral]],pace_lookup,7,FALSE)</f>
        <v>95.4</v>
      </c>
      <c r="R613" s="5">
        <f>VLOOKUP(Table2[[#This Row],[Visitor/Neutral]],pace_lookup,7,FALSE)</f>
        <v>96.3</v>
      </c>
      <c r="S613" s="7"/>
      <c r="U613" s="15"/>
      <c r="W613" s="2">
        <f>-home-VLOOKUP(Table2[[#This Row],[Home/Neutral]],rtg_vlookup,4,FALSE)+VLOOKUP(Table2[[#This Row],[Visitor/Neutral]],rtg_vlookup,4,FALSE)</f>
        <v>-10.578688524590165</v>
      </c>
      <c r="X613" s="15"/>
      <c r="Y613" s="2"/>
      <c r="Z613" s="2">
        <f>Table2[[#This Row],[A/EV]]-Table2[[#This Row],[H/EV]]</f>
        <v>-7.8458133532461716</v>
      </c>
      <c r="AA613" s="29"/>
      <c r="AB613" s="30"/>
      <c r="AC613" s="30"/>
      <c r="AD613" s="30"/>
      <c r="AE613" s="30"/>
      <c r="AF613" s="7" t="b">
        <f>IF(VLOOKUP(Table2[[#This Row],[Home/Neutral]],division_lookup,9,FALSE)=VLOOKUP(Table2[[#This Row],[Visitor/Neutral]],division_lookup,9,FALSE),TRUE,FALSE)</f>
        <v>1</v>
      </c>
      <c r="AG613" s="15" t="str">
        <f>VLOOKUP(Table2[[#This Row],[Home/Neutral]],division_lookup,9,FALSE)</f>
        <v>A</v>
      </c>
      <c r="AH613" s="15" t="str">
        <f>IF(Table2[[#This Row],[Total/EV]]&lt;Table2[[#This Row],[Total/V]],"UNDER","OVER")</f>
        <v>OVER</v>
      </c>
      <c r="AI613" s="26">
        <f>Table2[[#This Row],[SRS/Real]]-Table2[[#This Row],[Spread/V]]</f>
        <v>0</v>
      </c>
      <c r="AJ613" s="2">
        <f>Table2[[#This Row],[EV/Real]]-Table2[[#This Row],[Spread/V]]</f>
        <v>0</v>
      </c>
      <c r="AK613" s="2">
        <f>Table2[[#This Row],[SRS/Diff]]-Table2[[#This Row],[EV/Diff]]</f>
        <v>0</v>
      </c>
      <c r="AL613" s="18">
        <f>Table2[[#This Row],[SRS]]-Table2[[#This Row],[Spread]]</f>
        <v>-10.578688524590165</v>
      </c>
      <c r="AM613" s="21">
        <f>Table2[[#This Row],[(A) Err]]^2</f>
        <v>111.90865090029564</v>
      </c>
      <c r="AN613" s="6">
        <f>Table2[[#This Row],[EV]]-Table2[[#This Row],[Spread]]</f>
        <v>-7.8458133532461716</v>
      </c>
      <c r="AO613" s="1">
        <f>Table2[[#This Row],[EV Err]]^2</f>
        <v>61.556787173975934</v>
      </c>
      <c r="AP613" s="1"/>
    </row>
    <row r="614" spans="1:42" x14ac:dyDescent="0.25">
      <c r="A614" s="34">
        <v>42751</v>
      </c>
      <c r="B614" t="s">
        <v>110</v>
      </c>
      <c r="C614" t="s">
        <v>112</v>
      </c>
      <c r="E614" s="21"/>
      <c r="G614" s="21"/>
      <c r="H614" s="7"/>
      <c r="I614" s="21"/>
      <c r="K614"/>
      <c r="L614" s="21">
        <f>(Table2[[#This Row],[H/Pace]]/100)*(VLOOKUP(Table2[[#This Row],[Home/Neutral]],home_lookup,8,FALSE)+VLOOKUP(Table2[[#This Row],[Home/Neutral]],OFR_lookup,2,FALSE)+VLOOKUP(Table2[[#This Row],[Visitor/Neutral]],def_diff_lookup,6,FALSE))</f>
        <v>104.86841118900939</v>
      </c>
      <c r="M614" s="21"/>
      <c r="N614" s="21">
        <f>(Table2[[#This Row],[A/Pace]]/100)*(VLOOKUP(Table2[[#This Row],[Visitor/Neutral]],OFR_lookup,2,FALSE)+VLOOKUP(Table2[[#This Row],[Home/Neutral]],def_diff_lookup,6,FALSE))</f>
        <v>105.67477933333335</v>
      </c>
      <c r="O614" s="21"/>
      <c r="P614" s="21"/>
      <c r="Q614">
        <f>VLOOKUP(Table2[[#This Row],[Home/Neutral]],pace_lookup,7,FALSE)</f>
        <v>96.2</v>
      </c>
      <c r="R614" s="5">
        <f>VLOOKUP(Table2[[#This Row],[Visitor/Neutral]],pace_lookup,7,FALSE)</f>
        <v>97.4</v>
      </c>
      <c r="S614" s="7"/>
      <c r="U614" s="15"/>
      <c r="W614" s="2">
        <f>-home-VLOOKUP(Table2[[#This Row],[Home/Neutral]],rtg_vlookup,4,FALSE)+VLOOKUP(Table2[[#This Row],[Visitor/Neutral]],rtg_vlookup,4,FALSE)</f>
        <v>-1.2186885245901657</v>
      </c>
      <c r="X614" s="15"/>
      <c r="Y614" s="2"/>
      <c r="Z614" s="2">
        <f>Table2[[#This Row],[A/EV]]-Table2[[#This Row],[H/EV]]</f>
        <v>0.80636814432395454</v>
      </c>
      <c r="AA614" s="29"/>
      <c r="AB614" s="30"/>
      <c r="AC614" s="30"/>
      <c r="AD614" s="30"/>
      <c r="AE614" s="30"/>
      <c r="AF614" s="7" t="b">
        <f>IF(VLOOKUP(Table2[[#This Row],[Home/Neutral]],division_lookup,9,FALSE)=VLOOKUP(Table2[[#This Row],[Visitor/Neutral]],division_lookup,9,FALSE),TRUE,FALSE)</f>
        <v>0</v>
      </c>
      <c r="AG614" s="15" t="str">
        <f>VLOOKUP(Table2[[#This Row],[Home/Neutral]],division_lookup,9,FALSE)</f>
        <v>A</v>
      </c>
      <c r="AH614" s="15" t="str">
        <f>IF(Table2[[#This Row],[Total/EV]]&lt;Table2[[#This Row],[Total/V]],"UNDER","OVER")</f>
        <v>OVER</v>
      </c>
      <c r="AI614" s="26">
        <f>Table2[[#This Row],[SRS/Real]]-Table2[[#This Row],[Spread/V]]</f>
        <v>0</v>
      </c>
      <c r="AJ614" s="2">
        <f>Table2[[#This Row],[EV/Real]]-Table2[[#This Row],[Spread/V]]</f>
        <v>0</v>
      </c>
      <c r="AK614" s="2">
        <f>Table2[[#This Row],[SRS/Diff]]-Table2[[#This Row],[EV/Diff]]</f>
        <v>0</v>
      </c>
      <c r="AL614" s="18">
        <f>Table2[[#This Row],[SRS]]-Table2[[#This Row],[Spread]]</f>
        <v>-1.2186885245901657</v>
      </c>
      <c r="AM614" s="21">
        <f>Table2[[#This Row],[(A) Err]]^2</f>
        <v>1.485201719967755</v>
      </c>
      <c r="AN614" s="6">
        <f>Table2[[#This Row],[EV]]-Table2[[#This Row],[Spread]]</f>
        <v>0.80636814432395454</v>
      </c>
      <c r="AO614" s="1">
        <f>Table2[[#This Row],[EV Err]]^2</f>
        <v>0.65022958418045795</v>
      </c>
      <c r="AP614" s="1"/>
    </row>
    <row r="615" spans="1:42" x14ac:dyDescent="0.25">
      <c r="A615" s="34">
        <v>42751</v>
      </c>
      <c r="B615" t="s">
        <v>116</v>
      </c>
      <c r="C615" t="s">
        <v>130</v>
      </c>
      <c r="E615" s="21"/>
      <c r="G615" s="21"/>
      <c r="H615" s="7"/>
      <c r="I615" s="21"/>
      <c r="K615"/>
      <c r="L615" s="21">
        <f>(Table2[[#This Row],[H/Pace]]/100)*(VLOOKUP(Table2[[#This Row],[Home/Neutral]],home_lookup,8,FALSE)+VLOOKUP(Table2[[#This Row],[Home/Neutral]],OFR_lookup,2,FALSE)+VLOOKUP(Table2[[#This Row],[Visitor/Neutral]],def_diff_lookup,6,FALSE))</f>
        <v>104.72740470161862</v>
      </c>
      <c r="M615" s="21"/>
      <c r="N615" s="21">
        <f>(Table2[[#This Row],[A/Pace]]/100)*(VLOOKUP(Table2[[#This Row],[Visitor/Neutral]],OFR_lookup,2,FALSE)+VLOOKUP(Table2[[#This Row],[Home/Neutral]],def_diff_lookup,6,FALSE))</f>
        <v>92.396698000000001</v>
      </c>
      <c r="O615" s="21"/>
      <c r="P615" s="21"/>
      <c r="Q615">
        <f>VLOOKUP(Table2[[#This Row],[Home/Neutral]],pace_lookup,7,FALSE)</f>
        <v>99.1</v>
      </c>
      <c r="R615" s="5">
        <f>VLOOKUP(Table2[[#This Row],[Visitor/Neutral]],pace_lookup,7,FALSE)</f>
        <v>94.2</v>
      </c>
      <c r="S615" s="7"/>
      <c r="U615" s="15"/>
      <c r="W615" s="2">
        <f>-home-VLOOKUP(Table2[[#This Row],[Home/Neutral]],rtg_vlookup,4,FALSE)+VLOOKUP(Table2[[#This Row],[Visitor/Neutral]],rtg_vlookup,4,FALSE)</f>
        <v>-10.668688524590166</v>
      </c>
      <c r="X615" s="15"/>
      <c r="Y615" s="2"/>
      <c r="Z615" s="2">
        <f>Table2[[#This Row],[A/EV]]-Table2[[#This Row],[H/EV]]</f>
        <v>-12.330706701618624</v>
      </c>
      <c r="AA615" s="29"/>
      <c r="AB615" s="30"/>
      <c r="AC615" s="30"/>
      <c r="AD615" s="30"/>
      <c r="AE615" s="30"/>
      <c r="AF615" s="7" t="b">
        <f>IF(VLOOKUP(Table2[[#This Row],[Home/Neutral]],division_lookup,9,FALSE)=VLOOKUP(Table2[[#This Row],[Visitor/Neutral]],division_lookup,9,FALSE),TRUE,FALSE)</f>
        <v>0</v>
      </c>
      <c r="AG615" s="15" t="str">
        <f>VLOOKUP(Table2[[#This Row],[Home/Neutral]],division_lookup,9,FALSE)</f>
        <v>NW</v>
      </c>
      <c r="AH615" s="15" t="str">
        <f>IF(Table2[[#This Row],[Total/EV]]&lt;Table2[[#This Row],[Total/V]],"UNDER","OVER")</f>
        <v>OVER</v>
      </c>
      <c r="AI615" s="26">
        <f>Table2[[#This Row],[SRS/Real]]-Table2[[#This Row],[Spread/V]]</f>
        <v>0</v>
      </c>
      <c r="AJ615" s="2">
        <f>Table2[[#This Row],[EV/Real]]-Table2[[#This Row],[Spread/V]]</f>
        <v>0</v>
      </c>
      <c r="AK615" s="2">
        <f>Table2[[#This Row],[SRS/Diff]]-Table2[[#This Row],[EV/Diff]]</f>
        <v>0</v>
      </c>
      <c r="AL615" s="18">
        <f>Table2[[#This Row],[SRS]]-Table2[[#This Row],[Spread]]</f>
        <v>-10.668688524590166</v>
      </c>
      <c r="AM615" s="21">
        <f>Table2[[#This Row],[(A) Err]]^2</f>
        <v>113.8209148347219</v>
      </c>
      <c r="AN615" s="6">
        <f>Table2[[#This Row],[EV]]-Table2[[#This Row],[Spread]]</f>
        <v>-12.330706701618624</v>
      </c>
      <c r="AO615" s="1">
        <f>Table2[[#This Row],[EV Err]]^2</f>
        <v>152.04632776134244</v>
      </c>
      <c r="AP615" s="1"/>
    </row>
    <row r="616" spans="1:42" x14ac:dyDescent="0.25">
      <c r="A616" s="34">
        <v>42751</v>
      </c>
      <c r="B616" t="s">
        <v>118</v>
      </c>
      <c r="C616" t="s">
        <v>114</v>
      </c>
      <c r="E616" s="21"/>
      <c r="G616" s="21"/>
      <c r="H616" s="7"/>
      <c r="I616" s="21"/>
      <c r="K616"/>
      <c r="L616" s="21">
        <f>(Table2[[#This Row],[H/Pace]]/100)*(VLOOKUP(Table2[[#This Row],[Home/Neutral]],home_lookup,8,FALSE)+VLOOKUP(Table2[[#This Row],[Home/Neutral]],OFR_lookup,2,FALSE)+VLOOKUP(Table2[[#This Row],[Visitor/Neutral]],def_diff_lookup,6,FALSE))</f>
        <v>114.22039838078238</v>
      </c>
      <c r="M616" s="21"/>
      <c r="N616" s="21">
        <f>(Table2[[#This Row],[A/Pace]]/100)*(VLOOKUP(Table2[[#This Row],[Visitor/Neutral]],OFR_lookup,2,FALSE)+VLOOKUP(Table2[[#This Row],[Home/Neutral]],def_diff_lookup,6,FALSE))</f>
        <v>110.56750366666667</v>
      </c>
      <c r="O616" s="21"/>
      <c r="P616" s="21"/>
      <c r="Q616">
        <f>VLOOKUP(Table2[[#This Row],[Home/Neutral]],pace_lookup,7,FALSE)</f>
        <v>100.4</v>
      </c>
      <c r="R616" s="5">
        <f>VLOOKUP(Table2[[#This Row],[Visitor/Neutral]],pace_lookup,7,FALSE)</f>
        <v>97.3</v>
      </c>
      <c r="S616" s="7"/>
      <c r="U616" s="15"/>
      <c r="W616" s="2">
        <f>-home-VLOOKUP(Table2[[#This Row],[Home/Neutral]],rtg_vlookup,4,FALSE)+VLOOKUP(Table2[[#This Row],[Visitor/Neutral]],rtg_vlookup,4,FALSE)</f>
        <v>-5.5486885245901654</v>
      </c>
      <c r="X616" s="15"/>
      <c r="Y616" s="2"/>
      <c r="Z616" s="2">
        <f>Table2[[#This Row],[A/EV]]-Table2[[#This Row],[H/EV]]</f>
        <v>-3.6528947141157175</v>
      </c>
      <c r="AA616" s="29"/>
      <c r="AB616" s="30"/>
      <c r="AC616" s="30"/>
      <c r="AD616" s="30"/>
      <c r="AE616" s="30"/>
      <c r="AF616" s="7" t="b">
        <f>IF(VLOOKUP(Table2[[#This Row],[Home/Neutral]],division_lookup,9,FALSE)=VLOOKUP(Table2[[#This Row],[Visitor/Neutral]],division_lookup,9,FALSE),TRUE,FALSE)</f>
        <v>0</v>
      </c>
      <c r="AG616" s="15" t="str">
        <f>VLOOKUP(Table2[[#This Row],[Home/Neutral]],division_lookup,9,FALSE)</f>
        <v>P</v>
      </c>
      <c r="AH616" s="15" t="str">
        <f>IF(Table2[[#This Row],[Total/EV]]&lt;Table2[[#This Row],[Total/V]],"UNDER","OVER")</f>
        <v>OVER</v>
      </c>
      <c r="AI616" s="26">
        <f>Table2[[#This Row],[SRS/Real]]-Table2[[#This Row],[Spread/V]]</f>
        <v>0</v>
      </c>
      <c r="AJ616" s="2">
        <f>Table2[[#This Row],[EV/Real]]-Table2[[#This Row],[Spread/V]]</f>
        <v>0</v>
      </c>
      <c r="AK616" s="2">
        <f>Table2[[#This Row],[SRS/Diff]]-Table2[[#This Row],[EV/Diff]]</f>
        <v>0</v>
      </c>
      <c r="AL616" s="18">
        <f>Table2[[#This Row],[SRS]]-Table2[[#This Row],[Spread]]</f>
        <v>-5.5486885245901654</v>
      </c>
      <c r="AM616" s="21">
        <f>Table2[[#This Row],[(A) Err]]^2</f>
        <v>30.787944342918586</v>
      </c>
      <c r="AN616" s="6">
        <f>Table2[[#This Row],[EV]]-Table2[[#This Row],[Spread]]</f>
        <v>-3.6528947141157175</v>
      </c>
      <c r="AO616" s="1">
        <f>Table2[[#This Row],[EV Err]]^2</f>
        <v>13.34363979241455</v>
      </c>
      <c r="AP616" s="1"/>
    </row>
    <row r="617" spans="1:42" x14ac:dyDescent="0.25">
      <c r="A617" s="34">
        <v>42751</v>
      </c>
      <c r="B617" t="s">
        <v>120</v>
      </c>
      <c r="C617" t="s">
        <v>127</v>
      </c>
      <c r="E617" s="21"/>
      <c r="G617" s="21"/>
      <c r="H617" s="7"/>
      <c r="I617" s="21"/>
      <c r="K617"/>
      <c r="L617" s="21">
        <f>(Table2[[#This Row],[H/Pace]]/100)*(VLOOKUP(Table2[[#This Row],[Home/Neutral]],home_lookup,8,FALSE)+VLOOKUP(Table2[[#This Row],[Home/Neutral]],OFR_lookup,2,FALSE)+VLOOKUP(Table2[[#This Row],[Visitor/Neutral]],def_diff_lookup,6,FALSE))</f>
        <v>104.7078354293086</v>
      </c>
      <c r="M617" s="21"/>
      <c r="N617" s="21">
        <f>(Table2[[#This Row],[A/Pace]]/100)*(VLOOKUP(Table2[[#This Row],[Visitor/Neutral]],OFR_lookup,2,FALSE)+VLOOKUP(Table2[[#This Row],[Home/Neutral]],def_diff_lookup,6,FALSE))</f>
        <v>103.72447699999999</v>
      </c>
      <c r="O617" s="21"/>
      <c r="P617" s="21"/>
      <c r="Q617">
        <f>VLOOKUP(Table2[[#This Row],[Home/Neutral]],pace_lookup,7,FALSE)</f>
        <v>98.3</v>
      </c>
      <c r="R617" s="5">
        <f>VLOOKUP(Table2[[#This Row],[Visitor/Neutral]],pace_lookup,7,FALSE)</f>
        <v>99.3</v>
      </c>
      <c r="S617" s="7"/>
      <c r="U617" s="15"/>
      <c r="W617" s="2">
        <f>-home-VLOOKUP(Table2[[#This Row],[Home/Neutral]],rtg_vlookup,4,FALSE)+VLOOKUP(Table2[[#This Row],[Visitor/Neutral]],rtg_vlookup,4,FALSE)</f>
        <v>-0.73868852459016576</v>
      </c>
      <c r="X617" s="15"/>
      <c r="Y617" s="2"/>
      <c r="Z617" s="2">
        <f>Table2[[#This Row],[A/EV]]-Table2[[#This Row],[H/EV]]</f>
        <v>-0.98335842930860906</v>
      </c>
      <c r="AA617" s="29"/>
      <c r="AB617" s="30"/>
      <c r="AC617" s="30"/>
      <c r="AD617" s="30"/>
      <c r="AE617" s="30"/>
      <c r="AF617" s="7" t="b">
        <f>IF(VLOOKUP(Table2[[#This Row],[Home/Neutral]],division_lookup,9,FALSE)=VLOOKUP(Table2[[#This Row],[Visitor/Neutral]],division_lookup,9,FALSE),TRUE,FALSE)</f>
        <v>0</v>
      </c>
      <c r="AG617" s="15" t="str">
        <f>VLOOKUP(Table2[[#This Row],[Home/Neutral]],division_lookup,9,FALSE)</f>
        <v>C</v>
      </c>
      <c r="AH617" s="15" t="str">
        <f>IF(Table2[[#This Row],[Total/EV]]&lt;Table2[[#This Row],[Total/V]],"UNDER","OVER")</f>
        <v>OVER</v>
      </c>
      <c r="AI617" s="26">
        <f>Table2[[#This Row],[SRS/Real]]-Table2[[#This Row],[Spread/V]]</f>
        <v>0</v>
      </c>
      <c r="AJ617" s="2">
        <f>Table2[[#This Row],[EV/Real]]-Table2[[#This Row],[Spread/V]]</f>
        <v>0</v>
      </c>
      <c r="AK617" s="2">
        <f>Table2[[#This Row],[SRS/Diff]]-Table2[[#This Row],[EV/Diff]]</f>
        <v>0</v>
      </c>
      <c r="AL617" s="18">
        <f>Table2[[#This Row],[SRS]]-Table2[[#This Row],[Spread]]</f>
        <v>-0.73868852459016576</v>
      </c>
      <c r="AM617" s="21">
        <f>Table2[[#This Row],[(A) Err]]^2</f>
        <v>0.54566073636119594</v>
      </c>
      <c r="AN617" s="6">
        <f>Table2[[#This Row],[EV]]-Table2[[#This Row],[Spread]]</f>
        <v>-0.98335842930860906</v>
      </c>
      <c r="AO617" s="1">
        <f>Table2[[#This Row],[EV Err]]^2</f>
        <v>0.96699380049229466</v>
      </c>
      <c r="AP617" s="1"/>
    </row>
    <row r="618" spans="1:42" x14ac:dyDescent="0.25">
      <c r="A618" s="34">
        <v>42751</v>
      </c>
      <c r="B618" t="s">
        <v>121</v>
      </c>
      <c r="C618" t="s">
        <v>129</v>
      </c>
      <c r="E618" s="21"/>
      <c r="G618" s="21"/>
      <c r="H618" s="7"/>
      <c r="I618" s="21"/>
      <c r="K618"/>
      <c r="L618" s="21">
        <f>(Table2[[#This Row],[H/Pace]]/100)*(VLOOKUP(Table2[[#This Row],[Home/Neutral]],home_lookup,8,FALSE)+VLOOKUP(Table2[[#This Row],[Home/Neutral]],OFR_lookup,2,FALSE)+VLOOKUP(Table2[[#This Row],[Visitor/Neutral]],def_diff_lookup,6,FALSE))</f>
        <v>112.02952060751254</v>
      </c>
      <c r="M618" s="21"/>
      <c r="N618" s="21">
        <f>(Table2[[#This Row],[A/Pace]]/100)*(VLOOKUP(Table2[[#This Row],[Visitor/Neutral]],OFR_lookup,2,FALSE)+VLOOKUP(Table2[[#This Row],[Home/Neutral]],def_diff_lookup,6,FALSE))</f>
        <v>100.94601</v>
      </c>
      <c r="O618" s="21"/>
      <c r="P618" s="21"/>
      <c r="Q618">
        <f>VLOOKUP(Table2[[#This Row],[Home/Neutral]],pace_lookup,7,FALSE)</f>
        <v>96.4</v>
      </c>
      <c r="R618" s="5">
        <f>VLOOKUP(Table2[[#This Row],[Visitor/Neutral]],pace_lookup,7,FALSE)</f>
        <v>99</v>
      </c>
      <c r="S618" s="7"/>
      <c r="U618" s="15"/>
      <c r="W618" s="2">
        <f>-home-VLOOKUP(Table2[[#This Row],[Home/Neutral]],rtg_vlookup,4,FALSE)+VLOOKUP(Table2[[#This Row],[Visitor/Neutral]],rtg_vlookup,4,FALSE)</f>
        <v>-13.998688524590166</v>
      </c>
      <c r="X618" s="15"/>
      <c r="Y618" s="2"/>
      <c r="Z618" s="2">
        <f>Table2[[#This Row],[A/EV]]-Table2[[#This Row],[H/EV]]</f>
        <v>-11.083510607512537</v>
      </c>
      <c r="AA618" s="29"/>
      <c r="AB618" s="30"/>
      <c r="AC618" s="30"/>
      <c r="AD618" s="30"/>
      <c r="AE618" s="30"/>
      <c r="AF618" s="7" t="b">
        <f>IF(VLOOKUP(Table2[[#This Row],[Home/Neutral]],division_lookup,9,FALSE)=VLOOKUP(Table2[[#This Row],[Visitor/Neutral]],division_lookup,9,FALSE),TRUE,FALSE)</f>
        <v>0</v>
      </c>
      <c r="AG618" s="15" t="str">
        <f>VLOOKUP(Table2[[#This Row],[Home/Neutral]],division_lookup,9,FALSE)</f>
        <v>P</v>
      </c>
      <c r="AH618" s="15" t="str">
        <f>IF(Table2[[#This Row],[Total/EV]]&lt;Table2[[#This Row],[Total/V]],"UNDER","OVER")</f>
        <v>OVER</v>
      </c>
      <c r="AI618" s="26">
        <f>Table2[[#This Row],[SRS/Real]]-Table2[[#This Row],[Spread/V]]</f>
        <v>0</v>
      </c>
      <c r="AJ618" s="2">
        <f>Table2[[#This Row],[EV/Real]]-Table2[[#This Row],[Spread/V]]</f>
        <v>0</v>
      </c>
      <c r="AK618" s="2">
        <f>Table2[[#This Row],[SRS/Diff]]-Table2[[#This Row],[EV/Diff]]</f>
        <v>0</v>
      </c>
      <c r="AL618" s="18">
        <f>Table2[[#This Row],[SRS]]-Table2[[#This Row],[Spread]]</f>
        <v>-13.998688524590166</v>
      </c>
      <c r="AM618" s="21">
        <f>Table2[[#This Row],[(A) Err]]^2</f>
        <v>195.96328040849241</v>
      </c>
      <c r="AN618" s="6">
        <f>Table2[[#This Row],[EV]]-Table2[[#This Row],[Spread]]</f>
        <v>-11.083510607512537</v>
      </c>
      <c r="AO618" s="1">
        <f>Table2[[#This Row],[EV Err]]^2</f>
        <v>122.84420738684292</v>
      </c>
      <c r="AP618" s="1"/>
    </row>
    <row r="619" spans="1:42" x14ac:dyDescent="0.25">
      <c r="A619" s="34">
        <v>42751</v>
      </c>
      <c r="B619" t="s">
        <v>125</v>
      </c>
      <c r="C619" t="s">
        <v>138</v>
      </c>
      <c r="E619" s="21"/>
      <c r="G619" s="21"/>
      <c r="H619" s="7"/>
      <c r="I619" s="21"/>
      <c r="K619"/>
      <c r="L619" s="21">
        <f>(Table2[[#This Row],[H/Pace]]/100)*(VLOOKUP(Table2[[#This Row],[Home/Neutral]],home_lookup,8,FALSE)+VLOOKUP(Table2[[#This Row],[Home/Neutral]],OFR_lookup,2,FALSE)+VLOOKUP(Table2[[#This Row],[Visitor/Neutral]],def_diff_lookup,6,FALSE))</f>
        <v>110.15059550061909</v>
      </c>
      <c r="M619" s="21"/>
      <c r="N619" s="21">
        <f>(Table2[[#This Row],[A/Pace]]/100)*(VLOOKUP(Table2[[#This Row],[Visitor/Neutral]],OFR_lookup,2,FALSE)+VLOOKUP(Table2[[#This Row],[Home/Neutral]],def_diff_lookup,6,FALSE))</f>
        <v>98.305025000000001</v>
      </c>
      <c r="O619" s="21"/>
      <c r="P619" s="21"/>
      <c r="Q619">
        <f>VLOOKUP(Table2[[#This Row],[Home/Neutral]],pace_lookup,7,FALSE)</f>
        <v>96.1</v>
      </c>
      <c r="R619" s="5">
        <f>VLOOKUP(Table2[[#This Row],[Visitor/Neutral]],pace_lookup,7,FALSE)</f>
        <v>97.5</v>
      </c>
      <c r="S619" s="7"/>
      <c r="U619" s="15"/>
      <c r="W619" s="2">
        <f>-home-VLOOKUP(Table2[[#This Row],[Home/Neutral]],rtg_vlookup,4,FALSE)+VLOOKUP(Table2[[#This Row],[Visitor/Neutral]],rtg_vlookup,4,FALSE)</f>
        <v>-9.9286885245901662</v>
      </c>
      <c r="X619" s="15"/>
      <c r="Y619" s="2"/>
      <c r="Z619" s="2">
        <f>Table2[[#This Row],[A/EV]]-Table2[[#This Row],[H/EV]]</f>
        <v>-11.84557050061909</v>
      </c>
      <c r="AA619" s="29"/>
      <c r="AB619" s="30"/>
      <c r="AC619" s="30"/>
      <c r="AD619" s="30"/>
      <c r="AE619" s="30"/>
      <c r="AF619" s="7" t="b">
        <f>IF(VLOOKUP(Table2[[#This Row],[Home/Neutral]],division_lookup,9,FALSE)=VLOOKUP(Table2[[#This Row],[Visitor/Neutral]],division_lookup,9,FALSE),TRUE,FALSE)</f>
        <v>0</v>
      </c>
      <c r="AG619" s="15" t="str">
        <f>VLOOKUP(Table2[[#This Row],[Home/Neutral]],division_lookup,9,FALSE)</f>
        <v>C</v>
      </c>
      <c r="AH619" s="15" t="str">
        <f>IF(Table2[[#This Row],[Total/EV]]&lt;Table2[[#This Row],[Total/V]],"UNDER","OVER")</f>
        <v>OVER</v>
      </c>
      <c r="AI619" s="26">
        <f>Table2[[#This Row],[SRS/Real]]-Table2[[#This Row],[Spread/V]]</f>
        <v>0</v>
      </c>
      <c r="AJ619" s="2">
        <f>Table2[[#This Row],[EV/Real]]-Table2[[#This Row],[Spread/V]]</f>
        <v>0</v>
      </c>
      <c r="AK619" s="2">
        <f>Table2[[#This Row],[SRS/Diff]]-Table2[[#This Row],[EV/Diff]]</f>
        <v>0</v>
      </c>
      <c r="AL619" s="18">
        <f>Table2[[#This Row],[SRS]]-Table2[[#This Row],[Spread]]</f>
        <v>-9.9286885245901662</v>
      </c>
      <c r="AM619" s="21">
        <f>Table2[[#This Row],[(A) Err]]^2</f>
        <v>98.578855818328449</v>
      </c>
      <c r="AN619" s="6">
        <f>Table2[[#This Row],[EV]]-Table2[[#This Row],[Spread]]</f>
        <v>-11.84557050061909</v>
      </c>
      <c r="AO619" s="1">
        <f>Table2[[#This Row],[EV Err]]^2</f>
        <v>140.31754048513719</v>
      </c>
      <c r="AP619" s="1"/>
    </row>
    <row r="620" spans="1:42" x14ac:dyDescent="0.25">
      <c r="A620" s="34">
        <v>42751</v>
      </c>
      <c r="B620" t="s">
        <v>128</v>
      </c>
      <c r="C620" t="s">
        <v>109</v>
      </c>
      <c r="E620" s="21"/>
      <c r="G620" s="21"/>
      <c r="H620" s="7"/>
      <c r="I620" s="21"/>
      <c r="K620"/>
      <c r="L620" s="21">
        <f>(Table2[[#This Row],[H/Pace]]/100)*(VLOOKUP(Table2[[#This Row],[Home/Neutral]],home_lookup,8,FALSE)+VLOOKUP(Table2[[#This Row],[Home/Neutral]],OFR_lookup,2,FALSE)+VLOOKUP(Table2[[#This Row],[Visitor/Neutral]],def_diff_lookup,6,FALSE))</f>
        <v>101.7781098778302</v>
      </c>
      <c r="M620" s="21"/>
      <c r="N620" s="21">
        <f>(Table2[[#This Row],[A/Pace]]/100)*(VLOOKUP(Table2[[#This Row],[Visitor/Neutral]],OFR_lookup,2,FALSE)+VLOOKUP(Table2[[#This Row],[Home/Neutral]],def_diff_lookup,6,FALSE))</f>
        <v>104.37394133333333</v>
      </c>
      <c r="O620" s="21"/>
      <c r="P620" s="21"/>
      <c r="Q620">
        <f>VLOOKUP(Table2[[#This Row],[Home/Neutral]],pace_lookup,7,FALSE)</f>
        <v>96.3</v>
      </c>
      <c r="R620" s="5">
        <f>VLOOKUP(Table2[[#This Row],[Visitor/Neutral]],pace_lookup,7,FALSE)</f>
        <v>99.2</v>
      </c>
      <c r="S620" s="7"/>
      <c r="U620" s="15"/>
      <c r="W620" s="2">
        <f>-home-VLOOKUP(Table2[[#This Row],[Home/Neutral]],rtg_vlookup,4,FALSE)+VLOOKUP(Table2[[#This Row],[Visitor/Neutral]],rtg_vlookup,4,FALSE)</f>
        <v>1.3613114754098343</v>
      </c>
      <c r="X620" s="15"/>
      <c r="Y620" s="2"/>
      <c r="Z620" s="2">
        <f>Table2[[#This Row],[A/EV]]-Table2[[#This Row],[H/EV]]</f>
        <v>2.5958314555031308</v>
      </c>
      <c r="AA620" s="29"/>
      <c r="AB620" s="30"/>
      <c r="AC620" s="30"/>
      <c r="AD620" s="30"/>
      <c r="AE620" s="30"/>
      <c r="AF620" s="7" t="b">
        <f>IF(VLOOKUP(Table2[[#This Row],[Home/Neutral]],division_lookup,9,FALSE)=VLOOKUP(Table2[[#This Row],[Visitor/Neutral]],division_lookup,9,FALSE),TRUE,FALSE)</f>
        <v>0</v>
      </c>
      <c r="AG620" s="15" t="str">
        <f>VLOOKUP(Table2[[#This Row],[Home/Neutral]],division_lookup,9,FALSE)</f>
        <v>A</v>
      </c>
      <c r="AH620" s="15" t="str">
        <f>IF(Table2[[#This Row],[Total/EV]]&lt;Table2[[#This Row],[Total/V]],"UNDER","OVER")</f>
        <v>OVER</v>
      </c>
      <c r="AI620" s="26">
        <f>Table2[[#This Row],[SRS/Real]]-Table2[[#This Row],[Spread/V]]</f>
        <v>0</v>
      </c>
      <c r="AJ620" s="2">
        <f>Table2[[#This Row],[EV/Real]]-Table2[[#This Row],[Spread/V]]</f>
        <v>0</v>
      </c>
      <c r="AK620" s="2">
        <f>Table2[[#This Row],[SRS/Diff]]-Table2[[#This Row],[EV/Diff]]</f>
        <v>0</v>
      </c>
      <c r="AL620" s="18">
        <f>Table2[[#This Row],[SRS]]-Table2[[#This Row],[Spread]]</f>
        <v>1.3613114754098343</v>
      </c>
      <c r="AM620" s="21">
        <f>Table2[[#This Row],[(A) Err]]^2</f>
        <v>1.8531689330824999</v>
      </c>
      <c r="AN620" s="6">
        <f>Table2[[#This Row],[EV]]-Table2[[#This Row],[Spread]]</f>
        <v>2.5958314555031308</v>
      </c>
      <c r="AO620" s="1">
        <f>Table2[[#This Row],[EV Err]]^2</f>
        <v>6.7383409453795027</v>
      </c>
      <c r="AP620" s="1"/>
    </row>
    <row r="621" spans="1:42" x14ac:dyDescent="0.25">
      <c r="A621" s="34">
        <v>42751</v>
      </c>
      <c r="B621" t="s">
        <v>131</v>
      </c>
      <c r="C621" t="s">
        <v>136</v>
      </c>
      <c r="E621" s="21"/>
      <c r="G621" s="21"/>
      <c r="H621" s="7"/>
      <c r="I621" s="21"/>
      <c r="K621"/>
      <c r="L621" s="21">
        <f>(Table2[[#This Row],[H/Pace]]/100)*(VLOOKUP(Table2[[#This Row],[Home/Neutral]],home_lookup,8,FALSE)+VLOOKUP(Table2[[#This Row],[Home/Neutral]],OFR_lookup,2,FALSE)+VLOOKUP(Table2[[#This Row],[Visitor/Neutral]],def_diff_lookup,6,FALSE))</f>
        <v>92.39749979119766</v>
      </c>
      <c r="M621" s="21"/>
      <c r="N621" s="21">
        <f>(Table2[[#This Row],[A/Pace]]/100)*(VLOOKUP(Table2[[#This Row],[Visitor/Neutral]],OFR_lookup,2,FALSE)+VLOOKUP(Table2[[#This Row],[Home/Neutral]],def_diff_lookup,6,FALSE))</f>
        <v>98.404285000000002</v>
      </c>
      <c r="O621" s="21"/>
      <c r="P621" s="21"/>
      <c r="Q621">
        <f>VLOOKUP(Table2[[#This Row],[Home/Neutral]],pace_lookup,7,FALSE)</f>
        <v>101.7</v>
      </c>
      <c r="R621" s="5">
        <f>VLOOKUP(Table2[[#This Row],[Visitor/Neutral]],pace_lookup,7,FALSE)</f>
        <v>91.5</v>
      </c>
      <c r="S621" s="7"/>
      <c r="U621" s="15"/>
      <c r="W621" s="2">
        <f>-home-VLOOKUP(Table2[[#This Row],[Home/Neutral]],rtg_vlookup,4,FALSE)+VLOOKUP(Table2[[#This Row],[Visitor/Neutral]],rtg_vlookup,4,FALSE)</f>
        <v>7.8513114754098341</v>
      </c>
      <c r="X621" s="15"/>
      <c r="Y621" s="2"/>
      <c r="Z621" s="2">
        <f>Table2[[#This Row],[A/EV]]-Table2[[#This Row],[H/EV]]</f>
        <v>6.0067852088023415</v>
      </c>
      <c r="AA621" s="29"/>
      <c r="AB621" s="30"/>
      <c r="AC621" s="30"/>
      <c r="AD621" s="30"/>
      <c r="AE621" s="30"/>
      <c r="AF621" s="7" t="b">
        <f>IF(VLOOKUP(Table2[[#This Row],[Home/Neutral]],division_lookup,9,FALSE)=VLOOKUP(Table2[[#This Row],[Visitor/Neutral]],division_lookup,9,FALSE),TRUE,FALSE)</f>
        <v>0</v>
      </c>
      <c r="AG621" s="15" t="str">
        <f>VLOOKUP(Table2[[#This Row],[Home/Neutral]],division_lookup,9,FALSE)</f>
        <v>P</v>
      </c>
      <c r="AH621" s="15" t="str">
        <f>IF(Table2[[#This Row],[Total/EV]]&lt;Table2[[#This Row],[Total/V]],"UNDER","OVER")</f>
        <v>OVER</v>
      </c>
      <c r="AI621" s="26">
        <f>Table2[[#This Row],[SRS/Real]]-Table2[[#This Row],[Spread/V]]</f>
        <v>0</v>
      </c>
      <c r="AJ621" s="2">
        <f>Table2[[#This Row],[EV/Real]]-Table2[[#This Row],[Spread/V]]</f>
        <v>0</v>
      </c>
      <c r="AK621" s="2">
        <f>Table2[[#This Row],[SRS/Diff]]-Table2[[#This Row],[EV/Diff]]</f>
        <v>0</v>
      </c>
      <c r="AL621" s="18">
        <f>Table2[[#This Row],[SRS]]-Table2[[#This Row],[Spread]]</f>
        <v>7.8513114754098341</v>
      </c>
      <c r="AM621" s="21">
        <f>Table2[[#This Row],[(A) Err]]^2</f>
        <v>61.643091883902144</v>
      </c>
      <c r="AN621" s="6">
        <f>Table2[[#This Row],[EV]]-Table2[[#This Row],[Spread]]</f>
        <v>6.0067852088023415</v>
      </c>
      <c r="AO621" s="1">
        <f>Table2[[#This Row],[EV Err]]^2</f>
        <v>36.081468544686587</v>
      </c>
      <c r="AP621" s="1"/>
    </row>
    <row r="622" spans="1:42" x14ac:dyDescent="0.25">
      <c r="A622" s="34">
        <v>42751</v>
      </c>
      <c r="B622" t="s">
        <v>137</v>
      </c>
      <c r="C622" t="s">
        <v>132</v>
      </c>
      <c r="E622" s="21"/>
      <c r="G622" s="21"/>
      <c r="H622" s="7"/>
      <c r="I622" s="21"/>
      <c r="K622"/>
      <c r="L622" s="21">
        <f>(Table2[[#This Row],[H/Pace]]/100)*(VLOOKUP(Table2[[#This Row],[Home/Neutral]],home_lookup,8,FALSE)+VLOOKUP(Table2[[#This Row],[Home/Neutral]],OFR_lookup,2,FALSE)+VLOOKUP(Table2[[#This Row],[Visitor/Neutral]],def_diff_lookup,6,FALSE))</f>
        <v>113.19613255421871</v>
      </c>
      <c r="M622" s="21"/>
      <c r="N622" s="21">
        <f>(Table2[[#This Row],[A/Pace]]/100)*(VLOOKUP(Table2[[#This Row],[Visitor/Neutral]],OFR_lookup,2,FALSE)+VLOOKUP(Table2[[#This Row],[Home/Neutral]],def_diff_lookup,6,FALSE))</f>
        <v>111.88671866666667</v>
      </c>
      <c r="O622" s="21"/>
      <c r="P622" s="21"/>
      <c r="Q622">
        <f>VLOOKUP(Table2[[#This Row],[Home/Neutral]],pace_lookup,7,FALSE)</f>
        <v>96</v>
      </c>
      <c r="R622" s="5">
        <f>VLOOKUP(Table2[[#This Row],[Visitor/Neutral]],pace_lookup,7,FALSE)</f>
        <v>98.8</v>
      </c>
      <c r="S622" s="7"/>
      <c r="U622" s="15"/>
      <c r="W622" s="2">
        <f>-home-VLOOKUP(Table2[[#This Row],[Home/Neutral]],rtg_vlookup,4,FALSE)+VLOOKUP(Table2[[#This Row],[Visitor/Neutral]],rtg_vlookup,4,FALSE)</f>
        <v>-2.228688524590166</v>
      </c>
      <c r="X622" s="15"/>
      <c r="Y622" s="2"/>
      <c r="Z622" s="2">
        <f>Table2[[#This Row],[A/EV]]-Table2[[#This Row],[H/EV]]</f>
        <v>-1.30941388755204</v>
      </c>
      <c r="AA622" s="29"/>
      <c r="AB622" s="30"/>
      <c r="AC622" s="30"/>
      <c r="AD622" s="30"/>
      <c r="AE622" s="30"/>
      <c r="AF622" s="7" t="b">
        <f>IF(VLOOKUP(Table2[[#This Row],[Home/Neutral]],division_lookup,9,FALSE)=VLOOKUP(Table2[[#This Row],[Visitor/Neutral]],division_lookup,9,FALSE),TRUE,FALSE)</f>
        <v>0</v>
      </c>
      <c r="AG622" s="15" t="str">
        <f>VLOOKUP(Table2[[#This Row],[Home/Neutral]],division_lookup,9,FALSE)</f>
        <v>SE</v>
      </c>
      <c r="AH622" s="15" t="str">
        <f>IF(Table2[[#This Row],[Total/EV]]&lt;Table2[[#This Row],[Total/V]],"UNDER","OVER")</f>
        <v>OVER</v>
      </c>
      <c r="AI622" s="26">
        <f>Table2[[#This Row],[SRS/Real]]-Table2[[#This Row],[Spread/V]]</f>
        <v>0</v>
      </c>
      <c r="AJ622" s="2">
        <f>Table2[[#This Row],[EV/Real]]-Table2[[#This Row],[Spread/V]]</f>
        <v>0</v>
      </c>
      <c r="AK622" s="2">
        <f>Table2[[#This Row],[SRS/Diff]]-Table2[[#This Row],[EV/Diff]]</f>
        <v>0</v>
      </c>
      <c r="AL622" s="18">
        <f>Table2[[#This Row],[SRS]]-Table2[[#This Row],[Spread]]</f>
        <v>-2.228688524590166</v>
      </c>
      <c r="AM622" s="21">
        <f>Table2[[#This Row],[(A) Err]]^2</f>
        <v>4.9670525396398908</v>
      </c>
      <c r="AN622" s="6">
        <f>Table2[[#This Row],[EV]]-Table2[[#This Row],[Spread]]</f>
        <v>-1.30941388755204</v>
      </c>
      <c r="AO622" s="1">
        <f>Table2[[#This Row],[EV Err]]^2</f>
        <v>1.7145647289141466</v>
      </c>
      <c r="AP622" s="1"/>
    </row>
    <row r="623" spans="1:42" x14ac:dyDescent="0.25">
      <c r="A623" s="34">
        <v>42752</v>
      </c>
      <c r="B623" t="s">
        <v>111</v>
      </c>
      <c r="C623" t="s">
        <v>135</v>
      </c>
      <c r="E623" s="21"/>
      <c r="G623" s="21"/>
      <c r="H623" s="7"/>
      <c r="I623" s="21"/>
      <c r="K623"/>
      <c r="L623" s="21">
        <f>(Table2[[#This Row],[H/Pace]]/100)*(VLOOKUP(Table2[[#This Row],[Home/Neutral]],home_lookup,8,FALSE)+VLOOKUP(Table2[[#This Row],[Home/Neutral]],OFR_lookup,2,FALSE)+VLOOKUP(Table2[[#This Row],[Visitor/Neutral]],def_diff_lookup,6,FALSE))</f>
        <v>101.09921832771636</v>
      </c>
      <c r="M623" s="21"/>
      <c r="N623" s="21">
        <f>(Table2[[#This Row],[A/Pace]]/100)*(VLOOKUP(Table2[[#This Row],[Visitor/Neutral]],OFR_lookup,2,FALSE)+VLOOKUP(Table2[[#This Row],[Home/Neutral]],def_diff_lookup,6,FALSE))</f>
        <v>112.367526</v>
      </c>
      <c r="O623" s="21"/>
      <c r="P623" s="21"/>
      <c r="Q623">
        <f>VLOOKUP(Table2[[#This Row],[Home/Neutral]],pace_lookup,7,FALSE)</f>
        <v>102</v>
      </c>
      <c r="R623" s="5">
        <f>VLOOKUP(Table2[[#This Row],[Visitor/Neutral]],pace_lookup,7,FALSE)</f>
        <v>95.4</v>
      </c>
      <c r="S623" s="7"/>
      <c r="U623" s="15"/>
      <c r="W623" s="2">
        <f>-home-VLOOKUP(Table2[[#This Row],[Home/Neutral]],rtg_vlookup,4,FALSE)+VLOOKUP(Table2[[#This Row],[Visitor/Neutral]],rtg_vlookup,4,FALSE)</f>
        <v>11.941311475409833</v>
      </c>
      <c r="X623" s="15"/>
      <c r="Y623" s="2"/>
      <c r="Z623" s="2">
        <f>Table2[[#This Row],[A/EV]]-Table2[[#This Row],[H/EV]]</f>
        <v>11.26830767228364</v>
      </c>
      <c r="AA623" s="29"/>
      <c r="AB623" s="30"/>
      <c r="AC623" s="30"/>
      <c r="AD623" s="30"/>
      <c r="AE623" s="30"/>
      <c r="AF623" s="7" t="b">
        <f>IF(VLOOKUP(Table2[[#This Row],[Home/Neutral]],division_lookup,9,FALSE)=VLOOKUP(Table2[[#This Row],[Visitor/Neutral]],division_lookup,9,FALSE),TRUE,FALSE)</f>
        <v>1</v>
      </c>
      <c r="AG623" s="15" t="str">
        <f>VLOOKUP(Table2[[#This Row],[Home/Neutral]],division_lookup,9,FALSE)</f>
        <v>A</v>
      </c>
      <c r="AH623" s="15" t="str">
        <f>IF(Table2[[#This Row],[Total/EV]]&lt;Table2[[#This Row],[Total/V]],"UNDER","OVER")</f>
        <v>OVER</v>
      </c>
      <c r="AI623" s="26">
        <f>Table2[[#This Row],[SRS/Real]]-Table2[[#This Row],[Spread/V]]</f>
        <v>0</v>
      </c>
      <c r="AJ623" s="2">
        <f>Table2[[#This Row],[EV/Real]]-Table2[[#This Row],[Spread/V]]</f>
        <v>0</v>
      </c>
      <c r="AK623" s="2">
        <f>Table2[[#This Row],[SRS/Diff]]-Table2[[#This Row],[EV/Diff]]</f>
        <v>0</v>
      </c>
      <c r="AL623" s="18">
        <f>Table2[[#This Row],[SRS]]-Table2[[#This Row],[Spread]]</f>
        <v>11.941311475409833</v>
      </c>
      <c r="AM623" s="21">
        <f>Table2[[#This Row],[(A) Err]]^2</f>
        <v>142.59491975275458</v>
      </c>
      <c r="AN623" s="6">
        <f>Table2[[#This Row],[EV]]-Table2[[#This Row],[Spread]]</f>
        <v>11.26830767228364</v>
      </c>
      <c r="AO623" s="1">
        <f>Table2[[#This Row],[EV Err]]^2</f>
        <v>126.97475779724635</v>
      </c>
      <c r="AP623" s="1"/>
    </row>
    <row r="624" spans="1:42" x14ac:dyDescent="0.25">
      <c r="A624" s="34">
        <v>42752</v>
      </c>
      <c r="B624" t="s">
        <v>113</v>
      </c>
      <c r="C624" t="s">
        <v>115</v>
      </c>
      <c r="E624" s="21"/>
      <c r="G624" s="21"/>
      <c r="H624" s="7"/>
      <c r="I624" s="21"/>
      <c r="K624"/>
      <c r="L624" s="21">
        <f>(Table2[[#This Row],[H/Pace]]/100)*(VLOOKUP(Table2[[#This Row],[Home/Neutral]],home_lookup,8,FALSE)+VLOOKUP(Table2[[#This Row],[Home/Neutral]],OFR_lookup,2,FALSE)+VLOOKUP(Table2[[#This Row],[Visitor/Neutral]],def_diff_lookup,6,FALSE))</f>
        <v>108.47227388016279</v>
      </c>
      <c r="M624" s="21"/>
      <c r="N624" s="21">
        <f>(Table2[[#This Row],[A/Pace]]/100)*(VLOOKUP(Table2[[#This Row],[Visitor/Neutral]],OFR_lookup,2,FALSE)+VLOOKUP(Table2[[#This Row],[Home/Neutral]],def_diff_lookup,6,FALSE))</f>
        <v>89.783824333333342</v>
      </c>
      <c r="O624" s="21"/>
      <c r="P624" s="21"/>
      <c r="Q624">
        <f>VLOOKUP(Table2[[#This Row],[Home/Neutral]],pace_lookup,7,FALSE)</f>
        <v>95.1</v>
      </c>
      <c r="R624" s="5">
        <f>VLOOKUP(Table2[[#This Row],[Visitor/Neutral]],pace_lookup,7,FALSE)</f>
        <v>92.9</v>
      </c>
      <c r="S624" s="7"/>
      <c r="U624" s="15"/>
      <c r="W624" s="2">
        <f>-home-VLOOKUP(Table2[[#This Row],[Home/Neutral]],rtg_vlookup,4,FALSE)+VLOOKUP(Table2[[#This Row],[Visitor/Neutral]],rtg_vlookup,4,FALSE)</f>
        <v>-16.288688524590164</v>
      </c>
      <c r="X624" s="15"/>
      <c r="Y624" s="2"/>
      <c r="Z624" s="2">
        <f>Table2[[#This Row],[A/EV]]-Table2[[#This Row],[H/EV]]</f>
        <v>-18.688449546829446</v>
      </c>
      <c r="AA624" s="29"/>
      <c r="AB624" s="30"/>
      <c r="AC624" s="30"/>
      <c r="AD624" s="30"/>
      <c r="AE624" s="30"/>
      <c r="AF624" s="7" t="b">
        <f>IF(VLOOKUP(Table2[[#This Row],[Home/Neutral]],division_lookup,9,FALSE)=VLOOKUP(Table2[[#This Row],[Visitor/Neutral]],division_lookup,9,FALSE),TRUE,FALSE)</f>
        <v>0</v>
      </c>
      <c r="AG624" s="15" t="str">
        <f>VLOOKUP(Table2[[#This Row],[Home/Neutral]],division_lookup,9,FALSE)</f>
        <v>C</v>
      </c>
      <c r="AH624" s="15" t="str">
        <f>IF(Table2[[#This Row],[Total/EV]]&lt;Table2[[#This Row],[Total/V]],"UNDER","OVER")</f>
        <v>OVER</v>
      </c>
      <c r="AI624" s="26">
        <f>Table2[[#This Row],[SRS/Real]]-Table2[[#This Row],[Spread/V]]</f>
        <v>0</v>
      </c>
      <c r="AJ624" s="2">
        <f>Table2[[#This Row],[EV/Real]]-Table2[[#This Row],[Spread/V]]</f>
        <v>0</v>
      </c>
      <c r="AK624" s="2">
        <f>Table2[[#This Row],[SRS/Diff]]-Table2[[#This Row],[EV/Diff]]</f>
        <v>0</v>
      </c>
      <c r="AL624" s="18">
        <f>Table2[[#This Row],[SRS]]-Table2[[#This Row],[Spread]]</f>
        <v>-16.288688524590164</v>
      </c>
      <c r="AM624" s="21">
        <f>Table2[[#This Row],[(A) Err]]^2</f>
        <v>265.32137385111531</v>
      </c>
      <c r="AN624" s="6">
        <f>Table2[[#This Row],[EV]]-Table2[[#This Row],[Spread]]</f>
        <v>-18.688449546829446</v>
      </c>
      <c r="AO624" s="1">
        <f>Table2[[#This Row],[EV Err]]^2</f>
        <v>349.25814646438971</v>
      </c>
      <c r="AP624" s="1"/>
    </row>
    <row r="625" spans="1:42" x14ac:dyDescent="0.25">
      <c r="A625" s="34">
        <v>42752</v>
      </c>
      <c r="B625" t="s">
        <v>122</v>
      </c>
      <c r="C625" t="s">
        <v>116</v>
      </c>
      <c r="E625" s="21"/>
      <c r="G625" s="21"/>
      <c r="H625" s="7"/>
      <c r="I625" s="21"/>
      <c r="K625"/>
      <c r="L625" s="21">
        <f>(Table2[[#This Row],[H/Pace]]/100)*(VLOOKUP(Table2[[#This Row],[Home/Neutral]],home_lookup,8,FALSE)+VLOOKUP(Table2[[#This Row],[Home/Neutral]],OFR_lookup,2,FALSE)+VLOOKUP(Table2[[#This Row],[Visitor/Neutral]],def_diff_lookup,6,FALSE))</f>
        <v>110.0685083274473</v>
      </c>
      <c r="M625" s="21"/>
      <c r="N625" s="21">
        <f>(Table2[[#This Row],[A/Pace]]/100)*(VLOOKUP(Table2[[#This Row],[Visitor/Neutral]],OFR_lookup,2,FALSE)+VLOOKUP(Table2[[#This Row],[Home/Neutral]],def_diff_lookup,6,FALSE))</f>
        <v>109.73904566666666</v>
      </c>
      <c r="O625" s="21"/>
      <c r="P625" s="21"/>
      <c r="Q625">
        <f>VLOOKUP(Table2[[#This Row],[Home/Neutral]],pace_lookup,7,FALSE)</f>
        <v>100.2</v>
      </c>
      <c r="R625" s="5">
        <f>VLOOKUP(Table2[[#This Row],[Visitor/Neutral]],pace_lookup,7,FALSE)</f>
        <v>99.1</v>
      </c>
      <c r="S625" s="7"/>
      <c r="U625" s="15"/>
      <c r="W625" s="2">
        <f>-home-VLOOKUP(Table2[[#This Row],[Home/Neutral]],rtg_vlookup,4,FALSE)+VLOOKUP(Table2[[#This Row],[Visitor/Neutral]],rtg_vlookup,4,FALSE)</f>
        <v>-1.2686885245901656</v>
      </c>
      <c r="X625" s="15"/>
      <c r="Y625" s="2"/>
      <c r="Z625" s="2">
        <f>Table2[[#This Row],[A/EV]]-Table2[[#This Row],[H/EV]]</f>
        <v>-0.32946266078064923</v>
      </c>
      <c r="AA625" s="29"/>
      <c r="AB625" s="30"/>
      <c r="AC625" s="30"/>
      <c r="AD625" s="30"/>
      <c r="AE625" s="30"/>
      <c r="AF625" s="7" t="b">
        <f>IF(VLOOKUP(Table2[[#This Row],[Home/Neutral]],division_lookup,9,FALSE)=VLOOKUP(Table2[[#This Row],[Visitor/Neutral]],division_lookup,9,FALSE),TRUE,FALSE)</f>
        <v>0</v>
      </c>
      <c r="AG625" s="15" t="str">
        <f>VLOOKUP(Table2[[#This Row],[Home/Neutral]],division_lookup,9,FALSE)</f>
        <v>P</v>
      </c>
      <c r="AH625" s="15" t="str">
        <f>IF(Table2[[#This Row],[Total/EV]]&lt;Table2[[#This Row],[Total/V]],"UNDER","OVER")</f>
        <v>OVER</v>
      </c>
      <c r="AI625" s="26">
        <f>Table2[[#This Row],[SRS/Real]]-Table2[[#This Row],[Spread/V]]</f>
        <v>0</v>
      </c>
      <c r="AJ625" s="2">
        <f>Table2[[#This Row],[EV/Real]]-Table2[[#This Row],[Spread/V]]</f>
        <v>0</v>
      </c>
      <c r="AK625" s="2">
        <f>Table2[[#This Row],[SRS/Diff]]-Table2[[#This Row],[EV/Diff]]</f>
        <v>0</v>
      </c>
      <c r="AL625" s="18">
        <f>Table2[[#This Row],[SRS]]-Table2[[#This Row],[Spread]]</f>
        <v>-1.2686885245901656</v>
      </c>
      <c r="AM625" s="21">
        <f>Table2[[#This Row],[(A) Err]]^2</f>
        <v>1.609570572426771</v>
      </c>
      <c r="AN625" s="6">
        <f>Table2[[#This Row],[EV]]-Table2[[#This Row],[Spread]]</f>
        <v>-0.32946266078064923</v>
      </c>
      <c r="AO625" s="1">
        <f>Table2[[#This Row],[EV Err]]^2</f>
        <v>0.10854564484866515</v>
      </c>
      <c r="AP625" s="1"/>
    </row>
    <row r="626" spans="1:42" x14ac:dyDescent="0.25">
      <c r="A626" s="34">
        <v>42752</v>
      </c>
      <c r="B626" t="s">
        <v>124</v>
      </c>
      <c r="C626" t="s">
        <v>119</v>
      </c>
      <c r="E626" s="21"/>
      <c r="G626" s="21"/>
      <c r="H626" s="7"/>
      <c r="I626" s="21"/>
      <c r="K626"/>
      <c r="L626" s="21">
        <f>(Table2[[#This Row],[H/Pace]]/100)*(VLOOKUP(Table2[[#This Row],[Home/Neutral]],home_lookup,8,FALSE)+VLOOKUP(Table2[[#This Row],[Home/Neutral]],OFR_lookup,2,FALSE)+VLOOKUP(Table2[[#This Row],[Visitor/Neutral]],def_diff_lookup,6,FALSE))</f>
        <v>103.74057517723557</v>
      </c>
      <c r="M626" s="21"/>
      <c r="N626" s="21">
        <f>(Table2[[#This Row],[A/Pace]]/100)*(VLOOKUP(Table2[[#This Row],[Visitor/Neutral]],OFR_lookup,2,FALSE)+VLOOKUP(Table2[[#This Row],[Home/Neutral]],def_diff_lookup,6,FALSE))</f>
        <v>107.409451</v>
      </c>
      <c r="O626" s="21"/>
      <c r="P626" s="21"/>
      <c r="Q626">
        <f>VLOOKUP(Table2[[#This Row],[Home/Neutral]],pace_lookup,7,FALSE)</f>
        <v>93.7</v>
      </c>
      <c r="R626" s="5">
        <f>VLOOKUP(Table2[[#This Row],[Visitor/Neutral]],pace_lookup,7,FALSE)</f>
        <v>96.9</v>
      </c>
      <c r="S626" s="7"/>
      <c r="U626" s="15"/>
      <c r="W626" s="2">
        <f>-home-VLOOKUP(Table2[[#This Row],[Home/Neutral]],rtg_vlookup,4,FALSE)+VLOOKUP(Table2[[#This Row],[Visitor/Neutral]],rtg_vlookup,4,FALSE)</f>
        <v>2.1013114754098341</v>
      </c>
      <c r="X626" s="15"/>
      <c r="Y626" s="2"/>
      <c r="Z626" s="2">
        <f>Table2[[#This Row],[A/EV]]-Table2[[#This Row],[H/EV]]</f>
        <v>3.6688758227644342</v>
      </c>
      <c r="AA626" s="29"/>
      <c r="AB626" s="30"/>
      <c r="AC626" s="30"/>
      <c r="AD626" s="30"/>
      <c r="AE626" s="30"/>
      <c r="AF626" s="7" t="b">
        <f>IF(VLOOKUP(Table2[[#This Row],[Home/Neutral]],division_lookup,9,FALSE)=VLOOKUP(Table2[[#This Row],[Visitor/Neutral]],division_lookup,9,FALSE),TRUE,FALSE)</f>
        <v>0</v>
      </c>
      <c r="AG626" s="15" t="str">
        <f>VLOOKUP(Table2[[#This Row],[Home/Neutral]],division_lookup,9,FALSE)</f>
        <v>SE</v>
      </c>
      <c r="AH626" s="15" t="str">
        <f>IF(Table2[[#This Row],[Total/EV]]&lt;Table2[[#This Row],[Total/V]],"UNDER","OVER")</f>
        <v>OVER</v>
      </c>
      <c r="AI626" s="26">
        <f>Table2[[#This Row],[SRS/Real]]-Table2[[#This Row],[Spread/V]]</f>
        <v>0</v>
      </c>
      <c r="AJ626" s="2">
        <f>Table2[[#This Row],[EV/Real]]-Table2[[#This Row],[Spread/V]]</f>
        <v>0</v>
      </c>
      <c r="AK626" s="2">
        <f>Table2[[#This Row],[SRS/Diff]]-Table2[[#This Row],[EV/Diff]]</f>
        <v>0</v>
      </c>
      <c r="AL626" s="18">
        <f>Table2[[#This Row],[SRS]]-Table2[[#This Row],[Spread]]</f>
        <v>2.1013114754098341</v>
      </c>
      <c r="AM626" s="21">
        <f>Table2[[#This Row],[(A) Err]]^2</f>
        <v>4.4155099166890537</v>
      </c>
      <c r="AN626" s="6">
        <f>Table2[[#This Row],[EV]]-Table2[[#This Row],[Spread]]</f>
        <v>3.6688758227644342</v>
      </c>
      <c r="AO626" s="1">
        <f>Table2[[#This Row],[EV Err]]^2</f>
        <v>13.460649802865404</v>
      </c>
      <c r="AP626" s="1"/>
    </row>
    <row r="627" spans="1:42" x14ac:dyDescent="0.25">
      <c r="A627" s="34">
        <v>42752</v>
      </c>
      <c r="B627" t="s">
        <v>134</v>
      </c>
      <c r="C627" t="s">
        <v>126</v>
      </c>
      <c r="E627" s="21"/>
      <c r="G627" s="21"/>
      <c r="H627" s="7"/>
      <c r="I627" s="21"/>
      <c r="K627"/>
      <c r="L627" s="21">
        <f>(Table2[[#This Row],[H/Pace]]/100)*(VLOOKUP(Table2[[#This Row],[Home/Neutral]],home_lookup,8,FALSE)+VLOOKUP(Table2[[#This Row],[Home/Neutral]],OFR_lookup,2,FALSE)+VLOOKUP(Table2[[#This Row],[Visitor/Neutral]],def_diff_lookup,6,FALSE))</f>
        <v>103.67161343638193</v>
      </c>
      <c r="M627" s="21"/>
      <c r="N627" s="21">
        <f>(Table2[[#This Row],[A/Pace]]/100)*(VLOOKUP(Table2[[#This Row],[Visitor/Neutral]],OFR_lookup,2,FALSE)+VLOOKUP(Table2[[#This Row],[Home/Neutral]],def_diff_lookup,6,FALSE))</f>
        <v>102.70109300000001</v>
      </c>
      <c r="O627" s="21"/>
      <c r="P627" s="21"/>
      <c r="Q627">
        <f>VLOOKUP(Table2[[#This Row],[Home/Neutral]],pace_lookup,7,FALSE)</f>
        <v>93.4</v>
      </c>
      <c r="R627" s="5">
        <f>VLOOKUP(Table2[[#This Row],[Visitor/Neutral]],pace_lookup,7,FALSE)</f>
        <v>95.7</v>
      </c>
      <c r="S627" s="7"/>
      <c r="U627" s="15"/>
      <c r="W627" s="2">
        <f>-home-VLOOKUP(Table2[[#This Row],[Home/Neutral]],rtg_vlookup,4,FALSE)+VLOOKUP(Table2[[#This Row],[Visitor/Neutral]],rtg_vlookup,4,FALSE)</f>
        <v>-11.348688524590164</v>
      </c>
      <c r="X627" s="15"/>
      <c r="Y627" s="2"/>
      <c r="Z627" s="2">
        <f>Table2[[#This Row],[A/EV]]-Table2[[#This Row],[H/EV]]</f>
        <v>-0.97052043638191776</v>
      </c>
      <c r="AA627" s="29"/>
      <c r="AB627" s="30"/>
      <c r="AC627" s="30"/>
      <c r="AD627" s="30"/>
      <c r="AE627" s="30"/>
      <c r="AF627" s="7" t="b">
        <f>IF(VLOOKUP(Table2[[#This Row],[Home/Neutral]],division_lookup,9,FALSE)=VLOOKUP(Table2[[#This Row],[Visitor/Neutral]],division_lookup,9,FALSE),TRUE,FALSE)</f>
        <v>0</v>
      </c>
      <c r="AG627" s="15" t="str">
        <f>VLOOKUP(Table2[[#This Row],[Home/Neutral]],division_lookup,9,FALSE)</f>
        <v>SW</v>
      </c>
      <c r="AH627" s="15" t="str">
        <f>IF(Table2[[#This Row],[Total/EV]]&lt;Table2[[#This Row],[Total/V]],"UNDER","OVER")</f>
        <v>OVER</v>
      </c>
      <c r="AI627" s="26">
        <f>Table2[[#This Row],[SRS/Real]]-Table2[[#This Row],[Spread/V]]</f>
        <v>0</v>
      </c>
      <c r="AJ627" s="2">
        <f>Table2[[#This Row],[EV/Real]]-Table2[[#This Row],[Spread/V]]</f>
        <v>0</v>
      </c>
      <c r="AK627" s="2">
        <f>Table2[[#This Row],[SRS/Diff]]-Table2[[#This Row],[EV/Diff]]</f>
        <v>0</v>
      </c>
      <c r="AL627" s="18">
        <f>Table2[[#This Row],[SRS]]-Table2[[#This Row],[Spread]]</f>
        <v>-11.348688524590164</v>
      </c>
      <c r="AM627" s="21">
        <f>Table2[[#This Row],[(A) Err]]^2</f>
        <v>128.79273122816448</v>
      </c>
      <c r="AN627" s="6">
        <f>Table2[[#This Row],[EV]]-Table2[[#This Row],[Spread]]</f>
        <v>-0.97052043638191776</v>
      </c>
      <c r="AO627" s="1">
        <f>Table2[[#This Row],[EV Err]]^2</f>
        <v>0.94190991743494812</v>
      </c>
      <c r="AP627" s="1"/>
    </row>
    <row r="628" spans="1:42" x14ac:dyDescent="0.25">
      <c r="A628" s="34">
        <v>42753</v>
      </c>
      <c r="B628" t="s">
        <v>110</v>
      </c>
      <c r="C628" t="s">
        <v>128</v>
      </c>
      <c r="E628" s="21"/>
      <c r="G628" s="21"/>
      <c r="H628" s="7"/>
      <c r="I628" s="21"/>
      <c r="K628"/>
      <c r="L628" s="21">
        <f>(Table2[[#This Row],[H/Pace]]/100)*(VLOOKUP(Table2[[#This Row],[Home/Neutral]],home_lookup,8,FALSE)+VLOOKUP(Table2[[#This Row],[Home/Neutral]],OFR_lookup,2,FALSE)+VLOOKUP(Table2[[#This Row],[Visitor/Neutral]],def_diff_lookup,6,FALSE))</f>
        <v>108.78375118900941</v>
      </c>
      <c r="M628" s="21"/>
      <c r="N628" s="21">
        <f>(Table2[[#This Row],[A/Pace]]/100)*(VLOOKUP(Table2[[#This Row],[Visitor/Neutral]],OFR_lookup,2,FALSE)+VLOOKUP(Table2[[#This Row],[Home/Neutral]],def_diff_lookup,6,FALSE))</f>
        <v>104.63540699999999</v>
      </c>
      <c r="O628" s="21"/>
      <c r="P628" s="21"/>
      <c r="Q628">
        <f>VLOOKUP(Table2[[#This Row],[Home/Neutral]],pace_lookup,7,FALSE)</f>
        <v>96.2</v>
      </c>
      <c r="R628" s="5">
        <f>VLOOKUP(Table2[[#This Row],[Visitor/Neutral]],pace_lookup,7,FALSE)</f>
        <v>96.3</v>
      </c>
      <c r="S628" s="7"/>
      <c r="U628" s="15"/>
      <c r="W628" s="2">
        <f>-home-VLOOKUP(Table2[[#This Row],[Home/Neutral]],rtg_vlookup,4,FALSE)+VLOOKUP(Table2[[#This Row],[Visitor/Neutral]],rtg_vlookup,4,FALSE)</f>
        <v>-5.1186885245901657</v>
      </c>
      <c r="X628" s="15"/>
      <c r="Y628" s="2"/>
      <c r="Z628" s="2">
        <f>Table2[[#This Row],[A/EV]]-Table2[[#This Row],[H/EV]]</f>
        <v>-4.1483441890094213</v>
      </c>
      <c r="AA628" s="29"/>
      <c r="AB628" s="30"/>
      <c r="AC628" s="30"/>
      <c r="AD628" s="30"/>
      <c r="AE628" s="30"/>
      <c r="AF628" s="7" t="b">
        <f>IF(VLOOKUP(Table2[[#This Row],[Home/Neutral]],division_lookup,9,FALSE)=VLOOKUP(Table2[[#This Row],[Visitor/Neutral]],division_lookup,9,FALSE),TRUE,FALSE)</f>
        <v>1</v>
      </c>
      <c r="AG628" s="15" t="str">
        <f>VLOOKUP(Table2[[#This Row],[Home/Neutral]],division_lookup,9,FALSE)</f>
        <v>A</v>
      </c>
      <c r="AH628" s="15" t="str">
        <f>IF(Table2[[#This Row],[Total/EV]]&lt;Table2[[#This Row],[Total/V]],"UNDER","OVER")</f>
        <v>OVER</v>
      </c>
      <c r="AI628" s="26">
        <f>Table2[[#This Row],[SRS/Real]]-Table2[[#This Row],[Spread/V]]</f>
        <v>0</v>
      </c>
      <c r="AJ628" s="2">
        <f>Table2[[#This Row],[EV/Real]]-Table2[[#This Row],[Spread/V]]</f>
        <v>0</v>
      </c>
      <c r="AK628" s="2">
        <f>Table2[[#This Row],[SRS/Diff]]-Table2[[#This Row],[EV/Diff]]</f>
        <v>0</v>
      </c>
      <c r="AL628" s="18">
        <f>Table2[[#This Row],[SRS]]-Table2[[#This Row],[Spread]]</f>
        <v>-5.1186885245901657</v>
      </c>
      <c r="AM628" s="21">
        <f>Table2[[#This Row],[(A) Err]]^2</f>
        <v>26.200972211771045</v>
      </c>
      <c r="AN628" s="6">
        <f>Table2[[#This Row],[EV]]-Table2[[#This Row],[Spread]]</f>
        <v>-4.1483441890094213</v>
      </c>
      <c r="AO628" s="1">
        <f>Table2[[#This Row],[EV Err]]^2</f>
        <v>17.208759510488232</v>
      </c>
      <c r="AP628" s="1"/>
    </row>
    <row r="629" spans="1:42" x14ac:dyDescent="0.25">
      <c r="A629" s="34">
        <v>42753</v>
      </c>
      <c r="B629" t="s">
        <v>112</v>
      </c>
      <c r="C629" t="s">
        <v>132</v>
      </c>
      <c r="E629" s="21"/>
      <c r="G629" s="21"/>
      <c r="H629" s="7"/>
      <c r="I629" s="21"/>
      <c r="K629"/>
      <c r="L629" s="21">
        <f>(Table2[[#This Row],[H/Pace]]/100)*(VLOOKUP(Table2[[#This Row],[Home/Neutral]],home_lookup,8,FALSE)+VLOOKUP(Table2[[#This Row],[Home/Neutral]],OFR_lookup,2,FALSE)+VLOOKUP(Table2[[#This Row],[Visitor/Neutral]],def_diff_lookup,6,FALSE))</f>
        <v>109.55624195313484</v>
      </c>
      <c r="M629" s="21"/>
      <c r="N629" s="21">
        <f>(Table2[[#This Row],[A/Pace]]/100)*(VLOOKUP(Table2[[#This Row],[Visitor/Neutral]],OFR_lookup,2,FALSE)+VLOOKUP(Table2[[#This Row],[Home/Neutral]],def_diff_lookup,6,FALSE))</f>
        <v>107.49999866666667</v>
      </c>
      <c r="O629" s="21"/>
      <c r="P629" s="21"/>
      <c r="Q629">
        <f>VLOOKUP(Table2[[#This Row],[Home/Neutral]],pace_lookup,7,FALSE)</f>
        <v>97.4</v>
      </c>
      <c r="R629" s="5">
        <f>VLOOKUP(Table2[[#This Row],[Visitor/Neutral]],pace_lookup,7,FALSE)</f>
        <v>98.8</v>
      </c>
      <c r="S629" s="7"/>
      <c r="U629" s="15"/>
      <c r="W629" s="2">
        <f>-home-VLOOKUP(Table2[[#This Row],[Home/Neutral]],rtg_vlookup,4,FALSE)+VLOOKUP(Table2[[#This Row],[Visitor/Neutral]],rtg_vlookup,4,FALSE)</f>
        <v>-7.2586885245901662</v>
      </c>
      <c r="X629" s="15"/>
      <c r="Y629" s="2"/>
      <c r="Z629" s="2">
        <f>Table2[[#This Row],[A/EV]]-Table2[[#This Row],[H/EV]]</f>
        <v>-2.0562432864681739</v>
      </c>
      <c r="AA629" s="29"/>
      <c r="AB629" s="30"/>
      <c r="AC629" s="30"/>
      <c r="AD629" s="30"/>
      <c r="AE629" s="30"/>
      <c r="AF629" s="7" t="b">
        <f>IF(VLOOKUP(Table2[[#This Row],[Home/Neutral]],division_lookup,9,FALSE)=VLOOKUP(Table2[[#This Row],[Visitor/Neutral]],division_lookup,9,FALSE),TRUE,FALSE)</f>
        <v>0</v>
      </c>
      <c r="AG629" s="15" t="str">
        <f>VLOOKUP(Table2[[#This Row],[Home/Neutral]],division_lookup,9,FALSE)</f>
        <v>SE</v>
      </c>
      <c r="AH629" s="15" t="str">
        <f>IF(Table2[[#This Row],[Total/EV]]&lt;Table2[[#This Row],[Total/V]],"UNDER","OVER")</f>
        <v>OVER</v>
      </c>
      <c r="AI629" s="26">
        <f>Table2[[#This Row],[SRS/Real]]-Table2[[#This Row],[Spread/V]]</f>
        <v>0</v>
      </c>
      <c r="AJ629" s="2">
        <f>Table2[[#This Row],[EV/Real]]-Table2[[#This Row],[Spread/V]]</f>
        <v>0</v>
      </c>
      <c r="AK629" s="2">
        <f>Table2[[#This Row],[SRS/Diff]]-Table2[[#This Row],[EV/Diff]]</f>
        <v>0</v>
      </c>
      <c r="AL629" s="18">
        <f>Table2[[#This Row],[SRS]]-Table2[[#This Row],[Spread]]</f>
        <v>-7.2586885245901662</v>
      </c>
      <c r="AM629" s="21">
        <f>Table2[[#This Row],[(A) Err]]^2</f>
        <v>52.688559097016963</v>
      </c>
      <c r="AN629" s="6">
        <f>Table2[[#This Row],[EV]]-Table2[[#This Row],[Spread]]</f>
        <v>-2.0562432864681739</v>
      </c>
      <c r="AO629" s="1">
        <f>Table2[[#This Row],[EV Err]]^2</f>
        <v>4.2281364531454368</v>
      </c>
      <c r="AP629" s="1"/>
    </row>
    <row r="630" spans="1:42" x14ac:dyDescent="0.25">
      <c r="A630" s="34">
        <v>42753</v>
      </c>
      <c r="B630" t="s">
        <v>117</v>
      </c>
      <c r="C630" t="s">
        <v>109</v>
      </c>
      <c r="E630" s="21"/>
      <c r="G630" s="21"/>
      <c r="H630" s="7"/>
      <c r="I630" s="21"/>
      <c r="K630"/>
      <c r="L630" s="21">
        <f>(Table2[[#This Row],[H/Pace]]/100)*(VLOOKUP(Table2[[#This Row],[Home/Neutral]],home_lookup,8,FALSE)+VLOOKUP(Table2[[#This Row],[Home/Neutral]],OFR_lookup,2,FALSE)+VLOOKUP(Table2[[#This Row],[Visitor/Neutral]],def_diff_lookup,6,FALSE))</f>
        <v>105.77879591446428</v>
      </c>
      <c r="M630" s="21"/>
      <c r="N630" s="21">
        <f>(Table2[[#This Row],[A/Pace]]/100)*(VLOOKUP(Table2[[#This Row],[Visitor/Neutral]],OFR_lookup,2,FALSE)+VLOOKUP(Table2[[#This Row],[Home/Neutral]],def_diff_lookup,6,FALSE))</f>
        <v>97.390261333333328</v>
      </c>
      <c r="O630" s="21"/>
      <c r="P630" s="21"/>
      <c r="Q630">
        <f>VLOOKUP(Table2[[#This Row],[Home/Neutral]],pace_lookup,7,FALSE)</f>
        <v>94</v>
      </c>
      <c r="R630" s="5">
        <f>VLOOKUP(Table2[[#This Row],[Visitor/Neutral]],pace_lookup,7,FALSE)</f>
        <v>99.2</v>
      </c>
      <c r="S630" s="7"/>
      <c r="U630" s="15"/>
      <c r="W630" s="2">
        <f>-home-VLOOKUP(Table2[[#This Row],[Home/Neutral]],rtg_vlookup,4,FALSE)+VLOOKUP(Table2[[#This Row],[Visitor/Neutral]],rtg_vlookup,4,FALSE)</f>
        <v>-2.0686885245901658</v>
      </c>
      <c r="X630" s="15"/>
      <c r="Y630" s="2"/>
      <c r="Z630" s="2">
        <f>Table2[[#This Row],[A/EV]]-Table2[[#This Row],[H/EV]]</f>
        <v>-8.3885345811309548</v>
      </c>
      <c r="AA630" s="29"/>
      <c r="AB630" s="30"/>
      <c r="AC630" s="30"/>
      <c r="AD630" s="30"/>
      <c r="AE630" s="30"/>
      <c r="AF630" s="7" t="b">
        <f>IF(VLOOKUP(Table2[[#This Row],[Home/Neutral]],division_lookup,9,FALSE)=VLOOKUP(Table2[[#This Row],[Visitor/Neutral]],division_lookup,9,FALSE),TRUE,FALSE)</f>
        <v>0</v>
      </c>
      <c r="AG630" s="15" t="str">
        <f>VLOOKUP(Table2[[#This Row],[Home/Neutral]],division_lookup,9,FALSE)</f>
        <v>C</v>
      </c>
      <c r="AH630" s="15" t="str">
        <f>IF(Table2[[#This Row],[Total/EV]]&lt;Table2[[#This Row],[Total/V]],"UNDER","OVER")</f>
        <v>OVER</v>
      </c>
      <c r="AI630" s="26">
        <f>Table2[[#This Row],[SRS/Real]]-Table2[[#This Row],[Spread/V]]</f>
        <v>0</v>
      </c>
      <c r="AJ630" s="2">
        <f>Table2[[#This Row],[EV/Real]]-Table2[[#This Row],[Spread/V]]</f>
        <v>0</v>
      </c>
      <c r="AK630" s="2">
        <f>Table2[[#This Row],[SRS/Diff]]-Table2[[#This Row],[EV/Diff]]</f>
        <v>0</v>
      </c>
      <c r="AL630" s="18">
        <f>Table2[[#This Row],[SRS]]-Table2[[#This Row],[Spread]]</f>
        <v>-2.0686885245901658</v>
      </c>
      <c r="AM630" s="21">
        <f>Table2[[#This Row],[(A) Err]]^2</f>
        <v>4.2794722117710373</v>
      </c>
      <c r="AN630" s="6">
        <f>Table2[[#This Row],[EV]]-Table2[[#This Row],[Spread]]</f>
        <v>-8.3885345811309548</v>
      </c>
      <c r="AO630" s="1">
        <f>Table2[[#This Row],[EV Err]]^2</f>
        <v>70.367512418829889</v>
      </c>
      <c r="AP630" s="1"/>
    </row>
    <row r="631" spans="1:42" x14ac:dyDescent="0.25">
      <c r="A631" s="34">
        <v>42753</v>
      </c>
      <c r="B631" t="s">
        <v>118</v>
      </c>
      <c r="C631" t="s">
        <v>129</v>
      </c>
      <c r="E631" s="21"/>
      <c r="G631" s="21"/>
      <c r="H631" s="7"/>
      <c r="I631" s="21"/>
      <c r="K631"/>
      <c r="L631" s="21">
        <f>(Table2[[#This Row],[H/Pace]]/100)*(VLOOKUP(Table2[[#This Row],[Home/Neutral]],home_lookup,8,FALSE)+VLOOKUP(Table2[[#This Row],[Home/Neutral]],OFR_lookup,2,FALSE)+VLOOKUP(Table2[[#This Row],[Visitor/Neutral]],def_diff_lookup,6,FALSE))</f>
        <v>112.82483838078238</v>
      </c>
      <c r="M631" s="21"/>
      <c r="N631" s="21">
        <f>(Table2[[#This Row],[A/Pace]]/100)*(VLOOKUP(Table2[[#This Row],[Visitor/Neutral]],OFR_lookup,2,FALSE)+VLOOKUP(Table2[[#This Row],[Home/Neutral]],def_diff_lookup,6,FALSE))</f>
        <v>104.05461</v>
      </c>
      <c r="O631" s="21"/>
      <c r="P631" s="21"/>
      <c r="Q631">
        <f>VLOOKUP(Table2[[#This Row],[Home/Neutral]],pace_lookup,7,FALSE)</f>
        <v>100.4</v>
      </c>
      <c r="R631" s="5">
        <f>VLOOKUP(Table2[[#This Row],[Visitor/Neutral]],pace_lookup,7,FALSE)</f>
        <v>99</v>
      </c>
      <c r="S631" s="7"/>
      <c r="U631" s="15"/>
      <c r="W631" s="2">
        <f>-home-VLOOKUP(Table2[[#This Row],[Home/Neutral]],rtg_vlookup,4,FALSE)+VLOOKUP(Table2[[#This Row],[Visitor/Neutral]],rtg_vlookup,4,FALSE)</f>
        <v>-12.688688524590166</v>
      </c>
      <c r="X631" s="15"/>
      <c r="Y631" s="2"/>
      <c r="Z631" s="2">
        <f>Table2[[#This Row],[A/EV]]-Table2[[#This Row],[H/EV]]</f>
        <v>-8.7702283807823846</v>
      </c>
      <c r="AA631" s="29"/>
      <c r="AB631" s="30"/>
      <c r="AC631" s="30"/>
      <c r="AD631" s="30"/>
      <c r="AE631" s="30"/>
      <c r="AF631" s="7" t="b">
        <f>IF(VLOOKUP(Table2[[#This Row],[Home/Neutral]],division_lookup,9,FALSE)=VLOOKUP(Table2[[#This Row],[Visitor/Neutral]],division_lookup,9,FALSE),TRUE,FALSE)</f>
        <v>0</v>
      </c>
      <c r="AG631" s="15" t="str">
        <f>VLOOKUP(Table2[[#This Row],[Home/Neutral]],division_lookup,9,FALSE)</f>
        <v>P</v>
      </c>
      <c r="AH631" s="15" t="str">
        <f>IF(Table2[[#This Row],[Total/EV]]&lt;Table2[[#This Row],[Total/V]],"UNDER","OVER")</f>
        <v>OVER</v>
      </c>
      <c r="AI631" s="26">
        <f>Table2[[#This Row],[SRS/Real]]-Table2[[#This Row],[Spread/V]]</f>
        <v>0</v>
      </c>
      <c r="AJ631" s="2">
        <f>Table2[[#This Row],[EV/Real]]-Table2[[#This Row],[Spread/V]]</f>
        <v>0</v>
      </c>
      <c r="AK631" s="2">
        <f>Table2[[#This Row],[SRS/Diff]]-Table2[[#This Row],[EV/Diff]]</f>
        <v>0</v>
      </c>
      <c r="AL631" s="18">
        <f>Table2[[#This Row],[SRS]]-Table2[[#This Row],[Spread]]</f>
        <v>-12.688688524590166</v>
      </c>
      <c r="AM631" s="21">
        <f>Table2[[#This Row],[(A) Err]]^2</f>
        <v>161.00281647406615</v>
      </c>
      <c r="AN631" s="6">
        <f>Table2[[#This Row],[EV]]-Table2[[#This Row],[Spread]]</f>
        <v>-8.7702283807823846</v>
      </c>
      <c r="AO631" s="1">
        <f>Table2[[#This Row],[EV Err]]^2</f>
        <v>76.916905851080813</v>
      </c>
      <c r="AP631" s="1"/>
    </row>
    <row r="632" spans="1:42" x14ac:dyDescent="0.25">
      <c r="A632" s="34">
        <v>42753</v>
      </c>
      <c r="B632" t="s">
        <v>119</v>
      </c>
      <c r="C632" t="s">
        <v>125</v>
      </c>
      <c r="E632" s="21"/>
      <c r="G632" s="21"/>
      <c r="H632" s="7"/>
      <c r="I632" s="21"/>
      <c r="K632"/>
      <c r="L632" s="21">
        <f>(Table2[[#This Row],[H/Pace]]/100)*(VLOOKUP(Table2[[#This Row],[Home/Neutral]],home_lookup,8,FALSE)+VLOOKUP(Table2[[#This Row],[Home/Neutral]],OFR_lookup,2,FALSE)+VLOOKUP(Table2[[#This Row],[Visitor/Neutral]],def_diff_lookup,6,FALSE))</f>
        <v>110.91564376977628</v>
      </c>
      <c r="M632" s="21"/>
      <c r="N632" s="21">
        <f>(Table2[[#This Row],[A/Pace]]/100)*(VLOOKUP(Table2[[#This Row],[Visitor/Neutral]],OFR_lookup,2,FALSE)+VLOOKUP(Table2[[#This Row],[Home/Neutral]],def_diff_lookup,6,FALSE))</f>
        <v>104.71600566666666</v>
      </c>
      <c r="O632" s="21"/>
      <c r="P632" s="21"/>
      <c r="Q632">
        <f>VLOOKUP(Table2[[#This Row],[Home/Neutral]],pace_lookup,7,FALSE)</f>
        <v>96.9</v>
      </c>
      <c r="R632" s="5">
        <f>VLOOKUP(Table2[[#This Row],[Visitor/Neutral]],pace_lookup,7,FALSE)</f>
        <v>96.1</v>
      </c>
      <c r="S632" s="7"/>
      <c r="U632" s="15"/>
      <c r="W632" s="2">
        <f>-home-VLOOKUP(Table2[[#This Row],[Home/Neutral]],rtg_vlookup,4,FALSE)+VLOOKUP(Table2[[#This Row],[Visitor/Neutral]],rtg_vlookup,4,FALSE)</f>
        <v>-8.9386885245901659</v>
      </c>
      <c r="X632" s="15"/>
      <c r="Y632" s="2"/>
      <c r="Z632" s="2">
        <f>Table2[[#This Row],[A/EV]]-Table2[[#This Row],[H/EV]]</f>
        <v>-6.1996381031096206</v>
      </c>
      <c r="AA632" s="29"/>
      <c r="AB632" s="30"/>
      <c r="AC632" s="30"/>
      <c r="AD632" s="30"/>
      <c r="AE632" s="30"/>
      <c r="AF632" s="7" t="b">
        <f>IF(VLOOKUP(Table2[[#This Row],[Home/Neutral]],division_lookup,9,FALSE)=VLOOKUP(Table2[[#This Row],[Visitor/Neutral]],division_lookup,9,FALSE),TRUE,FALSE)</f>
        <v>0</v>
      </c>
      <c r="AG632" s="15" t="str">
        <f>VLOOKUP(Table2[[#This Row],[Home/Neutral]],division_lookup,9,FALSE)</f>
        <v>SW</v>
      </c>
      <c r="AH632" s="15" t="str">
        <f>IF(Table2[[#This Row],[Total/EV]]&lt;Table2[[#This Row],[Total/V]],"UNDER","OVER")</f>
        <v>OVER</v>
      </c>
      <c r="AI632" s="26">
        <f>Table2[[#This Row],[SRS/Real]]-Table2[[#This Row],[Spread/V]]</f>
        <v>0</v>
      </c>
      <c r="AJ632" s="2">
        <f>Table2[[#This Row],[EV/Real]]-Table2[[#This Row],[Spread/V]]</f>
        <v>0</v>
      </c>
      <c r="AK632" s="2">
        <f>Table2[[#This Row],[SRS/Diff]]-Table2[[#This Row],[EV/Diff]]</f>
        <v>0</v>
      </c>
      <c r="AL632" s="18">
        <f>Table2[[#This Row],[SRS]]-Table2[[#This Row],[Spread]]</f>
        <v>-8.9386885245901659</v>
      </c>
      <c r="AM632" s="21">
        <f>Table2[[#This Row],[(A) Err]]^2</f>
        <v>79.900152539639919</v>
      </c>
      <c r="AN632" s="6">
        <f>Table2[[#This Row],[EV]]-Table2[[#This Row],[Spread]]</f>
        <v>-6.1996381031096206</v>
      </c>
      <c r="AO632" s="1">
        <f>Table2[[#This Row],[EV Err]]^2</f>
        <v>38.435512609528658</v>
      </c>
      <c r="AP632" s="1"/>
    </row>
    <row r="633" spans="1:42" x14ac:dyDescent="0.25">
      <c r="A633" s="34">
        <v>42753</v>
      </c>
      <c r="B633" t="s">
        <v>127</v>
      </c>
      <c r="C633" t="s">
        <v>130</v>
      </c>
      <c r="E633" s="21"/>
      <c r="G633" s="21"/>
      <c r="H633" s="7"/>
      <c r="I633" s="21"/>
      <c r="K633"/>
      <c r="L633" s="21">
        <f>(Table2[[#This Row],[H/Pace]]/100)*(VLOOKUP(Table2[[#This Row],[Home/Neutral]],home_lookup,8,FALSE)+VLOOKUP(Table2[[#This Row],[Home/Neutral]],OFR_lookup,2,FALSE)+VLOOKUP(Table2[[#This Row],[Visitor/Neutral]],def_diff_lookup,6,FALSE))</f>
        <v>102.49083493743048</v>
      </c>
      <c r="M633" s="21"/>
      <c r="N633" s="21">
        <f>(Table2[[#This Row],[A/Pace]]/100)*(VLOOKUP(Table2[[#This Row],[Visitor/Neutral]],OFR_lookup,2,FALSE)+VLOOKUP(Table2[[#This Row],[Home/Neutral]],def_diff_lookup,6,FALSE))</f>
        <v>90.927177999999998</v>
      </c>
      <c r="O633" s="21"/>
      <c r="P633" s="21"/>
      <c r="Q633">
        <f>VLOOKUP(Table2[[#This Row],[Home/Neutral]],pace_lookup,7,FALSE)</f>
        <v>99.3</v>
      </c>
      <c r="R633" s="5">
        <f>VLOOKUP(Table2[[#This Row],[Visitor/Neutral]],pace_lookup,7,FALSE)</f>
        <v>94.2</v>
      </c>
      <c r="S633" s="7"/>
      <c r="U633" s="15"/>
      <c r="W633" s="2">
        <f>-home-VLOOKUP(Table2[[#This Row],[Home/Neutral]],rtg_vlookup,4,FALSE)+VLOOKUP(Table2[[#This Row],[Visitor/Neutral]],rtg_vlookup,4,FALSE)</f>
        <v>-8.7486885245901664</v>
      </c>
      <c r="X633" s="15"/>
      <c r="Y633" s="2"/>
      <c r="Z633" s="2">
        <f>Table2[[#This Row],[A/EV]]-Table2[[#This Row],[H/EV]]</f>
        <v>-11.56365693743048</v>
      </c>
      <c r="AA633" s="29"/>
      <c r="AB633" s="30"/>
      <c r="AC633" s="30"/>
      <c r="AD633" s="30"/>
      <c r="AE633" s="30"/>
      <c r="AF633" s="7" t="b">
        <f>IF(VLOOKUP(Table2[[#This Row],[Home/Neutral]],division_lookup,9,FALSE)=VLOOKUP(Table2[[#This Row],[Visitor/Neutral]],division_lookup,9,FALSE),TRUE,FALSE)</f>
        <v>0</v>
      </c>
      <c r="AG633" s="15" t="str">
        <f>VLOOKUP(Table2[[#This Row],[Home/Neutral]],division_lookup,9,FALSE)</f>
        <v>SW</v>
      </c>
      <c r="AH633" s="15" t="str">
        <f>IF(Table2[[#This Row],[Total/EV]]&lt;Table2[[#This Row],[Total/V]],"UNDER","OVER")</f>
        <v>OVER</v>
      </c>
      <c r="AI633" s="26">
        <f>Table2[[#This Row],[SRS/Real]]-Table2[[#This Row],[Spread/V]]</f>
        <v>0</v>
      </c>
      <c r="AJ633" s="2">
        <f>Table2[[#This Row],[EV/Real]]-Table2[[#This Row],[Spread/V]]</f>
        <v>0</v>
      </c>
      <c r="AK633" s="2">
        <f>Table2[[#This Row],[SRS/Diff]]-Table2[[#This Row],[EV/Diff]]</f>
        <v>0</v>
      </c>
      <c r="AL633" s="18">
        <f>Table2[[#This Row],[SRS]]-Table2[[#This Row],[Spread]]</f>
        <v>-8.7486885245901664</v>
      </c>
      <c r="AM633" s="21">
        <f>Table2[[#This Row],[(A) Err]]^2</f>
        <v>76.539550900295666</v>
      </c>
      <c r="AN633" s="6">
        <f>Table2[[#This Row],[EV]]-Table2[[#This Row],[Spread]]</f>
        <v>-11.56365693743048</v>
      </c>
      <c r="AO633" s="1">
        <f>Table2[[#This Row],[EV Err]]^2</f>
        <v>133.71816176658407</v>
      </c>
      <c r="AP633" s="1"/>
    </row>
    <row r="634" spans="1:42" x14ac:dyDescent="0.25">
      <c r="A634" s="34">
        <v>42753</v>
      </c>
      <c r="B634" t="s">
        <v>138</v>
      </c>
      <c r="C634" t="s">
        <v>135</v>
      </c>
      <c r="E634" s="21"/>
      <c r="G634" s="21"/>
      <c r="H634" s="7"/>
      <c r="I634" s="21"/>
      <c r="K634"/>
      <c r="L634" s="21">
        <f>(Table2[[#This Row],[H/Pace]]/100)*(VLOOKUP(Table2[[#This Row],[Home/Neutral]],home_lookup,8,FALSE)+VLOOKUP(Table2[[#This Row],[Home/Neutral]],OFR_lookup,2,FALSE)+VLOOKUP(Table2[[#This Row],[Visitor/Neutral]],def_diff_lookup,6,FALSE))</f>
        <v>99.982533531240094</v>
      </c>
      <c r="M634" s="21"/>
      <c r="N634" s="21">
        <f>(Table2[[#This Row],[A/Pace]]/100)*(VLOOKUP(Table2[[#This Row],[Visitor/Neutral]],OFR_lookup,2,FALSE)+VLOOKUP(Table2[[#This Row],[Home/Neutral]],def_diff_lookup,6,FALSE))</f>
        <v>109.915746</v>
      </c>
      <c r="O634" s="21"/>
      <c r="P634" s="21"/>
      <c r="Q634">
        <f>VLOOKUP(Table2[[#This Row],[Home/Neutral]],pace_lookup,7,FALSE)</f>
        <v>97.5</v>
      </c>
      <c r="R634" s="5">
        <f>VLOOKUP(Table2[[#This Row],[Visitor/Neutral]],pace_lookup,7,FALSE)</f>
        <v>95.4</v>
      </c>
      <c r="S634" s="7"/>
      <c r="U634" s="15"/>
      <c r="W634" s="2">
        <f>-home-VLOOKUP(Table2[[#This Row],[Home/Neutral]],rtg_vlookup,4,FALSE)+VLOOKUP(Table2[[#This Row],[Visitor/Neutral]],rtg_vlookup,4,FALSE)</f>
        <v>12.791311475409834</v>
      </c>
      <c r="X634" s="15"/>
      <c r="Y634" s="2"/>
      <c r="Z634" s="2">
        <f>Table2[[#This Row],[A/EV]]-Table2[[#This Row],[H/EV]]</f>
        <v>9.9332124687599048</v>
      </c>
      <c r="AA634" s="29"/>
      <c r="AB634" s="30"/>
      <c r="AC634" s="30"/>
      <c r="AD634" s="30"/>
      <c r="AE634" s="30"/>
      <c r="AF634" s="7" t="b">
        <f>IF(VLOOKUP(Table2[[#This Row],[Home/Neutral]],division_lookup,9,FALSE)=VLOOKUP(Table2[[#This Row],[Visitor/Neutral]],division_lookup,9,FALSE),TRUE,FALSE)</f>
        <v>1</v>
      </c>
      <c r="AG634" s="15" t="str">
        <f>VLOOKUP(Table2[[#This Row],[Home/Neutral]],division_lookup,9,FALSE)</f>
        <v>A</v>
      </c>
      <c r="AH634" s="15" t="str">
        <f>IF(Table2[[#This Row],[Total/EV]]&lt;Table2[[#This Row],[Total/V]],"UNDER","OVER")</f>
        <v>OVER</v>
      </c>
      <c r="AI634" s="26">
        <f>Table2[[#This Row],[SRS/Real]]-Table2[[#This Row],[Spread/V]]</f>
        <v>0</v>
      </c>
      <c r="AJ634" s="2">
        <f>Table2[[#This Row],[EV/Real]]-Table2[[#This Row],[Spread/V]]</f>
        <v>0</v>
      </c>
      <c r="AK634" s="2">
        <f>Table2[[#This Row],[SRS/Diff]]-Table2[[#This Row],[EV/Diff]]</f>
        <v>0</v>
      </c>
      <c r="AL634" s="18">
        <f>Table2[[#This Row],[SRS]]-Table2[[#This Row],[Spread]]</f>
        <v>12.791311475409834</v>
      </c>
      <c r="AM634" s="21">
        <f>Table2[[#This Row],[(A) Err]]^2</f>
        <v>163.61764926095131</v>
      </c>
      <c r="AN634" s="6">
        <f>Table2[[#This Row],[EV]]-Table2[[#This Row],[Spread]]</f>
        <v>9.9332124687599048</v>
      </c>
      <c r="AO634" s="1">
        <f>Table2[[#This Row],[EV Err]]^2</f>
        <v>98.668709949527241</v>
      </c>
      <c r="AP634" s="1"/>
    </row>
    <row r="635" spans="1:42" x14ac:dyDescent="0.25">
      <c r="A635" s="34">
        <v>42753</v>
      </c>
      <c r="B635" t="s">
        <v>133</v>
      </c>
      <c r="C635" t="s">
        <v>120</v>
      </c>
      <c r="E635" s="21"/>
      <c r="G635" s="21"/>
      <c r="H635" s="7"/>
      <c r="I635" s="21"/>
      <c r="K635"/>
      <c r="L635" s="21">
        <f>(Table2[[#This Row],[H/Pace]]/100)*(VLOOKUP(Table2[[#This Row],[Home/Neutral]],home_lookup,8,FALSE)+VLOOKUP(Table2[[#This Row],[Home/Neutral]],OFR_lookup,2,FALSE)+VLOOKUP(Table2[[#This Row],[Visitor/Neutral]],def_diff_lookup,6,FALSE))</f>
        <v>109.69990748279979</v>
      </c>
      <c r="M635" s="21"/>
      <c r="N635" s="21">
        <f>(Table2[[#This Row],[A/Pace]]/100)*(VLOOKUP(Table2[[#This Row],[Visitor/Neutral]],OFR_lookup,2,FALSE)+VLOOKUP(Table2[[#This Row],[Home/Neutral]],def_diff_lookup,6,FALSE))</f>
        <v>105.12759033333333</v>
      </c>
      <c r="O635" s="21"/>
      <c r="P635" s="21"/>
      <c r="Q635">
        <f>VLOOKUP(Table2[[#This Row],[Home/Neutral]],pace_lookup,7,FALSE)</f>
        <v>94.2</v>
      </c>
      <c r="R635" s="5">
        <f>VLOOKUP(Table2[[#This Row],[Visitor/Neutral]],pace_lookup,7,FALSE)</f>
        <v>98.3</v>
      </c>
      <c r="S635" s="7"/>
      <c r="U635" s="15"/>
      <c r="W635" s="2">
        <f>-home-VLOOKUP(Table2[[#This Row],[Home/Neutral]],rtg_vlookup,4,FALSE)+VLOOKUP(Table2[[#This Row],[Visitor/Neutral]],rtg_vlookup,4,FALSE)</f>
        <v>-5.558688524590166</v>
      </c>
      <c r="X635" s="15"/>
      <c r="Y635" s="2"/>
      <c r="Z635" s="2">
        <f>Table2[[#This Row],[A/EV]]-Table2[[#This Row],[H/EV]]</f>
        <v>-4.572317149466457</v>
      </c>
      <c r="AA635" s="29"/>
      <c r="AB635" s="30"/>
      <c r="AC635" s="30"/>
      <c r="AD635" s="30"/>
      <c r="AE635" s="30"/>
      <c r="AF635" s="7" t="b">
        <f>IF(VLOOKUP(Table2[[#This Row],[Home/Neutral]],division_lookup,9,FALSE)=VLOOKUP(Table2[[#This Row],[Visitor/Neutral]],division_lookup,9,FALSE),TRUE,FALSE)</f>
        <v>0</v>
      </c>
      <c r="AG635" s="15" t="str">
        <f>VLOOKUP(Table2[[#This Row],[Home/Neutral]],division_lookup,9,FALSE)</f>
        <v>P</v>
      </c>
      <c r="AH635" s="15" t="str">
        <f>IF(Table2[[#This Row],[Total/EV]]&lt;Table2[[#This Row],[Total/V]],"UNDER","OVER")</f>
        <v>OVER</v>
      </c>
      <c r="AI635" s="26">
        <f>Table2[[#This Row],[SRS/Real]]-Table2[[#This Row],[Spread/V]]</f>
        <v>0</v>
      </c>
      <c r="AJ635" s="2">
        <f>Table2[[#This Row],[EV/Real]]-Table2[[#This Row],[Spread/V]]</f>
        <v>0</v>
      </c>
      <c r="AK635" s="2">
        <f>Table2[[#This Row],[SRS/Diff]]-Table2[[#This Row],[EV/Diff]]</f>
        <v>0</v>
      </c>
      <c r="AL635" s="18">
        <f>Table2[[#This Row],[SRS]]-Table2[[#This Row],[Spread]]</f>
        <v>-5.558688524590166</v>
      </c>
      <c r="AM635" s="21">
        <f>Table2[[#This Row],[(A) Err]]^2</f>
        <v>30.899018113410396</v>
      </c>
      <c r="AN635" s="6">
        <f>Table2[[#This Row],[EV]]-Table2[[#This Row],[Spread]]</f>
        <v>-4.572317149466457</v>
      </c>
      <c r="AO635" s="1">
        <f>Table2[[#This Row],[EV Err]]^2</f>
        <v>20.906084115305067</v>
      </c>
      <c r="AP635" s="1"/>
    </row>
    <row r="636" spans="1:42" x14ac:dyDescent="0.25">
      <c r="A636" s="34">
        <v>42753</v>
      </c>
      <c r="B636" t="s">
        <v>137</v>
      </c>
      <c r="C636" t="s">
        <v>123</v>
      </c>
      <c r="E636" s="21"/>
      <c r="G636" s="21"/>
      <c r="H636" s="7"/>
      <c r="I636" s="21"/>
      <c r="K636"/>
      <c r="L636" s="21">
        <f>(Table2[[#This Row],[H/Pace]]/100)*(VLOOKUP(Table2[[#This Row],[Home/Neutral]],home_lookup,8,FALSE)+VLOOKUP(Table2[[#This Row],[Home/Neutral]],OFR_lookup,2,FALSE)+VLOOKUP(Table2[[#This Row],[Visitor/Neutral]],def_diff_lookup,6,FALSE))</f>
        <v>104.48893255421871</v>
      </c>
      <c r="M636" s="21"/>
      <c r="N636" s="21">
        <f>(Table2[[#This Row],[A/Pace]]/100)*(VLOOKUP(Table2[[#This Row],[Visitor/Neutral]],OFR_lookup,2,FALSE)+VLOOKUP(Table2[[#This Row],[Home/Neutral]],def_diff_lookup,6,FALSE))</f>
        <v>99.257741666666661</v>
      </c>
      <c r="O636" s="21"/>
      <c r="P636" s="21"/>
      <c r="Q636">
        <f>VLOOKUP(Table2[[#This Row],[Home/Neutral]],pace_lookup,7,FALSE)</f>
        <v>96</v>
      </c>
      <c r="R636" s="5">
        <f>VLOOKUP(Table2[[#This Row],[Visitor/Neutral]],pace_lookup,7,FALSE)</f>
        <v>92.5</v>
      </c>
      <c r="S636" s="7"/>
      <c r="U636" s="15"/>
      <c r="W636" s="2">
        <f>-home-VLOOKUP(Table2[[#This Row],[Home/Neutral]],rtg_vlookup,4,FALSE)+VLOOKUP(Table2[[#This Row],[Visitor/Neutral]],rtg_vlookup,4,FALSE)</f>
        <v>0.89131147540983402</v>
      </c>
      <c r="X636" s="15"/>
      <c r="Y636" s="2"/>
      <c r="Z636" s="2">
        <f>Table2[[#This Row],[A/EV]]-Table2[[#This Row],[H/EV]]</f>
        <v>-5.2311908875520459</v>
      </c>
      <c r="AA636" s="29"/>
      <c r="AB636" s="30"/>
      <c r="AC636" s="30"/>
      <c r="AD636" s="30"/>
      <c r="AE636" s="30"/>
      <c r="AF636" s="7" t="b">
        <f>IF(VLOOKUP(Table2[[#This Row],[Home/Neutral]],division_lookup,9,FALSE)=VLOOKUP(Table2[[#This Row],[Visitor/Neutral]],division_lookup,9,FALSE),TRUE,FALSE)</f>
        <v>0</v>
      </c>
      <c r="AG636" s="15" t="str">
        <f>VLOOKUP(Table2[[#This Row],[Home/Neutral]],division_lookup,9,FALSE)</f>
        <v>SE</v>
      </c>
      <c r="AH636" s="15" t="str">
        <f>IF(Table2[[#This Row],[Total/EV]]&lt;Table2[[#This Row],[Total/V]],"UNDER","OVER")</f>
        <v>OVER</v>
      </c>
      <c r="AI636" s="26">
        <f>Table2[[#This Row],[SRS/Real]]-Table2[[#This Row],[Spread/V]]</f>
        <v>0</v>
      </c>
      <c r="AJ636" s="2">
        <f>Table2[[#This Row],[EV/Real]]-Table2[[#This Row],[Spread/V]]</f>
        <v>0</v>
      </c>
      <c r="AK636" s="2">
        <f>Table2[[#This Row],[SRS/Diff]]-Table2[[#This Row],[EV/Diff]]</f>
        <v>0</v>
      </c>
      <c r="AL636" s="18">
        <f>Table2[[#This Row],[SRS]]-Table2[[#This Row],[Spread]]</f>
        <v>0.89131147540983402</v>
      </c>
      <c r="AM636" s="21">
        <f>Table2[[#This Row],[(A) Err]]^2</f>
        <v>0.79443614619725511</v>
      </c>
      <c r="AN636" s="6">
        <f>Table2[[#This Row],[EV]]-Table2[[#This Row],[Spread]]</f>
        <v>-5.2311908875520459</v>
      </c>
      <c r="AO636" s="1">
        <f>Table2[[#This Row],[EV Err]]^2</f>
        <v>27.365358102007562</v>
      </c>
      <c r="AP636" s="1"/>
    </row>
    <row r="637" spans="1:42" x14ac:dyDescent="0.25">
      <c r="A637" s="34">
        <v>42754</v>
      </c>
      <c r="B637" t="s">
        <v>114</v>
      </c>
      <c r="C637" t="s">
        <v>131</v>
      </c>
      <c r="E637" s="21"/>
      <c r="G637" s="21"/>
      <c r="H637" s="7"/>
      <c r="I637" s="21"/>
      <c r="K637"/>
      <c r="L637" s="21">
        <f>(Table2[[#This Row],[H/Pace]]/100)*(VLOOKUP(Table2[[#This Row],[Home/Neutral]],home_lookup,8,FALSE)+VLOOKUP(Table2[[#This Row],[Home/Neutral]],OFR_lookup,2,FALSE)+VLOOKUP(Table2[[#This Row],[Visitor/Neutral]],def_diff_lookup,6,FALSE))</f>
        <v>115.38010276756467</v>
      </c>
      <c r="M637" s="21"/>
      <c r="N637" s="21">
        <f>(Table2[[#This Row],[A/Pace]]/100)*(VLOOKUP(Table2[[#This Row],[Visitor/Neutral]],OFR_lookup,2,FALSE)+VLOOKUP(Table2[[#This Row],[Home/Neutral]],def_diff_lookup,6,FALSE))</f>
        <v>102.590553</v>
      </c>
      <c r="O637" s="21"/>
      <c r="P637" s="21"/>
      <c r="Q637">
        <f>VLOOKUP(Table2[[#This Row],[Home/Neutral]],pace_lookup,7,FALSE)</f>
        <v>97.3</v>
      </c>
      <c r="R637" s="5">
        <f>VLOOKUP(Table2[[#This Row],[Visitor/Neutral]],pace_lookup,7,FALSE)</f>
        <v>101.7</v>
      </c>
      <c r="S637" s="7"/>
      <c r="U637" s="15"/>
      <c r="W637" s="2">
        <f>-home-VLOOKUP(Table2[[#This Row],[Home/Neutral]],rtg_vlookup,4,FALSE)+VLOOKUP(Table2[[#This Row],[Visitor/Neutral]],rtg_vlookup,4,FALSE)</f>
        <v>-17.808688524590167</v>
      </c>
      <c r="X637" s="15"/>
      <c r="Y637" s="2"/>
      <c r="Z637" s="2">
        <f>Table2[[#This Row],[A/EV]]-Table2[[#This Row],[H/EV]]</f>
        <v>-12.789549767564665</v>
      </c>
      <c r="AA637" s="29"/>
      <c r="AB637" s="30"/>
      <c r="AC637" s="30"/>
      <c r="AD637" s="30"/>
      <c r="AE637" s="30"/>
      <c r="AF637" s="7" t="b">
        <f>IF(VLOOKUP(Table2[[#This Row],[Home/Neutral]],division_lookup,9,FALSE)=VLOOKUP(Table2[[#This Row],[Visitor/Neutral]],division_lookup,9,FALSE),TRUE,FALSE)</f>
        <v>0</v>
      </c>
      <c r="AG637" s="15" t="str">
        <f>VLOOKUP(Table2[[#This Row],[Home/Neutral]],division_lookup,9,FALSE)</f>
        <v>C</v>
      </c>
      <c r="AH637" s="15" t="str">
        <f>IF(Table2[[#This Row],[Total/EV]]&lt;Table2[[#This Row],[Total/V]],"UNDER","OVER")</f>
        <v>OVER</v>
      </c>
      <c r="AI637" s="26">
        <f>Table2[[#This Row],[SRS/Real]]-Table2[[#This Row],[Spread/V]]</f>
        <v>0</v>
      </c>
      <c r="AJ637" s="2">
        <f>Table2[[#This Row],[EV/Real]]-Table2[[#This Row],[Spread/V]]</f>
        <v>0</v>
      </c>
      <c r="AK637" s="2">
        <f>Table2[[#This Row],[SRS/Diff]]-Table2[[#This Row],[EV/Diff]]</f>
        <v>0</v>
      </c>
      <c r="AL637" s="18">
        <f>Table2[[#This Row],[SRS]]-Table2[[#This Row],[Spread]]</f>
        <v>-17.808688524590167</v>
      </c>
      <c r="AM637" s="21">
        <f>Table2[[#This Row],[(A) Err]]^2</f>
        <v>317.1493869658695</v>
      </c>
      <c r="AN637" s="6">
        <f>Table2[[#This Row],[EV]]-Table2[[#This Row],[Spread]]</f>
        <v>-12.789549767564665</v>
      </c>
      <c r="AO637" s="1">
        <f>Table2[[#This Row],[EV Err]]^2</f>
        <v>163.57258325701338</v>
      </c>
      <c r="AP637" s="1"/>
    </row>
    <row r="638" spans="1:42" x14ac:dyDescent="0.25">
      <c r="A638" s="34">
        <v>42754</v>
      </c>
      <c r="B638" t="s">
        <v>121</v>
      </c>
      <c r="C638" t="s">
        <v>126</v>
      </c>
      <c r="E638" s="21"/>
      <c r="G638" s="21"/>
      <c r="H638" s="7"/>
      <c r="I638" s="21"/>
      <c r="K638"/>
      <c r="L638" s="21">
        <f>(Table2[[#This Row],[H/Pace]]/100)*(VLOOKUP(Table2[[#This Row],[Home/Neutral]],home_lookup,8,FALSE)+VLOOKUP(Table2[[#This Row],[Home/Neutral]],OFR_lookup,2,FALSE)+VLOOKUP(Table2[[#This Row],[Visitor/Neutral]],def_diff_lookup,6,FALSE))</f>
        <v>116.97484060751253</v>
      </c>
      <c r="M638" s="21"/>
      <c r="N638" s="21">
        <f>(Table2[[#This Row],[A/Pace]]/100)*(VLOOKUP(Table2[[#This Row],[Visitor/Neutral]],OFR_lookup,2,FALSE)+VLOOKUP(Table2[[#This Row],[Home/Neutral]],def_diff_lookup,6,FALSE))</f>
        <v>99.906653000000006</v>
      </c>
      <c r="O638" s="21"/>
      <c r="P638" s="21"/>
      <c r="Q638">
        <f>VLOOKUP(Table2[[#This Row],[Home/Neutral]],pace_lookup,7,FALSE)</f>
        <v>96.4</v>
      </c>
      <c r="R638" s="5">
        <f>VLOOKUP(Table2[[#This Row],[Visitor/Neutral]],pace_lookup,7,FALSE)</f>
        <v>95.7</v>
      </c>
      <c r="S638" s="7"/>
      <c r="U638" s="15"/>
      <c r="W638" s="2">
        <f>-home-VLOOKUP(Table2[[#This Row],[Home/Neutral]],rtg_vlookup,4,FALSE)+VLOOKUP(Table2[[#This Row],[Visitor/Neutral]],rtg_vlookup,4,FALSE)</f>
        <v>-16.688688524590166</v>
      </c>
      <c r="X638" s="15"/>
      <c r="Y638" s="2"/>
      <c r="Z638" s="2">
        <f>Table2[[#This Row],[A/EV]]-Table2[[#This Row],[H/EV]]</f>
        <v>-17.068187607512527</v>
      </c>
      <c r="AA638" s="29"/>
      <c r="AB638" s="30"/>
      <c r="AC638" s="30"/>
      <c r="AD638" s="30"/>
      <c r="AE638" s="30"/>
      <c r="AF638" s="7" t="b">
        <f>IF(VLOOKUP(Table2[[#This Row],[Home/Neutral]],division_lookup,9,FALSE)=VLOOKUP(Table2[[#This Row],[Visitor/Neutral]],division_lookup,9,FALSE),TRUE,FALSE)</f>
        <v>0</v>
      </c>
      <c r="AG638" s="15" t="str">
        <f>VLOOKUP(Table2[[#This Row],[Home/Neutral]],division_lookup,9,FALSE)</f>
        <v>P</v>
      </c>
      <c r="AH638" s="15" t="str">
        <f>IF(Table2[[#This Row],[Total/EV]]&lt;Table2[[#This Row],[Total/V]],"UNDER","OVER")</f>
        <v>OVER</v>
      </c>
      <c r="AI638" s="26">
        <f>Table2[[#This Row],[SRS/Real]]-Table2[[#This Row],[Spread/V]]</f>
        <v>0</v>
      </c>
      <c r="AJ638" s="2">
        <f>Table2[[#This Row],[EV/Real]]-Table2[[#This Row],[Spread/V]]</f>
        <v>0</v>
      </c>
      <c r="AK638" s="2">
        <f>Table2[[#This Row],[SRS/Diff]]-Table2[[#This Row],[EV/Diff]]</f>
        <v>0</v>
      </c>
      <c r="AL638" s="18">
        <f>Table2[[#This Row],[SRS]]-Table2[[#This Row],[Spread]]</f>
        <v>-16.688688524590166</v>
      </c>
      <c r="AM638" s="21">
        <f>Table2[[#This Row],[(A) Err]]^2</f>
        <v>278.51232467078751</v>
      </c>
      <c r="AN638" s="6">
        <f>Table2[[#This Row],[EV]]-Table2[[#This Row],[Spread]]</f>
        <v>-17.068187607512527</v>
      </c>
      <c r="AO638" s="1">
        <f>Table2[[#This Row],[EV Err]]^2</f>
        <v>291.32302820524421</v>
      </c>
      <c r="AP638" s="1"/>
    </row>
    <row r="639" spans="1:42" x14ac:dyDescent="0.25">
      <c r="A639" s="34">
        <v>42754</v>
      </c>
      <c r="B639" t="s">
        <v>124</v>
      </c>
      <c r="C639" t="s">
        <v>115</v>
      </c>
      <c r="E639" s="21"/>
      <c r="G639" s="21"/>
      <c r="H639" s="7"/>
      <c r="I639" s="21"/>
      <c r="K639"/>
      <c r="L639" s="21">
        <f>(Table2[[#This Row],[H/Pace]]/100)*(VLOOKUP(Table2[[#This Row],[Home/Neutral]],home_lookup,8,FALSE)+VLOOKUP(Table2[[#This Row],[Home/Neutral]],OFR_lookup,2,FALSE)+VLOOKUP(Table2[[#This Row],[Visitor/Neutral]],def_diff_lookup,6,FALSE))</f>
        <v>100.53603517723558</v>
      </c>
      <c r="M639" s="21"/>
      <c r="N639" s="21">
        <f>(Table2[[#This Row],[A/Pace]]/100)*(VLOOKUP(Table2[[#This Row],[Visitor/Neutral]],OFR_lookup,2,FALSE)+VLOOKUP(Table2[[#This Row],[Home/Neutral]],def_diff_lookup,6,FALSE))</f>
        <v>88.148784333333339</v>
      </c>
      <c r="O639" s="21"/>
      <c r="P639" s="21"/>
      <c r="Q639">
        <f>VLOOKUP(Table2[[#This Row],[Home/Neutral]],pace_lookup,7,FALSE)</f>
        <v>93.7</v>
      </c>
      <c r="R639" s="5">
        <f>VLOOKUP(Table2[[#This Row],[Visitor/Neutral]],pace_lookup,7,FALSE)</f>
        <v>92.9</v>
      </c>
      <c r="S639" s="7"/>
      <c r="U639" s="15"/>
      <c r="W639" s="2">
        <f>-home-VLOOKUP(Table2[[#This Row],[Home/Neutral]],rtg_vlookup,4,FALSE)+VLOOKUP(Table2[[#This Row],[Visitor/Neutral]],rtg_vlookup,4,FALSE)</f>
        <v>-10.438688524590166</v>
      </c>
      <c r="X639" s="15"/>
      <c r="Y639" s="2"/>
      <c r="Z639" s="2">
        <f>Table2[[#This Row],[A/EV]]-Table2[[#This Row],[H/EV]]</f>
        <v>-12.387250843902237</v>
      </c>
      <c r="AA639" s="29"/>
      <c r="AB639" s="30"/>
      <c r="AC639" s="30"/>
      <c r="AD639" s="30"/>
      <c r="AE639" s="30"/>
      <c r="AF639" s="7" t="b">
        <f>IF(VLOOKUP(Table2[[#This Row],[Home/Neutral]],division_lookup,9,FALSE)=VLOOKUP(Table2[[#This Row],[Visitor/Neutral]],division_lookup,9,FALSE),TRUE,FALSE)</f>
        <v>0</v>
      </c>
      <c r="AG639" s="15" t="str">
        <f>VLOOKUP(Table2[[#This Row],[Home/Neutral]],division_lookup,9,FALSE)</f>
        <v>SE</v>
      </c>
      <c r="AH639" s="15" t="str">
        <f>IF(Table2[[#This Row],[Total/EV]]&lt;Table2[[#This Row],[Total/V]],"UNDER","OVER")</f>
        <v>OVER</v>
      </c>
      <c r="AI639" s="26">
        <f>Table2[[#This Row],[SRS/Real]]-Table2[[#This Row],[Spread/V]]</f>
        <v>0</v>
      </c>
      <c r="AJ639" s="2">
        <f>Table2[[#This Row],[EV/Real]]-Table2[[#This Row],[Spread/V]]</f>
        <v>0</v>
      </c>
      <c r="AK639" s="2">
        <f>Table2[[#This Row],[SRS/Diff]]-Table2[[#This Row],[EV/Diff]]</f>
        <v>0</v>
      </c>
      <c r="AL639" s="18">
        <f>Table2[[#This Row],[SRS]]-Table2[[#This Row],[Spread]]</f>
        <v>-10.438688524590166</v>
      </c>
      <c r="AM639" s="21">
        <f>Table2[[#This Row],[(A) Err]]^2</f>
        <v>108.96621811341042</v>
      </c>
      <c r="AN639" s="6">
        <f>Table2[[#This Row],[EV]]-Table2[[#This Row],[Spread]]</f>
        <v>-12.387250843902237</v>
      </c>
      <c r="AO639" s="1">
        <f>Table2[[#This Row],[EV Err]]^2</f>
        <v>153.44398346975669</v>
      </c>
      <c r="AP639" s="1"/>
    </row>
    <row r="640" spans="1:42" x14ac:dyDescent="0.25">
      <c r="A640" s="34">
        <v>42754</v>
      </c>
      <c r="B640" t="s">
        <v>128</v>
      </c>
      <c r="C640" t="s">
        <v>137</v>
      </c>
      <c r="E640" s="21"/>
      <c r="G640" s="21"/>
      <c r="H640" s="7"/>
      <c r="I640" s="21"/>
      <c r="K640"/>
      <c r="L640" s="21">
        <f>(Table2[[#This Row],[H/Pace]]/100)*(VLOOKUP(Table2[[#This Row],[Home/Neutral]],home_lookup,8,FALSE)+VLOOKUP(Table2[[#This Row],[Home/Neutral]],OFR_lookup,2,FALSE)+VLOOKUP(Table2[[#This Row],[Visitor/Neutral]],def_diff_lookup,6,FALSE))</f>
        <v>111.77404987783019</v>
      </c>
      <c r="M640" s="21"/>
      <c r="N640" s="21">
        <f>(Table2[[#This Row],[A/Pace]]/100)*(VLOOKUP(Table2[[#This Row],[Visitor/Neutral]],OFR_lookup,2,FALSE)+VLOOKUP(Table2[[#This Row],[Home/Neutral]],def_diff_lookup,6,FALSE))</f>
        <v>105.90304</v>
      </c>
      <c r="O640" s="21"/>
      <c r="P640" s="21"/>
      <c r="Q640">
        <f>VLOOKUP(Table2[[#This Row],[Home/Neutral]],pace_lookup,7,FALSE)</f>
        <v>96.3</v>
      </c>
      <c r="R640" s="5">
        <f>VLOOKUP(Table2[[#This Row],[Visitor/Neutral]],pace_lookup,7,FALSE)</f>
        <v>96</v>
      </c>
      <c r="S640" s="7"/>
      <c r="U640" s="15"/>
      <c r="W640" s="2">
        <f>-home-VLOOKUP(Table2[[#This Row],[Home/Neutral]],rtg_vlookup,4,FALSE)+VLOOKUP(Table2[[#This Row],[Visitor/Neutral]],rtg_vlookup,4,FALSE)</f>
        <v>-3.9086885245901657</v>
      </c>
      <c r="X640" s="15"/>
      <c r="Y640" s="2"/>
      <c r="Z640" s="2">
        <f>Table2[[#This Row],[A/EV]]-Table2[[#This Row],[H/EV]]</f>
        <v>-5.8710098778301898</v>
      </c>
      <c r="AA640" s="29"/>
      <c r="AB640" s="30"/>
      <c r="AC640" s="30"/>
      <c r="AD640" s="30"/>
      <c r="AE640" s="30"/>
      <c r="AF640" s="7" t="b">
        <f>IF(VLOOKUP(Table2[[#This Row],[Home/Neutral]],division_lookup,9,FALSE)=VLOOKUP(Table2[[#This Row],[Visitor/Neutral]],division_lookup,9,FALSE),TRUE,FALSE)</f>
        <v>0</v>
      </c>
      <c r="AG640" s="15" t="str">
        <f>VLOOKUP(Table2[[#This Row],[Home/Neutral]],division_lookup,9,FALSE)</f>
        <v>A</v>
      </c>
      <c r="AH640" s="15" t="str">
        <f>IF(Table2[[#This Row],[Total/EV]]&lt;Table2[[#This Row],[Total/V]],"UNDER","OVER")</f>
        <v>OVER</v>
      </c>
      <c r="AI640" s="26">
        <f>Table2[[#This Row],[SRS/Real]]-Table2[[#This Row],[Spread/V]]</f>
        <v>0</v>
      </c>
      <c r="AJ640" s="2">
        <f>Table2[[#This Row],[EV/Real]]-Table2[[#This Row],[Spread/V]]</f>
        <v>0</v>
      </c>
      <c r="AK640" s="2">
        <f>Table2[[#This Row],[SRS/Diff]]-Table2[[#This Row],[EV/Diff]]</f>
        <v>0</v>
      </c>
      <c r="AL640" s="18">
        <f>Table2[[#This Row],[SRS]]-Table2[[#This Row],[Spread]]</f>
        <v>-3.9086885245901657</v>
      </c>
      <c r="AM640" s="21">
        <f>Table2[[#This Row],[(A) Err]]^2</f>
        <v>15.277845982262846</v>
      </c>
      <c r="AN640" s="6">
        <f>Table2[[#This Row],[EV]]-Table2[[#This Row],[Spread]]</f>
        <v>-5.8710098778301898</v>
      </c>
      <c r="AO640" s="1">
        <f>Table2[[#This Row],[EV Err]]^2</f>
        <v>34.46875698557966</v>
      </c>
      <c r="AP640" s="1"/>
    </row>
    <row r="641" spans="1:42" x14ac:dyDescent="0.25">
      <c r="A641" s="34">
        <v>42754</v>
      </c>
      <c r="B641" t="s">
        <v>134</v>
      </c>
      <c r="C641" t="s">
        <v>116</v>
      </c>
      <c r="E641" s="21"/>
      <c r="G641" s="21"/>
      <c r="H641" s="7"/>
      <c r="I641" s="21"/>
      <c r="K641"/>
      <c r="L641" s="21">
        <f>(Table2[[#This Row],[H/Pace]]/100)*(VLOOKUP(Table2[[#This Row],[Home/Neutral]],home_lookup,8,FALSE)+VLOOKUP(Table2[[#This Row],[Home/Neutral]],OFR_lookup,2,FALSE)+VLOOKUP(Table2[[#This Row],[Visitor/Neutral]],def_diff_lookup,6,FALSE))</f>
        <v>100.91631343638193</v>
      </c>
      <c r="M641" s="21"/>
      <c r="N641" s="21">
        <f>(Table2[[#This Row],[A/Pace]]/100)*(VLOOKUP(Table2[[#This Row],[Visitor/Neutral]],OFR_lookup,2,FALSE)+VLOOKUP(Table2[[#This Row],[Home/Neutral]],def_diff_lookup,6,FALSE))</f>
        <v>103.87232566666667</v>
      </c>
      <c r="O641" s="21"/>
      <c r="P641" s="21"/>
      <c r="Q641">
        <f>VLOOKUP(Table2[[#This Row],[Home/Neutral]],pace_lookup,7,FALSE)</f>
        <v>93.4</v>
      </c>
      <c r="R641" s="5">
        <f>VLOOKUP(Table2[[#This Row],[Visitor/Neutral]],pace_lookup,7,FALSE)</f>
        <v>99.1</v>
      </c>
      <c r="S641" s="7"/>
      <c r="U641" s="15"/>
      <c r="W641" s="2">
        <f>-home-VLOOKUP(Table2[[#This Row],[Home/Neutral]],rtg_vlookup,4,FALSE)+VLOOKUP(Table2[[#This Row],[Visitor/Neutral]],rtg_vlookup,4,FALSE)</f>
        <v>-10.908688524590165</v>
      </c>
      <c r="X641" s="15"/>
      <c r="Y641" s="2"/>
      <c r="Z641" s="2">
        <f>Table2[[#This Row],[A/EV]]-Table2[[#This Row],[H/EV]]</f>
        <v>2.9560122302847418</v>
      </c>
      <c r="AA641" s="29"/>
      <c r="AB641" s="30"/>
      <c r="AC641" s="30"/>
      <c r="AD641" s="30"/>
      <c r="AE641" s="30"/>
      <c r="AF641" s="7" t="b">
        <f>IF(VLOOKUP(Table2[[#This Row],[Home/Neutral]],division_lookup,9,FALSE)=VLOOKUP(Table2[[#This Row],[Visitor/Neutral]],division_lookup,9,FALSE),TRUE,FALSE)</f>
        <v>0</v>
      </c>
      <c r="AG641" s="15" t="str">
        <f>VLOOKUP(Table2[[#This Row],[Home/Neutral]],division_lookup,9,FALSE)</f>
        <v>SW</v>
      </c>
      <c r="AH641" s="15" t="str">
        <f>IF(Table2[[#This Row],[Total/EV]]&lt;Table2[[#This Row],[Total/V]],"UNDER","OVER")</f>
        <v>OVER</v>
      </c>
      <c r="AI641" s="26">
        <f>Table2[[#This Row],[SRS/Real]]-Table2[[#This Row],[Spread/V]]</f>
        <v>0</v>
      </c>
      <c r="AJ641" s="2">
        <f>Table2[[#This Row],[EV/Real]]-Table2[[#This Row],[Spread/V]]</f>
        <v>0</v>
      </c>
      <c r="AK641" s="2">
        <f>Table2[[#This Row],[SRS/Diff]]-Table2[[#This Row],[EV/Diff]]</f>
        <v>0</v>
      </c>
      <c r="AL641" s="18">
        <f>Table2[[#This Row],[SRS]]-Table2[[#This Row],[Spread]]</f>
        <v>-10.908688524590165</v>
      </c>
      <c r="AM641" s="21">
        <f>Table2[[#This Row],[(A) Err]]^2</f>
        <v>118.99948532652515</v>
      </c>
      <c r="AN641" s="6">
        <f>Table2[[#This Row],[EV]]-Table2[[#This Row],[Spread]]</f>
        <v>2.9560122302847418</v>
      </c>
      <c r="AO641" s="1">
        <f>Table2[[#This Row],[EV Err]]^2</f>
        <v>8.7380083055929738</v>
      </c>
      <c r="AP641" s="1"/>
    </row>
    <row r="642" spans="1:42" x14ac:dyDescent="0.25">
      <c r="A642" s="34">
        <v>42755</v>
      </c>
      <c r="B642" t="s">
        <v>109</v>
      </c>
      <c r="C642" t="s">
        <v>113</v>
      </c>
      <c r="E642" s="21"/>
      <c r="G642" s="21"/>
      <c r="H642" s="7"/>
      <c r="I642" s="21"/>
      <c r="K642"/>
      <c r="L642" s="21">
        <f>(Table2[[#This Row],[H/Pace]]/100)*(VLOOKUP(Table2[[#This Row],[Home/Neutral]],home_lookup,8,FALSE)+VLOOKUP(Table2[[#This Row],[Home/Neutral]],OFR_lookup,2,FALSE)+VLOOKUP(Table2[[#This Row],[Visitor/Neutral]],def_diff_lookup,6,FALSE))</f>
        <v>99.959046607286382</v>
      </c>
      <c r="M642" s="21"/>
      <c r="N642" s="21">
        <f>(Table2[[#This Row],[A/Pace]]/100)*(VLOOKUP(Table2[[#This Row],[Visitor/Neutral]],OFR_lookup,2,FALSE)+VLOOKUP(Table2[[#This Row],[Home/Neutral]],def_diff_lookup,6,FALSE))</f>
        <v>98.880859000000001</v>
      </c>
      <c r="O642" s="21"/>
      <c r="P642" s="21"/>
      <c r="Q642">
        <f>VLOOKUP(Table2[[#This Row],[Home/Neutral]],pace_lookup,7,FALSE)</f>
        <v>99.2</v>
      </c>
      <c r="R642" s="5">
        <f>VLOOKUP(Table2[[#This Row],[Visitor/Neutral]],pace_lookup,7,FALSE)</f>
        <v>95.1</v>
      </c>
      <c r="S642" s="7"/>
      <c r="U642" s="15"/>
      <c r="W642" s="2">
        <f>-home-VLOOKUP(Table2[[#This Row],[Home/Neutral]],rtg_vlookup,4,FALSE)+VLOOKUP(Table2[[#This Row],[Visitor/Neutral]],rtg_vlookup,4,FALSE)</f>
        <v>-0.40868852459016569</v>
      </c>
      <c r="X642" s="15"/>
      <c r="Y642" s="2"/>
      <c r="Z642" s="2">
        <f>Table2[[#This Row],[A/EV]]-Table2[[#This Row],[H/EV]]</f>
        <v>-1.078187607286381</v>
      </c>
      <c r="AA642" s="29"/>
      <c r="AB642" s="30"/>
      <c r="AC642" s="30"/>
      <c r="AD642" s="30"/>
      <c r="AE642" s="30"/>
      <c r="AF642" s="7" t="b">
        <f>IF(VLOOKUP(Table2[[#This Row],[Home/Neutral]],division_lookup,9,FALSE)=VLOOKUP(Table2[[#This Row],[Visitor/Neutral]],division_lookup,9,FALSE),TRUE,FALSE)</f>
        <v>0</v>
      </c>
      <c r="AG642" s="15" t="str">
        <f>VLOOKUP(Table2[[#This Row],[Home/Neutral]],division_lookup,9,FALSE)</f>
        <v>SE</v>
      </c>
      <c r="AH642" s="15" t="str">
        <f>IF(Table2[[#This Row],[Total/EV]]&lt;Table2[[#This Row],[Total/V]],"UNDER","OVER")</f>
        <v>OVER</v>
      </c>
      <c r="AI642" s="26">
        <f>Table2[[#This Row],[SRS/Real]]-Table2[[#This Row],[Spread/V]]</f>
        <v>0</v>
      </c>
      <c r="AJ642" s="2">
        <f>Table2[[#This Row],[EV/Real]]-Table2[[#This Row],[Spread/V]]</f>
        <v>0</v>
      </c>
      <c r="AK642" s="2">
        <f>Table2[[#This Row],[SRS/Diff]]-Table2[[#This Row],[EV/Diff]]</f>
        <v>0</v>
      </c>
      <c r="AL642" s="18">
        <f>Table2[[#This Row],[SRS]]-Table2[[#This Row],[Spread]]</f>
        <v>-0.40868852459016569</v>
      </c>
      <c r="AM642" s="21">
        <f>Table2[[#This Row],[(A) Err]]^2</f>
        <v>0.16702631013168648</v>
      </c>
      <c r="AN642" s="6">
        <f>Table2[[#This Row],[EV]]-Table2[[#This Row],[Spread]]</f>
        <v>-1.078187607286381</v>
      </c>
      <c r="AO642" s="1">
        <f>Table2[[#This Row],[EV Err]]^2</f>
        <v>1.1624885165059313</v>
      </c>
      <c r="AP642" s="1"/>
    </row>
    <row r="643" spans="1:42" x14ac:dyDescent="0.25">
      <c r="A643" s="34">
        <v>42755</v>
      </c>
      <c r="B643" t="s">
        <v>112</v>
      </c>
      <c r="C643" t="s">
        <v>135</v>
      </c>
      <c r="E643" s="21"/>
      <c r="G643" s="21"/>
      <c r="H643" s="7"/>
      <c r="I643" s="21"/>
      <c r="K643"/>
      <c r="L643" s="21">
        <f>(Table2[[#This Row],[H/Pace]]/100)*(VLOOKUP(Table2[[#This Row],[Home/Neutral]],home_lookup,8,FALSE)+VLOOKUP(Table2[[#This Row],[Home/Neutral]],OFR_lookup,2,FALSE)+VLOOKUP(Table2[[#This Row],[Visitor/Neutral]],def_diff_lookup,6,FALSE))</f>
        <v>105.05636195313484</v>
      </c>
      <c r="M643" s="21"/>
      <c r="N643" s="21">
        <f>(Table2[[#This Row],[A/Pace]]/100)*(VLOOKUP(Table2[[#This Row],[Visitor/Neutral]],OFR_lookup,2,FALSE)+VLOOKUP(Table2[[#This Row],[Home/Neutral]],def_diff_lookup,6,FALSE))</f>
        <v>107.387646</v>
      </c>
      <c r="O643" s="21"/>
      <c r="P643" s="21"/>
      <c r="Q643">
        <f>VLOOKUP(Table2[[#This Row],[Home/Neutral]],pace_lookup,7,FALSE)</f>
        <v>97.4</v>
      </c>
      <c r="R643" s="5">
        <f>VLOOKUP(Table2[[#This Row],[Visitor/Neutral]],pace_lookup,7,FALSE)</f>
        <v>95.4</v>
      </c>
      <c r="S643" s="7"/>
      <c r="U643" s="15"/>
      <c r="W643" s="2">
        <f>-home-VLOOKUP(Table2[[#This Row],[Home/Neutral]],rtg_vlookup,4,FALSE)+VLOOKUP(Table2[[#This Row],[Visitor/Neutral]],rtg_vlookup,4,FALSE)</f>
        <v>1.1213114754098346</v>
      </c>
      <c r="X643" s="15"/>
      <c r="Y643" s="2"/>
      <c r="Z643" s="2">
        <f>Table2[[#This Row],[A/EV]]-Table2[[#This Row],[H/EV]]</f>
        <v>2.3312840468651643</v>
      </c>
      <c r="AA643" s="29"/>
      <c r="AB643" s="30"/>
      <c r="AC643" s="30"/>
      <c r="AD643" s="30"/>
      <c r="AE643" s="30"/>
      <c r="AF643" s="7" t="b">
        <f>IF(VLOOKUP(Table2[[#This Row],[Home/Neutral]],division_lookup,9,FALSE)=VLOOKUP(Table2[[#This Row],[Visitor/Neutral]],division_lookup,9,FALSE),TRUE,FALSE)</f>
        <v>0</v>
      </c>
      <c r="AG643" s="15" t="str">
        <f>VLOOKUP(Table2[[#This Row],[Home/Neutral]],division_lookup,9,FALSE)</f>
        <v>SE</v>
      </c>
      <c r="AH643" s="15" t="str">
        <f>IF(Table2[[#This Row],[Total/EV]]&lt;Table2[[#This Row],[Total/V]],"UNDER","OVER")</f>
        <v>OVER</v>
      </c>
      <c r="AI643" s="26">
        <f>Table2[[#This Row],[SRS/Real]]-Table2[[#This Row],[Spread/V]]</f>
        <v>0</v>
      </c>
      <c r="AJ643" s="2">
        <f>Table2[[#This Row],[EV/Real]]-Table2[[#This Row],[Spread/V]]</f>
        <v>0</v>
      </c>
      <c r="AK643" s="2">
        <f>Table2[[#This Row],[SRS/Diff]]-Table2[[#This Row],[EV/Diff]]</f>
        <v>0</v>
      </c>
      <c r="AL643" s="18">
        <f>Table2[[#This Row],[SRS]]-Table2[[#This Row],[Spread]]</f>
        <v>1.1213114754098346</v>
      </c>
      <c r="AM643" s="21">
        <f>Table2[[#This Row],[(A) Err]]^2</f>
        <v>1.2573394248857801</v>
      </c>
      <c r="AN643" s="6">
        <f>Table2[[#This Row],[EV]]-Table2[[#This Row],[Spread]]</f>
        <v>2.3312840468651643</v>
      </c>
      <c r="AO643" s="1">
        <f>Table2[[#This Row],[EV Err]]^2</f>
        <v>5.4348853071680177</v>
      </c>
      <c r="AP643" s="1"/>
    </row>
    <row r="644" spans="1:42" x14ac:dyDescent="0.25">
      <c r="A644" s="34">
        <v>42755</v>
      </c>
      <c r="B644" t="s">
        <v>115</v>
      </c>
      <c r="C644" t="s">
        <v>136</v>
      </c>
      <c r="E644" s="21"/>
      <c r="G644" s="21"/>
      <c r="H644" s="7"/>
      <c r="I644" s="21"/>
      <c r="K644"/>
      <c r="L644" s="21">
        <f>(Table2[[#This Row],[H/Pace]]/100)*(VLOOKUP(Table2[[#This Row],[Home/Neutral]],home_lookup,8,FALSE)+VLOOKUP(Table2[[#This Row],[Home/Neutral]],OFR_lookup,2,FALSE)+VLOOKUP(Table2[[#This Row],[Visitor/Neutral]],def_diff_lookup,6,FALSE))</f>
        <v>91.234463115967756</v>
      </c>
      <c r="M644" s="21"/>
      <c r="N644" s="21">
        <f>(Table2[[#This Row],[A/Pace]]/100)*(VLOOKUP(Table2[[#This Row],[Visitor/Neutral]],OFR_lookup,2,FALSE)+VLOOKUP(Table2[[#This Row],[Home/Neutral]],def_diff_lookup,6,FALSE))</f>
        <v>96.729834999999994</v>
      </c>
      <c r="O644" s="21"/>
      <c r="P644" s="21"/>
      <c r="Q644">
        <f>VLOOKUP(Table2[[#This Row],[Home/Neutral]],pace_lookup,7,FALSE)</f>
        <v>92.9</v>
      </c>
      <c r="R644" s="5">
        <f>VLOOKUP(Table2[[#This Row],[Visitor/Neutral]],pace_lookup,7,FALSE)</f>
        <v>91.5</v>
      </c>
      <c r="S644" s="7"/>
      <c r="U644" s="15"/>
      <c r="W644" s="2">
        <f>-home-VLOOKUP(Table2[[#This Row],[Home/Neutral]],rtg_vlookup,4,FALSE)+VLOOKUP(Table2[[#This Row],[Visitor/Neutral]],rtg_vlookup,4,FALSE)</f>
        <v>10.331311475409834</v>
      </c>
      <c r="X644" s="15"/>
      <c r="Y644" s="2"/>
      <c r="Z644" s="2">
        <f>Table2[[#This Row],[A/EV]]-Table2[[#This Row],[H/EV]]</f>
        <v>5.4953718840322381</v>
      </c>
      <c r="AA644" s="29"/>
      <c r="AB644" s="30"/>
      <c r="AC644" s="30"/>
      <c r="AD644" s="30"/>
      <c r="AE644" s="30"/>
      <c r="AF644" s="7" t="b">
        <f>IF(VLOOKUP(Table2[[#This Row],[Home/Neutral]],division_lookup,9,FALSE)=VLOOKUP(Table2[[#This Row],[Visitor/Neutral]],division_lookup,9,FALSE),TRUE,FALSE)</f>
        <v>0</v>
      </c>
      <c r="AG644" s="15" t="str">
        <f>VLOOKUP(Table2[[#This Row],[Home/Neutral]],division_lookup,9,FALSE)</f>
        <v>SW</v>
      </c>
      <c r="AH644" s="15" t="str">
        <f>IF(Table2[[#This Row],[Total/EV]]&lt;Table2[[#This Row],[Total/V]],"UNDER","OVER")</f>
        <v>OVER</v>
      </c>
      <c r="AI644" s="26">
        <f>Table2[[#This Row],[SRS/Real]]-Table2[[#This Row],[Spread/V]]</f>
        <v>0</v>
      </c>
      <c r="AJ644" s="2">
        <f>Table2[[#This Row],[EV/Real]]-Table2[[#This Row],[Spread/V]]</f>
        <v>0</v>
      </c>
      <c r="AK644" s="2">
        <f>Table2[[#This Row],[SRS/Diff]]-Table2[[#This Row],[EV/Diff]]</f>
        <v>0</v>
      </c>
      <c r="AL644" s="18">
        <f>Table2[[#This Row],[SRS]]-Table2[[#This Row],[Spread]]</f>
        <v>10.331311475409834</v>
      </c>
      <c r="AM644" s="21">
        <f>Table2[[#This Row],[(A) Err]]^2</f>
        <v>106.73599680193492</v>
      </c>
      <c r="AN644" s="6">
        <f>Table2[[#This Row],[EV]]-Table2[[#This Row],[Spread]]</f>
        <v>5.4953718840322381</v>
      </c>
      <c r="AO644" s="1">
        <f>Table2[[#This Row],[EV Err]]^2</f>
        <v>30.19911214381203</v>
      </c>
      <c r="AP644" s="1"/>
    </row>
    <row r="645" spans="1:42" x14ac:dyDescent="0.25">
      <c r="A645" s="34">
        <v>42755</v>
      </c>
      <c r="B645" t="s">
        <v>119</v>
      </c>
      <c r="C645" t="s">
        <v>118</v>
      </c>
      <c r="E645" s="21"/>
      <c r="G645" s="21"/>
      <c r="H645" s="7"/>
      <c r="I645" s="21"/>
      <c r="K645"/>
      <c r="L645" s="21">
        <f>(Table2[[#This Row],[H/Pace]]/100)*(VLOOKUP(Table2[[#This Row],[Home/Neutral]],home_lookup,8,FALSE)+VLOOKUP(Table2[[#This Row],[Home/Neutral]],OFR_lookup,2,FALSE)+VLOOKUP(Table2[[#This Row],[Visitor/Neutral]],def_diff_lookup,6,FALSE))</f>
        <v>107.80515376977628</v>
      </c>
      <c r="M645" s="21"/>
      <c r="N645" s="21">
        <f>(Table2[[#This Row],[A/Pace]]/100)*(VLOOKUP(Table2[[#This Row],[Visitor/Neutral]],OFR_lookup,2,FALSE)+VLOOKUP(Table2[[#This Row],[Home/Neutral]],def_diff_lookup,6,FALSE))</f>
        <v>120.13428933333333</v>
      </c>
      <c r="O645" s="21"/>
      <c r="P645" s="21"/>
      <c r="Q645">
        <f>VLOOKUP(Table2[[#This Row],[Home/Neutral]],pace_lookup,7,FALSE)</f>
        <v>96.9</v>
      </c>
      <c r="R645" s="5">
        <f>VLOOKUP(Table2[[#This Row],[Visitor/Neutral]],pace_lookup,7,FALSE)</f>
        <v>100.4</v>
      </c>
      <c r="S645" s="7"/>
      <c r="U645" s="15"/>
      <c r="W645" s="2">
        <f>-home-VLOOKUP(Table2[[#This Row],[Home/Neutral]],rtg_vlookup,4,FALSE)+VLOOKUP(Table2[[#This Row],[Visitor/Neutral]],rtg_vlookup,4,FALSE)</f>
        <v>4.9613114754098344</v>
      </c>
      <c r="X645" s="15"/>
      <c r="Y645" s="2"/>
      <c r="Z645" s="2">
        <f>Table2[[#This Row],[A/EV]]-Table2[[#This Row],[H/EV]]</f>
        <v>12.329135563557045</v>
      </c>
      <c r="AA645" s="29"/>
      <c r="AB645" s="30"/>
      <c r="AC645" s="30"/>
      <c r="AD645" s="30"/>
      <c r="AE645" s="30"/>
      <c r="AF645" s="7" t="b">
        <f>IF(VLOOKUP(Table2[[#This Row],[Home/Neutral]],division_lookup,9,FALSE)=VLOOKUP(Table2[[#This Row],[Visitor/Neutral]],division_lookup,9,FALSE),TRUE,FALSE)</f>
        <v>0</v>
      </c>
      <c r="AG645" s="15" t="str">
        <f>VLOOKUP(Table2[[#This Row],[Home/Neutral]],division_lookup,9,FALSE)</f>
        <v>SW</v>
      </c>
      <c r="AH645" s="15" t="str">
        <f>IF(Table2[[#This Row],[Total/EV]]&lt;Table2[[#This Row],[Total/V]],"UNDER","OVER")</f>
        <v>OVER</v>
      </c>
      <c r="AI645" s="26">
        <f>Table2[[#This Row],[SRS/Real]]-Table2[[#This Row],[Spread/V]]</f>
        <v>0</v>
      </c>
      <c r="AJ645" s="2">
        <f>Table2[[#This Row],[EV/Real]]-Table2[[#This Row],[Spread/V]]</f>
        <v>0</v>
      </c>
      <c r="AK645" s="2">
        <f>Table2[[#This Row],[SRS/Diff]]-Table2[[#This Row],[EV/Diff]]</f>
        <v>0</v>
      </c>
      <c r="AL645" s="18">
        <f>Table2[[#This Row],[SRS]]-Table2[[#This Row],[Spread]]</f>
        <v>4.9613114754098344</v>
      </c>
      <c r="AM645" s="21">
        <f>Table2[[#This Row],[(A) Err]]^2</f>
        <v>24.614611556033307</v>
      </c>
      <c r="AN645" s="6">
        <f>Table2[[#This Row],[EV]]-Table2[[#This Row],[Spread]]</f>
        <v>12.329135563557045</v>
      </c>
      <c r="AO645" s="1">
        <f>Table2[[#This Row],[EV Err]]^2</f>
        <v>152.00758374456711</v>
      </c>
      <c r="AP645" s="1"/>
    </row>
    <row r="646" spans="1:42" x14ac:dyDescent="0.25">
      <c r="A646" s="34">
        <v>42755</v>
      </c>
      <c r="B646" t="s">
        <v>122</v>
      </c>
      <c r="C646" t="s">
        <v>120</v>
      </c>
      <c r="E646" s="21"/>
      <c r="G646" s="21"/>
      <c r="H646" s="7"/>
      <c r="I646" s="21"/>
      <c r="K646"/>
      <c r="L646" s="21">
        <f>(Table2[[#This Row],[H/Pace]]/100)*(VLOOKUP(Table2[[#This Row],[Home/Neutral]],home_lookup,8,FALSE)+VLOOKUP(Table2[[#This Row],[Home/Neutral]],OFR_lookup,2,FALSE)+VLOOKUP(Table2[[#This Row],[Visitor/Neutral]],def_diff_lookup,6,FALSE))</f>
        <v>111.5715083274473</v>
      </c>
      <c r="M646" s="21"/>
      <c r="N646" s="21">
        <f>(Table2[[#This Row],[A/Pace]]/100)*(VLOOKUP(Table2[[#This Row],[Visitor/Neutral]],OFR_lookup,2,FALSE)+VLOOKUP(Table2[[#This Row],[Home/Neutral]],def_diff_lookup,6,FALSE))</f>
        <v>106.42515033333332</v>
      </c>
      <c r="O646" s="21"/>
      <c r="P646" s="21"/>
      <c r="Q646">
        <f>VLOOKUP(Table2[[#This Row],[Home/Neutral]],pace_lookup,7,FALSE)</f>
        <v>100.2</v>
      </c>
      <c r="R646" s="5">
        <f>VLOOKUP(Table2[[#This Row],[Visitor/Neutral]],pace_lookup,7,FALSE)</f>
        <v>98.3</v>
      </c>
      <c r="S646" s="7"/>
      <c r="U646" s="15"/>
      <c r="W646" s="2">
        <f>-home-VLOOKUP(Table2[[#This Row],[Home/Neutral]],rtg_vlookup,4,FALSE)+VLOOKUP(Table2[[#This Row],[Visitor/Neutral]],rtg_vlookup,4,FALSE)</f>
        <v>-5.228688524590166</v>
      </c>
      <c r="X646" s="15"/>
      <c r="Y646" s="2"/>
      <c r="Z646" s="2">
        <f>Table2[[#This Row],[A/EV]]-Table2[[#This Row],[H/EV]]</f>
        <v>-5.1463579941139841</v>
      </c>
      <c r="AA646" s="29"/>
      <c r="AB646" s="30"/>
      <c r="AC646" s="30"/>
      <c r="AD646" s="30"/>
      <c r="AE646" s="30"/>
      <c r="AF646" s="7" t="b">
        <f>IF(VLOOKUP(Table2[[#This Row],[Home/Neutral]],division_lookup,9,FALSE)=VLOOKUP(Table2[[#This Row],[Visitor/Neutral]],division_lookup,9,FALSE),TRUE,FALSE)</f>
        <v>0</v>
      </c>
      <c r="AG646" s="15" t="str">
        <f>VLOOKUP(Table2[[#This Row],[Home/Neutral]],division_lookup,9,FALSE)</f>
        <v>P</v>
      </c>
      <c r="AH646" s="15" t="str">
        <f>IF(Table2[[#This Row],[Total/EV]]&lt;Table2[[#This Row],[Total/V]],"UNDER","OVER")</f>
        <v>OVER</v>
      </c>
      <c r="AI646" s="26">
        <f>Table2[[#This Row],[SRS/Real]]-Table2[[#This Row],[Spread/V]]</f>
        <v>0</v>
      </c>
      <c r="AJ646" s="2">
        <f>Table2[[#This Row],[EV/Real]]-Table2[[#This Row],[Spread/V]]</f>
        <v>0</v>
      </c>
      <c r="AK646" s="2">
        <f>Table2[[#This Row],[SRS/Diff]]-Table2[[#This Row],[EV/Diff]]</f>
        <v>0</v>
      </c>
      <c r="AL646" s="18">
        <f>Table2[[#This Row],[SRS]]-Table2[[#This Row],[Spread]]</f>
        <v>-5.228688524590166</v>
      </c>
      <c r="AM646" s="21">
        <f>Table2[[#This Row],[(A) Err]]^2</f>
        <v>27.339183687180888</v>
      </c>
      <c r="AN646" s="6">
        <f>Table2[[#This Row],[EV]]-Table2[[#This Row],[Spread]]</f>
        <v>-5.1463579941139841</v>
      </c>
      <c r="AO646" s="1">
        <f>Table2[[#This Row],[EV Err]]^2</f>
        <v>26.485000603580911</v>
      </c>
      <c r="AP646" s="1"/>
    </row>
    <row r="647" spans="1:42" x14ac:dyDescent="0.25">
      <c r="A647" s="34">
        <v>42755</v>
      </c>
      <c r="B647" t="s">
        <v>123</v>
      </c>
      <c r="C647" t="s">
        <v>133</v>
      </c>
      <c r="E647" s="21"/>
      <c r="G647" s="21"/>
      <c r="H647" s="7"/>
      <c r="I647" s="21"/>
      <c r="K647"/>
      <c r="L647" s="21">
        <f>(Table2[[#This Row],[H/Pace]]/100)*(VLOOKUP(Table2[[#This Row],[Home/Neutral]],home_lookup,8,FALSE)+VLOOKUP(Table2[[#This Row],[Home/Neutral]],OFR_lookup,2,FALSE)+VLOOKUP(Table2[[#This Row],[Visitor/Neutral]],def_diff_lookup,6,FALSE))</f>
        <v>104.75092709563918</v>
      </c>
      <c r="M647" s="21"/>
      <c r="N647" s="21">
        <f>(Table2[[#This Row],[A/Pace]]/100)*(VLOOKUP(Table2[[#This Row],[Visitor/Neutral]],OFR_lookup,2,FALSE)+VLOOKUP(Table2[[#This Row],[Home/Neutral]],def_diff_lookup,6,FALSE))</f>
        <v>98.368977999999998</v>
      </c>
      <c r="O647" s="21"/>
      <c r="P647" s="21"/>
      <c r="Q647">
        <f>VLOOKUP(Table2[[#This Row],[Home/Neutral]],pace_lookup,7,FALSE)</f>
        <v>92.5</v>
      </c>
      <c r="R647" s="5">
        <f>VLOOKUP(Table2[[#This Row],[Visitor/Neutral]],pace_lookup,7,FALSE)</f>
        <v>94.2</v>
      </c>
      <c r="S647" s="7"/>
      <c r="U647" s="15"/>
      <c r="W647" s="2">
        <f>-home-VLOOKUP(Table2[[#This Row],[Home/Neutral]],rtg_vlookup,4,FALSE)+VLOOKUP(Table2[[#This Row],[Visitor/Neutral]],rtg_vlookup,4,FALSE)</f>
        <v>-5.3786885245901654</v>
      </c>
      <c r="X647" s="15"/>
      <c r="Y647" s="2"/>
      <c r="Z647" s="2">
        <f>Table2[[#This Row],[A/EV]]-Table2[[#This Row],[H/EV]]</f>
        <v>-6.381949095639186</v>
      </c>
      <c r="AA647" s="29"/>
      <c r="AB647" s="30"/>
      <c r="AC647" s="30"/>
      <c r="AD647" s="30"/>
      <c r="AE647" s="30"/>
      <c r="AF647" s="7" t="b">
        <f>IF(VLOOKUP(Table2[[#This Row],[Home/Neutral]],division_lookup,9,FALSE)=VLOOKUP(Table2[[#This Row],[Visitor/Neutral]],division_lookup,9,FALSE),TRUE,FALSE)</f>
        <v>0</v>
      </c>
      <c r="AG647" s="15" t="str">
        <f>VLOOKUP(Table2[[#This Row],[Home/Neutral]],division_lookup,9,FALSE)</f>
        <v>SW</v>
      </c>
      <c r="AH647" s="15" t="str">
        <f>IF(Table2[[#This Row],[Total/EV]]&lt;Table2[[#This Row],[Total/V]],"UNDER","OVER")</f>
        <v>OVER</v>
      </c>
      <c r="AI647" s="26">
        <f>Table2[[#This Row],[SRS/Real]]-Table2[[#This Row],[Spread/V]]</f>
        <v>0</v>
      </c>
      <c r="AJ647" s="2">
        <f>Table2[[#This Row],[EV/Real]]-Table2[[#This Row],[Spread/V]]</f>
        <v>0</v>
      </c>
      <c r="AK647" s="2">
        <f>Table2[[#This Row],[SRS/Diff]]-Table2[[#This Row],[EV/Diff]]</f>
        <v>0</v>
      </c>
      <c r="AL647" s="18">
        <f>Table2[[#This Row],[SRS]]-Table2[[#This Row],[Spread]]</f>
        <v>-5.3786885245901654</v>
      </c>
      <c r="AM647" s="21">
        <f>Table2[[#This Row],[(A) Err]]^2</f>
        <v>28.930290244557931</v>
      </c>
      <c r="AN647" s="6">
        <f>Table2[[#This Row],[EV]]-Table2[[#This Row],[Spread]]</f>
        <v>-6.381949095639186</v>
      </c>
      <c r="AO647" s="1">
        <f>Table2[[#This Row],[EV Err]]^2</f>
        <v>40.729274259329827</v>
      </c>
      <c r="AP647" s="1"/>
    </row>
    <row r="648" spans="1:42" x14ac:dyDescent="0.25">
      <c r="A648" s="34">
        <v>42755</v>
      </c>
      <c r="B648" t="s">
        <v>127</v>
      </c>
      <c r="C648" t="s">
        <v>111</v>
      </c>
      <c r="E648" s="21"/>
      <c r="G648" s="21"/>
      <c r="H648" s="7"/>
      <c r="I648" s="21"/>
      <c r="K648"/>
      <c r="L648" s="21">
        <f>(Table2[[#This Row],[H/Pace]]/100)*(VLOOKUP(Table2[[#This Row],[Home/Neutral]],home_lookup,8,FALSE)+VLOOKUP(Table2[[#This Row],[Home/Neutral]],OFR_lookup,2,FALSE)+VLOOKUP(Table2[[#This Row],[Visitor/Neutral]],def_diff_lookup,6,FALSE))</f>
        <v>106.93947493743048</v>
      </c>
      <c r="M648" s="21"/>
      <c r="N648" s="21">
        <f>(Table2[[#This Row],[A/Pace]]/100)*(VLOOKUP(Table2[[#This Row],[Visitor/Neutral]],OFR_lookup,2,FALSE)+VLOOKUP(Table2[[#This Row],[Home/Neutral]],def_diff_lookup,6,FALSE))</f>
        <v>102.88297999999999</v>
      </c>
      <c r="O648" s="21"/>
      <c r="P648" s="21"/>
      <c r="Q648">
        <f>VLOOKUP(Table2[[#This Row],[Home/Neutral]],pace_lookup,7,FALSE)</f>
        <v>99.3</v>
      </c>
      <c r="R648" s="5">
        <f>VLOOKUP(Table2[[#This Row],[Visitor/Neutral]],pace_lookup,7,FALSE)</f>
        <v>102</v>
      </c>
      <c r="S648" s="7"/>
      <c r="U648" s="15"/>
      <c r="W648" s="2">
        <f>-home-VLOOKUP(Table2[[#This Row],[Home/Neutral]],rtg_vlookup,4,FALSE)+VLOOKUP(Table2[[#This Row],[Visitor/Neutral]],rtg_vlookup,4,FALSE)</f>
        <v>-8.898688524590165</v>
      </c>
      <c r="X648" s="15"/>
      <c r="Y648" s="2"/>
      <c r="Z648" s="2">
        <f>Table2[[#This Row],[A/EV]]-Table2[[#This Row],[H/EV]]</f>
        <v>-4.0564949374304859</v>
      </c>
      <c r="AA648" s="29"/>
      <c r="AB648" s="30"/>
      <c r="AC648" s="30"/>
      <c r="AD648" s="30"/>
      <c r="AE648" s="30"/>
      <c r="AF648" s="7" t="b">
        <f>IF(VLOOKUP(Table2[[#This Row],[Home/Neutral]],division_lookup,9,FALSE)=VLOOKUP(Table2[[#This Row],[Visitor/Neutral]],division_lookup,9,FALSE),TRUE,FALSE)</f>
        <v>0</v>
      </c>
      <c r="AG648" s="15" t="str">
        <f>VLOOKUP(Table2[[#This Row],[Home/Neutral]],division_lookup,9,FALSE)</f>
        <v>SW</v>
      </c>
      <c r="AH648" s="15" t="str">
        <f>IF(Table2[[#This Row],[Total/EV]]&lt;Table2[[#This Row],[Total/V]],"UNDER","OVER")</f>
        <v>OVER</v>
      </c>
      <c r="AI648" s="26">
        <f>Table2[[#This Row],[SRS/Real]]-Table2[[#This Row],[Spread/V]]</f>
        <v>0</v>
      </c>
      <c r="AJ648" s="2">
        <f>Table2[[#This Row],[EV/Real]]-Table2[[#This Row],[Spread/V]]</f>
        <v>0</v>
      </c>
      <c r="AK648" s="2">
        <f>Table2[[#This Row],[SRS/Diff]]-Table2[[#This Row],[EV/Diff]]</f>
        <v>0</v>
      </c>
      <c r="AL648" s="18">
        <f>Table2[[#This Row],[SRS]]-Table2[[#This Row],[Spread]]</f>
        <v>-8.898688524590165</v>
      </c>
      <c r="AM648" s="21">
        <f>Table2[[#This Row],[(A) Err]]^2</f>
        <v>79.186657457672695</v>
      </c>
      <c r="AN648" s="6">
        <f>Table2[[#This Row],[EV]]-Table2[[#This Row],[Spread]]</f>
        <v>-4.0564949374304859</v>
      </c>
      <c r="AO648" s="1">
        <f>Table2[[#This Row],[EV Err]]^2</f>
        <v>16.455151177399163</v>
      </c>
      <c r="AP648" s="1"/>
    </row>
    <row r="649" spans="1:42" x14ac:dyDescent="0.25">
      <c r="A649" s="34">
        <v>42755</v>
      </c>
      <c r="B649" t="s">
        <v>130</v>
      </c>
      <c r="C649" t="s">
        <v>125</v>
      </c>
      <c r="E649" s="21"/>
      <c r="G649" s="21"/>
      <c r="H649" s="7"/>
      <c r="I649" s="21"/>
      <c r="K649"/>
      <c r="L649" s="21">
        <f>(Table2[[#This Row],[H/Pace]]/100)*(VLOOKUP(Table2[[#This Row],[Home/Neutral]],home_lookup,8,FALSE)+VLOOKUP(Table2[[#This Row],[Home/Neutral]],OFR_lookup,2,FALSE)+VLOOKUP(Table2[[#This Row],[Visitor/Neutral]],def_diff_lookup,6,FALSE))</f>
        <v>98.437724967109403</v>
      </c>
      <c r="M649" s="21"/>
      <c r="N649" s="21">
        <f>(Table2[[#This Row],[A/Pace]]/100)*(VLOOKUP(Table2[[#This Row],[Visitor/Neutral]],OFR_lookup,2,FALSE)+VLOOKUP(Table2[[#This Row],[Home/Neutral]],def_diff_lookup,6,FALSE))</f>
        <v>101.91949566666665</v>
      </c>
      <c r="O649" s="21"/>
      <c r="P649" s="21"/>
      <c r="Q649">
        <f>VLOOKUP(Table2[[#This Row],[Home/Neutral]],pace_lookup,7,FALSE)</f>
        <v>94.2</v>
      </c>
      <c r="R649" s="5">
        <f>VLOOKUP(Table2[[#This Row],[Visitor/Neutral]],pace_lookup,7,FALSE)</f>
        <v>96.1</v>
      </c>
      <c r="S649" s="7"/>
      <c r="U649" s="15"/>
      <c r="W649" s="2">
        <f>-home-VLOOKUP(Table2[[#This Row],[Home/Neutral]],rtg_vlookup,4,FALSE)+VLOOKUP(Table2[[#This Row],[Visitor/Neutral]],rtg_vlookup,4,FALSE)</f>
        <v>3.371311475409835</v>
      </c>
      <c r="X649" s="15"/>
      <c r="Y649" s="2"/>
      <c r="Z649" s="2">
        <f>Table2[[#This Row],[A/EV]]-Table2[[#This Row],[H/EV]]</f>
        <v>3.4817706995572451</v>
      </c>
      <c r="AA649" s="29"/>
      <c r="AB649" s="30"/>
      <c r="AC649" s="30"/>
      <c r="AD649" s="30"/>
      <c r="AE649" s="30"/>
      <c r="AF649" s="7" t="b">
        <f>IF(VLOOKUP(Table2[[#This Row],[Home/Neutral]],division_lookup,9,FALSE)=VLOOKUP(Table2[[#This Row],[Visitor/Neutral]],division_lookup,9,FALSE),TRUE,FALSE)</f>
        <v>0</v>
      </c>
      <c r="AG649" s="15" t="str">
        <f>VLOOKUP(Table2[[#This Row],[Home/Neutral]],division_lookup,9,FALSE)</f>
        <v>SE</v>
      </c>
      <c r="AH649" s="15" t="str">
        <f>IF(Table2[[#This Row],[Total/EV]]&lt;Table2[[#This Row],[Total/V]],"UNDER","OVER")</f>
        <v>OVER</v>
      </c>
      <c r="AI649" s="26">
        <f>Table2[[#This Row],[SRS/Real]]-Table2[[#This Row],[Spread/V]]</f>
        <v>0</v>
      </c>
      <c r="AJ649" s="2">
        <f>Table2[[#This Row],[EV/Real]]-Table2[[#This Row],[Spread/V]]</f>
        <v>0</v>
      </c>
      <c r="AK649" s="2">
        <f>Table2[[#This Row],[SRS/Diff]]-Table2[[#This Row],[EV/Diff]]</f>
        <v>0</v>
      </c>
      <c r="AL649" s="18">
        <f>Table2[[#This Row],[SRS]]-Table2[[#This Row],[Spread]]</f>
        <v>3.371311475409835</v>
      </c>
      <c r="AM649" s="21">
        <f>Table2[[#This Row],[(A) Err]]^2</f>
        <v>11.365741064230038</v>
      </c>
      <c r="AN649" s="6">
        <f>Table2[[#This Row],[EV]]-Table2[[#This Row],[Spread]]</f>
        <v>3.4817706995572451</v>
      </c>
      <c r="AO649" s="1">
        <f>Table2[[#This Row],[EV Err]]^2</f>
        <v>12.122727204295348</v>
      </c>
      <c r="AP649" s="1"/>
    </row>
    <row r="650" spans="1:42" x14ac:dyDescent="0.25">
      <c r="A650" s="34">
        <v>42755</v>
      </c>
      <c r="B650" t="s">
        <v>138</v>
      </c>
      <c r="C650" t="s">
        <v>132</v>
      </c>
      <c r="E650" s="21"/>
      <c r="G650" s="21"/>
      <c r="H650" s="7"/>
      <c r="I650" s="21"/>
      <c r="K650"/>
      <c r="L650" s="21">
        <f>(Table2[[#This Row],[H/Pace]]/100)*(VLOOKUP(Table2[[#This Row],[Home/Neutral]],home_lookup,8,FALSE)+VLOOKUP(Table2[[#This Row],[Home/Neutral]],OFR_lookup,2,FALSE)+VLOOKUP(Table2[[#This Row],[Visitor/Neutral]],def_diff_lookup,6,FALSE))</f>
        <v>104.4870335312401</v>
      </c>
      <c r="M650" s="21"/>
      <c r="N650" s="21">
        <f>(Table2[[#This Row],[A/Pace]]/100)*(VLOOKUP(Table2[[#This Row],[Visitor/Neutral]],OFR_lookup,2,FALSE)+VLOOKUP(Table2[[#This Row],[Home/Neutral]],def_diff_lookup,6,FALSE))</f>
        <v>110.11819866666667</v>
      </c>
      <c r="O650" s="21"/>
      <c r="P650" s="21"/>
      <c r="Q650">
        <f>VLOOKUP(Table2[[#This Row],[Home/Neutral]],pace_lookup,7,FALSE)</f>
        <v>97.5</v>
      </c>
      <c r="R650" s="5">
        <f>VLOOKUP(Table2[[#This Row],[Visitor/Neutral]],pace_lookup,7,FALSE)</f>
        <v>98.8</v>
      </c>
      <c r="S650" s="7"/>
      <c r="U650" s="15"/>
      <c r="W650" s="2">
        <f>-home-VLOOKUP(Table2[[#This Row],[Home/Neutral]],rtg_vlookup,4,FALSE)+VLOOKUP(Table2[[#This Row],[Visitor/Neutral]],rtg_vlookup,4,FALSE)</f>
        <v>4.4113114754098355</v>
      </c>
      <c r="X650" s="15"/>
      <c r="Y650" s="2"/>
      <c r="Z650" s="2">
        <f>Table2[[#This Row],[A/EV]]-Table2[[#This Row],[H/EV]]</f>
        <v>5.6311651354265706</v>
      </c>
      <c r="AA650" s="29"/>
      <c r="AB650" s="30"/>
      <c r="AC650" s="30"/>
      <c r="AD650" s="30"/>
      <c r="AE650" s="30"/>
      <c r="AF650" s="7" t="b">
        <f>IF(VLOOKUP(Table2[[#This Row],[Home/Neutral]],division_lookup,9,FALSE)=VLOOKUP(Table2[[#This Row],[Visitor/Neutral]],division_lookup,9,FALSE),TRUE,FALSE)</f>
        <v>0</v>
      </c>
      <c r="AG650" s="15" t="str">
        <f>VLOOKUP(Table2[[#This Row],[Home/Neutral]],division_lookup,9,FALSE)</f>
        <v>A</v>
      </c>
      <c r="AH650" s="15" t="str">
        <f>IF(Table2[[#This Row],[Total/EV]]&lt;Table2[[#This Row],[Total/V]],"UNDER","OVER")</f>
        <v>OVER</v>
      </c>
      <c r="AI650" s="26">
        <f>Table2[[#This Row],[SRS/Real]]-Table2[[#This Row],[Spread/V]]</f>
        <v>0</v>
      </c>
      <c r="AJ650" s="2">
        <f>Table2[[#This Row],[EV/Real]]-Table2[[#This Row],[Spread/V]]</f>
        <v>0</v>
      </c>
      <c r="AK650" s="2">
        <f>Table2[[#This Row],[SRS/Diff]]-Table2[[#This Row],[EV/Diff]]</f>
        <v>0</v>
      </c>
      <c r="AL650" s="18">
        <f>Table2[[#This Row],[SRS]]-Table2[[#This Row],[Spread]]</f>
        <v>4.4113114754098355</v>
      </c>
      <c r="AM650" s="21">
        <f>Table2[[#This Row],[(A) Err]]^2</f>
        <v>19.459668933082501</v>
      </c>
      <c r="AN650" s="6">
        <f>Table2[[#This Row],[EV]]-Table2[[#This Row],[Spread]]</f>
        <v>5.6311651354265706</v>
      </c>
      <c r="AO650" s="1">
        <f>Table2[[#This Row],[EV Err]]^2</f>
        <v>31.710020782443745</v>
      </c>
      <c r="AP650" s="1"/>
    </row>
    <row r="651" spans="1:42" x14ac:dyDescent="0.25">
      <c r="A651" s="34">
        <v>42756</v>
      </c>
      <c r="B651" t="s">
        <v>109</v>
      </c>
      <c r="C651" t="s">
        <v>138</v>
      </c>
      <c r="E651" s="21"/>
      <c r="G651" s="21"/>
      <c r="H651" s="7"/>
      <c r="I651" s="21"/>
      <c r="K651"/>
      <c r="L651" s="21">
        <f>(Table2[[#This Row],[H/Pace]]/100)*(VLOOKUP(Table2[[#This Row],[Home/Neutral]],home_lookup,8,FALSE)+VLOOKUP(Table2[[#This Row],[Home/Neutral]],OFR_lookup,2,FALSE)+VLOOKUP(Table2[[#This Row],[Visitor/Neutral]],def_diff_lookup,6,FALSE))</f>
        <v>102.11168660728639</v>
      </c>
      <c r="M651" s="21"/>
      <c r="N651" s="21">
        <f>(Table2[[#This Row],[A/Pace]]/100)*(VLOOKUP(Table2[[#This Row],[Visitor/Neutral]],OFR_lookup,2,FALSE)+VLOOKUP(Table2[[#This Row],[Home/Neutral]],def_diff_lookup,6,FALSE))</f>
        <v>89.58852499999999</v>
      </c>
      <c r="O651" s="21"/>
      <c r="P651" s="21"/>
      <c r="Q651">
        <f>VLOOKUP(Table2[[#This Row],[Home/Neutral]],pace_lookup,7,FALSE)</f>
        <v>99.2</v>
      </c>
      <c r="R651" s="5">
        <f>VLOOKUP(Table2[[#This Row],[Visitor/Neutral]],pace_lookup,7,FALSE)</f>
        <v>97.5</v>
      </c>
      <c r="S651" s="7"/>
      <c r="U651" s="15"/>
      <c r="W651" s="2">
        <f>-home-VLOOKUP(Table2[[#This Row],[Home/Neutral]],rtg_vlookup,4,FALSE)+VLOOKUP(Table2[[#This Row],[Visitor/Neutral]],rtg_vlookup,4,FALSE)</f>
        <v>-14.688688524590166</v>
      </c>
      <c r="X651" s="15"/>
      <c r="Y651" s="2"/>
      <c r="Z651" s="2">
        <f>Table2[[#This Row],[A/EV]]-Table2[[#This Row],[H/EV]]</f>
        <v>-12.523161607286397</v>
      </c>
      <c r="AA651" s="29"/>
      <c r="AB651" s="30"/>
      <c r="AC651" s="30"/>
      <c r="AD651" s="30"/>
      <c r="AE651" s="30"/>
      <c r="AF651" s="7" t="b">
        <f>IF(VLOOKUP(Table2[[#This Row],[Home/Neutral]],division_lookup,9,FALSE)=VLOOKUP(Table2[[#This Row],[Visitor/Neutral]],division_lookup,9,FALSE),TRUE,FALSE)</f>
        <v>0</v>
      </c>
      <c r="AG651" s="15" t="str">
        <f>VLOOKUP(Table2[[#This Row],[Home/Neutral]],division_lookup,9,FALSE)</f>
        <v>SE</v>
      </c>
      <c r="AH651" s="15" t="str">
        <f>IF(Table2[[#This Row],[Total/EV]]&lt;Table2[[#This Row],[Total/V]],"UNDER","OVER")</f>
        <v>OVER</v>
      </c>
      <c r="AI651" s="26">
        <f>Table2[[#This Row],[SRS/Real]]-Table2[[#This Row],[Spread/V]]</f>
        <v>0</v>
      </c>
      <c r="AJ651" s="2">
        <f>Table2[[#This Row],[EV/Real]]-Table2[[#This Row],[Spread/V]]</f>
        <v>0</v>
      </c>
      <c r="AK651" s="2">
        <f>Table2[[#This Row],[SRS/Diff]]-Table2[[#This Row],[EV/Diff]]</f>
        <v>0</v>
      </c>
      <c r="AL651" s="18">
        <f>Table2[[#This Row],[SRS]]-Table2[[#This Row],[Spread]]</f>
        <v>-14.688688524590166</v>
      </c>
      <c r="AM651" s="21">
        <f>Table2[[#This Row],[(A) Err]]^2</f>
        <v>215.75757057242683</v>
      </c>
      <c r="AN651" s="6">
        <f>Table2[[#This Row],[EV]]-Table2[[#This Row],[Spread]]</f>
        <v>-12.523161607286397</v>
      </c>
      <c r="AO651" s="1">
        <f>Table2[[#This Row],[EV Err]]^2</f>
        <v>156.82957664221203</v>
      </c>
      <c r="AP651" s="1"/>
    </row>
    <row r="652" spans="1:42" x14ac:dyDescent="0.25">
      <c r="A652" s="34">
        <v>42756</v>
      </c>
      <c r="B652" t="s">
        <v>110</v>
      </c>
      <c r="C652" t="s">
        <v>132</v>
      </c>
      <c r="E652" s="21"/>
      <c r="G652" s="21"/>
      <c r="H652" s="7"/>
      <c r="I652" s="21"/>
      <c r="K652"/>
      <c r="L652" s="21">
        <f>(Table2[[#This Row],[H/Pace]]/100)*(VLOOKUP(Table2[[#This Row],[Home/Neutral]],home_lookup,8,FALSE)+VLOOKUP(Table2[[#This Row],[Home/Neutral]],OFR_lookup,2,FALSE)+VLOOKUP(Table2[[#This Row],[Visitor/Neutral]],def_diff_lookup,6,FALSE))</f>
        <v>111.0733111890094</v>
      </c>
      <c r="M652" s="21"/>
      <c r="N652" s="21">
        <f>(Table2[[#This Row],[A/Pace]]/100)*(VLOOKUP(Table2[[#This Row],[Visitor/Neutral]],OFR_lookup,2,FALSE)+VLOOKUP(Table2[[#This Row],[Home/Neutral]],def_diff_lookup,6,FALSE))</f>
        <v>109.13019866666667</v>
      </c>
      <c r="O652" s="21"/>
      <c r="P652" s="21"/>
      <c r="Q652">
        <f>VLOOKUP(Table2[[#This Row],[Home/Neutral]],pace_lookup,7,FALSE)</f>
        <v>96.2</v>
      </c>
      <c r="R652" s="5">
        <f>VLOOKUP(Table2[[#This Row],[Visitor/Neutral]],pace_lookup,7,FALSE)</f>
        <v>98.8</v>
      </c>
      <c r="S652" s="7"/>
      <c r="U652" s="15"/>
      <c r="W652" s="2">
        <f>-home-VLOOKUP(Table2[[#This Row],[Home/Neutral]],rtg_vlookup,4,FALSE)+VLOOKUP(Table2[[#This Row],[Visitor/Neutral]],rtg_vlookup,4,FALSE)</f>
        <v>-5.6986885245901657</v>
      </c>
      <c r="X652" s="15"/>
      <c r="Y652" s="2"/>
      <c r="Z652" s="2">
        <f>Table2[[#This Row],[A/EV]]-Table2[[#This Row],[H/EV]]</f>
        <v>-1.9431125223427301</v>
      </c>
      <c r="AA652" s="29"/>
      <c r="AB652" s="30"/>
      <c r="AC652" s="30"/>
      <c r="AD652" s="30"/>
      <c r="AE652" s="30"/>
      <c r="AF652" s="7" t="b">
        <f>IF(VLOOKUP(Table2[[#This Row],[Home/Neutral]],division_lookup,9,FALSE)=VLOOKUP(Table2[[#This Row],[Visitor/Neutral]],division_lookup,9,FALSE),TRUE,FALSE)</f>
        <v>0</v>
      </c>
      <c r="AG652" s="15" t="str">
        <f>VLOOKUP(Table2[[#This Row],[Home/Neutral]],division_lookup,9,FALSE)</f>
        <v>A</v>
      </c>
      <c r="AH652" s="15" t="str">
        <f>IF(Table2[[#This Row],[Total/EV]]&lt;Table2[[#This Row],[Total/V]],"UNDER","OVER")</f>
        <v>OVER</v>
      </c>
      <c r="AI652" s="26">
        <f>Table2[[#This Row],[SRS/Real]]-Table2[[#This Row],[Spread/V]]</f>
        <v>0</v>
      </c>
      <c r="AJ652" s="2">
        <f>Table2[[#This Row],[EV/Real]]-Table2[[#This Row],[Spread/V]]</f>
        <v>0</v>
      </c>
      <c r="AK652" s="2">
        <f>Table2[[#This Row],[SRS/Diff]]-Table2[[#This Row],[EV/Diff]]</f>
        <v>0</v>
      </c>
      <c r="AL652" s="18">
        <f>Table2[[#This Row],[SRS]]-Table2[[#This Row],[Spread]]</f>
        <v>-5.6986885245901657</v>
      </c>
      <c r="AM652" s="21">
        <f>Table2[[#This Row],[(A) Err]]^2</f>
        <v>32.475050900295642</v>
      </c>
      <c r="AN652" s="6">
        <f>Table2[[#This Row],[EV]]-Table2[[#This Row],[Spread]]</f>
        <v>-1.9431125223427301</v>
      </c>
      <c r="AO652" s="1">
        <f>Table2[[#This Row],[EV Err]]^2</f>
        <v>3.7756862744851269</v>
      </c>
      <c r="AP652" s="1"/>
    </row>
    <row r="653" spans="1:42" x14ac:dyDescent="0.25">
      <c r="A653" s="34">
        <v>42756</v>
      </c>
      <c r="B653" t="s">
        <v>113</v>
      </c>
      <c r="C653" t="s">
        <v>133</v>
      </c>
      <c r="E653" s="21"/>
      <c r="G653" s="21"/>
      <c r="H653" s="7"/>
      <c r="I653" s="21"/>
      <c r="K653"/>
      <c r="L653" s="21">
        <f>(Table2[[#This Row],[H/Pace]]/100)*(VLOOKUP(Table2[[#This Row],[Home/Neutral]],home_lookup,8,FALSE)+VLOOKUP(Table2[[#This Row],[Home/Neutral]],OFR_lookup,2,FALSE)+VLOOKUP(Table2[[#This Row],[Visitor/Neutral]],def_diff_lookup,6,FALSE))</f>
        <v>112.2192138801628</v>
      </c>
      <c r="M653" s="21"/>
      <c r="N653" s="21">
        <f>(Table2[[#This Row],[A/Pace]]/100)*(VLOOKUP(Table2[[#This Row],[Visitor/Neutral]],OFR_lookup,2,FALSE)+VLOOKUP(Table2[[#This Row],[Home/Neutral]],def_diff_lookup,6,FALSE))</f>
        <v>101.28917800000001</v>
      </c>
      <c r="O653" s="21"/>
      <c r="P653" s="21"/>
      <c r="Q653">
        <f>VLOOKUP(Table2[[#This Row],[Home/Neutral]],pace_lookup,7,FALSE)</f>
        <v>95.1</v>
      </c>
      <c r="R653" s="5">
        <f>VLOOKUP(Table2[[#This Row],[Visitor/Neutral]],pace_lookup,7,FALSE)</f>
        <v>94.2</v>
      </c>
      <c r="S653" s="7"/>
      <c r="U653" s="15"/>
      <c r="W653" s="2">
        <f>-home-VLOOKUP(Table2[[#This Row],[Home/Neutral]],rtg_vlookup,4,FALSE)+VLOOKUP(Table2[[#This Row],[Visitor/Neutral]],rtg_vlookup,4,FALSE)</f>
        <v>-9.3486885245901661</v>
      </c>
      <c r="X653" s="15"/>
      <c r="Y653" s="2"/>
      <c r="Z653" s="2">
        <f>Table2[[#This Row],[A/EV]]-Table2[[#This Row],[H/EV]]</f>
        <v>-10.930035880162791</v>
      </c>
      <c r="AA653" s="29"/>
      <c r="AB653" s="30"/>
      <c r="AC653" s="30"/>
      <c r="AD653" s="30"/>
      <c r="AE653" s="30"/>
      <c r="AF653" s="7" t="b">
        <f>IF(VLOOKUP(Table2[[#This Row],[Home/Neutral]],division_lookup,9,FALSE)=VLOOKUP(Table2[[#This Row],[Visitor/Neutral]],division_lookup,9,FALSE),TRUE,FALSE)</f>
        <v>0</v>
      </c>
      <c r="AG653" s="15" t="str">
        <f>VLOOKUP(Table2[[#This Row],[Home/Neutral]],division_lookup,9,FALSE)</f>
        <v>C</v>
      </c>
      <c r="AH653" s="15" t="str">
        <f>IF(Table2[[#This Row],[Total/EV]]&lt;Table2[[#This Row],[Total/V]],"UNDER","OVER")</f>
        <v>OVER</v>
      </c>
      <c r="AI653" s="26">
        <f>Table2[[#This Row],[SRS/Real]]-Table2[[#This Row],[Spread/V]]</f>
        <v>0</v>
      </c>
      <c r="AJ653" s="2">
        <f>Table2[[#This Row],[EV/Real]]-Table2[[#This Row],[Spread/V]]</f>
        <v>0</v>
      </c>
      <c r="AK653" s="2">
        <f>Table2[[#This Row],[SRS/Diff]]-Table2[[#This Row],[EV/Diff]]</f>
        <v>0</v>
      </c>
      <c r="AL653" s="18">
        <f>Table2[[#This Row],[SRS]]-Table2[[#This Row],[Spread]]</f>
        <v>-9.3486885245901661</v>
      </c>
      <c r="AM653" s="21">
        <f>Table2[[#This Row],[(A) Err]]^2</f>
        <v>87.397977129803863</v>
      </c>
      <c r="AN653" s="6">
        <f>Table2[[#This Row],[EV]]-Table2[[#This Row],[Spread]]</f>
        <v>-10.930035880162791</v>
      </c>
      <c r="AO653" s="1">
        <f>Table2[[#This Row],[EV Err]]^2</f>
        <v>119.465684341646</v>
      </c>
      <c r="AP653" s="1"/>
    </row>
    <row r="654" spans="1:42" x14ac:dyDescent="0.25">
      <c r="A654" s="34">
        <v>42756</v>
      </c>
      <c r="B654" t="s">
        <v>112</v>
      </c>
      <c r="C654" t="s">
        <v>111</v>
      </c>
      <c r="E654" s="21"/>
      <c r="G654" s="21"/>
      <c r="H654" s="7"/>
      <c r="I654" s="21"/>
      <c r="K654"/>
      <c r="L654" s="21">
        <f>(Table2[[#This Row],[H/Pace]]/100)*(VLOOKUP(Table2[[#This Row],[Home/Neutral]],home_lookup,8,FALSE)+VLOOKUP(Table2[[#This Row],[Home/Neutral]],OFR_lookup,2,FALSE)+VLOOKUP(Table2[[#This Row],[Visitor/Neutral]],def_diff_lookup,6,FALSE))</f>
        <v>108.35822195313484</v>
      </c>
      <c r="M654" s="21"/>
      <c r="N654" s="21">
        <f>(Table2[[#This Row],[A/Pace]]/100)*(VLOOKUP(Table2[[#This Row],[Visitor/Neutral]],OFR_lookup,2,FALSE)+VLOOKUP(Table2[[#This Row],[Home/Neutral]],def_diff_lookup,6,FALSE))</f>
        <v>103.26038</v>
      </c>
      <c r="O654" s="21"/>
      <c r="P654" s="21"/>
      <c r="Q654">
        <f>VLOOKUP(Table2[[#This Row],[Home/Neutral]],pace_lookup,7,FALSE)</f>
        <v>97.4</v>
      </c>
      <c r="R654" s="5">
        <f>VLOOKUP(Table2[[#This Row],[Visitor/Neutral]],pace_lookup,7,FALSE)</f>
        <v>102</v>
      </c>
      <c r="S654" s="7"/>
      <c r="U654" s="15"/>
      <c r="W654" s="2">
        <f>-home-VLOOKUP(Table2[[#This Row],[Home/Neutral]],rtg_vlookup,4,FALSE)+VLOOKUP(Table2[[#This Row],[Visitor/Neutral]],rtg_vlookup,4,FALSE)</f>
        <v>-13.598688524590166</v>
      </c>
      <c r="X654" s="15"/>
      <c r="Y654" s="2"/>
      <c r="Z654" s="2">
        <f>Table2[[#This Row],[A/EV]]-Table2[[#This Row],[H/EV]]</f>
        <v>-5.0978419531348464</v>
      </c>
      <c r="AA654" s="29"/>
      <c r="AB654" s="30"/>
      <c r="AC654" s="30"/>
      <c r="AD654" s="30"/>
      <c r="AE654" s="30"/>
      <c r="AF654" s="7" t="b">
        <f>IF(VLOOKUP(Table2[[#This Row],[Home/Neutral]],division_lookup,9,FALSE)=VLOOKUP(Table2[[#This Row],[Visitor/Neutral]],division_lookup,9,FALSE),TRUE,FALSE)</f>
        <v>0</v>
      </c>
      <c r="AG654" s="15" t="str">
        <f>VLOOKUP(Table2[[#This Row],[Home/Neutral]],division_lookup,9,FALSE)</f>
        <v>SE</v>
      </c>
      <c r="AH654" s="15" t="str">
        <f>IF(Table2[[#This Row],[Total/EV]]&lt;Table2[[#This Row],[Total/V]],"UNDER","OVER")</f>
        <v>OVER</v>
      </c>
      <c r="AI654" s="26">
        <f>Table2[[#This Row],[SRS/Real]]-Table2[[#This Row],[Spread/V]]</f>
        <v>0</v>
      </c>
      <c r="AJ654" s="2">
        <f>Table2[[#This Row],[EV/Real]]-Table2[[#This Row],[Spread/V]]</f>
        <v>0</v>
      </c>
      <c r="AK654" s="2">
        <f>Table2[[#This Row],[SRS/Diff]]-Table2[[#This Row],[EV/Diff]]</f>
        <v>0</v>
      </c>
      <c r="AL654" s="18">
        <f>Table2[[#This Row],[SRS]]-Table2[[#This Row],[Spread]]</f>
        <v>-13.598688524590166</v>
      </c>
      <c r="AM654" s="21">
        <f>Table2[[#This Row],[(A) Err]]^2</f>
        <v>184.92432958882026</v>
      </c>
      <c r="AN654" s="6">
        <f>Table2[[#This Row],[EV]]-Table2[[#This Row],[Spread]]</f>
        <v>-5.0978419531348464</v>
      </c>
      <c r="AO654" s="1">
        <f>Table2[[#This Row],[EV Err]]^2</f>
        <v>25.987992579141707</v>
      </c>
      <c r="AP654" s="1"/>
    </row>
    <row r="655" spans="1:42" x14ac:dyDescent="0.25">
      <c r="A655" s="34">
        <v>42756</v>
      </c>
      <c r="B655" t="s">
        <v>114</v>
      </c>
      <c r="C655" t="s">
        <v>134</v>
      </c>
      <c r="E655" s="21"/>
      <c r="G655" s="21"/>
      <c r="H655" s="7"/>
      <c r="I655" s="21"/>
      <c r="K655"/>
      <c r="L655" s="21">
        <f>(Table2[[#This Row],[H/Pace]]/100)*(VLOOKUP(Table2[[#This Row],[Home/Neutral]],home_lookup,8,FALSE)+VLOOKUP(Table2[[#This Row],[Home/Neutral]],OFR_lookup,2,FALSE)+VLOOKUP(Table2[[#This Row],[Visitor/Neutral]],def_diff_lookup,6,FALSE))</f>
        <v>112.95733276756467</v>
      </c>
      <c r="M655" s="21"/>
      <c r="N655" s="21">
        <f>(Table2[[#This Row],[A/Pace]]/100)*(VLOOKUP(Table2[[#This Row],[Visitor/Neutral]],OFR_lookup,2,FALSE)+VLOOKUP(Table2[[#This Row],[Home/Neutral]],def_diff_lookup,6,FALSE))</f>
        <v>104.75339266666667</v>
      </c>
      <c r="O655" s="21"/>
      <c r="P655" s="21"/>
      <c r="Q655">
        <f>VLOOKUP(Table2[[#This Row],[Home/Neutral]],pace_lookup,7,FALSE)</f>
        <v>97.3</v>
      </c>
      <c r="R655" s="5">
        <f>VLOOKUP(Table2[[#This Row],[Visitor/Neutral]],pace_lookup,7,FALSE)</f>
        <v>93.4</v>
      </c>
      <c r="S655" s="7"/>
      <c r="U655" s="15"/>
      <c r="W655" s="2">
        <f>-home-VLOOKUP(Table2[[#This Row],[Home/Neutral]],rtg_vlookup,4,FALSE)+VLOOKUP(Table2[[#This Row],[Visitor/Neutral]],rtg_vlookup,4,FALSE)</f>
        <v>-4.0386885245901665</v>
      </c>
      <c r="X655" s="15"/>
      <c r="Y655" s="2"/>
      <c r="Z655" s="2">
        <f>Table2[[#This Row],[A/EV]]-Table2[[#This Row],[H/EV]]</f>
        <v>-8.2039401008979951</v>
      </c>
      <c r="AA655" s="29"/>
      <c r="AB655" s="30"/>
      <c r="AC655" s="30"/>
      <c r="AD655" s="30"/>
      <c r="AE655" s="30"/>
      <c r="AF655" s="7" t="b">
        <f>IF(VLOOKUP(Table2[[#This Row],[Home/Neutral]],division_lookup,9,FALSE)=VLOOKUP(Table2[[#This Row],[Visitor/Neutral]],division_lookup,9,FALSE),TRUE,FALSE)</f>
        <v>0</v>
      </c>
      <c r="AG655" s="15" t="str">
        <f>VLOOKUP(Table2[[#This Row],[Home/Neutral]],division_lookup,9,FALSE)</f>
        <v>C</v>
      </c>
      <c r="AH655" s="15" t="str">
        <f>IF(Table2[[#This Row],[Total/EV]]&lt;Table2[[#This Row],[Total/V]],"UNDER","OVER")</f>
        <v>OVER</v>
      </c>
      <c r="AI655" s="26">
        <f>Table2[[#This Row],[SRS/Real]]-Table2[[#This Row],[Spread/V]]</f>
        <v>0</v>
      </c>
      <c r="AJ655" s="2">
        <f>Table2[[#This Row],[EV/Real]]-Table2[[#This Row],[Spread/V]]</f>
        <v>0</v>
      </c>
      <c r="AK655" s="2">
        <f>Table2[[#This Row],[SRS/Diff]]-Table2[[#This Row],[EV/Diff]]</f>
        <v>0</v>
      </c>
      <c r="AL655" s="18">
        <f>Table2[[#This Row],[SRS]]-Table2[[#This Row],[Spread]]</f>
        <v>-4.0386885245901665</v>
      </c>
      <c r="AM655" s="21">
        <f>Table2[[#This Row],[(A) Err]]^2</f>
        <v>16.311004998656294</v>
      </c>
      <c r="AN655" s="6">
        <f>Table2[[#This Row],[EV]]-Table2[[#This Row],[Spread]]</f>
        <v>-8.2039401008979951</v>
      </c>
      <c r="AO655" s="1">
        <f>Table2[[#This Row],[EV Err]]^2</f>
        <v>67.304633179122206</v>
      </c>
      <c r="AP655" s="1"/>
    </row>
    <row r="656" spans="1:42" x14ac:dyDescent="0.25">
      <c r="A656" s="34">
        <v>42756</v>
      </c>
      <c r="B656" t="s">
        <v>116</v>
      </c>
      <c r="C656" t="s">
        <v>121</v>
      </c>
      <c r="E656" s="21"/>
      <c r="G656" s="21"/>
      <c r="H656" s="7"/>
      <c r="I656" s="21"/>
      <c r="K656"/>
      <c r="L656" s="21">
        <f>(Table2[[#This Row],[H/Pace]]/100)*(VLOOKUP(Table2[[#This Row],[Home/Neutral]],home_lookup,8,FALSE)+VLOOKUP(Table2[[#This Row],[Home/Neutral]],OFR_lookup,2,FALSE)+VLOOKUP(Table2[[#This Row],[Visitor/Neutral]],def_diff_lookup,6,FALSE))</f>
        <v>100.67421470161864</v>
      </c>
      <c r="M656" s="21"/>
      <c r="N656" s="21">
        <f>(Table2[[#This Row],[A/Pace]]/100)*(VLOOKUP(Table2[[#This Row],[Visitor/Neutral]],OFR_lookup,2,FALSE)+VLOOKUP(Table2[[#This Row],[Home/Neutral]],def_diff_lookup,6,FALSE))</f>
        <v>111.21250266666667</v>
      </c>
      <c r="O656" s="21"/>
      <c r="P656" s="21"/>
      <c r="Q656">
        <f>VLOOKUP(Table2[[#This Row],[Home/Neutral]],pace_lookup,7,FALSE)</f>
        <v>99.1</v>
      </c>
      <c r="R656" s="5">
        <f>VLOOKUP(Table2[[#This Row],[Visitor/Neutral]],pace_lookup,7,FALSE)</f>
        <v>96.4</v>
      </c>
      <c r="S656" s="7"/>
      <c r="U656" s="15"/>
      <c r="W656" s="2">
        <f>-home-VLOOKUP(Table2[[#This Row],[Home/Neutral]],rtg_vlookup,4,FALSE)+VLOOKUP(Table2[[#This Row],[Visitor/Neutral]],rtg_vlookup,4,FALSE)</f>
        <v>10.691311475409835</v>
      </c>
      <c r="X656" s="15"/>
      <c r="Y656" s="2"/>
      <c r="Z656" s="2">
        <f>Table2[[#This Row],[A/EV]]-Table2[[#This Row],[H/EV]]</f>
        <v>10.538287965048028</v>
      </c>
      <c r="AA656" s="29"/>
      <c r="AB656" s="30"/>
      <c r="AC656" s="30"/>
      <c r="AD656" s="30"/>
      <c r="AE656" s="30"/>
      <c r="AF656" s="7" t="b">
        <f>IF(VLOOKUP(Table2[[#This Row],[Home/Neutral]],division_lookup,9,FALSE)=VLOOKUP(Table2[[#This Row],[Visitor/Neutral]],division_lookup,9,FALSE),TRUE,FALSE)</f>
        <v>0</v>
      </c>
      <c r="AG656" s="15" t="str">
        <f>VLOOKUP(Table2[[#This Row],[Home/Neutral]],division_lookup,9,FALSE)</f>
        <v>NW</v>
      </c>
      <c r="AH656" s="15" t="str">
        <f>IF(Table2[[#This Row],[Total/EV]]&lt;Table2[[#This Row],[Total/V]],"UNDER","OVER")</f>
        <v>OVER</v>
      </c>
      <c r="AI656" s="26">
        <f>Table2[[#This Row],[SRS/Real]]-Table2[[#This Row],[Spread/V]]</f>
        <v>0</v>
      </c>
      <c r="AJ656" s="2">
        <f>Table2[[#This Row],[EV/Real]]-Table2[[#This Row],[Spread/V]]</f>
        <v>0</v>
      </c>
      <c r="AK656" s="2">
        <f>Table2[[#This Row],[SRS/Diff]]-Table2[[#This Row],[EV/Diff]]</f>
        <v>0</v>
      </c>
      <c r="AL656" s="18">
        <f>Table2[[#This Row],[SRS]]-Table2[[#This Row],[Spread]]</f>
        <v>10.691311475409835</v>
      </c>
      <c r="AM656" s="21">
        <f>Table2[[#This Row],[(A) Err]]^2</f>
        <v>114.30414106423002</v>
      </c>
      <c r="AN656" s="6">
        <f>Table2[[#This Row],[EV]]-Table2[[#This Row],[Spread]]</f>
        <v>10.538287965048028</v>
      </c>
      <c r="AO656" s="1">
        <f>Table2[[#This Row],[EV Err]]^2</f>
        <v>111.05551323427611</v>
      </c>
      <c r="AP656" s="1"/>
    </row>
    <row r="657" spans="1:42" x14ac:dyDescent="0.25">
      <c r="A657" s="34">
        <v>42756</v>
      </c>
      <c r="B657" t="s">
        <v>117</v>
      </c>
      <c r="C657" t="s">
        <v>137</v>
      </c>
      <c r="E657" s="21"/>
      <c r="G657" s="21"/>
      <c r="H657" s="7"/>
      <c r="I657" s="21"/>
      <c r="K657"/>
      <c r="L657" s="21">
        <f>(Table2[[#This Row],[H/Pace]]/100)*(VLOOKUP(Table2[[#This Row],[Home/Neutral]],home_lookup,8,FALSE)+VLOOKUP(Table2[[#This Row],[Home/Neutral]],OFR_lookup,2,FALSE)+VLOOKUP(Table2[[#This Row],[Visitor/Neutral]],def_diff_lookup,6,FALSE))</f>
        <v>115.53599591446428</v>
      </c>
      <c r="M657" s="21"/>
      <c r="N657" s="21">
        <f>(Table2[[#This Row],[A/Pace]]/100)*(VLOOKUP(Table2[[#This Row],[Visitor/Neutral]],OFR_lookup,2,FALSE)+VLOOKUP(Table2[[#This Row],[Home/Neutral]],def_diff_lookup,6,FALSE))</f>
        <v>99.144639999999995</v>
      </c>
      <c r="O657" s="21"/>
      <c r="P657" s="21"/>
      <c r="Q657">
        <f>VLOOKUP(Table2[[#This Row],[Home/Neutral]],pace_lookup,7,FALSE)</f>
        <v>94</v>
      </c>
      <c r="R657" s="5">
        <f>VLOOKUP(Table2[[#This Row],[Visitor/Neutral]],pace_lookup,7,FALSE)</f>
        <v>96</v>
      </c>
      <c r="S657" s="7"/>
      <c r="U657" s="15"/>
      <c r="W657" s="2">
        <f>-home-VLOOKUP(Table2[[#This Row],[Home/Neutral]],rtg_vlookup,4,FALSE)+VLOOKUP(Table2[[#This Row],[Visitor/Neutral]],rtg_vlookup,4,FALSE)</f>
        <v>-7.3386885245901663</v>
      </c>
      <c r="X657" s="15"/>
      <c r="Y657" s="2"/>
      <c r="Z657" s="2">
        <f>Table2[[#This Row],[A/EV]]-Table2[[#This Row],[H/EV]]</f>
        <v>-16.391355914464285</v>
      </c>
      <c r="AA657" s="29"/>
      <c r="AB657" s="30"/>
      <c r="AC657" s="30"/>
      <c r="AD657" s="30"/>
      <c r="AE657" s="30"/>
      <c r="AF657" s="7" t="b">
        <f>IF(VLOOKUP(Table2[[#This Row],[Home/Neutral]],division_lookup,9,FALSE)=VLOOKUP(Table2[[#This Row],[Visitor/Neutral]],division_lookup,9,FALSE),TRUE,FALSE)</f>
        <v>0</v>
      </c>
      <c r="AG657" s="15" t="str">
        <f>VLOOKUP(Table2[[#This Row],[Home/Neutral]],division_lookup,9,FALSE)</f>
        <v>C</v>
      </c>
      <c r="AH657" s="15" t="str">
        <f>IF(Table2[[#This Row],[Total/EV]]&lt;Table2[[#This Row],[Total/V]],"UNDER","OVER")</f>
        <v>OVER</v>
      </c>
      <c r="AI657" s="26">
        <f>Table2[[#This Row],[SRS/Real]]-Table2[[#This Row],[Spread/V]]</f>
        <v>0</v>
      </c>
      <c r="AJ657" s="2">
        <f>Table2[[#This Row],[EV/Real]]-Table2[[#This Row],[Spread/V]]</f>
        <v>0</v>
      </c>
      <c r="AK657" s="2">
        <f>Table2[[#This Row],[SRS/Diff]]-Table2[[#This Row],[EV/Diff]]</f>
        <v>0</v>
      </c>
      <c r="AL657" s="18">
        <f>Table2[[#This Row],[SRS]]-Table2[[#This Row],[Spread]]</f>
        <v>-7.3386885245901663</v>
      </c>
      <c r="AM657" s="21">
        <f>Table2[[#This Row],[(A) Err]]^2</f>
        <v>53.85634926095139</v>
      </c>
      <c r="AN657" s="6">
        <f>Table2[[#This Row],[EV]]-Table2[[#This Row],[Spread]]</f>
        <v>-16.391355914464285</v>
      </c>
      <c r="AO657" s="1">
        <f>Table2[[#This Row],[EV Err]]^2</f>
        <v>268.67654871464327</v>
      </c>
      <c r="AP657" s="1"/>
    </row>
    <row r="658" spans="1:42" x14ac:dyDescent="0.25">
      <c r="A658" s="34">
        <v>42756</v>
      </c>
      <c r="B658" t="s">
        <v>123</v>
      </c>
      <c r="C658" t="s">
        <v>119</v>
      </c>
      <c r="E658" s="21"/>
      <c r="G658" s="21"/>
      <c r="H658" s="7"/>
      <c r="I658" s="21"/>
      <c r="K658"/>
      <c r="L658" s="21">
        <f>(Table2[[#This Row],[H/Pace]]/100)*(VLOOKUP(Table2[[#This Row],[Home/Neutral]],home_lookup,8,FALSE)+VLOOKUP(Table2[[#This Row],[Home/Neutral]],OFR_lookup,2,FALSE)+VLOOKUP(Table2[[#This Row],[Visitor/Neutral]],def_diff_lookup,6,FALSE))</f>
        <v>104.26992709563919</v>
      </c>
      <c r="M658" s="21"/>
      <c r="N658" s="21">
        <f>(Table2[[#This Row],[A/Pace]]/100)*(VLOOKUP(Table2[[#This Row],[Visitor/Neutral]],OFR_lookup,2,FALSE)+VLOOKUP(Table2[[#This Row],[Home/Neutral]],def_diff_lookup,6,FALSE))</f>
        <v>106.110991</v>
      </c>
      <c r="O658" s="21"/>
      <c r="P658" s="21"/>
      <c r="Q658">
        <f>VLOOKUP(Table2[[#This Row],[Home/Neutral]],pace_lookup,7,FALSE)</f>
        <v>92.5</v>
      </c>
      <c r="R658" s="5">
        <f>VLOOKUP(Table2[[#This Row],[Visitor/Neutral]],pace_lookup,7,FALSE)</f>
        <v>96.9</v>
      </c>
      <c r="S658" s="7"/>
      <c r="U658" s="15"/>
      <c r="W658" s="2">
        <f>-home-VLOOKUP(Table2[[#This Row],[Home/Neutral]],rtg_vlookup,4,FALSE)+VLOOKUP(Table2[[#This Row],[Visitor/Neutral]],rtg_vlookup,4,FALSE)</f>
        <v>0.2213114754098342</v>
      </c>
      <c r="X658" s="15"/>
      <c r="Y658" s="2"/>
      <c r="Z658" s="2">
        <f>Table2[[#This Row],[A/EV]]-Table2[[#This Row],[H/EV]]</f>
        <v>1.8410639043608086</v>
      </c>
      <c r="AA658" s="29"/>
      <c r="AB658" s="30"/>
      <c r="AC658" s="30"/>
      <c r="AD658" s="30"/>
      <c r="AE658" s="30"/>
      <c r="AF658" s="7" t="b">
        <f>IF(VLOOKUP(Table2[[#This Row],[Home/Neutral]],division_lookup,9,FALSE)=VLOOKUP(Table2[[#This Row],[Visitor/Neutral]],division_lookup,9,FALSE),TRUE,FALSE)</f>
        <v>1</v>
      </c>
      <c r="AG658" s="15" t="str">
        <f>VLOOKUP(Table2[[#This Row],[Home/Neutral]],division_lookup,9,FALSE)</f>
        <v>SW</v>
      </c>
      <c r="AH658" s="15" t="str">
        <f>IF(Table2[[#This Row],[Total/EV]]&lt;Table2[[#This Row],[Total/V]],"UNDER","OVER")</f>
        <v>OVER</v>
      </c>
      <c r="AI658" s="26">
        <f>Table2[[#This Row],[SRS/Real]]-Table2[[#This Row],[Spread/V]]</f>
        <v>0</v>
      </c>
      <c r="AJ658" s="2">
        <f>Table2[[#This Row],[EV/Real]]-Table2[[#This Row],[Spread/V]]</f>
        <v>0</v>
      </c>
      <c r="AK658" s="2">
        <f>Table2[[#This Row],[SRS/Diff]]-Table2[[#This Row],[EV/Diff]]</f>
        <v>0</v>
      </c>
      <c r="AL658" s="18">
        <f>Table2[[#This Row],[SRS]]-Table2[[#This Row],[Spread]]</f>
        <v>0.2213114754098342</v>
      </c>
      <c r="AM658" s="21">
        <f>Table2[[#This Row],[(A) Err]]^2</f>
        <v>4.8978769148077646E-2</v>
      </c>
      <c r="AN658" s="6">
        <f>Table2[[#This Row],[EV]]-Table2[[#This Row],[Spread]]</f>
        <v>1.8410639043608086</v>
      </c>
      <c r="AO658" s="1">
        <f>Table2[[#This Row],[EV Err]]^2</f>
        <v>3.3895162999402646</v>
      </c>
      <c r="AP658" s="1"/>
    </row>
    <row r="659" spans="1:42" x14ac:dyDescent="0.25">
      <c r="A659" s="34">
        <v>42756</v>
      </c>
      <c r="B659" t="s">
        <v>124</v>
      </c>
      <c r="C659" t="s">
        <v>125</v>
      </c>
      <c r="E659" s="21"/>
      <c r="G659" s="21"/>
      <c r="H659" s="7"/>
      <c r="I659" s="21"/>
      <c r="K659"/>
      <c r="L659" s="21">
        <f>(Table2[[#This Row],[H/Pace]]/100)*(VLOOKUP(Table2[[#This Row],[Home/Neutral]],home_lookup,8,FALSE)+VLOOKUP(Table2[[#This Row],[Home/Neutral]],OFR_lookup,2,FALSE)+VLOOKUP(Table2[[#This Row],[Visitor/Neutral]],def_diff_lookup,6,FALSE))</f>
        <v>103.13152517723557</v>
      </c>
      <c r="M659" s="21"/>
      <c r="N659" s="21">
        <f>(Table2[[#This Row],[A/Pace]]/100)*(VLOOKUP(Table2[[#This Row],[Visitor/Neutral]],OFR_lookup,2,FALSE)+VLOOKUP(Table2[[#This Row],[Home/Neutral]],def_diff_lookup,6,FALSE))</f>
        <v>99.978275666666647</v>
      </c>
      <c r="O659" s="21"/>
      <c r="P659" s="21"/>
      <c r="Q659">
        <f>VLOOKUP(Table2[[#This Row],[Home/Neutral]],pace_lookup,7,FALSE)</f>
        <v>93.7</v>
      </c>
      <c r="R659" s="5">
        <f>VLOOKUP(Table2[[#This Row],[Visitor/Neutral]],pace_lookup,7,FALSE)</f>
        <v>96.1</v>
      </c>
      <c r="S659" s="7"/>
      <c r="U659" s="15"/>
      <c r="W659" s="2">
        <f>-home-VLOOKUP(Table2[[#This Row],[Home/Neutral]],rtg_vlookup,4,FALSE)+VLOOKUP(Table2[[#This Row],[Visitor/Neutral]],rtg_vlookup,4,FALSE)</f>
        <v>-4.058688524590166</v>
      </c>
      <c r="X659" s="15"/>
      <c r="Y659" s="2"/>
      <c r="Z659" s="2">
        <f>Table2[[#This Row],[A/EV]]-Table2[[#This Row],[H/EV]]</f>
        <v>-3.1532495105689264</v>
      </c>
      <c r="AA659" s="29"/>
      <c r="AB659" s="30"/>
      <c r="AC659" s="30"/>
      <c r="AD659" s="30"/>
      <c r="AE659" s="30"/>
      <c r="AF659" s="7" t="b">
        <f>IF(VLOOKUP(Table2[[#This Row],[Home/Neutral]],division_lookup,9,FALSE)=VLOOKUP(Table2[[#This Row],[Visitor/Neutral]],division_lookup,9,FALSE),TRUE,FALSE)</f>
        <v>0</v>
      </c>
      <c r="AG659" s="15" t="str">
        <f>VLOOKUP(Table2[[#This Row],[Home/Neutral]],division_lookup,9,FALSE)</f>
        <v>SE</v>
      </c>
      <c r="AH659" s="15" t="str">
        <f>IF(Table2[[#This Row],[Total/EV]]&lt;Table2[[#This Row],[Total/V]],"UNDER","OVER")</f>
        <v>OVER</v>
      </c>
      <c r="AI659" s="26">
        <f>Table2[[#This Row],[SRS/Real]]-Table2[[#This Row],[Spread/V]]</f>
        <v>0</v>
      </c>
      <c r="AJ659" s="2">
        <f>Table2[[#This Row],[EV/Real]]-Table2[[#This Row],[Spread/V]]</f>
        <v>0</v>
      </c>
      <c r="AK659" s="2">
        <f>Table2[[#This Row],[SRS/Diff]]-Table2[[#This Row],[EV/Diff]]</f>
        <v>0</v>
      </c>
      <c r="AL659" s="18">
        <f>Table2[[#This Row],[SRS]]-Table2[[#This Row],[Spread]]</f>
        <v>-4.058688524590166</v>
      </c>
      <c r="AM659" s="21">
        <f>Table2[[#This Row],[(A) Err]]^2</f>
        <v>16.472952539639898</v>
      </c>
      <c r="AN659" s="6">
        <f>Table2[[#This Row],[EV]]-Table2[[#This Row],[Spread]]</f>
        <v>-3.1532495105689264</v>
      </c>
      <c r="AO659" s="1">
        <f>Table2[[#This Row],[EV Err]]^2</f>
        <v>9.9429824759031735</v>
      </c>
      <c r="AP659" s="1"/>
    </row>
    <row r="660" spans="1:42" x14ac:dyDescent="0.25">
      <c r="A660" s="34">
        <v>42756</v>
      </c>
      <c r="B660" t="s">
        <v>128</v>
      </c>
      <c r="C660" t="s">
        <v>131</v>
      </c>
      <c r="E660" s="21"/>
      <c r="G660" s="21"/>
      <c r="H660" s="7"/>
      <c r="I660" s="21"/>
      <c r="K660"/>
      <c r="L660" s="21">
        <f>(Table2[[#This Row],[H/Pace]]/100)*(VLOOKUP(Table2[[#This Row],[Home/Neutral]],home_lookup,8,FALSE)+VLOOKUP(Table2[[#This Row],[Home/Neutral]],OFR_lookup,2,FALSE)+VLOOKUP(Table2[[#This Row],[Visitor/Neutral]],def_diff_lookup,6,FALSE))</f>
        <v>109.4821098778302</v>
      </c>
      <c r="M660" s="21"/>
      <c r="N660" s="21">
        <f>(Table2[[#This Row],[A/Pace]]/100)*(VLOOKUP(Table2[[#This Row],[Visitor/Neutral]],OFR_lookup,2,FALSE)+VLOOKUP(Table2[[#This Row],[Home/Neutral]],def_diff_lookup,6,FALSE))</f>
        <v>106.32294300000001</v>
      </c>
      <c r="O660" s="21"/>
      <c r="P660" s="21"/>
      <c r="Q660">
        <f>VLOOKUP(Table2[[#This Row],[Home/Neutral]],pace_lookup,7,FALSE)</f>
        <v>96.3</v>
      </c>
      <c r="R660" s="5">
        <f>VLOOKUP(Table2[[#This Row],[Visitor/Neutral]],pace_lookup,7,FALSE)</f>
        <v>101.7</v>
      </c>
      <c r="S660" s="7"/>
      <c r="U660" s="15"/>
      <c r="W660" s="2">
        <f>-home-VLOOKUP(Table2[[#This Row],[Home/Neutral]],rtg_vlookup,4,FALSE)+VLOOKUP(Table2[[#This Row],[Visitor/Neutral]],rtg_vlookup,4,FALSE)</f>
        <v>-7.2986885245901654</v>
      </c>
      <c r="X660" s="15"/>
      <c r="Y660" s="2"/>
      <c r="Z660" s="2">
        <f>Table2[[#This Row],[A/EV]]-Table2[[#This Row],[H/EV]]</f>
        <v>-3.159166877830188</v>
      </c>
      <c r="AA660" s="29"/>
      <c r="AB660" s="30"/>
      <c r="AC660" s="30"/>
      <c r="AD660" s="30"/>
      <c r="AE660" s="30"/>
      <c r="AF660" s="7" t="b">
        <f>IF(VLOOKUP(Table2[[#This Row],[Home/Neutral]],division_lookup,9,FALSE)=VLOOKUP(Table2[[#This Row],[Visitor/Neutral]],division_lookup,9,FALSE),TRUE,FALSE)</f>
        <v>0</v>
      </c>
      <c r="AG660" s="15" t="str">
        <f>VLOOKUP(Table2[[#This Row],[Home/Neutral]],division_lookup,9,FALSE)</f>
        <v>A</v>
      </c>
      <c r="AH660" s="15" t="str">
        <f>IF(Table2[[#This Row],[Total/EV]]&lt;Table2[[#This Row],[Total/V]],"UNDER","OVER")</f>
        <v>OVER</v>
      </c>
      <c r="AI660" s="26">
        <f>Table2[[#This Row],[SRS/Real]]-Table2[[#This Row],[Spread/V]]</f>
        <v>0</v>
      </c>
      <c r="AJ660" s="2">
        <f>Table2[[#This Row],[EV/Real]]-Table2[[#This Row],[Spread/V]]</f>
        <v>0</v>
      </c>
      <c r="AK660" s="2">
        <f>Table2[[#This Row],[SRS/Diff]]-Table2[[#This Row],[EV/Diff]]</f>
        <v>0</v>
      </c>
      <c r="AL660" s="18">
        <f>Table2[[#This Row],[SRS]]-Table2[[#This Row],[Spread]]</f>
        <v>-7.2986885245901654</v>
      </c>
      <c r="AM660" s="21">
        <f>Table2[[#This Row],[(A) Err]]^2</f>
        <v>53.270854178984166</v>
      </c>
      <c r="AN660" s="6">
        <f>Table2[[#This Row],[EV]]-Table2[[#This Row],[Spread]]</f>
        <v>-3.159166877830188</v>
      </c>
      <c r="AO660" s="1">
        <f>Table2[[#This Row],[EV Err]]^2</f>
        <v>9.9803353619793373</v>
      </c>
      <c r="AP660" s="1"/>
    </row>
    <row r="661" spans="1:42" x14ac:dyDescent="0.25">
      <c r="A661" s="34">
        <v>42756</v>
      </c>
      <c r="B661" t="s">
        <v>136</v>
      </c>
      <c r="C661" t="s">
        <v>120</v>
      </c>
      <c r="E661" s="21"/>
      <c r="G661" s="21"/>
      <c r="H661" s="7"/>
      <c r="I661" s="21"/>
      <c r="K661"/>
      <c r="L661" s="21">
        <f>(Table2[[#This Row],[H/Pace]]/100)*(VLOOKUP(Table2[[#This Row],[Home/Neutral]],home_lookup,8,FALSE)+VLOOKUP(Table2[[#This Row],[Home/Neutral]],OFR_lookup,2,FALSE)+VLOOKUP(Table2[[#This Row],[Visitor/Neutral]],def_diff_lookup,6,FALSE))</f>
        <v>106.66753534991899</v>
      </c>
      <c r="M661" s="21"/>
      <c r="N661" s="21">
        <f>(Table2[[#This Row],[A/Pace]]/100)*(VLOOKUP(Table2[[#This Row],[Visitor/Neutral]],OFR_lookup,2,FALSE)+VLOOKUP(Table2[[#This Row],[Home/Neutral]],def_diff_lookup,6,FALSE))</f>
        <v>97.529000333333329</v>
      </c>
      <c r="O661" s="21"/>
      <c r="P661" s="21"/>
      <c r="Q661">
        <f>VLOOKUP(Table2[[#This Row],[Home/Neutral]],pace_lookup,7,FALSE)</f>
        <v>91.5</v>
      </c>
      <c r="R661" s="5">
        <f>VLOOKUP(Table2[[#This Row],[Visitor/Neutral]],pace_lookup,7,FALSE)</f>
        <v>98.3</v>
      </c>
      <c r="S661" s="7"/>
      <c r="U661" s="15"/>
      <c r="W661" s="2">
        <f>-home-VLOOKUP(Table2[[#This Row],[Home/Neutral]],rtg_vlookup,4,FALSE)+VLOOKUP(Table2[[#This Row],[Visitor/Neutral]],rtg_vlookup,4,FALSE)</f>
        <v>-11.728688524590165</v>
      </c>
      <c r="X661" s="15"/>
      <c r="Y661" s="2"/>
      <c r="Z661" s="2">
        <f>Table2[[#This Row],[A/EV]]-Table2[[#This Row],[H/EV]]</f>
        <v>-9.1385350165856636</v>
      </c>
      <c r="AA661" s="29"/>
      <c r="AB661" s="30"/>
      <c r="AC661" s="30"/>
      <c r="AD661" s="30"/>
      <c r="AE661" s="30"/>
      <c r="AF661" s="7" t="b">
        <f>IF(VLOOKUP(Table2[[#This Row],[Home/Neutral]],division_lookup,9,FALSE)=VLOOKUP(Table2[[#This Row],[Visitor/Neutral]],division_lookup,9,FALSE),TRUE,FALSE)</f>
        <v>0</v>
      </c>
      <c r="AG661" s="15" t="str">
        <f>VLOOKUP(Table2[[#This Row],[Home/Neutral]],division_lookup,9,FALSE)</f>
        <v>NW</v>
      </c>
      <c r="AH661" s="15" t="str">
        <f>IF(Table2[[#This Row],[Total/EV]]&lt;Table2[[#This Row],[Total/V]],"UNDER","OVER")</f>
        <v>OVER</v>
      </c>
      <c r="AI661" s="26">
        <f>Table2[[#This Row],[SRS/Real]]-Table2[[#This Row],[Spread/V]]</f>
        <v>0</v>
      </c>
      <c r="AJ661" s="2">
        <f>Table2[[#This Row],[EV/Real]]-Table2[[#This Row],[Spread/V]]</f>
        <v>0</v>
      </c>
      <c r="AK661" s="2">
        <f>Table2[[#This Row],[SRS/Diff]]-Table2[[#This Row],[EV/Diff]]</f>
        <v>0</v>
      </c>
      <c r="AL661" s="18">
        <f>Table2[[#This Row],[SRS]]-Table2[[#This Row],[Spread]]</f>
        <v>-11.728688524590165</v>
      </c>
      <c r="AM661" s="21">
        <f>Table2[[#This Row],[(A) Err]]^2</f>
        <v>137.56213450685303</v>
      </c>
      <c r="AN661" s="6">
        <f>Table2[[#This Row],[EV]]-Table2[[#This Row],[Spread]]</f>
        <v>-9.1385350165856636</v>
      </c>
      <c r="AO661" s="1">
        <f>Table2[[#This Row],[EV Err]]^2</f>
        <v>83.51282224936233</v>
      </c>
      <c r="AP661" s="1"/>
    </row>
    <row r="662" spans="1:42" x14ac:dyDescent="0.25">
      <c r="A662" s="34">
        <v>42757</v>
      </c>
      <c r="B662" t="s">
        <v>115</v>
      </c>
      <c r="C662" t="s">
        <v>122</v>
      </c>
      <c r="E662" s="21"/>
      <c r="G662" s="21"/>
      <c r="H662" s="7"/>
      <c r="I662" s="21"/>
      <c r="K662"/>
      <c r="L662" s="21">
        <f>(Table2[[#This Row],[H/Pace]]/100)*(VLOOKUP(Table2[[#This Row],[Home/Neutral]],home_lookup,8,FALSE)+VLOOKUP(Table2[[#This Row],[Home/Neutral]],OFR_lookup,2,FALSE)+VLOOKUP(Table2[[#This Row],[Visitor/Neutral]],def_diff_lookup,6,FALSE))</f>
        <v>99.641913115967753</v>
      </c>
      <c r="M662" s="21"/>
      <c r="N662" s="21">
        <f>(Table2[[#This Row],[A/Pace]]/100)*(VLOOKUP(Table2[[#This Row],[Visitor/Neutral]],OFR_lookup,2,FALSE)+VLOOKUP(Table2[[#This Row],[Home/Neutral]],def_diff_lookup,6,FALSE))</f>
        <v>108.482198</v>
      </c>
      <c r="O662" s="21"/>
      <c r="P662" s="21"/>
      <c r="Q662">
        <f>VLOOKUP(Table2[[#This Row],[Home/Neutral]],pace_lookup,7,FALSE)</f>
        <v>92.9</v>
      </c>
      <c r="R662" s="5">
        <f>VLOOKUP(Table2[[#This Row],[Visitor/Neutral]],pace_lookup,7,FALSE)</f>
        <v>100.2</v>
      </c>
      <c r="S662" s="7"/>
      <c r="U662" s="15"/>
      <c r="W662" s="2">
        <f>-home-VLOOKUP(Table2[[#This Row],[Home/Neutral]],rtg_vlookup,4,FALSE)+VLOOKUP(Table2[[#This Row],[Visitor/Neutral]],rtg_vlookup,4,FALSE)</f>
        <v>3.8313114754098336</v>
      </c>
      <c r="X662" s="15"/>
      <c r="Y662" s="2"/>
      <c r="Z662" s="2">
        <f>Table2[[#This Row],[A/EV]]-Table2[[#This Row],[H/EV]]</f>
        <v>8.8402848840322434</v>
      </c>
      <c r="AA662" s="29"/>
      <c r="AB662" s="30"/>
      <c r="AC662" s="30"/>
      <c r="AD662" s="30"/>
      <c r="AE662" s="30"/>
      <c r="AF662" s="7" t="b">
        <f>IF(VLOOKUP(Table2[[#This Row],[Home/Neutral]],division_lookup,9,FALSE)=VLOOKUP(Table2[[#This Row],[Visitor/Neutral]],division_lookup,9,FALSE),TRUE,FALSE)</f>
        <v>0</v>
      </c>
      <c r="AG662" s="15" t="str">
        <f>VLOOKUP(Table2[[#This Row],[Home/Neutral]],division_lookup,9,FALSE)</f>
        <v>SW</v>
      </c>
      <c r="AH662" s="15" t="str">
        <f>IF(Table2[[#This Row],[Total/EV]]&lt;Table2[[#This Row],[Total/V]],"UNDER","OVER")</f>
        <v>OVER</v>
      </c>
      <c r="AI662" s="26">
        <f>Table2[[#This Row],[SRS/Real]]-Table2[[#This Row],[Spread/V]]</f>
        <v>0</v>
      </c>
      <c r="AJ662" s="2">
        <f>Table2[[#This Row],[EV/Real]]-Table2[[#This Row],[Spread/V]]</f>
        <v>0</v>
      </c>
      <c r="AK662" s="2">
        <f>Table2[[#This Row],[SRS/Diff]]-Table2[[#This Row],[EV/Diff]]</f>
        <v>0</v>
      </c>
      <c r="AL662" s="18">
        <f>Table2[[#This Row],[SRS]]-Table2[[#This Row],[Spread]]</f>
        <v>3.8313114754098336</v>
      </c>
      <c r="AM662" s="21">
        <f>Table2[[#This Row],[(A) Err]]^2</f>
        <v>14.678947621607076</v>
      </c>
      <c r="AN662" s="6">
        <f>Table2[[#This Row],[EV]]-Table2[[#This Row],[Spread]]</f>
        <v>8.8402848840322434</v>
      </c>
      <c r="AO662" s="1">
        <f>Table2[[#This Row],[EV Err]]^2</f>
        <v>78.150636830848981</v>
      </c>
      <c r="AP662" s="1"/>
    </row>
    <row r="663" spans="1:42" x14ac:dyDescent="0.25">
      <c r="A663" s="34">
        <v>42757</v>
      </c>
      <c r="B663" t="s">
        <v>126</v>
      </c>
      <c r="C663" t="s">
        <v>116</v>
      </c>
      <c r="E663" s="21"/>
      <c r="G663" s="21"/>
      <c r="H663" s="7"/>
      <c r="I663" s="21"/>
      <c r="K663"/>
      <c r="L663" s="21">
        <f>(Table2[[#This Row],[H/Pace]]/100)*(VLOOKUP(Table2[[#This Row],[Home/Neutral]],home_lookup,8,FALSE)+VLOOKUP(Table2[[#This Row],[Home/Neutral]],OFR_lookup,2,FALSE)+VLOOKUP(Table2[[#This Row],[Visitor/Neutral]],def_diff_lookup,6,FALSE))</f>
        <v>115.15127777050786</v>
      </c>
      <c r="M663" s="21"/>
      <c r="N663" s="21">
        <f>(Table2[[#This Row],[A/Pace]]/100)*(VLOOKUP(Table2[[#This Row],[Visitor/Neutral]],OFR_lookup,2,FALSE)+VLOOKUP(Table2[[#This Row],[Home/Neutral]],def_diff_lookup,6,FALSE))</f>
        <v>108.40119566666667</v>
      </c>
      <c r="O663" s="21"/>
      <c r="P663" s="21"/>
      <c r="Q663">
        <f>VLOOKUP(Table2[[#This Row],[Home/Neutral]],pace_lookup,7,FALSE)</f>
        <v>95.7</v>
      </c>
      <c r="R663" s="5">
        <f>VLOOKUP(Table2[[#This Row],[Visitor/Neutral]],pace_lookup,7,FALSE)</f>
        <v>99.1</v>
      </c>
      <c r="S663" s="7"/>
      <c r="U663" s="15"/>
      <c r="W663" s="2">
        <f>-home-VLOOKUP(Table2[[#This Row],[Home/Neutral]],rtg_vlookup,4,FALSE)+VLOOKUP(Table2[[#This Row],[Visitor/Neutral]],rtg_vlookup,4,FALSE)</f>
        <v>-2.3386885245901659</v>
      </c>
      <c r="X663" s="15"/>
      <c r="Y663" s="2"/>
      <c r="Z663" s="2">
        <f>Table2[[#This Row],[A/EV]]-Table2[[#This Row],[H/EV]]</f>
        <v>-6.7500821038411942</v>
      </c>
      <c r="AA663" s="29"/>
      <c r="AB663" s="30"/>
      <c r="AC663" s="30"/>
      <c r="AD663" s="30"/>
      <c r="AE663" s="30"/>
      <c r="AF663" s="7" t="b">
        <f>IF(VLOOKUP(Table2[[#This Row],[Home/Neutral]],division_lookup,9,FALSE)=VLOOKUP(Table2[[#This Row],[Visitor/Neutral]],division_lookup,9,FALSE),TRUE,FALSE)</f>
        <v>1</v>
      </c>
      <c r="AG663" s="15" t="str">
        <f>VLOOKUP(Table2[[#This Row],[Home/Neutral]],division_lookup,9,FALSE)</f>
        <v>NW</v>
      </c>
      <c r="AH663" s="15" t="str">
        <f>IF(Table2[[#This Row],[Total/EV]]&lt;Table2[[#This Row],[Total/V]],"UNDER","OVER")</f>
        <v>OVER</v>
      </c>
      <c r="AI663" s="26">
        <f>Table2[[#This Row],[SRS/Real]]-Table2[[#This Row],[Spread/V]]</f>
        <v>0</v>
      </c>
      <c r="AJ663" s="2">
        <f>Table2[[#This Row],[EV/Real]]-Table2[[#This Row],[Spread/V]]</f>
        <v>0</v>
      </c>
      <c r="AK663" s="2">
        <f>Table2[[#This Row],[SRS/Diff]]-Table2[[#This Row],[EV/Diff]]</f>
        <v>0</v>
      </c>
      <c r="AL663" s="18">
        <f>Table2[[#This Row],[SRS]]-Table2[[#This Row],[Spread]]</f>
        <v>-2.3386885245901659</v>
      </c>
      <c r="AM663" s="21">
        <f>Table2[[#This Row],[(A) Err]]^2</f>
        <v>5.4694640150497271</v>
      </c>
      <c r="AN663" s="6">
        <f>Table2[[#This Row],[EV]]-Table2[[#This Row],[Spread]]</f>
        <v>-6.7500821038411942</v>
      </c>
      <c r="AO663" s="1">
        <f>Table2[[#This Row],[EV Err]]^2</f>
        <v>45.563608408597162</v>
      </c>
      <c r="AP663" s="1"/>
    </row>
    <row r="664" spans="1:42" x14ac:dyDescent="0.25">
      <c r="A664" s="34">
        <v>42757</v>
      </c>
      <c r="B664" t="s">
        <v>130</v>
      </c>
      <c r="C664" t="s">
        <v>118</v>
      </c>
      <c r="E664" s="21"/>
      <c r="G664" s="21"/>
      <c r="H664" s="7"/>
      <c r="I664" s="21"/>
      <c r="K664"/>
      <c r="L664" s="21">
        <f>(Table2[[#This Row],[H/Pace]]/100)*(VLOOKUP(Table2[[#This Row],[Home/Neutral]],home_lookup,8,FALSE)+VLOOKUP(Table2[[#This Row],[Home/Neutral]],OFR_lookup,2,FALSE)+VLOOKUP(Table2[[#This Row],[Visitor/Neutral]],def_diff_lookup,6,FALSE))</f>
        <v>95.413904967109403</v>
      </c>
      <c r="M664" s="21"/>
      <c r="N664" s="21">
        <f>(Table2[[#This Row],[A/Pace]]/100)*(VLOOKUP(Table2[[#This Row],[Visitor/Neutral]],OFR_lookup,2,FALSE)+VLOOKUP(Table2[[#This Row],[Home/Neutral]],def_diff_lookup,6,FALSE))</f>
        <v>117.21264933333332</v>
      </c>
      <c r="O664" s="21"/>
      <c r="P664" s="21"/>
      <c r="Q664">
        <f>VLOOKUP(Table2[[#This Row],[Home/Neutral]],pace_lookup,7,FALSE)</f>
        <v>94.2</v>
      </c>
      <c r="R664" s="5">
        <f>VLOOKUP(Table2[[#This Row],[Visitor/Neutral]],pace_lookup,7,FALSE)</f>
        <v>100.4</v>
      </c>
      <c r="S664" s="7"/>
      <c r="U664" s="15"/>
      <c r="W664" s="2">
        <f>-home-VLOOKUP(Table2[[#This Row],[Home/Neutral]],rtg_vlookup,4,FALSE)+VLOOKUP(Table2[[#This Row],[Visitor/Neutral]],rtg_vlookup,4,FALSE)</f>
        <v>17.271311475409835</v>
      </c>
      <c r="X664" s="15"/>
      <c r="Y664" s="2"/>
      <c r="Z664" s="2">
        <f>Table2[[#This Row],[A/EV]]-Table2[[#This Row],[H/EV]]</f>
        <v>21.798744366223914</v>
      </c>
      <c r="AA664" s="29"/>
      <c r="AB664" s="30"/>
      <c r="AC664" s="30"/>
      <c r="AD664" s="30"/>
      <c r="AE664" s="30"/>
      <c r="AF664" s="7" t="b">
        <f>IF(VLOOKUP(Table2[[#This Row],[Home/Neutral]],division_lookup,9,FALSE)=VLOOKUP(Table2[[#This Row],[Visitor/Neutral]],division_lookup,9,FALSE),TRUE,FALSE)</f>
        <v>0</v>
      </c>
      <c r="AG664" s="15" t="str">
        <f>VLOOKUP(Table2[[#This Row],[Home/Neutral]],division_lookup,9,FALSE)</f>
        <v>SE</v>
      </c>
      <c r="AH664" s="15" t="str">
        <f>IF(Table2[[#This Row],[Total/EV]]&lt;Table2[[#This Row],[Total/V]],"UNDER","OVER")</f>
        <v>OVER</v>
      </c>
      <c r="AI664" s="26">
        <f>Table2[[#This Row],[SRS/Real]]-Table2[[#This Row],[Spread/V]]</f>
        <v>0</v>
      </c>
      <c r="AJ664" s="2">
        <f>Table2[[#This Row],[EV/Real]]-Table2[[#This Row],[Spread/V]]</f>
        <v>0</v>
      </c>
      <c r="AK664" s="2">
        <f>Table2[[#This Row],[SRS/Diff]]-Table2[[#This Row],[EV/Diff]]</f>
        <v>0</v>
      </c>
      <c r="AL664" s="18">
        <f>Table2[[#This Row],[SRS]]-Table2[[#This Row],[Spread]]</f>
        <v>17.271311475409835</v>
      </c>
      <c r="AM664" s="21">
        <f>Table2[[#This Row],[(A) Err]]^2</f>
        <v>298.29820008062347</v>
      </c>
      <c r="AN664" s="6">
        <f>Table2[[#This Row],[EV]]-Table2[[#This Row],[Spread]]</f>
        <v>21.798744366223914</v>
      </c>
      <c r="AO664" s="1">
        <f>Table2[[#This Row],[EV Err]]^2</f>
        <v>475.18525594397886</v>
      </c>
      <c r="AP664" s="1"/>
    </row>
    <row r="665" spans="1:42" x14ac:dyDescent="0.25">
      <c r="A665" s="34">
        <v>42757</v>
      </c>
      <c r="B665" t="s">
        <v>135</v>
      </c>
      <c r="C665" t="s">
        <v>131</v>
      </c>
      <c r="E665" s="21"/>
      <c r="G665" s="21"/>
      <c r="H665" s="7"/>
      <c r="I665" s="21"/>
      <c r="K665"/>
      <c r="L665" s="21">
        <f>(Table2[[#This Row],[H/Pace]]/100)*(VLOOKUP(Table2[[#This Row],[Home/Neutral]],home_lookup,8,FALSE)+VLOOKUP(Table2[[#This Row],[Home/Neutral]],OFR_lookup,2,FALSE)+VLOOKUP(Table2[[#This Row],[Visitor/Neutral]],def_diff_lookup,6,FALSE))</f>
        <v>110.73702035324615</v>
      </c>
      <c r="M665" s="21"/>
      <c r="N665" s="21">
        <f>(Table2[[#This Row],[A/Pace]]/100)*(VLOOKUP(Table2[[#This Row],[Visitor/Neutral]],OFR_lookup,2,FALSE)+VLOOKUP(Table2[[#This Row],[Home/Neutral]],def_diff_lookup,6,FALSE))</f>
        <v>104.04486299999999</v>
      </c>
      <c r="O665" s="21"/>
      <c r="P665" s="21"/>
      <c r="Q665">
        <f>VLOOKUP(Table2[[#This Row],[Home/Neutral]],pace_lookup,7,FALSE)</f>
        <v>95.4</v>
      </c>
      <c r="R665" s="5">
        <f>VLOOKUP(Table2[[#This Row],[Visitor/Neutral]],pace_lookup,7,FALSE)</f>
        <v>101.7</v>
      </c>
      <c r="S665" s="7"/>
      <c r="U665" s="15"/>
      <c r="W665" s="2">
        <f>-home-VLOOKUP(Table2[[#This Row],[Home/Neutral]],rtg_vlookup,4,FALSE)+VLOOKUP(Table2[[#This Row],[Visitor/Neutral]],rtg_vlookup,4,FALSE)</f>
        <v>-15.098688524590166</v>
      </c>
      <c r="X665" s="15"/>
      <c r="Y665" s="2"/>
      <c r="Z665" s="2">
        <f>Table2[[#This Row],[A/EV]]-Table2[[#This Row],[H/EV]]</f>
        <v>-6.6921573532461593</v>
      </c>
      <c r="AA665" s="29"/>
      <c r="AB665" s="30"/>
      <c r="AC665" s="30"/>
      <c r="AD665" s="30"/>
      <c r="AE665" s="30"/>
      <c r="AF665" s="7" t="b">
        <f>IF(VLOOKUP(Table2[[#This Row],[Home/Neutral]],division_lookup,9,FALSE)=VLOOKUP(Table2[[#This Row],[Visitor/Neutral]],division_lookup,9,FALSE),TRUE,FALSE)</f>
        <v>0</v>
      </c>
      <c r="AG665" s="15" t="str">
        <f>VLOOKUP(Table2[[#This Row],[Home/Neutral]],division_lookup,9,FALSE)</f>
        <v>A</v>
      </c>
      <c r="AH665" s="15" t="str">
        <f>IF(Table2[[#This Row],[Total/EV]]&lt;Table2[[#This Row],[Total/V]],"UNDER","OVER")</f>
        <v>OVER</v>
      </c>
      <c r="AI665" s="26">
        <f>Table2[[#This Row],[SRS/Real]]-Table2[[#This Row],[Spread/V]]</f>
        <v>0</v>
      </c>
      <c r="AJ665" s="2">
        <f>Table2[[#This Row],[EV/Real]]-Table2[[#This Row],[Spread/V]]</f>
        <v>0</v>
      </c>
      <c r="AK665" s="2">
        <f>Table2[[#This Row],[SRS/Diff]]-Table2[[#This Row],[EV/Diff]]</f>
        <v>0</v>
      </c>
      <c r="AL665" s="18">
        <f>Table2[[#This Row],[SRS]]-Table2[[#This Row],[Spread]]</f>
        <v>-15.098688524590166</v>
      </c>
      <c r="AM665" s="21">
        <f>Table2[[#This Row],[(A) Err]]^2</f>
        <v>227.97039516259076</v>
      </c>
      <c r="AN665" s="6">
        <f>Table2[[#This Row],[EV]]-Table2[[#This Row],[Spread]]</f>
        <v>-6.6921573532461593</v>
      </c>
      <c r="AO665" s="1">
        <f>Table2[[#This Row],[EV Err]]^2</f>
        <v>44.784970040606638</v>
      </c>
      <c r="AP665" s="1"/>
    </row>
    <row r="666" spans="1:42" x14ac:dyDescent="0.25">
      <c r="A666" s="34">
        <v>42758</v>
      </c>
      <c r="B666" t="s">
        <v>109</v>
      </c>
      <c r="C666" t="s">
        <v>121</v>
      </c>
      <c r="E666" s="21"/>
      <c r="G666" s="21"/>
      <c r="H666" s="7"/>
      <c r="I666" s="21"/>
      <c r="K666"/>
      <c r="L666" s="21">
        <f>(Table2[[#This Row],[H/Pace]]/100)*(VLOOKUP(Table2[[#This Row],[Home/Neutral]],home_lookup,8,FALSE)+VLOOKUP(Table2[[#This Row],[Home/Neutral]],OFR_lookup,2,FALSE)+VLOOKUP(Table2[[#This Row],[Visitor/Neutral]],def_diff_lookup,6,FALSE))</f>
        <v>96.159686607286375</v>
      </c>
      <c r="M666" s="21"/>
      <c r="N666" s="21">
        <f>(Table2[[#This Row],[A/Pace]]/100)*(VLOOKUP(Table2[[#This Row],[Visitor/Neutral]],OFR_lookup,2,FALSE)+VLOOKUP(Table2[[#This Row],[Home/Neutral]],def_diff_lookup,6,FALSE))</f>
        <v>104.33918266666667</v>
      </c>
      <c r="O666" s="21"/>
      <c r="P666" s="21"/>
      <c r="Q666">
        <f>VLOOKUP(Table2[[#This Row],[Home/Neutral]],pace_lookup,7,FALSE)</f>
        <v>99.2</v>
      </c>
      <c r="R666" s="5">
        <f>VLOOKUP(Table2[[#This Row],[Visitor/Neutral]],pace_lookup,7,FALSE)</f>
        <v>96.4</v>
      </c>
      <c r="S666" s="7"/>
      <c r="U666" s="15"/>
      <c r="W666" s="2">
        <f>-home-VLOOKUP(Table2[[#This Row],[Home/Neutral]],rtg_vlookup,4,FALSE)+VLOOKUP(Table2[[#This Row],[Visitor/Neutral]],rtg_vlookup,4,FALSE)</f>
        <v>7.6713114754098344</v>
      </c>
      <c r="X666" s="15"/>
      <c r="Y666" s="2"/>
      <c r="Z666" s="2">
        <f>Table2[[#This Row],[A/EV]]-Table2[[#This Row],[H/EV]]</f>
        <v>8.1794960593802983</v>
      </c>
      <c r="AA666" s="29"/>
      <c r="AB666" s="30"/>
      <c r="AC666" s="30"/>
      <c r="AD666" s="30"/>
      <c r="AE666" s="30"/>
      <c r="AF666" s="7" t="b">
        <f>IF(VLOOKUP(Table2[[#This Row],[Home/Neutral]],division_lookup,9,FALSE)=VLOOKUP(Table2[[#This Row],[Visitor/Neutral]],division_lookup,9,FALSE),TRUE,FALSE)</f>
        <v>0</v>
      </c>
      <c r="AG666" s="15" t="str">
        <f>VLOOKUP(Table2[[#This Row],[Home/Neutral]],division_lookup,9,FALSE)</f>
        <v>SE</v>
      </c>
      <c r="AH666" s="15" t="str">
        <f>IF(Table2[[#This Row],[Total/EV]]&lt;Table2[[#This Row],[Total/V]],"UNDER","OVER")</f>
        <v>OVER</v>
      </c>
      <c r="AI666" s="26">
        <f>Table2[[#This Row],[SRS/Real]]-Table2[[#This Row],[Spread/V]]</f>
        <v>0</v>
      </c>
      <c r="AJ666" s="2">
        <f>Table2[[#This Row],[EV/Real]]-Table2[[#This Row],[Spread/V]]</f>
        <v>0</v>
      </c>
      <c r="AK666" s="2">
        <f>Table2[[#This Row],[SRS/Diff]]-Table2[[#This Row],[EV/Diff]]</f>
        <v>0</v>
      </c>
      <c r="AL666" s="18">
        <f>Table2[[#This Row],[SRS]]-Table2[[#This Row],[Spread]]</f>
        <v>7.6713114754098344</v>
      </c>
      <c r="AM666" s="21">
        <f>Table2[[#This Row],[(A) Err]]^2</f>
        <v>58.849019752754607</v>
      </c>
      <c r="AN666" s="6">
        <f>Table2[[#This Row],[EV]]-Table2[[#This Row],[Spread]]</f>
        <v>8.1794960593802983</v>
      </c>
      <c r="AO666" s="1">
        <f>Table2[[#This Row],[EV Err]]^2</f>
        <v>66.904155785417828</v>
      </c>
      <c r="AP666" s="1"/>
    </row>
    <row r="667" spans="1:42" x14ac:dyDescent="0.25">
      <c r="A667" s="34">
        <v>42758</v>
      </c>
      <c r="B667" t="s">
        <v>111</v>
      </c>
      <c r="C667" t="s">
        <v>134</v>
      </c>
      <c r="E667" s="21"/>
      <c r="G667" s="21"/>
      <c r="H667" s="7"/>
      <c r="I667" s="21"/>
      <c r="K667"/>
      <c r="L667" s="21">
        <f>(Table2[[#This Row],[H/Pace]]/100)*(VLOOKUP(Table2[[#This Row],[Home/Neutral]],home_lookup,8,FALSE)+VLOOKUP(Table2[[#This Row],[Home/Neutral]],OFR_lookup,2,FALSE)+VLOOKUP(Table2[[#This Row],[Visitor/Neutral]],def_diff_lookup,6,FALSE))</f>
        <v>98.794018327716358</v>
      </c>
      <c r="M667" s="21"/>
      <c r="N667" s="21">
        <f>(Table2[[#This Row],[A/Pace]]/100)*(VLOOKUP(Table2[[#This Row],[Visitor/Neutral]],OFR_lookup,2,FALSE)+VLOOKUP(Table2[[#This Row],[Home/Neutral]],def_diff_lookup,6,FALSE))</f>
        <v>109.25527266666666</v>
      </c>
      <c r="O667" s="21"/>
      <c r="P667" s="21"/>
      <c r="Q667">
        <f>VLOOKUP(Table2[[#This Row],[Home/Neutral]],pace_lookup,7,FALSE)</f>
        <v>102</v>
      </c>
      <c r="R667" s="5">
        <f>VLOOKUP(Table2[[#This Row],[Visitor/Neutral]],pace_lookup,7,FALSE)</f>
        <v>93.4</v>
      </c>
      <c r="S667" s="7"/>
      <c r="U667" s="15"/>
      <c r="W667" s="2">
        <f>-home-VLOOKUP(Table2[[#This Row],[Home/Neutral]],rtg_vlookup,4,FALSE)+VLOOKUP(Table2[[#This Row],[Visitor/Neutral]],rtg_vlookup,4,FALSE)</f>
        <v>13.391311475409832</v>
      </c>
      <c r="X667" s="15"/>
      <c r="Y667" s="2"/>
      <c r="Z667" s="2">
        <f>Table2[[#This Row],[A/EV]]-Table2[[#This Row],[H/EV]]</f>
        <v>10.461254338950297</v>
      </c>
      <c r="AA667" s="29"/>
      <c r="AB667" s="30"/>
      <c r="AC667" s="30"/>
      <c r="AD667" s="30"/>
      <c r="AE667" s="30"/>
      <c r="AF667" s="7" t="b">
        <f>IF(VLOOKUP(Table2[[#This Row],[Home/Neutral]],division_lookup,9,FALSE)=VLOOKUP(Table2[[#This Row],[Visitor/Neutral]],division_lookup,9,FALSE),TRUE,FALSE)</f>
        <v>0</v>
      </c>
      <c r="AG667" s="15" t="str">
        <f>VLOOKUP(Table2[[#This Row],[Home/Neutral]],division_lookup,9,FALSE)</f>
        <v>A</v>
      </c>
      <c r="AH667" s="15" t="str">
        <f>IF(Table2[[#This Row],[Total/EV]]&lt;Table2[[#This Row],[Total/V]],"UNDER","OVER")</f>
        <v>OVER</v>
      </c>
      <c r="AI667" s="26">
        <f>Table2[[#This Row],[SRS/Real]]-Table2[[#This Row],[Spread/V]]</f>
        <v>0</v>
      </c>
      <c r="AJ667" s="2">
        <f>Table2[[#This Row],[EV/Real]]-Table2[[#This Row],[Spread/V]]</f>
        <v>0</v>
      </c>
      <c r="AK667" s="2">
        <f>Table2[[#This Row],[SRS/Diff]]-Table2[[#This Row],[EV/Diff]]</f>
        <v>0</v>
      </c>
      <c r="AL667" s="18">
        <f>Table2[[#This Row],[SRS]]-Table2[[#This Row],[Spread]]</f>
        <v>13.391311475409832</v>
      </c>
      <c r="AM667" s="21">
        <f>Table2[[#This Row],[(A) Err]]^2</f>
        <v>179.32722303144305</v>
      </c>
      <c r="AN667" s="6">
        <f>Table2[[#This Row],[EV]]-Table2[[#This Row],[Spread]]</f>
        <v>10.461254338950297</v>
      </c>
      <c r="AO667" s="1">
        <f>Table2[[#This Row],[EV Err]]^2</f>
        <v>109.43784234420643</v>
      </c>
      <c r="AP667" s="1"/>
    </row>
    <row r="668" spans="1:42" x14ac:dyDescent="0.25">
      <c r="A668" s="34">
        <v>42758</v>
      </c>
      <c r="B668" t="s">
        <v>112</v>
      </c>
      <c r="C668" t="s">
        <v>137</v>
      </c>
      <c r="E668" s="21"/>
      <c r="G668" s="21"/>
      <c r="H668" s="7"/>
      <c r="I668" s="21"/>
      <c r="K668"/>
      <c r="L668" s="21">
        <f>(Table2[[#This Row],[H/Pace]]/100)*(VLOOKUP(Table2[[#This Row],[Home/Neutral]],home_lookup,8,FALSE)+VLOOKUP(Table2[[#This Row],[Home/Neutral]],OFR_lookup,2,FALSE)+VLOOKUP(Table2[[#This Row],[Visitor/Neutral]],def_diff_lookup,6,FALSE))</f>
        <v>107.59850195313484</v>
      </c>
      <c r="M668" s="21"/>
      <c r="N668" s="21">
        <f>(Table2[[#This Row],[A/Pace]]/100)*(VLOOKUP(Table2[[#This Row],[Visitor/Neutral]],OFR_lookup,2,FALSE)+VLOOKUP(Table2[[#This Row],[Home/Neutral]],def_diff_lookup,6,FALSE))</f>
        <v>101.99584</v>
      </c>
      <c r="O668" s="21"/>
      <c r="P668" s="21"/>
      <c r="Q668">
        <f>VLOOKUP(Table2[[#This Row],[Home/Neutral]],pace_lookup,7,FALSE)</f>
        <v>97.4</v>
      </c>
      <c r="R668" s="5">
        <f>VLOOKUP(Table2[[#This Row],[Visitor/Neutral]],pace_lookup,7,FALSE)</f>
        <v>96</v>
      </c>
      <c r="S668" s="7"/>
      <c r="U668" s="15"/>
      <c r="W668" s="2">
        <f>-home-VLOOKUP(Table2[[#This Row],[Home/Neutral]],rtg_vlookup,4,FALSE)+VLOOKUP(Table2[[#This Row],[Visitor/Neutral]],rtg_vlookup,4,FALSE)</f>
        <v>-7.8086885245901652</v>
      </c>
      <c r="X668" s="15"/>
      <c r="Y668" s="2"/>
      <c r="Z668" s="2">
        <f>Table2[[#This Row],[A/EV]]-Table2[[#This Row],[H/EV]]</f>
        <v>-5.6026619531348416</v>
      </c>
      <c r="AA668" s="29"/>
      <c r="AB668" s="30"/>
      <c r="AC668" s="30"/>
      <c r="AD668" s="30"/>
      <c r="AE668" s="30"/>
      <c r="AF668" s="7" t="b">
        <f>IF(VLOOKUP(Table2[[#This Row],[Home/Neutral]],division_lookup,9,FALSE)=VLOOKUP(Table2[[#This Row],[Visitor/Neutral]],division_lookup,9,FALSE),TRUE,FALSE)</f>
        <v>1</v>
      </c>
      <c r="AG668" s="15" t="str">
        <f>VLOOKUP(Table2[[#This Row],[Home/Neutral]],division_lookup,9,FALSE)</f>
        <v>SE</v>
      </c>
      <c r="AH668" s="15" t="str">
        <f>IF(Table2[[#This Row],[Total/EV]]&lt;Table2[[#This Row],[Total/V]],"UNDER","OVER")</f>
        <v>OVER</v>
      </c>
      <c r="AI668" s="26">
        <f>Table2[[#This Row],[SRS/Real]]-Table2[[#This Row],[Spread/V]]</f>
        <v>0</v>
      </c>
      <c r="AJ668" s="2">
        <f>Table2[[#This Row],[EV/Real]]-Table2[[#This Row],[Spread/V]]</f>
        <v>0</v>
      </c>
      <c r="AK668" s="2">
        <f>Table2[[#This Row],[SRS/Diff]]-Table2[[#This Row],[EV/Diff]]</f>
        <v>0</v>
      </c>
      <c r="AL668" s="18">
        <f>Table2[[#This Row],[SRS]]-Table2[[#This Row],[Spread]]</f>
        <v>-7.8086885245901652</v>
      </c>
      <c r="AM668" s="21">
        <f>Table2[[#This Row],[(A) Err]]^2</f>
        <v>60.975616474066129</v>
      </c>
      <c r="AN668" s="6">
        <f>Table2[[#This Row],[EV]]-Table2[[#This Row],[Spread]]</f>
        <v>-5.6026619531348416</v>
      </c>
      <c r="AO668" s="1">
        <f>Table2[[#This Row],[EV Err]]^2</f>
        <v>31.389820961104718</v>
      </c>
      <c r="AP668" s="1"/>
    </row>
    <row r="669" spans="1:42" x14ac:dyDescent="0.25">
      <c r="A669" s="34">
        <v>42758</v>
      </c>
      <c r="B669" t="s">
        <v>117</v>
      </c>
      <c r="C669" t="s">
        <v>133</v>
      </c>
      <c r="E669" s="21"/>
      <c r="G669" s="21"/>
      <c r="H669" s="7"/>
      <c r="I669" s="21"/>
      <c r="K669"/>
      <c r="L669" s="21">
        <f>(Table2[[#This Row],[H/Pace]]/100)*(VLOOKUP(Table2[[#This Row],[Home/Neutral]],home_lookup,8,FALSE)+VLOOKUP(Table2[[#This Row],[Home/Neutral]],OFR_lookup,2,FALSE)+VLOOKUP(Table2[[#This Row],[Visitor/Neutral]],def_diff_lookup,6,FALSE))</f>
        <v>115.28219591446428</v>
      </c>
      <c r="M669" s="21"/>
      <c r="N669" s="21">
        <f>(Table2[[#This Row],[A/Pace]]/100)*(VLOOKUP(Table2[[#This Row],[Visitor/Neutral]],OFR_lookup,2,FALSE)+VLOOKUP(Table2[[#This Row],[Home/Neutral]],def_diff_lookup,6,FALSE))</f>
        <v>98.039277999999996</v>
      </c>
      <c r="O669" s="21"/>
      <c r="P669" s="21"/>
      <c r="Q669">
        <f>VLOOKUP(Table2[[#This Row],[Home/Neutral]],pace_lookup,7,FALSE)</f>
        <v>94</v>
      </c>
      <c r="R669" s="5">
        <f>VLOOKUP(Table2[[#This Row],[Visitor/Neutral]],pace_lookup,7,FALSE)</f>
        <v>94.2</v>
      </c>
      <c r="S669" s="7"/>
      <c r="U669" s="15"/>
      <c r="W669" s="2">
        <f>-home-VLOOKUP(Table2[[#This Row],[Home/Neutral]],rtg_vlookup,4,FALSE)+VLOOKUP(Table2[[#This Row],[Visitor/Neutral]],rtg_vlookup,4,FALSE)</f>
        <v>-6.268688524590166</v>
      </c>
      <c r="X669" s="15"/>
      <c r="Y669" s="2"/>
      <c r="Z669" s="2">
        <f>Table2[[#This Row],[A/EV]]-Table2[[#This Row],[H/EV]]</f>
        <v>-17.242917914464286</v>
      </c>
      <c r="AA669" s="29"/>
      <c r="AB669" s="30"/>
      <c r="AC669" s="30"/>
      <c r="AD669" s="30"/>
      <c r="AE669" s="30"/>
      <c r="AF669" s="7" t="b">
        <f>IF(VLOOKUP(Table2[[#This Row],[Home/Neutral]],division_lookup,9,FALSE)=VLOOKUP(Table2[[#This Row],[Visitor/Neutral]],division_lookup,9,FALSE),TRUE,FALSE)</f>
        <v>0</v>
      </c>
      <c r="AG669" s="15" t="str">
        <f>VLOOKUP(Table2[[#This Row],[Home/Neutral]],division_lookup,9,FALSE)</f>
        <v>C</v>
      </c>
      <c r="AH669" s="15" t="str">
        <f>IF(Table2[[#This Row],[Total/EV]]&lt;Table2[[#This Row],[Total/V]],"UNDER","OVER")</f>
        <v>OVER</v>
      </c>
      <c r="AI669" s="26">
        <f>Table2[[#This Row],[SRS/Real]]-Table2[[#This Row],[Spread/V]]</f>
        <v>0</v>
      </c>
      <c r="AJ669" s="2">
        <f>Table2[[#This Row],[EV/Real]]-Table2[[#This Row],[Spread/V]]</f>
        <v>0</v>
      </c>
      <c r="AK669" s="2">
        <f>Table2[[#This Row],[SRS/Diff]]-Table2[[#This Row],[EV/Diff]]</f>
        <v>0</v>
      </c>
      <c r="AL669" s="18">
        <f>Table2[[#This Row],[SRS]]-Table2[[#This Row],[Spread]]</f>
        <v>-6.268688524590166</v>
      </c>
      <c r="AM669" s="21">
        <f>Table2[[#This Row],[(A) Err]]^2</f>
        <v>39.296455818328432</v>
      </c>
      <c r="AN669" s="6">
        <f>Table2[[#This Row],[EV]]-Table2[[#This Row],[Spread]]</f>
        <v>-17.242917914464286</v>
      </c>
      <c r="AO669" s="1">
        <f>Table2[[#This Row],[EV Err]]^2</f>
        <v>297.31821820495338</v>
      </c>
      <c r="AP669" s="1"/>
    </row>
    <row r="670" spans="1:42" x14ac:dyDescent="0.25">
      <c r="A670" s="34">
        <v>42758</v>
      </c>
      <c r="B670" t="s">
        <v>120</v>
      </c>
      <c r="C670" t="s">
        <v>128</v>
      </c>
      <c r="E670" s="21"/>
      <c r="G670" s="21"/>
      <c r="H670" s="7"/>
      <c r="I670" s="21"/>
      <c r="K670"/>
      <c r="L670" s="21">
        <f>(Table2[[#This Row],[H/Pace]]/100)*(VLOOKUP(Table2[[#This Row],[Home/Neutral]],home_lookup,8,FALSE)+VLOOKUP(Table2[[#This Row],[Home/Neutral]],OFR_lookup,2,FALSE)+VLOOKUP(Table2[[#This Row],[Visitor/Neutral]],def_diff_lookup,6,FALSE))</f>
        <v>109.07235542930862</v>
      </c>
      <c r="M670" s="21"/>
      <c r="N670" s="21">
        <f>(Table2[[#This Row],[A/Pace]]/100)*(VLOOKUP(Table2[[#This Row],[Visitor/Neutral]],OFR_lookup,2,FALSE)+VLOOKUP(Table2[[#This Row],[Home/Neutral]],def_diff_lookup,6,FALSE))</f>
        <v>105.63692699999999</v>
      </c>
      <c r="O670" s="21"/>
      <c r="P670" s="21"/>
      <c r="Q670">
        <f>VLOOKUP(Table2[[#This Row],[Home/Neutral]],pace_lookup,7,FALSE)</f>
        <v>98.3</v>
      </c>
      <c r="R670" s="5">
        <f>VLOOKUP(Table2[[#This Row],[Visitor/Neutral]],pace_lookup,7,FALSE)</f>
        <v>96.3</v>
      </c>
      <c r="S670" s="7"/>
      <c r="U670" s="15"/>
      <c r="W670" s="2">
        <f>-home-VLOOKUP(Table2[[#This Row],[Home/Neutral]],rtg_vlookup,4,FALSE)+VLOOKUP(Table2[[#This Row],[Visitor/Neutral]],rtg_vlookup,4,FALSE)</f>
        <v>6.1311475409834504E-2</v>
      </c>
      <c r="X670" s="15"/>
      <c r="Y670" s="2"/>
      <c r="Z670" s="2">
        <f>Table2[[#This Row],[A/EV]]-Table2[[#This Row],[H/EV]]</f>
        <v>-3.4354284293086295</v>
      </c>
      <c r="AA670" s="29"/>
      <c r="AB670" s="30"/>
      <c r="AC670" s="30"/>
      <c r="AD670" s="30"/>
      <c r="AE670" s="30"/>
      <c r="AF670" s="7" t="b">
        <f>IF(VLOOKUP(Table2[[#This Row],[Home/Neutral]],division_lookup,9,FALSE)=VLOOKUP(Table2[[#This Row],[Visitor/Neutral]],division_lookup,9,FALSE),TRUE,FALSE)</f>
        <v>0</v>
      </c>
      <c r="AG670" s="15" t="str">
        <f>VLOOKUP(Table2[[#This Row],[Home/Neutral]],division_lookup,9,FALSE)</f>
        <v>C</v>
      </c>
      <c r="AH670" s="15" t="str">
        <f>IF(Table2[[#This Row],[Total/EV]]&lt;Table2[[#This Row],[Total/V]],"UNDER","OVER")</f>
        <v>OVER</v>
      </c>
      <c r="AI670" s="26">
        <f>Table2[[#This Row],[SRS/Real]]-Table2[[#This Row],[Spread/V]]</f>
        <v>0</v>
      </c>
      <c r="AJ670" s="2">
        <f>Table2[[#This Row],[EV/Real]]-Table2[[#This Row],[Spread/V]]</f>
        <v>0</v>
      </c>
      <c r="AK670" s="2">
        <f>Table2[[#This Row],[SRS/Diff]]-Table2[[#This Row],[EV/Diff]]</f>
        <v>0</v>
      </c>
      <c r="AL670" s="18">
        <f>Table2[[#This Row],[SRS]]-Table2[[#This Row],[Spread]]</f>
        <v>6.1311475409834504E-2</v>
      </c>
      <c r="AM670" s="21">
        <f>Table2[[#This Row],[(A) Err]]^2</f>
        <v>3.759097016930741E-3</v>
      </c>
      <c r="AN670" s="6">
        <f>Table2[[#This Row],[EV]]-Table2[[#This Row],[Spread]]</f>
        <v>-3.4354284293086295</v>
      </c>
      <c r="AO670" s="1">
        <f>Table2[[#This Row],[EV Err]]^2</f>
        <v>11.802168492901957</v>
      </c>
      <c r="AP670" s="1"/>
    </row>
    <row r="671" spans="1:42" x14ac:dyDescent="0.25">
      <c r="A671" s="34">
        <v>42758</v>
      </c>
      <c r="B671" t="s">
        <v>124</v>
      </c>
      <c r="C671" t="s">
        <v>118</v>
      </c>
      <c r="E671" s="21"/>
      <c r="G671" s="21"/>
      <c r="H671" s="7"/>
      <c r="I671" s="21"/>
      <c r="K671"/>
      <c r="L671" s="21">
        <f>(Table2[[#This Row],[H/Pace]]/100)*(VLOOKUP(Table2[[#This Row],[Home/Neutral]],home_lookup,8,FALSE)+VLOOKUP(Table2[[#This Row],[Home/Neutral]],OFR_lookup,2,FALSE)+VLOOKUP(Table2[[#This Row],[Visitor/Neutral]],def_diff_lookup,6,FALSE))</f>
        <v>100.12375517723558</v>
      </c>
      <c r="M671" s="21"/>
      <c r="N671" s="21">
        <f>(Table2[[#This Row],[A/Pace]]/100)*(VLOOKUP(Table2[[#This Row],[Visitor/Neutral]],OFR_lookup,2,FALSE)+VLOOKUP(Table2[[#This Row],[Home/Neutral]],def_diff_lookup,6,FALSE))</f>
        <v>115.18456933333333</v>
      </c>
      <c r="O671" s="21"/>
      <c r="P671" s="21"/>
      <c r="Q671">
        <f>VLOOKUP(Table2[[#This Row],[Home/Neutral]],pace_lookup,7,FALSE)</f>
        <v>93.7</v>
      </c>
      <c r="R671" s="5">
        <f>VLOOKUP(Table2[[#This Row],[Visitor/Neutral]],pace_lookup,7,FALSE)</f>
        <v>100.4</v>
      </c>
      <c r="S671" s="7"/>
      <c r="U671" s="15"/>
      <c r="W671" s="2">
        <f>-home-VLOOKUP(Table2[[#This Row],[Home/Neutral]],rtg_vlookup,4,FALSE)+VLOOKUP(Table2[[#This Row],[Visitor/Neutral]],rtg_vlookup,4,FALSE)</f>
        <v>9.8413114754098334</v>
      </c>
      <c r="X671" s="15"/>
      <c r="Y671" s="2"/>
      <c r="Z671" s="2">
        <f>Table2[[#This Row],[A/EV]]-Table2[[#This Row],[H/EV]]</f>
        <v>15.060814156097749</v>
      </c>
      <c r="AA671" s="29"/>
      <c r="AB671" s="30"/>
      <c r="AC671" s="30"/>
      <c r="AD671" s="30"/>
      <c r="AE671" s="30"/>
      <c r="AF671" s="7" t="b">
        <f>IF(VLOOKUP(Table2[[#This Row],[Home/Neutral]],division_lookup,9,FALSE)=VLOOKUP(Table2[[#This Row],[Visitor/Neutral]],division_lookup,9,FALSE),TRUE,FALSE)</f>
        <v>0</v>
      </c>
      <c r="AG671" s="15" t="str">
        <f>VLOOKUP(Table2[[#This Row],[Home/Neutral]],division_lookup,9,FALSE)</f>
        <v>SE</v>
      </c>
      <c r="AH671" s="15" t="str">
        <f>IF(Table2[[#This Row],[Total/EV]]&lt;Table2[[#This Row],[Total/V]],"UNDER","OVER")</f>
        <v>OVER</v>
      </c>
      <c r="AI671" s="26">
        <f>Table2[[#This Row],[SRS/Real]]-Table2[[#This Row],[Spread/V]]</f>
        <v>0</v>
      </c>
      <c r="AJ671" s="2">
        <f>Table2[[#This Row],[EV/Real]]-Table2[[#This Row],[Spread/V]]</f>
        <v>0</v>
      </c>
      <c r="AK671" s="2">
        <f>Table2[[#This Row],[SRS/Diff]]-Table2[[#This Row],[EV/Diff]]</f>
        <v>0</v>
      </c>
      <c r="AL671" s="18">
        <f>Table2[[#This Row],[SRS]]-Table2[[#This Row],[Spread]]</f>
        <v>9.8413114754098334</v>
      </c>
      <c r="AM671" s="21">
        <f>Table2[[#This Row],[(A) Err]]^2</f>
        <v>96.85141155603327</v>
      </c>
      <c r="AN671" s="6">
        <f>Table2[[#This Row],[EV]]-Table2[[#This Row],[Spread]]</f>
        <v>15.060814156097749</v>
      </c>
      <c r="AO671" s="1">
        <f>Table2[[#This Row],[EV Err]]^2</f>
        <v>226.82812304451434</v>
      </c>
      <c r="AP671" s="1"/>
    </row>
    <row r="672" spans="1:42" x14ac:dyDescent="0.25">
      <c r="A672" s="34">
        <v>42758</v>
      </c>
      <c r="B672" t="s">
        <v>125</v>
      </c>
      <c r="C672" t="s">
        <v>119</v>
      </c>
      <c r="E672" s="21"/>
      <c r="G672" s="21"/>
      <c r="H672" s="7"/>
      <c r="I672" s="21"/>
      <c r="K672"/>
      <c r="L672" s="21">
        <f>(Table2[[#This Row],[H/Pace]]/100)*(VLOOKUP(Table2[[#This Row],[Home/Neutral]],home_lookup,8,FALSE)+VLOOKUP(Table2[[#This Row],[Home/Neutral]],OFR_lookup,2,FALSE)+VLOOKUP(Table2[[#This Row],[Visitor/Neutral]],def_diff_lookup,6,FALSE))</f>
        <v>111.11159550061909</v>
      </c>
      <c r="M672" s="21"/>
      <c r="N672" s="21">
        <f>(Table2[[#This Row],[A/Pace]]/100)*(VLOOKUP(Table2[[#This Row],[Visitor/Neutral]],OFR_lookup,2,FALSE)+VLOOKUP(Table2[[#This Row],[Home/Neutral]],def_diff_lookup,6,FALSE))</f>
        <v>111.556771</v>
      </c>
      <c r="O672" s="21"/>
      <c r="P672" s="21"/>
      <c r="Q672">
        <f>VLOOKUP(Table2[[#This Row],[Home/Neutral]],pace_lookup,7,FALSE)</f>
        <v>96.1</v>
      </c>
      <c r="R672" s="5">
        <f>VLOOKUP(Table2[[#This Row],[Visitor/Neutral]],pace_lookup,7,FALSE)</f>
        <v>96.9</v>
      </c>
      <c r="S672" s="7"/>
      <c r="U672" s="15"/>
      <c r="W672" s="2">
        <f>-home-VLOOKUP(Table2[[#This Row],[Home/Neutral]],rtg_vlookup,4,FALSE)+VLOOKUP(Table2[[#This Row],[Visitor/Neutral]],rtg_vlookup,4,FALSE)</f>
        <v>3.3813114754098343</v>
      </c>
      <c r="X672" s="15"/>
      <c r="Y672" s="2"/>
      <c r="Z672" s="2">
        <f>Table2[[#This Row],[A/EV]]-Table2[[#This Row],[H/EV]]</f>
        <v>0.44517549938090895</v>
      </c>
      <c r="AA672" s="29"/>
      <c r="AB672" s="30"/>
      <c r="AC672" s="30"/>
      <c r="AD672" s="30"/>
      <c r="AE672" s="30"/>
      <c r="AF672" s="7" t="b">
        <f>IF(VLOOKUP(Table2[[#This Row],[Home/Neutral]],division_lookup,9,FALSE)=VLOOKUP(Table2[[#This Row],[Visitor/Neutral]],division_lookup,9,FALSE),TRUE,FALSE)</f>
        <v>0</v>
      </c>
      <c r="AG672" s="15" t="str">
        <f>VLOOKUP(Table2[[#This Row],[Home/Neutral]],division_lookup,9,FALSE)</f>
        <v>C</v>
      </c>
      <c r="AH672" s="15" t="str">
        <f>IF(Table2[[#This Row],[Total/EV]]&lt;Table2[[#This Row],[Total/V]],"UNDER","OVER")</f>
        <v>OVER</v>
      </c>
      <c r="AI672" s="26">
        <f>Table2[[#This Row],[SRS/Real]]-Table2[[#This Row],[Spread/V]]</f>
        <v>0</v>
      </c>
      <c r="AJ672" s="2">
        <f>Table2[[#This Row],[EV/Real]]-Table2[[#This Row],[Spread/V]]</f>
        <v>0</v>
      </c>
      <c r="AK672" s="2">
        <f>Table2[[#This Row],[SRS/Diff]]-Table2[[#This Row],[EV/Diff]]</f>
        <v>0</v>
      </c>
      <c r="AL672" s="18">
        <f>Table2[[#This Row],[SRS]]-Table2[[#This Row],[Spread]]</f>
        <v>3.3813114754098343</v>
      </c>
      <c r="AM672" s="21">
        <f>Table2[[#This Row],[(A) Err]]^2</f>
        <v>11.433267293738231</v>
      </c>
      <c r="AN672" s="6">
        <f>Table2[[#This Row],[EV]]-Table2[[#This Row],[Spread]]</f>
        <v>0.44517549938090895</v>
      </c>
      <c r="AO672" s="1">
        <f>Table2[[#This Row],[EV Err]]^2</f>
        <v>0.19818122524904166</v>
      </c>
      <c r="AP672" s="1"/>
    </row>
    <row r="673" spans="1:42" x14ac:dyDescent="0.25">
      <c r="A673" s="34">
        <v>42758</v>
      </c>
      <c r="B673" t="s">
        <v>127</v>
      </c>
      <c r="C673" t="s">
        <v>114</v>
      </c>
      <c r="E673" s="21"/>
      <c r="G673" s="21"/>
      <c r="H673" s="7"/>
      <c r="I673" s="21"/>
      <c r="K673"/>
      <c r="L673" s="21">
        <f>(Table2[[#This Row],[H/Pace]]/100)*(VLOOKUP(Table2[[#This Row],[Home/Neutral]],home_lookup,8,FALSE)+VLOOKUP(Table2[[#This Row],[Home/Neutral]],OFR_lookup,2,FALSE)+VLOOKUP(Table2[[#This Row],[Visitor/Neutral]],def_diff_lookup,6,FALSE))</f>
        <v>102.15321493743048</v>
      </c>
      <c r="M673" s="21"/>
      <c r="N673" s="21">
        <f>(Table2[[#This Row],[A/Pace]]/100)*(VLOOKUP(Table2[[#This Row],[Visitor/Neutral]],OFR_lookup,2,FALSE)+VLOOKUP(Table2[[#This Row],[Home/Neutral]],def_diff_lookup,6,FALSE))</f>
        <v>110.41182366666665</v>
      </c>
      <c r="O673" s="21"/>
      <c r="P673" s="21"/>
      <c r="Q673">
        <f>VLOOKUP(Table2[[#This Row],[Home/Neutral]],pace_lookup,7,FALSE)</f>
        <v>99.3</v>
      </c>
      <c r="R673" s="5">
        <f>VLOOKUP(Table2[[#This Row],[Visitor/Neutral]],pace_lookup,7,FALSE)</f>
        <v>97.3</v>
      </c>
      <c r="S673" s="7"/>
      <c r="U673" s="15"/>
      <c r="W673" s="2">
        <f>-home-VLOOKUP(Table2[[#This Row],[Home/Neutral]],rtg_vlookup,4,FALSE)+VLOOKUP(Table2[[#This Row],[Visitor/Neutral]],rtg_vlookup,4,FALSE)</f>
        <v>8.5313114754098347</v>
      </c>
      <c r="X673" s="15"/>
      <c r="Y673" s="2"/>
      <c r="Z673" s="2">
        <f>Table2[[#This Row],[A/EV]]-Table2[[#This Row],[H/EV]]</f>
        <v>8.2586087292361725</v>
      </c>
      <c r="AA673" s="29"/>
      <c r="AB673" s="30"/>
      <c r="AC673" s="30"/>
      <c r="AD673" s="30"/>
      <c r="AE673" s="30"/>
      <c r="AF673" s="7" t="b">
        <f>IF(VLOOKUP(Table2[[#This Row],[Home/Neutral]],division_lookup,9,FALSE)=VLOOKUP(Table2[[#This Row],[Visitor/Neutral]],division_lookup,9,FALSE),TRUE,FALSE)</f>
        <v>0</v>
      </c>
      <c r="AG673" s="15" t="str">
        <f>VLOOKUP(Table2[[#This Row],[Home/Neutral]],division_lookup,9,FALSE)</f>
        <v>SW</v>
      </c>
      <c r="AH673" s="15" t="str">
        <f>IF(Table2[[#This Row],[Total/EV]]&lt;Table2[[#This Row],[Total/V]],"UNDER","OVER")</f>
        <v>OVER</v>
      </c>
      <c r="AI673" s="26">
        <f>Table2[[#This Row],[SRS/Real]]-Table2[[#This Row],[Spread/V]]</f>
        <v>0</v>
      </c>
      <c r="AJ673" s="2">
        <f>Table2[[#This Row],[EV/Real]]-Table2[[#This Row],[Spread/V]]</f>
        <v>0</v>
      </c>
      <c r="AK673" s="2">
        <f>Table2[[#This Row],[SRS/Diff]]-Table2[[#This Row],[EV/Diff]]</f>
        <v>0</v>
      </c>
      <c r="AL673" s="18">
        <f>Table2[[#This Row],[SRS]]-Table2[[#This Row],[Spread]]</f>
        <v>8.5313114754098347</v>
      </c>
      <c r="AM673" s="21">
        <f>Table2[[#This Row],[(A) Err]]^2</f>
        <v>72.78327549045953</v>
      </c>
      <c r="AN673" s="6">
        <f>Table2[[#This Row],[EV]]-Table2[[#This Row],[Spread]]</f>
        <v>8.2586087292361725</v>
      </c>
      <c r="AO673" s="1">
        <f>Table2[[#This Row],[EV Err]]^2</f>
        <v>68.204618142615914</v>
      </c>
      <c r="AP673" s="1"/>
    </row>
    <row r="674" spans="1:42" x14ac:dyDescent="0.25">
      <c r="A674" s="34">
        <v>42758</v>
      </c>
      <c r="B674" t="s">
        <v>136</v>
      </c>
      <c r="C674" t="s">
        <v>129</v>
      </c>
      <c r="E674" s="21"/>
      <c r="G674" s="21"/>
      <c r="H674" s="7"/>
      <c r="I674" s="21"/>
      <c r="K674"/>
      <c r="L674" s="21">
        <f>(Table2[[#This Row],[H/Pace]]/100)*(VLOOKUP(Table2[[#This Row],[Home/Neutral]],home_lookup,8,FALSE)+VLOOKUP(Table2[[#This Row],[Home/Neutral]],OFR_lookup,2,FALSE)+VLOOKUP(Table2[[#This Row],[Visitor/Neutral]],def_diff_lookup,6,FALSE))</f>
        <v>103.300335349919</v>
      </c>
      <c r="M674" s="21"/>
      <c r="N674" s="21">
        <f>(Table2[[#This Row],[A/Pace]]/100)*(VLOOKUP(Table2[[#This Row],[Visitor/Neutral]],OFR_lookup,2,FALSE)+VLOOKUP(Table2[[#This Row],[Home/Neutral]],def_diff_lookup,6,FALSE))</f>
        <v>100.73810999999999</v>
      </c>
      <c r="O674" s="21"/>
      <c r="P674" s="21"/>
      <c r="Q674">
        <f>VLOOKUP(Table2[[#This Row],[Home/Neutral]],pace_lookup,7,FALSE)</f>
        <v>91.5</v>
      </c>
      <c r="R674" s="5">
        <f>VLOOKUP(Table2[[#This Row],[Visitor/Neutral]],pace_lookup,7,FALSE)</f>
        <v>99</v>
      </c>
      <c r="S674" s="7"/>
      <c r="U674" s="15"/>
      <c r="W674" s="2">
        <f>-home-VLOOKUP(Table2[[#This Row],[Home/Neutral]],rtg_vlookup,4,FALSE)+VLOOKUP(Table2[[#This Row],[Visitor/Neutral]],rtg_vlookup,4,FALSE)</f>
        <v>-5.518688524590166</v>
      </c>
      <c r="X674" s="15"/>
      <c r="Y674" s="2"/>
      <c r="Z674" s="2">
        <f>Table2[[#This Row],[A/EV]]-Table2[[#This Row],[H/EV]]</f>
        <v>-2.5622253499190037</v>
      </c>
      <c r="AA674" s="29"/>
      <c r="AB674" s="30"/>
      <c r="AC674" s="30"/>
      <c r="AD674" s="30"/>
      <c r="AE674" s="30"/>
      <c r="AF674" s="7" t="b">
        <f>IF(VLOOKUP(Table2[[#This Row],[Home/Neutral]],division_lookup,9,FALSE)=VLOOKUP(Table2[[#This Row],[Visitor/Neutral]],division_lookup,9,FALSE),TRUE,FALSE)</f>
        <v>1</v>
      </c>
      <c r="AG674" s="15" t="str">
        <f>VLOOKUP(Table2[[#This Row],[Home/Neutral]],division_lookup,9,FALSE)</f>
        <v>NW</v>
      </c>
      <c r="AH674" s="15" t="str">
        <f>IF(Table2[[#This Row],[Total/EV]]&lt;Table2[[#This Row],[Total/V]],"UNDER","OVER")</f>
        <v>OVER</v>
      </c>
      <c r="AI674" s="26">
        <f>Table2[[#This Row],[SRS/Real]]-Table2[[#This Row],[Spread/V]]</f>
        <v>0</v>
      </c>
      <c r="AJ674" s="2">
        <f>Table2[[#This Row],[EV/Real]]-Table2[[#This Row],[Spread/V]]</f>
        <v>0</v>
      </c>
      <c r="AK674" s="2">
        <f>Table2[[#This Row],[SRS/Diff]]-Table2[[#This Row],[EV/Diff]]</f>
        <v>0</v>
      </c>
      <c r="AL674" s="18">
        <f>Table2[[#This Row],[SRS]]-Table2[[#This Row],[Spread]]</f>
        <v>-5.518688524590166</v>
      </c>
      <c r="AM674" s="21">
        <f>Table2[[#This Row],[(A) Err]]^2</f>
        <v>30.455923031443184</v>
      </c>
      <c r="AN674" s="6">
        <f>Table2[[#This Row],[EV]]-Table2[[#This Row],[Spread]]</f>
        <v>-2.5622253499190037</v>
      </c>
      <c r="AO674" s="1">
        <f>Table2[[#This Row],[EV Err]]^2</f>
        <v>6.5649987437675614</v>
      </c>
      <c r="AP674" s="1"/>
    </row>
    <row r="675" spans="1:42" x14ac:dyDescent="0.25">
      <c r="A675" s="34">
        <v>42759</v>
      </c>
      <c r="B675" t="s">
        <v>116</v>
      </c>
      <c r="C675" t="s">
        <v>136</v>
      </c>
      <c r="E675" s="21"/>
      <c r="G675" s="21"/>
      <c r="H675" s="7"/>
      <c r="I675" s="21"/>
      <c r="K675"/>
      <c r="L675" s="21">
        <f>(Table2[[#This Row],[H/Pace]]/100)*(VLOOKUP(Table2[[#This Row],[Home/Neutral]],home_lookup,8,FALSE)+VLOOKUP(Table2[[#This Row],[Home/Neutral]],OFR_lookup,2,FALSE)+VLOOKUP(Table2[[#This Row],[Visitor/Neutral]],def_diff_lookup,6,FALSE))</f>
        <v>100.46610470161863</v>
      </c>
      <c r="M675" s="21"/>
      <c r="N675" s="21">
        <f>(Table2[[#This Row],[A/Pace]]/100)*(VLOOKUP(Table2[[#This Row],[Visitor/Neutral]],OFR_lookup,2,FALSE)+VLOOKUP(Table2[[#This Row],[Home/Neutral]],def_diff_lookup,6,FALSE))</f>
        <v>97.608234999999993</v>
      </c>
      <c r="O675" s="21"/>
      <c r="P675" s="21"/>
      <c r="Q675">
        <f>VLOOKUP(Table2[[#This Row],[Home/Neutral]],pace_lookup,7,FALSE)</f>
        <v>99.1</v>
      </c>
      <c r="R675" s="5">
        <f>VLOOKUP(Table2[[#This Row],[Visitor/Neutral]],pace_lookup,7,FALSE)</f>
        <v>91.5</v>
      </c>
      <c r="S675" s="7"/>
      <c r="U675" s="15"/>
      <c r="W675" s="2">
        <f>-home-VLOOKUP(Table2[[#This Row],[Home/Neutral]],rtg_vlookup,4,FALSE)+VLOOKUP(Table2[[#This Row],[Visitor/Neutral]],rtg_vlookup,4,FALSE)</f>
        <v>2.211311475409834</v>
      </c>
      <c r="X675" s="15"/>
      <c r="Y675" s="2"/>
      <c r="Z675" s="2">
        <f>Table2[[#This Row],[A/EV]]-Table2[[#This Row],[H/EV]]</f>
        <v>-2.8578697016186396</v>
      </c>
      <c r="AA675" s="29"/>
      <c r="AB675" s="30"/>
      <c r="AC675" s="30"/>
      <c r="AD675" s="30"/>
      <c r="AE675" s="30"/>
      <c r="AF675" s="7" t="b">
        <f>IF(VLOOKUP(Table2[[#This Row],[Home/Neutral]],division_lookup,9,FALSE)=VLOOKUP(Table2[[#This Row],[Visitor/Neutral]],division_lookup,9,FALSE),TRUE,FALSE)</f>
        <v>1</v>
      </c>
      <c r="AG675" s="15" t="str">
        <f>VLOOKUP(Table2[[#This Row],[Home/Neutral]],division_lookup,9,FALSE)</f>
        <v>NW</v>
      </c>
      <c r="AH675" s="15" t="str">
        <f>IF(Table2[[#This Row],[Total/EV]]&lt;Table2[[#This Row],[Total/V]],"UNDER","OVER")</f>
        <v>OVER</v>
      </c>
      <c r="AI675" s="26">
        <f>Table2[[#This Row],[SRS/Real]]-Table2[[#This Row],[Spread/V]]</f>
        <v>0</v>
      </c>
      <c r="AJ675" s="2">
        <f>Table2[[#This Row],[EV/Real]]-Table2[[#This Row],[Spread/V]]</f>
        <v>0</v>
      </c>
      <c r="AK675" s="2">
        <f>Table2[[#This Row],[SRS/Diff]]-Table2[[#This Row],[EV/Diff]]</f>
        <v>0</v>
      </c>
      <c r="AL675" s="18">
        <f>Table2[[#This Row],[SRS]]-Table2[[#This Row],[Spread]]</f>
        <v>2.211311475409834</v>
      </c>
      <c r="AM675" s="21">
        <f>Table2[[#This Row],[(A) Err]]^2</f>
        <v>4.8898984412792164</v>
      </c>
      <c r="AN675" s="6">
        <f>Table2[[#This Row],[EV]]-Table2[[#This Row],[Spread]]</f>
        <v>-2.8578697016186396</v>
      </c>
      <c r="AO675" s="1">
        <f>Table2[[#This Row],[EV Err]]^2</f>
        <v>8.1674192314298129</v>
      </c>
      <c r="AP675" s="1"/>
    </row>
    <row r="676" spans="1:42" x14ac:dyDescent="0.25">
      <c r="A676" s="34">
        <v>42759</v>
      </c>
      <c r="B676" t="s">
        <v>130</v>
      </c>
      <c r="C676" t="s">
        <v>113</v>
      </c>
      <c r="E676" s="21"/>
      <c r="G676" s="21"/>
      <c r="H676" s="7"/>
      <c r="I676" s="21"/>
      <c r="K676"/>
      <c r="L676" s="21">
        <f>(Table2[[#This Row],[H/Pace]]/100)*(VLOOKUP(Table2[[#This Row],[Home/Neutral]],home_lookup,8,FALSE)+VLOOKUP(Table2[[#This Row],[Home/Neutral]],OFR_lookup,2,FALSE)+VLOOKUP(Table2[[#This Row],[Visitor/Neutral]],def_diff_lookup,6,FALSE))</f>
        <v>96.063884967109402</v>
      </c>
      <c r="M676" s="21"/>
      <c r="N676" s="21">
        <f>(Table2[[#This Row],[A/Pace]]/100)*(VLOOKUP(Table2[[#This Row],[Visitor/Neutral]],OFR_lookup,2,FALSE)+VLOOKUP(Table2[[#This Row],[Home/Neutral]],def_diff_lookup,6,FALSE))</f>
        <v>105.23353899999999</v>
      </c>
      <c r="O676" s="21"/>
      <c r="P676" s="21"/>
      <c r="Q676">
        <f>VLOOKUP(Table2[[#This Row],[Home/Neutral]],pace_lookup,7,FALSE)</f>
        <v>94.2</v>
      </c>
      <c r="R676" s="5">
        <f>VLOOKUP(Table2[[#This Row],[Visitor/Neutral]],pace_lookup,7,FALSE)</f>
        <v>95.1</v>
      </c>
      <c r="S676" s="7"/>
      <c r="U676" s="15"/>
      <c r="W676" s="2">
        <f>-home-VLOOKUP(Table2[[#This Row],[Home/Neutral]],rtg_vlookup,4,FALSE)+VLOOKUP(Table2[[#This Row],[Visitor/Neutral]],rtg_vlookup,4,FALSE)</f>
        <v>10.501311475409835</v>
      </c>
      <c r="X676" s="15"/>
      <c r="Y676" s="2"/>
      <c r="Z676" s="2">
        <f>Table2[[#This Row],[A/EV]]-Table2[[#This Row],[H/EV]]</f>
        <v>9.1696540328905911</v>
      </c>
      <c r="AA676" s="29"/>
      <c r="AB676" s="30"/>
      <c r="AC676" s="30"/>
      <c r="AD676" s="30"/>
      <c r="AE676" s="30"/>
      <c r="AF676" s="7" t="b">
        <f>IF(VLOOKUP(Table2[[#This Row],[Home/Neutral]],division_lookup,9,FALSE)=VLOOKUP(Table2[[#This Row],[Visitor/Neutral]],division_lookup,9,FALSE),TRUE,FALSE)</f>
        <v>0</v>
      </c>
      <c r="AG676" s="15" t="str">
        <f>VLOOKUP(Table2[[#This Row],[Home/Neutral]],division_lookup,9,FALSE)</f>
        <v>SE</v>
      </c>
      <c r="AH676" s="15" t="str">
        <f>IF(Table2[[#This Row],[Total/EV]]&lt;Table2[[#This Row],[Total/V]],"UNDER","OVER")</f>
        <v>OVER</v>
      </c>
      <c r="AI676" s="26">
        <f>Table2[[#This Row],[SRS/Real]]-Table2[[#This Row],[Spread/V]]</f>
        <v>0</v>
      </c>
      <c r="AJ676" s="2">
        <f>Table2[[#This Row],[EV/Real]]-Table2[[#This Row],[Spread/V]]</f>
        <v>0</v>
      </c>
      <c r="AK676" s="2">
        <f>Table2[[#This Row],[SRS/Diff]]-Table2[[#This Row],[EV/Diff]]</f>
        <v>0</v>
      </c>
      <c r="AL676" s="18">
        <f>Table2[[#This Row],[SRS]]-Table2[[#This Row],[Spread]]</f>
        <v>10.501311475409835</v>
      </c>
      <c r="AM676" s="21">
        <f>Table2[[#This Row],[(A) Err]]^2</f>
        <v>110.2775427035743</v>
      </c>
      <c r="AN676" s="6">
        <f>Table2[[#This Row],[EV]]-Table2[[#This Row],[Spread]]</f>
        <v>9.1696540328905911</v>
      </c>
      <c r="AO676" s="1">
        <f>Table2[[#This Row],[EV Err]]^2</f>
        <v>84.08255508290668</v>
      </c>
      <c r="AP676" s="1"/>
    </row>
    <row r="677" spans="1:42" x14ac:dyDescent="0.25">
      <c r="A677" s="34">
        <v>42759</v>
      </c>
      <c r="B677" t="s">
        <v>138</v>
      </c>
      <c r="C677" t="s">
        <v>121</v>
      </c>
      <c r="E677" s="21"/>
      <c r="G677" s="21"/>
      <c r="H677" s="7"/>
      <c r="I677" s="21"/>
      <c r="K677"/>
      <c r="L677" s="21">
        <f>(Table2[[#This Row],[H/Pace]]/100)*(VLOOKUP(Table2[[#This Row],[Home/Neutral]],home_lookup,8,FALSE)+VLOOKUP(Table2[[#This Row],[Home/Neutral]],OFR_lookup,2,FALSE)+VLOOKUP(Table2[[#This Row],[Visitor/Neutral]],def_diff_lookup,6,FALSE))</f>
        <v>94.932033531240108</v>
      </c>
      <c r="M677" s="21"/>
      <c r="N677" s="21">
        <f>(Table2[[#This Row],[A/Pace]]/100)*(VLOOKUP(Table2[[#This Row],[Visitor/Neutral]],OFR_lookup,2,FALSE)+VLOOKUP(Table2[[#This Row],[Home/Neutral]],def_diff_lookup,6,FALSE))</f>
        <v>112.61994266666667</v>
      </c>
      <c r="O677" s="21"/>
      <c r="P677" s="21"/>
      <c r="Q677">
        <f>VLOOKUP(Table2[[#This Row],[Home/Neutral]],pace_lookup,7,FALSE)</f>
        <v>97.5</v>
      </c>
      <c r="R677" s="5">
        <f>VLOOKUP(Table2[[#This Row],[Visitor/Neutral]],pace_lookup,7,FALSE)</f>
        <v>96.4</v>
      </c>
      <c r="S677" s="7"/>
      <c r="U677" s="15"/>
      <c r="W677" s="2">
        <f>-home-VLOOKUP(Table2[[#This Row],[Home/Neutral]],rtg_vlookup,4,FALSE)+VLOOKUP(Table2[[#This Row],[Visitor/Neutral]],rtg_vlookup,4,FALSE)</f>
        <v>19.581311475409834</v>
      </c>
      <c r="X677" s="15"/>
      <c r="Y677" s="2"/>
      <c r="Z677" s="2">
        <f>Table2[[#This Row],[A/EV]]-Table2[[#This Row],[H/EV]]</f>
        <v>17.687909135426565</v>
      </c>
      <c r="AA677" s="29"/>
      <c r="AB677" s="30"/>
      <c r="AC677" s="30"/>
      <c r="AD677" s="30"/>
      <c r="AE677" s="30"/>
      <c r="AF677" s="7" t="b">
        <f>IF(VLOOKUP(Table2[[#This Row],[Home/Neutral]],division_lookup,9,FALSE)=VLOOKUP(Table2[[#This Row],[Visitor/Neutral]],division_lookup,9,FALSE),TRUE,FALSE)</f>
        <v>0</v>
      </c>
      <c r="AG677" s="15" t="str">
        <f>VLOOKUP(Table2[[#This Row],[Home/Neutral]],division_lookup,9,FALSE)</f>
        <v>A</v>
      </c>
      <c r="AH677" s="15" t="str">
        <f>IF(Table2[[#This Row],[Total/EV]]&lt;Table2[[#This Row],[Total/V]],"UNDER","OVER")</f>
        <v>OVER</v>
      </c>
      <c r="AI677" s="26">
        <f>Table2[[#This Row],[SRS/Real]]-Table2[[#This Row],[Spread/V]]</f>
        <v>0</v>
      </c>
      <c r="AJ677" s="2">
        <f>Table2[[#This Row],[EV/Real]]-Table2[[#This Row],[Spread/V]]</f>
        <v>0</v>
      </c>
      <c r="AK677" s="2">
        <f>Table2[[#This Row],[SRS/Diff]]-Table2[[#This Row],[EV/Diff]]</f>
        <v>0</v>
      </c>
      <c r="AL677" s="18">
        <f>Table2[[#This Row],[SRS]]-Table2[[#This Row],[Spread]]</f>
        <v>19.581311475409834</v>
      </c>
      <c r="AM677" s="21">
        <f>Table2[[#This Row],[(A) Err]]^2</f>
        <v>383.42775909701686</v>
      </c>
      <c r="AN677" s="6">
        <f>Table2[[#This Row],[EV]]-Table2[[#This Row],[Spread]]</f>
        <v>17.687909135426565</v>
      </c>
      <c r="AO677" s="1">
        <f>Table2[[#This Row],[EV Err]]^2</f>
        <v>312.86212958310654</v>
      </c>
      <c r="AP677" s="1"/>
    </row>
    <row r="678" spans="1:42" x14ac:dyDescent="0.25">
      <c r="A678" s="34">
        <v>42759</v>
      </c>
      <c r="B678" t="s">
        <v>131</v>
      </c>
      <c r="C678" t="s">
        <v>126</v>
      </c>
      <c r="E678" s="21"/>
      <c r="G678" s="21"/>
      <c r="H678" s="7"/>
      <c r="I678" s="21"/>
      <c r="K678"/>
      <c r="L678" s="21">
        <f>(Table2[[#This Row],[H/Pace]]/100)*(VLOOKUP(Table2[[#This Row],[Home/Neutral]],home_lookup,8,FALSE)+VLOOKUP(Table2[[#This Row],[Home/Neutral]],OFR_lookup,2,FALSE)+VLOOKUP(Table2[[#This Row],[Visitor/Neutral]],def_diff_lookup,6,FALSE))</f>
        <v>100.22839979119766</v>
      </c>
      <c r="M678" s="21"/>
      <c r="N678" s="21">
        <f>(Table2[[#This Row],[A/Pace]]/100)*(VLOOKUP(Table2[[#This Row],[Visitor/Neutral]],OFR_lookup,2,FALSE)+VLOOKUP(Table2[[#This Row],[Home/Neutral]],def_diff_lookup,6,FALSE))</f>
        <v>105.084023</v>
      </c>
      <c r="O678" s="21"/>
      <c r="P678" s="21"/>
      <c r="Q678">
        <f>VLOOKUP(Table2[[#This Row],[Home/Neutral]],pace_lookup,7,FALSE)</f>
        <v>101.7</v>
      </c>
      <c r="R678" s="5">
        <f>VLOOKUP(Table2[[#This Row],[Visitor/Neutral]],pace_lookup,7,FALSE)</f>
        <v>95.7</v>
      </c>
      <c r="S678" s="7"/>
      <c r="U678" s="15"/>
      <c r="W678" s="2">
        <f>-home-VLOOKUP(Table2[[#This Row],[Home/Neutral]],rtg_vlookup,4,FALSE)+VLOOKUP(Table2[[#This Row],[Visitor/Neutral]],rtg_vlookup,4,FALSE)</f>
        <v>2.4213114754098344</v>
      </c>
      <c r="X678" s="15"/>
      <c r="Y678" s="2"/>
      <c r="Z678" s="2">
        <f>Table2[[#This Row],[A/EV]]-Table2[[#This Row],[H/EV]]</f>
        <v>4.8556232088023421</v>
      </c>
      <c r="AA678" s="29"/>
      <c r="AB678" s="30"/>
      <c r="AC678" s="30"/>
      <c r="AD678" s="30"/>
      <c r="AE678" s="30"/>
      <c r="AF678" s="7" t="b">
        <f>IF(VLOOKUP(Table2[[#This Row],[Home/Neutral]],division_lookup,9,FALSE)=VLOOKUP(Table2[[#This Row],[Visitor/Neutral]],division_lookup,9,FALSE),TRUE,FALSE)</f>
        <v>0</v>
      </c>
      <c r="AG678" s="15" t="str">
        <f>VLOOKUP(Table2[[#This Row],[Home/Neutral]],division_lookup,9,FALSE)</f>
        <v>P</v>
      </c>
      <c r="AH678" s="15" t="str">
        <f>IF(Table2[[#This Row],[Total/EV]]&lt;Table2[[#This Row],[Total/V]],"UNDER","OVER")</f>
        <v>OVER</v>
      </c>
      <c r="AI678" s="26">
        <f>Table2[[#This Row],[SRS/Real]]-Table2[[#This Row],[Spread/V]]</f>
        <v>0</v>
      </c>
      <c r="AJ678" s="2">
        <f>Table2[[#This Row],[EV/Real]]-Table2[[#This Row],[Spread/V]]</f>
        <v>0</v>
      </c>
      <c r="AK678" s="2">
        <f>Table2[[#This Row],[SRS/Diff]]-Table2[[#This Row],[EV/Diff]]</f>
        <v>0</v>
      </c>
      <c r="AL678" s="18">
        <f>Table2[[#This Row],[SRS]]-Table2[[#This Row],[Spread]]</f>
        <v>2.4213114754098344</v>
      </c>
      <c r="AM678" s="21">
        <f>Table2[[#This Row],[(A) Err]]^2</f>
        <v>5.8627492609513494</v>
      </c>
      <c r="AN678" s="6">
        <f>Table2[[#This Row],[EV]]-Table2[[#This Row],[Spread]]</f>
        <v>4.8556232088023421</v>
      </c>
      <c r="AO678" s="1">
        <f>Table2[[#This Row],[EV Err]]^2</f>
        <v>23.577076745859952</v>
      </c>
      <c r="AP678" s="1"/>
    </row>
    <row r="679" spans="1:42" x14ac:dyDescent="0.25">
      <c r="A679" s="34">
        <v>42759</v>
      </c>
      <c r="B679" t="s">
        <v>135</v>
      </c>
      <c r="C679" t="s">
        <v>134</v>
      </c>
      <c r="E679" s="21"/>
      <c r="G679" s="21"/>
      <c r="H679" s="7"/>
      <c r="I679" s="21"/>
      <c r="K679"/>
      <c r="L679" s="21">
        <f>(Table2[[#This Row],[H/Pace]]/100)*(VLOOKUP(Table2[[#This Row],[Home/Neutral]],home_lookup,8,FALSE)+VLOOKUP(Table2[[#This Row],[Home/Neutral]],OFR_lookup,2,FALSE)+VLOOKUP(Table2[[#This Row],[Visitor/Neutral]],def_diff_lookup,6,FALSE))</f>
        <v>108.36156035324615</v>
      </c>
      <c r="M679" s="21"/>
      <c r="N679" s="21">
        <f>(Table2[[#This Row],[A/Pace]]/100)*(VLOOKUP(Table2[[#This Row],[Visitor/Neutral]],OFR_lookup,2,FALSE)+VLOOKUP(Table2[[#This Row],[Home/Neutral]],def_diff_lookup,6,FALSE))</f>
        <v>106.08901266666666</v>
      </c>
      <c r="O679" s="21"/>
      <c r="P679" s="21"/>
      <c r="Q679">
        <f>VLOOKUP(Table2[[#This Row],[Home/Neutral]],pace_lookup,7,FALSE)</f>
        <v>95.4</v>
      </c>
      <c r="R679" s="5">
        <f>VLOOKUP(Table2[[#This Row],[Visitor/Neutral]],pace_lookup,7,FALSE)</f>
        <v>93.4</v>
      </c>
      <c r="S679" s="7"/>
      <c r="U679" s="15"/>
      <c r="W679" s="2">
        <f>-home-VLOOKUP(Table2[[#This Row],[Home/Neutral]],rtg_vlookup,4,FALSE)+VLOOKUP(Table2[[#This Row],[Visitor/Neutral]],rtg_vlookup,4,FALSE)</f>
        <v>-1.3286885245901656</v>
      </c>
      <c r="X679" s="15"/>
      <c r="Y679" s="2"/>
      <c r="Z679" s="2">
        <f>Table2[[#This Row],[A/EV]]-Table2[[#This Row],[H/EV]]</f>
        <v>-2.272547686579486</v>
      </c>
      <c r="AA679" s="29"/>
      <c r="AB679" s="30"/>
      <c r="AC679" s="30"/>
      <c r="AD679" s="30"/>
      <c r="AE679" s="30"/>
      <c r="AF679" s="7" t="b">
        <f>IF(VLOOKUP(Table2[[#This Row],[Home/Neutral]],division_lookup,9,FALSE)=VLOOKUP(Table2[[#This Row],[Visitor/Neutral]],division_lookup,9,FALSE),TRUE,FALSE)</f>
        <v>0</v>
      </c>
      <c r="AG679" s="15" t="str">
        <f>VLOOKUP(Table2[[#This Row],[Home/Neutral]],division_lookup,9,FALSE)</f>
        <v>A</v>
      </c>
      <c r="AH679" s="15" t="str">
        <f>IF(Table2[[#This Row],[Total/EV]]&lt;Table2[[#This Row],[Total/V]],"UNDER","OVER")</f>
        <v>OVER</v>
      </c>
      <c r="AI679" s="26">
        <f>Table2[[#This Row],[SRS/Real]]-Table2[[#This Row],[Spread/V]]</f>
        <v>0</v>
      </c>
      <c r="AJ679" s="2">
        <f>Table2[[#This Row],[EV/Real]]-Table2[[#This Row],[Spread/V]]</f>
        <v>0</v>
      </c>
      <c r="AK679" s="2">
        <f>Table2[[#This Row],[SRS/Diff]]-Table2[[#This Row],[EV/Diff]]</f>
        <v>0</v>
      </c>
      <c r="AL679" s="18">
        <f>Table2[[#This Row],[SRS]]-Table2[[#This Row],[Spread]]</f>
        <v>-1.3286885245901656</v>
      </c>
      <c r="AM679" s="21">
        <f>Table2[[#This Row],[(A) Err]]^2</f>
        <v>1.7654131953775911</v>
      </c>
      <c r="AN679" s="6">
        <f>Table2[[#This Row],[EV]]-Table2[[#This Row],[Spread]]</f>
        <v>-2.272547686579486</v>
      </c>
      <c r="AO679" s="1">
        <f>Table2[[#This Row],[EV Err]]^2</f>
        <v>5.1644729877777742</v>
      </c>
      <c r="AP679" s="1"/>
    </row>
    <row r="680" spans="1:42" x14ac:dyDescent="0.25">
      <c r="A680" s="34">
        <v>42759</v>
      </c>
      <c r="B680" t="s">
        <v>137</v>
      </c>
      <c r="C680" t="s">
        <v>110</v>
      </c>
      <c r="E680" s="21"/>
      <c r="G680" s="21"/>
      <c r="H680" s="7"/>
      <c r="I680" s="21"/>
      <c r="K680"/>
      <c r="L680" s="21">
        <f>(Table2[[#This Row],[H/Pace]]/100)*(VLOOKUP(Table2[[#This Row],[Home/Neutral]],home_lookup,8,FALSE)+VLOOKUP(Table2[[#This Row],[Home/Neutral]],OFR_lookup,2,FALSE)+VLOOKUP(Table2[[#This Row],[Visitor/Neutral]],def_diff_lookup,6,FALSE))</f>
        <v>108.58813255421872</v>
      </c>
      <c r="M680" s="21"/>
      <c r="N680" s="21">
        <f>(Table2[[#This Row],[A/Pace]]/100)*(VLOOKUP(Table2[[#This Row],[Visitor/Neutral]],OFR_lookup,2,FALSE)+VLOOKUP(Table2[[#This Row],[Home/Neutral]],def_diff_lookup,6,FALSE))</f>
        <v>107.12415133333334</v>
      </c>
      <c r="O680" s="21"/>
      <c r="P680" s="21"/>
      <c r="Q680">
        <f>VLOOKUP(Table2[[#This Row],[Home/Neutral]],pace_lookup,7,FALSE)</f>
        <v>96</v>
      </c>
      <c r="R680" s="5">
        <f>VLOOKUP(Table2[[#This Row],[Visitor/Neutral]],pace_lookup,7,FALSE)</f>
        <v>96.2</v>
      </c>
      <c r="S680" s="7"/>
      <c r="U680" s="15"/>
      <c r="W680" s="2">
        <f>-home-VLOOKUP(Table2[[#This Row],[Home/Neutral]],rtg_vlookup,4,FALSE)+VLOOKUP(Table2[[#This Row],[Visitor/Neutral]],rtg_vlookup,4,FALSE)</f>
        <v>0.69131147540983406</v>
      </c>
      <c r="X680" s="15"/>
      <c r="Y680" s="2"/>
      <c r="Z680" s="2">
        <f>Table2[[#This Row],[A/EV]]-Table2[[#This Row],[H/EV]]</f>
        <v>-1.4639812208853726</v>
      </c>
      <c r="AA680" s="29"/>
      <c r="AB680" s="30"/>
      <c r="AC680" s="30"/>
      <c r="AD680" s="30"/>
      <c r="AE680" s="30"/>
      <c r="AF680" s="7" t="b">
        <f>IF(VLOOKUP(Table2[[#This Row],[Home/Neutral]],division_lookup,9,FALSE)=VLOOKUP(Table2[[#This Row],[Visitor/Neutral]],division_lookup,9,FALSE),TRUE,FALSE)</f>
        <v>0</v>
      </c>
      <c r="AG680" s="15" t="str">
        <f>VLOOKUP(Table2[[#This Row],[Home/Neutral]],division_lookup,9,FALSE)</f>
        <v>SE</v>
      </c>
      <c r="AH680" s="15" t="str">
        <f>IF(Table2[[#This Row],[Total/EV]]&lt;Table2[[#This Row],[Total/V]],"UNDER","OVER")</f>
        <v>OVER</v>
      </c>
      <c r="AI680" s="26">
        <f>Table2[[#This Row],[SRS/Real]]-Table2[[#This Row],[Spread/V]]</f>
        <v>0</v>
      </c>
      <c r="AJ680" s="2">
        <f>Table2[[#This Row],[EV/Real]]-Table2[[#This Row],[Spread/V]]</f>
        <v>0</v>
      </c>
      <c r="AK680" s="2">
        <f>Table2[[#This Row],[SRS/Diff]]-Table2[[#This Row],[EV/Diff]]</f>
        <v>0</v>
      </c>
      <c r="AL680" s="18">
        <f>Table2[[#This Row],[SRS]]-Table2[[#This Row],[Spread]]</f>
        <v>0.69131147540983406</v>
      </c>
      <c r="AM680" s="21">
        <f>Table2[[#This Row],[(A) Err]]^2</f>
        <v>0.47791155603332158</v>
      </c>
      <c r="AN680" s="6">
        <f>Table2[[#This Row],[EV]]-Table2[[#This Row],[Spread]]</f>
        <v>-1.4639812208853726</v>
      </c>
      <c r="AO680" s="1">
        <f>Table2[[#This Row],[EV Err]]^2</f>
        <v>2.1432410151050263</v>
      </c>
      <c r="AP680" s="1"/>
    </row>
    <row r="681" spans="1:42" x14ac:dyDescent="0.25">
      <c r="A681" s="34">
        <v>42760</v>
      </c>
      <c r="B681" t="s">
        <v>110</v>
      </c>
      <c r="C681" t="s">
        <v>119</v>
      </c>
      <c r="E681" s="21"/>
      <c r="G681" s="21"/>
      <c r="H681" s="7"/>
      <c r="I681" s="21"/>
      <c r="K681"/>
      <c r="L681" s="21">
        <f>(Table2[[#This Row],[H/Pace]]/100)*(VLOOKUP(Table2[[#This Row],[Home/Neutral]],home_lookup,8,FALSE)+VLOOKUP(Table2[[#This Row],[Home/Neutral]],OFR_lookup,2,FALSE)+VLOOKUP(Table2[[#This Row],[Visitor/Neutral]],def_diff_lookup,6,FALSE))</f>
        <v>108.3797111890094</v>
      </c>
      <c r="M681" s="21"/>
      <c r="N681" s="21">
        <f>(Table2[[#This Row],[A/Pace]]/100)*(VLOOKUP(Table2[[#This Row],[Visitor/Neutral]],OFR_lookup,2,FALSE)+VLOOKUP(Table2[[#This Row],[Home/Neutral]],def_diff_lookup,6,FALSE))</f>
        <v>110.24862100000001</v>
      </c>
      <c r="O681" s="21"/>
      <c r="P681" s="21"/>
      <c r="Q681">
        <f>VLOOKUP(Table2[[#This Row],[Home/Neutral]],pace_lookup,7,FALSE)</f>
        <v>96.2</v>
      </c>
      <c r="R681" s="5">
        <f>VLOOKUP(Table2[[#This Row],[Visitor/Neutral]],pace_lookup,7,FALSE)</f>
        <v>96.9</v>
      </c>
      <c r="S681" s="7"/>
      <c r="U681" s="15"/>
      <c r="W681" s="2">
        <f>-home-VLOOKUP(Table2[[#This Row],[Home/Neutral]],rtg_vlookup,4,FALSE)+VLOOKUP(Table2[[#This Row],[Visitor/Neutral]],rtg_vlookup,4,FALSE)</f>
        <v>0.42131147540983438</v>
      </c>
      <c r="X681" s="15"/>
      <c r="Y681" s="2"/>
      <c r="Z681" s="2">
        <f>Table2[[#This Row],[A/EV]]-Table2[[#This Row],[H/EV]]</f>
        <v>1.8689098109906155</v>
      </c>
      <c r="AA681" s="29"/>
      <c r="AB681" s="30"/>
      <c r="AC681" s="30"/>
      <c r="AD681" s="30"/>
      <c r="AE681" s="30"/>
      <c r="AF681" s="7" t="b">
        <f>IF(VLOOKUP(Table2[[#This Row],[Home/Neutral]],division_lookup,9,FALSE)=VLOOKUP(Table2[[#This Row],[Visitor/Neutral]],division_lookup,9,FALSE),TRUE,FALSE)</f>
        <v>0</v>
      </c>
      <c r="AG681" s="15" t="str">
        <f>VLOOKUP(Table2[[#This Row],[Home/Neutral]],division_lookup,9,FALSE)</f>
        <v>A</v>
      </c>
      <c r="AH681" s="15" t="str">
        <f>IF(Table2[[#This Row],[Total/EV]]&lt;Table2[[#This Row],[Total/V]],"UNDER","OVER")</f>
        <v>OVER</v>
      </c>
      <c r="AI681" s="26">
        <f>Table2[[#This Row],[SRS/Real]]-Table2[[#This Row],[Spread/V]]</f>
        <v>0</v>
      </c>
      <c r="AJ681" s="2">
        <f>Table2[[#This Row],[EV/Real]]-Table2[[#This Row],[Spread/V]]</f>
        <v>0</v>
      </c>
      <c r="AK681" s="2">
        <f>Table2[[#This Row],[SRS/Diff]]-Table2[[#This Row],[EV/Diff]]</f>
        <v>0</v>
      </c>
      <c r="AL681" s="18">
        <f>Table2[[#This Row],[SRS]]-Table2[[#This Row],[Spread]]</f>
        <v>0.42131147540983438</v>
      </c>
      <c r="AM681" s="21">
        <f>Table2[[#This Row],[(A) Err]]^2</f>
        <v>0.17750335931201147</v>
      </c>
      <c r="AN681" s="6">
        <f>Table2[[#This Row],[EV]]-Table2[[#This Row],[Spread]]</f>
        <v>1.8689098109906155</v>
      </c>
      <c r="AO681" s="1">
        <f>Table2[[#This Row],[EV Err]]^2</f>
        <v>3.4928238816169781</v>
      </c>
      <c r="AP681" s="1"/>
    </row>
    <row r="682" spans="1:42" x14ac:dyDescent="0.25">
      <c r="A682" s="34">
        <v>42760</v>
      </c>
      <c r="B682" t="s">
        <v>111</v>
      </c>
      <c r="C682" t="s">
        <v>124</v>
      </c>
      <c r="E682" s="21"/>
      <c r="G682" s="21"/>
      <c r="H682" s="7"/>
      <c r="I682" s="21"/>
      <c r="K682"/>
      <c r="L682" s="21">
        <f>(Table2[[#This Row],[H/Pace]]/100)*(VLOOKUP(Table2[[#This Row],[Home/Neutral]],home_lookup,8,FALSE)+VLOOKUP(Table2[[#This Row],[Home/Neutral]],OFR_lookup,2,FALSE)+VLOOKUP(Table2[[#This Row],[Visitor/Neutral]],def_diff_lookup,6,FALSE))</f>
        <v>97.927018327716354</v>
      </c>
      <c r="M682" s="21"/>
      <c r="N682" s="21">
        <f>(Table2[[#This Row],[A/Pace]]/100)*(VLOOKUP(Table2[[#This Row],[Visitor/Neutral]],OFR_lookup,2,FALSE)+VLOOKUP(Table2[[#This Row],[Home/Neutral]],def_diff_lookup,6,FALSE))</f>
        <v>100.76091966666667</v>
      </c>
      <c r="O682" s="21"/>
      <c r="P682" s="21"/>
      <c r="Q682">
        <f>VLOOKUP(Table2[[#This Row],[Home/Neutral]],pace_lookup,7,FALSE)</f>
        <v>102</v>
      </c>
      <c r="R682" s="5">
        <f>VLOOKUP(Table2[[#This Row],[Visitor/Neutral]],pace_lookup,7,FALSE)</f>
        <v>93.7</v>
      </c>
      <c r="S682" s="7"/>
      <c r="U682" s="15"/>
      <c r="W682" s="2">
        <f>-home-VLOOKUP(Table2[[#This Row],[Home/Neutral]],rtg_vlookup,4,FALSE)+VLOOKUP(Table2[[#This Row],[Visitor/Neutral]],rtg_vlookup,4,FALSE)</f>
        <v>4.8013114754098334</v>
      </c>
      <c r="X682" s="15"/>
      <c r="Y682" s="2"/>
      <c r="Z682" s="2">
        <f>Table2[[#This Row],[A/EV]]-Table2[[#This Row],[H/EV]]</f>
        <v>2.8339013389503123</v>
      </c>
      <c r="AA682" s="29"/>
      <c r="AB682" s="30"/>
      <c r="AC682" s="30"/>
      <c r="AD682" s="30"/>
      <c r="AE682" s="30"/>
      <c r="AF682" s="7" t="b">
        <f>IF(VLOOKUP(Table2[[#This Row],[Home/Neutral]],division_lookup,9,FALSE)=VLOOKUP(Table2[[#This Row],[Visitor/Neutral]],division_lookup,9,FALSE),TRUE,FALSE)</f>
        <v>0</v>
      </c>
      <c r="AG682" s="15" t="str">
        <f>VLOOKUP(Table2[[#This Row],[Home/Neutral]],division_lookup,9,FALSE)</f>
        <v>A</v>
      </c>
      <c r="AH682" s="15" t="str">
        <f>IF(Table2[[#This Row],[Total/EV]]&lt;Table2[[#This Row],[Total/V]],"UNDER","OVER")</f>
        <v>OVER</v>
      </c>
      <c r="AI682" s="26">
        <f>Table2[[#This Row],[SRS/Real]]-Table2[[#This Row],[Spread/V]]</f>
        <v>0</v>
      </c>
      <c r="AJ682" s="2">
        <f>Table2[[#This Row],[EV/Real]]-Table2[[#This Row],[Spread/V]]</f>
        <v>0</v>
      </c>
      <c r="AK682" s="2">
        <f>Table2[[#This Row],[SRS/Diff]]-Table2[[#This Row],[EV/Diff]]</f>
        <v>0</v>
      </c>
      <c r="AL682" s="18">
        <f>Table2[[#This Row],[SRS]]-Table2[[#This Row],[Spread]]</f>
        <v>4.8013114754098334</v>
      </c>
      <c r="AM682" s="21">
        <f>Table2[[#This Row],[(A) Err]]^2</f>
        <v>23.052591883902153</v>
      </c>
      <c r="AN682" s="6">
        <f>Table2[[#This Row],[EV]]-Table2[[#This Row],[Spread]]</f>
        <v>2.8339013389503123</v>
      </c>
      <c r="AO682" s="1">
        <f>Table2[[#This Row],[EV Err]]^2</f>
        <v>8.030996798904372</v>
      </c>
      <c r="AP682" s="1"/>
    </row>
    <row r="683" spans="1:42" x14ac:dyDescent="0.25">
      <c r="A683" s="34">
        <v>42760</v>
      </c>
      <c r="B683" t="s">
        <v>113</v>
      </c>
      <c r="C683" t="s">
        <v>109</v>
      </c>
      <c r="E683" s="21"/>
      <c r="G683" s="21"/>
      <c r="H683" s="7"/>
      <c r="I683" s="21"/>
      <c r="K683"/>
      <c r="L683" s="21">
        <f>(Table2[[#This Row],[H/Pace]]/100)*(VLOOKUP(Table2[[#This Row],[Home/Neutral]],home_lookup,8,FALSE)+VLOOKUP(Table2[[#This Row],[Home/Neutral]],OFR_lookup,2,FALSE)+VLOOKUP(Table2[[#This Row],[Visitor/Neutral]],def_diff_lookup,6,FALSE))</f>
        <v>102.6046038801628</v>
      </c>
      <c r="M683" s="21"/>
      <c r="N683" s="21">
        <f>(Table2[[#This Row],[A/Pace]]/100)*(VLOOKUP(Table2[[#This Row],[Visitor/Neutral]],OFR_lookup,2,FALSE)+VLOOKUP(Table2[[#This Row],[Home/Neutral]],def_diff_lookup,6,FALSE))</f>
        <v>100.81266133333332</v>
      </c>
      <c r="O683" s="21"/>
      <c r="P683" s="21"/>
      <c r="Q683">
        <f>VLOOKUP(Table2[[#This Row],[Home/Neutral]],pace_lookup,7,FALSE)</f>
        <v>95.1</v>
      </c>
      <c r="R683" s="5">
        <f>VLOOKUP(Table2[[#This Row],[Visitor/Neutral]],pace_lookup,7,FALSE)</f>
        <v>99.2</v>
      </c>
      <c r="S683" s="7"/>
      <c r="U683" s="15"/>
      <c r="W683" s="2">
        <f>-home-VLOOKUP(Table2[[#This Row],[Home/Neutral]],rtg_vlookup,4,FALSE)+VLOOKUP(Table2[[#This Row],[Visitor/Neutral]],rtg_vlookup,4,FALSE)</f>
        <v>-5.1486885245901659</v>
      </c>
      <c r="X683" s="15"/>
      <c r="Y683" s="2"/>
      <c r="Z683" s="2">
        <f>Table2[[#This Row],[A/EV]]-Table2[[#This Row],[H/EV]]</f>
        <v>-1.7919425468294747</v>
      </c>
      <c r="AA683" s="29"/>
      <c r="AB683" s="30"/>
      <c r="AC683" s="30"/>
      <c r="AD683" s="30"/>
      <c r="AE683" s="30"/>
      <c r="AF683" s="7" t="b">
        <f>IF(VLOOKUP(Table2[[#This Row],[Home/Neutral]],division_lookup,9,FALSE)=VLOOKUP(Table2[[#This Row],[Visitor/Neutral]],division_lookup,9,FALSE),TRUE,FALSE)</f>
        <v>0</v>
      </c>
      <c r="AG683" s="15" t="str">
        <f>VLOOKUP(Table2[[#This Row],[Home/Neutral]],division_lookup,9,FALSE)</f>
        <v>C</v>
      </c>
      <c r="AH683" s="15" t="str">
        <f>IF(Table2[[#This Row],[Total/EV]]&lt;Table2[[#This Row],[Total/V]],"UNDER","OVER")</f>
        <v>OVER</v>
      </c>
      <c r="AI683" s="26">
        <f>Table2[[#This Row],[SRS/Real]]-Table2[[#This Row],[Spread/V]]</f>
        <v>0</v>
      </c>
      <c r="AJ683" s="2">
        <f>Table2[[#This Row],[EV/Real]]-Table2[[#This Row],[Spread/V]]</f>
        <v>0</v>
      </c>
      <c r="AK683" s="2">
        <f>Table2[[#This Row],[SRS/Diff]]-Table2[[#This Row],[EV/Diff]]</f>
        <v>0</v>
      </c>
      <c r="AL683" s="18">
        <f>Table2[[#This Row],[SRS]]-Table2[[#This Row],[Spread]]</f>
        <v>-5.1486885245901659</v>
      </c>
      <c r="AM683" s="21">
        <f>Table2[[#This Row],[(A) Err]]^2</f>
        <v>26.50899352324646</v>
      </c>
      <c r="AN683" s="6">
        <f>Table2[[#This Row],[EV]]-Table2[[#This Row],[Spread]]</f>
        <v>-1.7919425468294747</v>
      </c>
      <c r="AO683" s="1">
        <f>Table2[[#This Row],[EV Err]]^2</f>
        <v>3.2110580911377045</v>
      </c>
      <c r="AP683" s="1"/>
    </row>
    <row r="684" spans="1:42" x14ac:dyDescent="0.25">
      <c r="A684" s="34">
        <v>42760</v>
      </c>
      <c r="B684" t="s">
        <v>112</v>
      </c>
      <c r="C684" t="s">
        <v>118</v>
      </c>
      <c r="E684" s="21"/>
      <c r="G684" s="21"/>
      <c r="H684" s="7"/>
      <c r="I684" s="21"/>
      <c r="K684"/>
      <c r="L684" s="21">
        <f>(Table2[[#This Row],[H/Pace]]/100)*(VLOOKUP(Table2[[#This Row],[Home/Neutral]],home_lookup,8,FALSE)+VLOOKUP(Table2[[#This Row],[Home/Neutral]],OFR_lookup,2,FALSE)+VLOOKUP(Table2[[#This Row],[Visitor/Neutral]],def_diff_lookup,6,FALSE))</f>
        <v>103.06940195313484</v>
      </c>
      <c r="M684" s="21"/>
      <c r="N684" s="21">
        <f>(Table2[[#This Row],[A/Pace]]/100)*(VLOOKUP(Table2[[#This Row],[Visitor/Neutral]],OFR_lookup,2,FALSE)+VLOOKUP(Table2[[#This Row],[Home/Neutral]],def_diff_lookup,6,FALSE))</f>
        <v>116.46968933333332</v>
      </c>
      <c r="O684" s="21"/>
      <c r="P684" s="21"/>
      <c r="Q684">
        <f>VLOOKUP(Table2[[#This Row],[Home/Neutral]],pace_lookup,7,FALSE)</f>
        <v>97.4</v>
      </c>
      <c r="R684" s="5">
        <f>VLOOKUP(Table2[[#This Row],[Visitor/Neutral]],pace_lookup,7,FALSE)</f>
        <v>100.4</v>
      </c>
      <c r="S684" s="7"/>
      <c r="U684" s="15"/>
      <c r="W684" s="2">
        <f>-home-VLOOKUP(Table2[[#This Row],[Home/Neutral]],rtg_vlookup,4,FALSE)+VLOOKUP(Table2[[#This Row],[Visitor/Neutral]],rtg_vlookup,4,FALSE)</f>
        <v>6.6013114754098341</v>
      </c>
      <c r="X684" s="15"/>
      <c r="Y684" s="2"/>
      <c r="Z684" s="2">
        <f>Table2[[#This Row],[A/EV]]-Table2[[#This Row],[H/EV]]</f>
        <v>13.400287380198478</v>
      </c>
      <c r="AA684" s="29"/>
      <c r="AB684" s="30"/>
      <c r="AC684" s="30"/>
      <c r="AD684" s="30"/>
      <c r="AE684" s="30"/>
      <c r="AF684" s="7" t="b">
        <f>IF(VLOOKUP(Table2[[#This Row],[Home/Neutral]],division_lookup,9,FALSE)=VLOOKUP(Table2[[#This Row],[Visitor/Neutral]],division_lookup,9,FALSE),TRUE,FALSE)</f>
        <v>0</v>
      </c>
      <c r="AG684" s="15" t="str">
        <f>VLOOKUP(Table2[[#This Row],[Home/Neutral]],division_lookup,9,FALSE)</f>
        <v>SE</v>
      </c>
      <c r="AH684" s="15" t="str">
        <f>IF(Table2[[#This Row],[Total/EV]]&lt;Table2[[#This Row],[Total/V]],"UNDER","OVER")</f>
        <v>OVER</v>
      </c>
      <c r="AI684" s="26">
        <f>Table2[[#This Row],[SRS/Real]]-Table2[[#This Row],[Spread/V]]</f>
        <v>0</v>
      </c>
      <c r="AJ684" s="2">
        <f>Table2[[#This Row],[EV/Real]]-Table2[[#This Row],[Spread/V]]</f>
        <v>0</v>
      </c>
      <c r="AK684" s="2">
        <f>Table2[[#This Row],[SRS/Diff]]-Table2[[#This Row],[EV/Diff]]</f>
        <v>0</v>
      </c>
      <c r="AL684" s="18">
        <f>Table2[[#This Row],[SRS]]-Table2[[#This Row],[Spread]]</f>
        <v>6.6013114754098341</v>
      </c>
      <c r="AM684" s="21">
        <f>Table2[[#This Row],[(A) Err]]^2</f>
        <v>43.577313195377563</v>
      </c>
      <c r="AN684" s="6">
        <f>Table2[[#This Row],[EV]]-Table2[[#This Row],[Spread]]</f>
        <v>13.400287380198478</v>
      </c>
      <c r="AO684" s="1">
        <f>Table2[[#This Row],[EV Err]]^2</f>
        <v>179.56770187190659</v>
      </c>
      <c r="AP684" s="1"/>
    </row>
    <row r="685" spans="1:42" x14ac:dyDescent="0.25">
      <c r="A685" s="34">
        <v>42760</v>
      </c>
      <c r="B685" t="s">
        <v>114</v>
      </c>
      <c r="C685" t="s">
        <v>133</v>
      </c>
      <c r="E685" s="21"/>
      <c r="G685" s="21"/>
      <c r="H685" s="7"/>
      <c r="I685" s="21"/>
      <c r="K685"/>
      <c r="L685" s="21">
        <f>(Table2[[#This Row],[H/Pace]]/100)*(VLOOKUP(Table2[[#This Row],[Home/Neutral]],home_lookup,8,FALSE)+VLOOKUP(Table2[[#This Row],[Home/Neutral]],OFR_lookup,2,FALSE)+VLOOKUP(Table2[[#This Row],[Visitor/Neutral]],def_diff_lookup,6,FALSE))</f>
        <v>117.43313276756466</v>
      </c>
      <c r="M685" s="21"/>
      <c r="N685" s="21">
        <f>(Table2[[#This Row],[A/Pace]]/100)*(VLOOKUP(Table2[[#This Row],[Visitor/Neutral]],OFR_lookup,2,FALSE)+VLOOKUP(Table2[[#This Row],[Home/Neutral]],def_diff_lookup,6,FALSE))</f>
        <v>101.213818</v>
      </c>
      <c r="O685" s="21"/>
      <c r="P685" s="21"/>
      <c r="Q685">
        <f>VLOOKUP(Table2[[#This Row],[Home/Neutral]],pace_lookup,7,FALSE)</f>
        <v>97.3</v>
      </c>
      <c r="R685" s="5">
        <f>VLOOKUP(Table2[[#This Row],[Visitor/Neutral]],pace_lookup,7,FALSE)</f>
        <v>94.2</v>
      </c>
      <c r="S685" s="7"/>
      <c r="U685" s="15"/>
      <c r="W685" s="2">
        <f>-home-VLOOKUP(Table2[[#This Row],[Home/Neutral]],rtg_vlookup,4,FALSE)+VLOOKUP(Table2[[#This Row],[Visitor/Neutral]],rtg_vlookup,4,FALSE)</f>
        <v>-13.348688524590166</v>
      </c>
      <c r="X685" s="15"/>
      <c r="Y685" s="2"/>
      <c r="Z685" s="2">
        <f>Table2[[#This Row],[A/EV]]-Table2[[#This Row],[H/EV]]</f>
        <v>-16.219314767564654</v>
      </c>
      <c r="AA685" s="29"/>
      <c r="AB685" s="30"/>
      <c r="AC685" s="30"/>
      <c r="AD685" s="30"/>
      <c r="AE685" s="30"/>
      <c r="AF685" s="7" t="b">
        <f>IF(VLOOKUP(Table2[[#This Row],[Home/Neutral]],division_lookup,9,FALSE)=VLOOKUP(Table2[[#This Row],[Visitor/Neutral]],division_lookup,9,FALSE),TRUE,FALSE)</f>
        <v>0</v>
      </c>
      <c r="AG685" s="15" t="str">
        <f>VLOOKUP(Table2[[#This Row],[Home/Neutral]],division_lookup,9,FALSE)</f>
        <v>C</v>
      </c>
      <c r="AH685" s="15" t="str">
        <f>IF(Table2[[#This Row],[Total/EV]]&lt;Table2[[#This Row],[Total/V]],"UNDER","OVER")</f>
        <v>OVER</v>
      </c>
      <c r="AI685" s="26">
        <f>Table2[[#This Row],[SRS/Real]]-Table2[[#This Row],[Spread/V]]</f>
        <v>0</v>
      </c>
      <c r="AJ685" s="2">
        <f>Table2[[#This Row],[EV/Real]]-Table2[[#This Row],[Spread/V]]</f>
        <v>0</v>
      </c>
      <c r="AK685" s="2">
        <f>Table2[[#This Row],[SRS/Diff]]-Table2[[#This Row],[EV/Diff]]</f>
        <v>0</v>
      </c>
      <c r="AL685" s="18">
        <f>Table2[[#This Row],[SRS]]-Table2[[#This Row],[Spread]]</f>
        <v>-13.348688524590166</v>
      </c>
      <c r="AM685" s="21">
        <f>Table2[[#This Row],[(A) Err]]^2</f>
        <v>178.18748532652518</v>
      </c>
      <c r="AN685" s="6">
        <f>Table2[[#This Row],[EV]]-Table2[[#This Row],[Spread]]</f>
        <v>-16.219314767564654</v>
      </c>
      <c r="AO685" s="1">
        <f>Table2[[#This Row],[EV Err]]^2</f>
        <v>263.06617152934086</v>
      </c>
      <c r="AP685" s="1"/>
    </row>
    <row r="686" spans="1:42" x14ac:dyDescent="0.25">
      <c r="A686" s="34">
        <v>42760</v>
      </c>
      <c r="B686" t="s">
        <v>115</v>
      </c>
      <c r="C686" t="s">
        <v>128</v>
      </c>
      <c r="E686" s="21"/>
      <c r="G686" s="21"/>
      <c r="H686" s="7"/>
      <c r="I686" s="21"/>
      <c r="K686"/>
      <c r="L686" s="21">
        <f>(Table2[[#This Row],[H/Pace]]/100)*(VLOOKUP(Table2[[#This Row],[Home/Neutral]],home_lookup,8,FALSE)+VLOOKUP(Table2[[#This Row],[Home/Neutral]],OFR_lookup,2,FALSE)+VLOOKUP(Table2[[#This Row],[Visitor/Neutral]],def_diff_lookup,6,FALSE))</f>
        <v>98.322733115967765</v>
      </c>
      <c r="M686" s="21"/>
      <c r="N686" s="21">
        <f>(Table2[[#This Row],[A/Pace]]/100)*(VLOOKUP(Table2[[#This Row],[Visitor/Neutral]],OFR_lookup,2,FALSE)+VLOOKUP(Table2[[#This Row],[Home/Neutral]],def_diff_lookup,6,FALSE))</f>
        <v>103.26794699999999</v>
      </c>
      <c r="O686" s="21"/>
      <c r="P686" s="21"/>
      <c r="Q686">
        <f>VLOOKUP(Table2[[#This Row],[Home/Neutral]],pace_lookup,7,FALSE)</f>
        <v>92.9</v>
      </c>
      <c r="R686" s="5">
        <f>VLOOKUP(Table2[[#This Row],[Visitor/Neutral]],pace_lookup,7,FALSE)</f>
        <v>96.3</v>
      </c>
      <c r="S686" s="7"/>
      <c r="U686" s="15"/>
      <c r="W686" s="2">
        <f>-home-VLOOKUP(Table2[[#This Row],[Home/Neutral]],rtg_vlookup,4,FALSE)+VLOOKUP(Table2[[#This Row],[Visitor/Neutral]],rtg_vlookup,4,FALSE)</f>
        <v>4.2213114754098342</v>
      </c>
      <c r="X686" s="15"/>
      <c r="Y686" s="2"/>
      <c r="Z686" s="2">
        <f>Table2[[#This Row],[A/EV]]-Table2[[#This Row],[H/EV]]</f>
        <v>4.9452138840322277</v>
      </c>
      <c r="AA686" s="29"/>
      <c r="AB686" s="30"/>
      <c r="AC686" s="30"/>
      <c r="AD686" s="30"/>
      <c r="AE686" s="30"/>
      <c r="AF686" s="7" t="b">
        <f>IF(VLOOKUP(Table2[[#This Row],[Home/Neutral]],division_lookup,9,FALSE)=VLOOKUP(Table2[[#This Row],[Visitor/Neutral]],division_lookup,9,FALSE),TRUE,FALSE)</f>
        <v>0</v>
      </c>
      <c r="AG686" s="15" t="str">
        <f>VLOOKUP(Table2[[#This Row],[Home/Neutral]],division_lookup,9,FALSE)</f>
        <v>SW</v>
      </c>
      <c r="AH686" s="15" t="str">
        <f>IF(Table2[[#This Row],[Total/EV]]&lt;Table2[[#This Row],[Total/V]],"UNDER","OVER")</f>
        <v>OVER</v>
      </c>
      <c r="AI686" s="26">
        <f>Table2[[#This Row],[SRS/Real]]-Table2[[#This Row],[Spread/V]]</f>
        <v>0</v>
      </c>
      <c r="AJ686" s="2">
        <f>Table2[[#This Row],[EV/Real]]-Table2[[#This Row],[Spread/V]]</f>
        <v>0</v>
      </c>
      <c r="AK686" s="2">
        <f>Table2[[#This Row],[SRS/Diff]]-Table2[[#This Row],[EV/Diff]]</f>
        <v>0</v>
      </c>
      <c r="AL686" s="18">
        <f>Table2[[#This Row],[SRS]]-Table2[[#This Row],[Spread]]</f>
        <v>4.2213114754098342</v>
      </c>
      <c r="AM686" s="21">
        <f>Table2[[#This Row],[(A) Err]]^2</f>
        <v>17.819470572426752</v>
      </c>
      <c r="AN686" s="6">
        <f>Table2[[#This Row],[EV]]-Table2[[#This Row],[Spread]]</f>
        <v>4.9452138840322277</v>
      </c>
      <c r="AO686" s="1">
        <f>Table2[[#This Row],[EV Err]]^2</f>
        <v>24.455140358825112</v>
      </c>
      <c r="AP686" s="1"/>
    </row>
    <row r="687" spans="1:42" x14ac:dyDescent="0.25">
      <c r="A687" s="34">
        <v>42760</v>
      </c>
      <c r="B687" t="s">
        <v>123</v>
      </c>
      <c r="C687" t="s">
        <v>135</v>
      </c>
      <c r="E687" s="21"/>
      <c r="G687" s="21"/>
      <c r="H687" s="7"/>
      <c r="I687" s="21"/>
      <c r="K687"/>
      <c r="L687" s="21">
        <f>(Table2[[#This Row],[H/Pace]]/100)*(VLOOKUP(Table2[[#This Row],[Home/Neutral]],home_lookup,8,FALSE)+VLOOKUP(Table2[[#This Row],[Home/Neutral]],OFR_lookup,2,FALSE)+VLOOKUP(Table2[[#This Row],[Visitor/Neutral]],def_diff_lookup,6,FALSE))</f>
        <v>102.58642709563918</v>
      </c>
      <c r="M687" s="21"/>
      <c r="N687" s="21">
        <f>(Table2[[#This Row],[A/Pace]]/100)*(VLOOKUP(Table2[[#This Row],[Visitor/Neutral]],OFR_lookup,2,FALSE)+VLOOKUP(Table2[[#This Row],[Home/Neutral]],def_diff_lookup,6,FALSE))</f>
        <v>104.888166</v>
      </c>
      <c r="O687" s="21"/>
      <c r="P687" s="21"/>
      <c r="Q687">
        <f>VLOOKUP(Table2[[#This Row],[Home/Neutral]],pace_lookup,7,FALSE)</f>
        <v>92.5</v>
      </c>
      <c r="R687" s="5">
        <f>VLOOKUP(Table2[[#This Row],[Visitor/Neutral]],pace_lookup,7,FALSE)</f>
        <v>95.4</v>
      </c>
      <c r="S687" s="7"/>
      <c r="U687" s="15"/>
      <c r="W687" s="2">
        <f>-home-VLOOKUP(Table2[[#This Row],[Home/Neutral]],rtg_vlookup,4,FALSE)+VLOOKUP(Table2[[#This Row],[Visitor/Neutral]],rtg_vlookup,4,FALSE)</f>
        <v>2.4813114754098344</v>
      </c>
      <c r="X687" s="15"/>
      <c r="Y687" s="2"/>
      <c r="Z687" s="2">
        <f>Table2[[#This Row],[A/EV]]-Table2[[#This Row],[H/EV]]</f>
        <v>2.3017389043608176</v>
      </c>
      <c r="AA687" s="29"/>
      <c r="AB687" s="30"/>
      <c r="AC687" s="30"/>
      <c r="AD687" s="30"/>
      <c r="AE687" s="30"/>
      <c r="AF687" s="7" t="b">
        <f>IF(VLOOKUP(Table2[[#This Row],[Home/Neutral]],division_lookup,9,FALSE)=VLOOKUP(Table2[[#This Row],[Visitor/Neutral]],division_lookup,9,FALSE),TRUE,FALSE)</f>
        <v>0</v>
      </c>
      <c r="AG687" s="15" t="str">
        <f>VLOOKUP(Table2[[#This Row],[Home/Neutral]],division_lookup,9,FALSE)</f>
        <v>SW</v>
      </c>
      <c r="AH687" s="15" t="str">
        <f>IF(Table2[[#This Row],[Total/EV]]&lt;Table2[[#This Row],[Total/V]],"UNDER","OVER")</f>
        <v>OVER</v>
      </c>
      <c r="AI687" s="26">
        <f>Table2[[#This Row],[SRS/Real]]-Table2[[#This Row],[Spread/V]]</f>
        <v>0</v>
      </c>
      <c r="AJ687" s="2">
        <f>Table2[[#This Row],[EV/Real]]-Table2[[#This Row],[Spread/V]]</f>
        <v>0</v>
      </c>
      <c r="AK687" s="2">
        <f>Table2[[#This Row],[SRS/Diff]]-Table2[[#This Row],[EV/Diff]]</f>
        <v>0</v>
      </c>
      <c r="AL687" s="18">
        <f>Table2[[#This Row],[SRS]]-Table2[[#This Row],[Spread]]</f>
        <v>2.4813114754098344</v>
      </c>
      <c r="AM687" s="21">
        <f>Table2[[#This Row],[(A) Err]]^2</f>
        <v>6.1569066380005291</v>
      </c>
      <c r="AN687" s="6">
        <f>Table2[[#This Row],[EV]]-Table2[[#This Row],[Spread]]</f>
        <v>2.3017389043608176</v>
      </c>
      <c r="AO687" s="1">
        <f>Table2[[#This Row],[EV Err]]^2</f>
        <v>5.2980019838481374</v>
      </c>
      <c r="AP687" s="1"/>
    </row>
    <row r="688" spans="1:42" x14ac:dyDescent="0.25">
      <c r="A688" s="34">
        <v>42760</v>
      </c>
      <c r="B688" t="s">
        <v>125</v>
      </c>
      <c r="C688" t="s">
        <v>138</v>
      </c>
      <c r="E688" s="21"/>
      <c r="G688" s="21"/>
      <c r="H688" s="7"/>
      <c r="I688" s="21"/>
      <c r="K688"/>
      <c r="L688" s="21">
        <f>(Table2[[#This Row],[H/Pace]]/100)*(VLOOKUP(Table2[[#This Row],[Home/Neutral]],home_lookup,8,FALSE)+VLOOKUP(Table2[[#This Row],[Home/Neutral]],OFR_lookup,2,FALSE)+VLOOKUP(Table2[[#This Row],[Visitor/Neutral]],def_diff_lookup,6,FALSE))</f>
        <v>110.15059550061909</v>
      </c>
      <c r="M688" s="21"/>
      <c r="N688" s="21">
        <f>(Table2[[#This Row],[A/Pace]]/100)*(VLOOKUP(Table2[[#This Row],[Visitor/Neutral]],OFR_lookup,2,FALSE)+VLOOKUP(Table2[[#This Row],[Home/Neutral]],def_diff_lookup,6,FALSE))</f>
        <v>98.305025000000001</v>
      </c>
      <c r="O688" s="21"/>
      <c r="P688" s="21"/>
      <c r="Q688">
        <f>VLOOKUP(Table2[[#This Row],[Home/Neutral]],pace_lookup,7,FALSE)</f>
        <v>96.1</v>
      </c>
      <c r="R688" s="5">
        <f>VLOOKUP(Table2[[#This Row],[Visitor/Neutral]],pace_lookup,7,FALSE)</f>
        <v>97.5</v>
      </c>
      <c r="S688" s="7"/>
      <c r="U688" s="15"/>
      <c r="W688" s="2">
        <f>-home-VLOOKUP(Table2[[#This Row],[Home/Neutral]],rtg_vlookup,4,FALSE)+VLOOKUP(Table2[[#This Row],[Visitor/Neutral]],rtg_vlookup,4,FALSE)</f>
        <v>-9.9286885245901662</v>
      </c>
      <c r="X688" s="15"/>
      <c r="Y688" s="2"/>
      <c r="Z688" s="2">
        <f>Table2[[#This Row],[A/EV]]-Table2[[#This Row],[H/EV]]</f>
        <v>-11.84557050061909</v>
      </c>
      <c r="AA688" s="29"/>
      <c r="AB688" s="30"/>
      <c r="AC688" s="30"/>
      <c r="AD688" s="30"/>
      <c r="AE688" s="30"/>
      <c r="AF688" s="7" t="b">
        <f>IF(VLOOKUP(Table2[[#This Row],[Home/Neutral]],division_lookup,9,FALSE)=VLOOKUP(Table2[[#This Row],[Visitor/Neutral]],division_lookup,9,FALSE),TRUE,FALSE)</f>
        <v>0</v>
      </c>
      <c r="AG688" s="15" t="str">
        <f>VLOOKUP(Table2[[#This Row],[Home/Neutral]],division_lookup,9,FALSE)</f>
        <v>C</v>
      </c>
      <c r="AH688" s="15" t="str">
        <f>IF(Table2[[#This Row],[Total/EV]]&lt;Table2[[#This Row],[Total/V]],"UNDER","OVER")</f>
        <v>OVER</v>
      </c>
      <c r="AI688" s="26">
        <f>Table2[[#This Row],[SRS/Real]]-Table2[[#This Row],[Spread/V]]</f>
        <v>0</v>
      </c>
      <c r="AJ688" s="2">
        <f>Table2[[#This Row],[EV/Real]]-Table2[[#This Row],[Spread/V]]</f>
        <v>0</v>
      </c>
      <c r="AK688" s="2">
        <f>Table2[[#This Row],[SRS/Diff]]-Table2[[#This Row],[EV/Diff]]</f>
        <v>0</v>
      </c>
      <c r="AL688" s="18">
        <f>Table2[[#This Row],[SRS]]-Table2[[#This Row],[Spread]]</f>
        <v>-9.9286885245901662</v>
      </c>
      <c r="AM688" s="21">
        <f>Table2[[#This Row],[(A) Err]]^2</f>
        <v>98.578855818328449</v>
      </c>
      <c r="AN688" s="6">
        <f>Table2[[#This Row],[EV]]-Table2[[#This Row],[Spread]]</f>
        <v>-11.84557050061909</v>
      </c>
      <c r="AO688" s="1">
        <f>Table2[[#This Row],[EV Err]]^2</f>
        <v>140.31754048513719</v>
      </c>
      <c r="AP688" s="1"/>
    </row>
    <row r="689" spans="1:42" x14ac:dyDescent="0.25">
      <c r="A689" s="34">
        <v>42760</v>
      </c>
      <c r="B689" t="s">
        <v>127</v>
      </c>
      <c r="C689" t="s">
        <v>129</v>
      </c>
      <c r="E689" s="21"/>
      <c r="G689" s="21"/>
      <c r="H689" s="7"/>
      <c r="I689" s="21"/>
      <c r="K689"/>
      <c r="L689" s="21">
        <f>(Table2[[#This Row],[H/Pace]]/100)*(VLOOKUP(Table2[[#This Row],[Home/Neutral]],home_lookup,8,FALSE)+VLOOKUP(Table2[[#This Row],[Home/Neutral]],OFR_lookup,2,FALSE)+VLOOKUP(Table2[[#This Row],[Visitor/Neutral]],def_diff_lookup,6,FALSE))</f>
        <v>100.77294493743048</v>
      </c>
      <c r="M689" s="21"/>
      <c r="N689" s="21">
        <f>(Table2[[#This Row],[A/Pace]]/100)*(VLOOKUP(Table2[[#This Row],[Visitor/Neutral]],OFR_lookup,2,FALSE)+VLOOKUP(Table2[[#This Row],[Home/Neutral]],def_diff_lookup,6,FALSE))</f>
        <v>103.89620999999998</v>
      </c>
      <c r="O689" s="21"/>
      <c r="P689" s="21"/>
      <c r="Q689">
        <f>VLOOKUP(Table2[[#This Row],[Home/Neutral]],pace_lookup,7,FALSE)</f>
        <v>99.3</v>
      </c>
      <c r="R689" s="5">
        <f>VLOOKUP(Table2[[#This Row],[Visitor/Neutral]],pace_lookup,7,FALSE)</f>
        <v>99</v>
      </c>
      <c r="S689" s="7"/>
      <c r="U689" s="15"/>
      <c r="W689" s="2">
        <f>-home-VLOOKUP(Table2[[#This Row],[Home/Neutral]],rtg_vlookup,4,FALSE)+VLOOKUP(Table2[[#This Row],[Visitor/Neutral]],rtg_vlookup,4,FALSE)</f>
        <v>1.3913114754098344</v>
      </c>
      <c r="X689" s="15"/>
      <c r="Y689" s="2"/>
      <c r="Z689" s="2">
        <f>Table2[[#This Row],[A/EV]]-Table2[[#This Row],[H/EV]]</f>
        <v>3.1232650625695015</v>
      </c>
      <c r="AA689" s="29"/>
      <c r="AB689" s="30"/>
      <c r="AC689" s="30"/>
      <c r="AD689" s="30"/>
      <c r="AE689" s="30"/>
      <c r="AF689" s="7" t="b">
        <f>IF(VLOOKUP(Table2[[#This Row],[Home/Neutral]],division_lookup,9,FALSE)=VLOOKUP(Table2[[#This Row],[Visitor/Neutral]],division_lookup,9,FALSE),TRUE,FALSE)</f>
        <v>0</v>
      </c>
      <c r="AG689" s="15" t="str">
        <f>VLOOKUP(Table2[[#This Row],[Home/Neutral]],division_lookup,9,FALSE)</f>
        <v>SW</v>
      </c>
      <c r="AH689" s="15" t="str">
        <f>IF(Table2[[#This Row],[Total/EV]]&lt;Table2[[#This Row],[Total/V]],"UNDER","OVER")</f>
        <v>OVER</v>
      </c>
      <c r="AI689" s="26">
        <f>Table2[[#This Row],[SRS/Real]]-Table2[[#This Row],[Spread/V]]</f>
        <v>0</v>
      </c>
      <c r="AJ689" s="2">
        <f>Table2[[#This Row],[EV/Real]]-Table2[[#This Row],[Spread/V]]</f>
        <v>0</v>
      </c>
      <c r="AK689" s="2">
        <f>Table2[[#This Row],[SRS/Diff]]-Table2[[#This Row],[EV/Diff]]</f>
        <v>0</v>
      </c>
      <c r="AL689" s="18">
        <f>Table2[[#This Row],[SRS]]-Table2[[#This Row],[Spread]]</f>
        <v>1.3913114754098344</v>
      </c>
      <c r="AM689" s="21">
        <f>Table2[[#This Row],[(A) Err]]^2</f>
        <v>1.9357476216070901</v>
      </c>
      <c r="AN689" s="6">
        <f>Table2[[#This Row],[EV]]-Table2[[#This Row],[Spread]]</f>
        <v>3.1232650625695015</v>
      </c>
      <c r="AO689" s="1">
        <f>Table2[[#This Row],[EV Err]]^2</f>
        <v>9.754784651067272</v>
      </c>
      <c r="AP689" s="1"/>
    </row>
    <row r="690" spans="1:42" x14ac:dyDescent="0.25">
      <c r="A690" s="34">
        <v>42760</v>
      </c>
      <c r="B690" t="s">
        <v>132</v>
      </c>
      <c r="C690" t="s">
        <v>122</v>
      </c>
      <c r="E690" s="21"/>
      <c r="G690" s="21"/>
      <c r="H690" s="7"/>
      <c r="I690" s="21"/>
      <c r="K690"/>
      <c r="L690" s="21">
        <f>(Table2[[#This Row],[H/Pace]]/100)*(VLOOKUP(Table2[[#This Row],[Home/Neutral]],home_lookup,8,FALSE)+VLOOKUP(Table2[[#This Row],[Home/Neutral]],OFR_lookup,2,FALSE)+VLOOKUP(Table2[[#This Row],[Visitor/Neutral]],def_diff_lookup,6,FALSE))</f>
        <v>113.47990144606979</v>
      </c>
      <c r="M690" s="21"/>
      <c r="N690" s="21">
        <f>(Table2[[#This Row],[A/Pace]]/100)*(VLOOKUP(Table2[[#This Row],[Visitor/Neutral]],OFR_lookup,2,FALSE)+VLOOKUP(Table2[[#This Row],[Home/Neutral]],def_diff_lookup,6,FALSE))</f>
        <v>114.71463799999999</v>
      </c>
      <c r="O690" s="21"/>
      <c r="P690" s="21"/>
      <c r="Q690">
        <f>VLOOKUP(Table2[[#This Row],[Home/Neutral]],pace_lookup,7,FALSE)</f>
        <v>98.8</v>
      </c>
      <c r="R690" s="5">
        <f>VLOOKUP(Table2[[#This Row],[Visitor/Neutral]],pace_lookup,7,FALSE)</f>
        <v>100.2</v>
      </c>
      <c r="S690" s="7"/>
      <c r="U690" s="15"/>
      <c r="W690" s="2">
        <f>-home-VLOOKUP(Table2[[#This Row],[Home/Neutral]],rtg_vlookup,4,FALSE)+VLOOKUP(Table2[[#This Row],[Visitor/Neutral]],rtg_vlookup,4,FALSE)</f>
        <v>-2.5886885245901659</v>
      </c>
      <c r="X690" s="15"/>
      <c r="Y690" s="2"/>
      <c r="Z690" s="2">
        <f>Table2[[#This Row],[A/EV]]-Table2[[#This Row],[H/EV]]</f>
        <v>1.2347365539302046</v>
      </c>
      <c r="AA690" s="29"/>
      <c r="AB690" s="30"/>
      <c r="AC690" s="30"/>
      <c r="AD690" s="30"/>
      <c r="AE690" s="30"/>
      <c r="AF690" s="7" t="b">
        <f>IF(VLOOKUP(Table2[[#This Row],[Home/Neutral]],division_lookup,9,FALSE)=VLOOKUP(Table2[[#This Row],[Visitor/Neutral]],division_lookup,9,FALSE),TRUE,FALSE)</f>
        <v>0</v>
      </c>
      <c r="AG690" s="15" t="str">
        <f>VLOOKUP(Table2[[#This Row],[Home/Neutral]],division_lookup,9,FALSE)</f>
        <v>NW</v>
      </c>
      <c r="AH690" s="15" t="str">
        <f>IF(Table2[[#This Row],[Total/EV]]&lt;Table2[[#This Row],[Total/V]],"UNDER","OVER")</f>
        <v>OVER</v>
      </c>
      <c r="AI690" s="26">
        <f>Table2[[#This Row],[SRS/Real]]-Table2[[#This Row],[Spread/V]]</f>
        <v>0</v>
      </c>
      <c r="AJ690" s="2">
        <f>Table2[[#This Row],[EV/Real]]-Table2[[#This Row],[Spread/V]]</f>
        <v>0</v>
      </c>
      <c r="AK690" s="2">
        <f>Table2[[#This Row],[SRS/Diff]]-Table2[[#This Row],[EV/Diff]]</f>
        <v>0</v>
      </c>
      <c r="AL690" s="18">
        <f>Table2[[#This Row],[SRS]]-Table2[[#This Row],[Spread]]</f>
        <v>-2.5886885245901659</v>
      </c>
      <c r="AM690" s="21">
        <f>Table2[[#This Row],[(A) Err]]^2</f>
        <v>6.7013082773448094</v>
      </c>
      <c r="AN690" s="6">
        <f>Table2[[#This Row],[EV]]-Table2[[#This Row],[Spread]]</f>
        <v>1.2347365539302046</v>
      </c>
      <c r="AO690" s="1">
        <f>Table2[[#This Row],[EV Err]]^2</f>
        <v>1.5245743576114372</v>
      </c>
      <c r="AP690" s="1"/>
    </row>
    <row r="691" spans="1:42" x14ac:dyDescent="0.25">
      <c r="A691" s="34">
        <v>42761</v>
      </c>
      <c r="B691" t="s">
        <v>116</v>
      </c>
      <c r="C691" t="s">
        <v>131</v>
      </c>
      <c r="E691" s="21"/>
      <c r="G691" s="21"/>
      <c r="H691" s="7"/>
      <c r="I691" s="21"/>
      <c r="K691"/>
      <c r="L691" s="21">
        <f>(Table2[[#This Row],[H/Pace]]/100)*(VLOOKUP(Table2[[#This Row],[Home/Neutral]],home_lookup,8,FALSE)+VLOOKUP(Table2[[#This Row],[Home/Neutral]],OFR_lookup,2,FALSE)+VLOOKUP(Table2[[#This Row],[Visitor/Neutral]],def_diff_lookup,6,FALSE))</f>
        <v>106.03552470161864</v>
      </c>
      <c r="M691" s="21"/>
      <c r="N691" s="21">
        <f>(Table2[[#This Row],[A/Pace]]/100)*(VLOOKUP(Table2[[#This Row],[Visitor/Neutral]],OFR_lookup,2,FALSE)+VLOOKUP(Table2[[#This Row],[Home/Neutral]],def_diff_lookup,6,FALSE))</f>
        <v>103.39398299999999</v>
      </c>
      <c r="O691" s="21"/>
      <c r="P691" s="21"/>
      <c r="Q691">
        <f>VLOOKUP(Table2[[#This Row],[Home/Neutral]],pace_lookup,7,FALSE)</f>
        <v>99.1</v>
      </c>
      <c r="R691" s="5">
        <f>VLOOKUP(Table2[[#This Row],[Visitor/Neutral]],pace_lookup,7,FALSE)</f>
        <v>101.7</v>
      </c>
      <c r="S691" s="7"/>
      <c r="U691" s="15"/>
      <c r="W691" s="2">
        <f>-home-VLOOKUP(Table2[[#This Row],[Home/Neutral]],rtg_vlookup,4,FALSE)+VLOOKUP(Table2[[#This Row],[Visitor/Neutral]],rtg_vlookup,4,FALSE)</f>
        <v>-8.4186885245901664</v>
      </c>
      <c r="X691" s="15"/>
      <c r="Y691" s="2"/>
      <c r="Z691" s="2">
        <f>Table2[[#This Row],[A/EV]]-Table2[[#This Row],[H/EV]]</f>
        <v>-2.6415417016186495</v>
      </c>
      <c r="AA691" s="29"/>
      <c r="AB691" s="30"/>
      <c r="AC691" s="30"/>
      <c r="AD691" s="30"/>
      <c r="AE691" s="30"/>
      <c r="AF691" s="7" t="b">
        <f>IF(VLOOKUP(Table2[[#This Row],[Home/Neutral]],division_lookup,9,FALSE)=VLOOKUP(Table2[[#This Row],[Visitor/Neutral]],division_lookup,9,FALSE),TRUE,FALSE)</f>
        <v>0</v>
      </c>
      <c r="AG691" s="15" t="str">
        <f>VLOOKUP(Table2[[#This Row],[Home/Neutral]],division_lookup,9,FALSE)</f>
        <v>NW</v>
      </c>
      <c r="AH691" s="15" t="str">
        <f>IF(Table2[[#This Row],[Total/EV]]&lt;Table2[[#This Row],[Total/V]],"UNDER","OVER")</f>
        <v>OVER</v>
      </c>
      <c r="AI691" s="26">
        <f>Table2[[#This Row],[SRS/Real]]-Table2[[#This Row],[Spread/V]]</f>
        <v>0</v>
      </c>
      <c r="AJ691" s="2">
        <f>Table2[[#This Row],[EV/Real]]-Table2[[#This Row],[Spread/V]]</f>
        <v>0</v>
      </c>
      <c r="AK691" s="2">
        <f>Table2[[#This Row],[SRS/Diff]]-Table2[[#This Row],[EV/Diff]]</f>
        <v>0</v>
      </c>
      <c r="AL691" s="18">
        <f>Table2[[#This Row],[SRS]]-Table2[[#This Row],[Spread]]</f>
        <v>-8.4186885245901664</v>
      </c>
      <c r="AM691" s="21">
        <f>Table2[[#This Row],[(A) Err]]^2</f>
        <v>70.874316474066148</v>
      </c>
      <c r="AN691" s="6">
        <f>Table2[[#This Row],[EV]]-Table2[[#This Row],[Spread]]</f>
        <v>-2.6415417016186495</v>
      </c>
      <c r="AO691" s="1">
        <f>Table2[[#This Row],[EV Err]]^2</f>
        <v>6.9777425613903503</v>
      </c>
      <c r="AP691" s="1"/>
    </row>
    <row r="692" spans="1:42" x14ac:dyDescent="0.25">
      <c r="A692" s="34">
        <v>42761</v>
      </c>
      <c r="B692" t="s">
        <v>126</v>
      </c>
      <c r="C692" t="s">
        <v>120</v>
      </c>
      <c r="E692" s="21"/>
      <c r="G692" s="21"/>
      <c r="H692" s="7"/>
      <c r="I692" s="21"/>
      <c r="K692"/>
      <c r="L692" s="21">
        <f>(Table2[[#This Row],[H/Pace]]/100)*(VLOOKUP(Table2[[#This Row],[Home/Neutral]],home_lookup,8,FALSE)+VLOOKUP(Table2[[#This Row],[Home/Neutral]],OFR_lookup,2,FALSE)+VLOOKUP(Table2[[#This Row],[Visitor/Neutral]],def_diff_lookup,6,FALSE))</f>
        <v>116.58677777050785</v>
      </c>
      <c r="M692" s="21"/>
      <c r="N692" s="21">
        <f>(Table2[[#This Row],[A/Pace]]/100)*(VLOOKUP(Table2[[#This Row],[Visitor/Neutral]],OFR_lookup,2,FALSE)+VLOOKUP(Table2[[#This Row],[Home/Neutral]],def_diff_lookup,6,FALSE))</f>
        <v>105.09810033333333</v>
      </c>
      <c r="O692" s="21"/>
      <c r="P692" s="21"/>
      <c r="Q692">
        <f>VLOOKUP(Table2[[#This Row],[Home/Neutral]],pace_lookup,7,FALSE)</f>
        <v>95.7</v>
      </c>
      <c r="R692" s="5">
        <f>VLOOKUP(Table2[[#This Row],[Visitor/Neutral]],pace_lookup,7,FALSE)</f>
        <v>98.3</v>
      </c>
      <c r="S692" s="7"/>
      <c r="U692" s="15"/>
      <c r="W692" s="2">
        <f>-home-VLOOKUP(Table2[[#This Row],[Home/Neutral]],rtg_vlookup,4,FALSE)+VLOOKUP(Table2[[#This Row],[Visitor/Neutral]],rtg_vlookup,4,FALSE)</f>
        <v>-6.2986885245901663</v>
      </c>
      <c r="X692" s="15"/>
      <c r="Y692" s="2"/>
      <c r="Z692" s="2">
        <f>Table2[[#This Row],[A/EV]]-Table2[[#This Row],[H/EV]]</f>
        <v>-11.488677437174516</v>
      </c>
      <c r="AA692" s="29"/>
      <c r="AB692" s="30"/>
      <c r="AC692" s="30"/>
      <c r="AD692" s="30"/>
      <c r="AE692" s="30"/>
      <c r="AF692" s="7" t="b">
        <f>IF(VLOOKUP(Table2[[#This Row],[Home/Neutral]],division_lookup,9,FALSE)=VLOOKUP(Table2[[#This Row],[Visitor/Neutral]],division_lookup,9,FALSE),TRUE,FALSE)</f>
        <v>0</v>
      </c>
      <c r="AG692" s="15" t="str">
        <f>VLOOKUP(Table2[[#This Row],[Home/Neutral]],division_lookup,9,FALSE)</f>
        <v>NW</v>
      </c>
      <c r="AH692" s="15" t="str">
        <f>IF(Table2[[#This Row],[Total/EV]]&lt;Table2[[#This Row],[Total/V]],"UNDER","OVER")</f>
        <v>OVER</v>
      </c>
      <c r="AI692" s="26">
        <f>Table2[[#This Row],[SRS/Real]]-Table2[[#This Row],[Spread/V]]</f>
        <v>0</v>
      </c>
      <c r="AJ692" s="2">
        <f>Table2[[#This Row],[EV/Real]]-Table2[[#This Row],[Spread/V]]</f>
        <v>0</v>
      </c>
      <c r="AK692" s="2">
        <f>Table2[[#This Row],[SRS/Diff]]-Table2[[#This Row],[EV/Diff]]</f>
        <v>0</v>
      </c>
      <c r="AL692" s="18">
        <f>Table2[[#This Row],[SRS]]-Table2[[#This Row],[Spread]]</f>
        <v>-6.2986885245901663</v>
      </c>
      <c r="AM692" s="21">
        <f>Table2[[#This Row],[(A) Err]]^2</f>
        <v>39.673477129803842</v>
      </c>
      <c r="AN692" s="6">
        <f>Table2[[#This Row],[EV]]-Table2[[#This Row],[Spread]]</f>
        <v>-11.488677437174516</v>
      </c>
      <c r="AO692" s="1">
        <f>Table2[[#This Row],[EV Err]]^2</f>
        <v>131.98970925544282</v>
      </c>
      <c r="AP692" s="1"/>
    </row>
    <row r="693" spans="1:42" x14ac:dyDescent="0.25">
      <c r="A693" s="34">
        <v>42761</v>
      </c>
      <c r="B693" t="s">
        <v>129</v>
      </c>
      <c r="C693" t="s">
        <v>115</v>
      </c>
      <c r="E693" s="21"/>
      <c r="G693" s="21"/>
      <c r="H693" s="7"/>
      <c r="I693" s="21"/>
      <c r="K693"/>
      <c r="L693" s="21">
        <f>(Table2[[#This Row],[H/Pace]]/100)*(VLOOKUP(Table2[[#This Row],[Home/Neutral]],home_lookup,8,FALSE)+VLOOKUP(Table2[[#This Row],[Home/Neutral]],OFR_lookup,2,FALSE)+VLOOKUP(Table2[[#This Row],[Visitor/Neutral]],def_diff_lookup,6,FALSE))</f>
        <v>106.71830376890108</v>
      </c>
      <c r="M693" s="21"/>
      <c r="N693" s="21">
        <f>(Table2[[#This Row],[A/Pace]]/100)*(VLOOKUP(Table2[[#This Row],[Visitor/Neutral]],OFR_lookup,2,FALSE)+VLOOKUP(Table2[[#This Row],[Home/Neutral]],def_diff_lookup,6,FALSE))</f>
        <v>88.418194333333346</v>
      </c>
      <c r="O693" s="21"/>
      <c r="P693" s="21"/>
      <c r="Q693">
        <f>VLOOKUP(Table2[[#This Row],[Home/Neutral]],pace_lookup,7,FALSE)</f>
        <v>99</v>
      </c>
      <c r="R693" s="5">
        <f>VLOOKUP(Table2[[#This Row],[Visitor/Neutral]],pace_lookup,7,FALSE)</f>
        <v>92.9</v>
      </c>
      <c r="S693" s="7"/>
      <c r="U693" s="15"/>
      <c r="W693" s="2">
        <f>-home-VLOOKUP(Table2[[#This Row],[Home/Neutral]],rtg_vlookup,4,FALSE)+VLOOKUP(Table2[[#This Row],[Visitor/Neutral]],rtg_vlookup,4,FALSE)</f>
        <v>-13.148688524590165</v>
      </c>
      <c r="X693" s="15"/>
      <c r="Y693" s="2"/>
      <c r="Z693" s="2">
        <f>Table2[[#This Row],[A/EV]]-Table2[[#This Row],[H/EV]]</f>
        <v>-18.300109435567734</v>
      </c>
      <c r="AA693" s="29"/>
      <c r="AB693" s="30"/>
      <c r="AC693" s="30"/>
      <c r="AD693" s="30"/>
      <c r="AE693" s="30"/>
      <c r="AF693" s="7" t="b">
        <f>IF(VLOOKUP(Table2[[#This Row],[Home/Neutral]],division_lookup,9,FALSE)=VLOOKUP(Table2[[#This Row],[Visitor/Neutral]],division_lookup,9,FALSE),TRUE,FALSE)</f>
        <v>0</v>
      </c>
      <c r="AG693" s="15" t="str">
        <f>VLOOKUP(Table2[[#This Row],[Home/Neutral]],division_lookup,9,FALSE)</f>
        <v>NW</v>
      </c>
      <c r="AH693" s="15" t="str">
        <f>IF(Table2[[#This Row],[Total/EV]]&lt;Table2[[#This Row],[Total/V]],"UNDER","OVER")</f>
        <v>OVER</v>
      </c>
      <c r="AI693" s="26">
        <f>Table2[[#This Row],[SRS/Real]]-Table2[[#This Row],[Spread/V]]</f>
        <v>0</v>
      </c>
      <c r="AJ693" s="2">
        <f>Table2[[#This Row],[EV/Real]]-Table2[[#This Row],[Spread/V]]</f>
        <v>0</v>
      </c>
      <c r="AK693" s="2">
        <f>Table2[[#This Row],[SRS/Diff]]-Table2[[#This Row],[EV/Diff]]</f>
        <v>0</v>
      </c>
      <c r="AL693" s="18">
        <f>Table2[[#This Row],[SRS]]-Table2[[#This Row],[Spread]]</f>
        <v>-13.148688524590165</v>
      </c>
      <c r="AM693" s="21">
        <f>Table2[[#This Row],[(A) Err]]^2</f>
        <v>172.8880099166891</v>
      </c>
      <c r="AN693" s="6">
        <f>Table2[[#This Row],[EV]]-Table2[[#This Row],[Spread]]</f>
        <v>-18.300109435567734</v>
      </c>
      <c r="AO693" s="1">
        <f>Table2[[#This Row],[EV Err]]^2</f>
        <v>334.89400535375518</v>
      </c>
      <c r="AP693" s="1"/>
    </row>
    <row r="694" spans="1:42" x14ac:dyDescent="0.25">
      <c r="A694" s="34">
        <v>42761</v>
      </c>
      <c r="B694" t="s">
        <v>136</v>
      </c>
      <c r="C694" t="s">
        <v>122</v>
      </c>
      <c r="E694" s="21"/>
      <c r="G694" s="21"/>
      <c r="H694" s="7"/>
      <c r="I694" s="21"/>
      <c r="K694"/>
      <c r="L694" s="21">
        <f>(Table2[[#This Row],[H/Pace]]/100)*(VLOOKUP(Table2[[#This Row],[Home/Neutral]],home_lookup,8,FALSE)+VLOOKUP(Table2[[#This Row],[Home/Neutral]],OFR_lookup,2,FALSE)+VLOOKUP(Table2[[#This Row],[Visitor/Neutral]],def_diff_lookup,6,FALSE))</f>
        <v>109.22953534991899</v>
      </c>
      <c r="M694" s="21"/>
      <c r="N694" s="21">
        <f>(Table2[[#This Row],[A/Pace]]/100)*(VLOOKUP(Table2[[#This Row],[Visitor/Neutral]],OFR_lookup,2,FALSE)+VLOOKUP(Table2[[#This Row],[Home/Neutral]],def_diff_lookup,6,FALSE))</f>
        <v>104.68461799999999</v>
      </c>
      <c r="O694" s="21"/>
      <c r="P694" s="21"/>
      <c r="Q694">
        <f>VLOOKUP(Table2[[#This Row],[Home/Neutral]],pace_lookup,7,FALSE)</f>
        <v>91.5</v>
      </c>
      <c r="R694" s="5">
        <f>VLOOKUP(Table2[[#This Row],[Visitor/Neutral]],pace_lookup,7,FALSE)</f>
        <v>100.2</v>
      </c>
      <c r="S694" s="7"/>
      <c r="U694" s="15"/>
      <c r="W694" s="2">
        <f>-home-VLOOKUP(Table2[[#This Row],[Home/Neutral]],rtg_vlookup,4,FALSE)+VLOOKUP(Table2[[#This Row],[Visitor/Neutral]],rtg_vlookup,4,FALSE)</f>
        <v>-9.2786885245901658</v>
      </c>
      <c r="X694" s="15"/>
      <c r="Y694" s="2"/>
      <c r="Z694" s="2">
        <f>Table2[[#This Row],[A/EV]]-Table2[[#This Row],[H/EV]]</f>
        <v>-4.5449173499190039</v>
      </c>
      <c r="AA694" s="29"/>
      <c r="AB694" s="30"/>
      <c r="AC694" s="30"/>
      <c r="AD694" s="30"/>
      <c r="AE694" s="30"/>
      <c r="AF694" s="7" t="b">
        <f>IF(VLOOKUP(Table2[[#This Row],[Home/Neutral]],division_lookup,9,FALSE)=VLOOKUP(Table2[[#This Row],[Visitor/Neutral]],division_lookup,9,FALSE),TRUE,FALSE)</f>
        <v>0</v>
      </c>
      <c r="AG694" s="15" t="str">
        <f>VLOOKUP(Table2[[#This Row],[Home/Neutral]],division_lookup,9,FALSE)</f>
        <v>NW</v>
      </c>
      <c r="AH694" s="15" t="str">
        <f>IF(Table2[[#This Row],[Total/EV]]&lt;Table2[[#This Row],[Total/V]],"UNDER","OVER")</f>
        <v>OVER</v>
      </c>
      <c r="AI694" s="26">
        <f>Table2[[#This Row],[SRS/Real]]-Table2[[#This Row],[Spread/V]]</f>
        <v>0</v>
      </c>
      <c r="AJ694" s="2">
        <f>Table2[[#This Row],[EV/Real]]-Table2[[#This Row],[Spread/V]]</f>
        <v>0</v>
      </c>
      <c r="AK694" s="2">
        <f>Table2[[#This Row],[SRS/Diff]]-Table2[[#This Row],[EV/Diff]]</f>
        <v>0</v>
      </c>
      <c r="AL694" s="18">
        <f>Table2[[#This Row],[SRS]]-Table2[[#This Row],[Spread]]</f>
        <v>-9.2786885245901658</v>
      </c>
      <c r="AM694" s="21">
        <f>Table2[[#This Row],[(A) Err]]^2</f>
        <v>86.094060736361229</v>
      </c>
      <c r="AN694" s="6">
        <f>Table2[[#This Row],[EV]]-Table2[[#This Row],[Spread]]</f>
        <v>-4.5449173499190039</v>
      </c>
      <c r="AO694" s="1">
        <f>Table2[[#This Row],[EV Err]]^2</f>
        <v>20.656273717594782</v>
      </c>
      <c r="AP694" s="1"/>
    </row>
    <row r="695" spans="1:42" x14ac:dyDescent="0.25">
      <c r="A695" s="34">
        <v>42762</v>
      </c>
      <c r="B695" t="s">
        <v>109</v>
      </c>
      <c r="C695" t="s">
        <v>137</v>
      </c>
      <c r="E695" s="21"/>
      <c r="G695" s="21"/>
      <c r="H695" s="7"/>
      <c r="I695" s="21"/>
      <c r="K695"/>
      <c r="L695" s="21">
        <f>(Table2[[#This Row],[H/Pace]]/100)*(VLOOKUP(Table2[[#This Row],[Home/Neutral]],home_lookup,8,FALSE)+VLOOKUP(Table2[[#This Row],[Home/Neutral]],OFR_lookup,2,FALSE)+VLOOKUP(Table2[[#This Row],[Visitor/Neutral]],def_diff_lookup,6,FALSE))</f>
        <v>103.88736660728637</v>
      </c>
      <c r="M695" s="21"/>
      <c r="N695" s="21">
        <f>(Table2[[#This Row],[A/Pace]]/100)*(VLOOKUP(Table2[[#This Row],[Visitor/Neutral]],OFR_lookup,2,FALSE)+VLOOKUP(Table2[[#This Row],[Home/Neutral]],def_diff_lookup,6,FALSE))</f>
        <v>96.293440000000004</v>
      </c>
      <c r="O695" s="21"/>
      <c r="P695" s="21"/>
      <c r="Q695">
        <f>VLOOKUP(Table2[[#This Row],[Home/Neutral]],pace_lookup,7,FALSE)</f>
        <v>99.2</v>
      </c>
      <c r="R695" s="5">
        <f>VLOOKUP(Table2[[#This Row],[Visitor/Neutral]],pace_lookup,7,FALSE)</f>
        <v>96</v>
      </c>
      <c r="S695" s="7"/>
      <c r="U695" s="15"/>
      <c r="W695" s="2">
        <f>-home-VLOOKUP(Table2[[#This Row],[Home/Neutral]],rtg_vlookup,4,FALSE)+VLOOKUP(Table2[[#This Row],[Visitor/Neutral]],rtg_vlookup,4,FALSE)</f>
        <v>-8.0486885245901654</v>
      </c>
      <c r="X695" s="15"/>
      <c r="Y695" s="2"/>
      <c r="Z695" s="2">
        <f>Table2[[#This Row],[A/EV]]-Table2[[#This Row],[H/EV]]</f>
        <v>-7.5939266072863632</v>
      </c>
      <c r="AA695" s="29"/>
      <c r="AB695" s="30"/>
      <c r="AC695" s="30"/>
      <c r="AD695" s="30"/>
      <c r="AE695" s="30"/>
      <c r="AF695" s="7" t="b">
        <f>IF(VLOOKUP(Table2[[#This Row],[Home/Neutral]],division_lookup,9,FALSE)=VLOOKUP(Table2[[#This Row],[Visitor/Neutral]],division_lookup,9,FALSE),TRUE,FALSE)</f>
        <v>1</v>
      </c>
      <c r="AG695" s="15" t="str">
        <f>VLOOKUP(Table2[[#This Row],[Home/Neutral]],division_lookup,9,FALSE)</f>
        <v>SE</v>
      </c>
      <c r="AH695" s="15" t="str">
        <f>IF(Table2[[#This Row],[Total/EV]]&lt;Table2[[#This Row],[Total/V]],"UNDER","OVER")</f>
        <v>OVER</v>
      </c>
      <c r="AI695" s="26">
        <f>Table2[[#This Row],[SRS/Real]]-Table2[[#This Row],[Spread/V]]</f>
        <v>0</v>
      </c>
      <c r="AJ695" s="2">
        <f>Table2[[#This Row],[EV/Real]]-Table2[[#This Row],[Spread/V]]</f>
        <v>0</v>
      </c>
      <c r="AK695" s="2">
        <f>Table2[[#This Row],[SRS/Diff]]-Table2[[#This Row],[EV/Diff]]</f>
        <v>0</v>
      </c>
      <c r="AL695" s="18">
        <f>Table2[[#This Row],[SRS]]-Table2[[#This Row],[Spread]]</f>
        <v>-8.0486885245901654</v>
      </c>
      <c r="AM695" s="21">
        <f>Table2[[#This Row],[(A) Err]]^2</f>
        <v>64.781386965869416</v>
      </c>
      <c r="AN695" s="6">
        <f>Table2[[#This Row],[EV]]-Table2[[#This Row],[Spread]]</f>
        <v>-7.5939266072863632</v>
      </c>
      <c r="AO695" s="1">
        <f>Table2[[#This Row],[EV Err]]^2</f>
        <v>57.667721316851775</v>
      </c>
      <c r="AP695" s="1"/>
    </row>
    <row r="696" spans="1:42" x14ac:dyDescent="0.25">
      <c r="A696" s="34">
        <v>42762</v>
      </c>
      <c r="B696" t="s">
        <v>110</v>
      </c>
      <c r="C696" t="s">
        <v>130</v>
      </c>
      <c r="E696" s="21"/>
      <c r="G696" s="21"/>
      <c r="H696" s="7"/>
      <c r="I696" s="21"/>
      <c r="K696"/>
      <c r="L696" s="21">
        <f>(Table2[[#This Row],[H/Pace]]/100)*(VLOOKUP(Table2[[#This Row],[Home/Neutral]],home_lookup,8,FALSE)+VLOOKUP(Table2[[#This Row],[Home/Neutral]],OFR_lookup,2,FALSE)+VLOOKUP(Table2[[#This Row],[Visitor/Neutral]],def_diff_lookup,6,FALSE))</f>
        <v>105.58029118900939</v>
      </c>
      <c r="M696" s="21"/>
      <c r="N696" s="21">
        <f>(Table2[[#This Row],[A/Pace]]/100)*(VLOOKUP(Table2[[#This Row],[Visitor/Neutral]],OFR_lookup,2,FALSE)+VLOOKUP(Table2[[#This Row],[Home/Neutral]],def_diff_lookup,6,FALSE))</f>
        <v>92.830017999999995</v>
      </c>
      <c r="O696" s="21"/>
      <c r="P696" s="21"/>
      <c r="Q696">
        <f>VLOOKUP(Table2[[#This Row],[Home/Neutral]],pace_lookup,7,FALSE)</f>
        <v>96.2</v>
      </c>
      <c r="R696" s="5">
        <f>VLOOKUP(Table2[[#This Row],[Visitor/Neutral]],pace_lookup,7,FALSE)</f>
        <v>94.2</v>
      </c>
      <c r="S696" s="7"/>
      <c r="U696" s="15"/>
      <c r="W696" s="2">
        <f>-home-VLOOKUP(Table2[[#This Row],[Home/Neutral]],rtg_vlookup,4,FALSE)+VLOOKUP(Table2[[#This Row],[Visitor/Neutral]],rtg_vlookup,4,FALSE)</f>
        <v>-11.888688524590167</v>
      </c>
      <c r="X696" s="15"/>
      <c r="Y696" s="2"/>
      <c r="Z696" s="2">
        <f>Table2[[#This Row],[A/EV]]-Table2[[#This Row],[H/EV]]</f>
        <v>-12.750273189009391</v>
      </c>
      <c r="AA696" s="29"/>
      <c r="AB696" s="30"/>
      <c r="AC696" s="30"/>
      <c r="AD696" s="30"/>
      <c r="AE696" s="30"/>
      <c r="AF696" s="7" t="b">
        <f>IF(VLOOKUP(Table2[[#This Row],[Home/Neutral]],division_lookup,9,FALSE)=VLOOKUP(Table2[[#This Row],[Visitor/Neutral]],division_lookup,9,FALSE),TRUE,FALSE)</f>
        <v>0</v>
      </c>
      <c r="AG696" s="15" t="str">
        <f>VLOOKUP(Table2[[#This Row],[Home/Neutral]],division_lookup,9,FALSE)</f>
        <v>A</v>
      </c>
      <c r="AH696" s="15" t="str">
        <f>IF(Table2[[#This Row],[Total/EV]]&lt;Table2[[#This Row],[Total/V]],"UNDER","OVER")</f>
        <v>OVER</v>
      </c>
      <c r="AI696" s="26">
        <f>Table2[[#This Row],[SRS/Real]]-Table2[[#This Row],[Spread/V]]</f>
        <v>0</v>
      </c>
      <c r="AJ696" s="2">
        <f>Table2[[#This Row],[EV/Real]]-Table2[[#This Row],[Spread/V]]</f>
        <v>0</v>
      </c>
      <c r="AK696" s="2">
        <f>Table2[[#This Row],[SRS/Diff]]-Table2[[#This Row],[EV/Diff]]</f>
        <v>0</v>
      </c>
      <c r="AL696" s="18">
        <f>Table2[[#This Row],[SRS]]-Table2[[#This Row],[Spread]]</f>
        <v>-11.888688524590167</v>
      </c>
      <c r="AM696" s="21">
        <f>Table2[[#This Row],[(A) Err]]^2</f>
        <v>141.34091483472193</v>
      </c>
      <c r="AN696" s="6">
        <f>Table2[[#This Row],[EV]]-Table2[[#This Row],[Spread]]</f>
        <v>-12.750273189009391</v>
      </c>
      <c r="AO696" s="1">
        <f>Table2[[#This Row],[EV Err]]^2</f>
        <v>162.56946639437172</v>
      </c>
      <c r="AP696" s="1"/>
    </row>
    <row r="697" spans="1:42" x14ac:dyDescent="0.25">
      <c r="A697" s="34">
        <v>42762</v>
      </c>
      <c r="B697" t="s">
        <v>113</v>
      </c>
      <c r="C697" t="s">
        <v>124</v>
      </c>
      <c r="E697" s="21"/>
      <c r="G697" s="21"/>
      <c r="H697" s="7"/>
      <c r="I697" s="21"/>
      <c r="K697"/>
      <c r="L697" s="21">
        <f>(Table2[[#This Row],[H/Pace]]/100)*(VLOOKUP(Table2[[#This Row],[Home/Neutral]],home_lookup,8,FALSE)+VLOOKUP(Table2[[#This Row],[Home/Neutral]],OFR_lookup,2,FALSE)+VLOOKUP(Table2[[#This Row],[Visitor/Neutral]],def_diff_lookup,6,FALSE))</f>
        <v>107.03626388016279</v>
      </c>
      <c r="M697" s="21"/>
      <c r="N697" s="21">
        <f>(Table2[[#This Row],[A/Pace]]/100)*(VLOOKUP(Table2[[#This Row],[Visitor/Neutral]],OFR_lookup,2,FALSE)+VLOOKUP(Table2[[#This Row],[Home/Neutral]],def_diff_lookup,6,FALSE))</f>
        <v>96.319539666666671</v>
      </c>
      <c r="O697" s="21"/>
      <c r="P697" s="21"/>
      <c r="Q697">
        <f>VLOOKUP(Table2[[#This Row],[Home/Neutral]],pace_lookup,7,FALSE)</f>
        <v>95.1</v>
      </c>
      <c r="R697" s="5">
        <f>VLOOKUP(Table2[[#This Row],[Visitor/Neutral]],pace_lookup,7,FALSE)</f>
        <v>93.7</v>
      </c>
      <c r="S697" s="7"/>
      <c r="U697" s="15"/>
      <c r="W697" s="2">
        <f>-home-VLOOKUP(Table2[[#This Row],[Home/Neutral]],rtg_vlookup,4,FALSE)+VLOOKUP(Table2[[#This Row],[Visitor/Neutral]],rtg_vlookup,4,FALSE)</f>
        <v>-8.6286885245901654</v>
      </c>
      <c r="X697" s="15"/>
      <c r="Y697" s="2"/>
      <c r="Z697" s="2">
        <f>Table2[[#This Row],[A/EV]]-Table2[[#This Row],[H/EV]]</f>
        <v>-10.716724213496121</v>
      </c>
      <c r="AA697" s="29"/>
      <c r="AB697" s="30"/>
      <c r="AC697" s="30"/>
      <c r="AD697" s="30"/>
      <c r="AE697" s="30"/>
      <c r="AF697" s="7" t="b">
        <f>IF(VLOOKUP(Table2[[#This Row],[Home/Neutral]],division_lookup,9,FALSE)=VLOOKUP(Table2[[#This Row],[Visitor/Neutral]],division_lookup,9,FALSE),TRUE,FALSE)</f>
        <v>0</v>
      </c>
      <c r="AG697" s="15" t="str">
        <f>VLOOKUP(Table2[[#This Row],[Home/Neutral]],division_lookup,9,FALSE)</f>
        <v>C</v>
      </c>
      <c r="AH697" s="15" t="str">
        <f>IF(Table2[[#This Row],[Total/EV]]&lt;Table2[[#This Row],[Total/V]],"UNDER","OVER")</f>
        <v>OVER</v>
      </c>
      <c r="AI697" s="26">
        <f>Table2[[#This Row],[SRS/Real]]-Table2[[#This Row],[Spread/V]]</f>
        <v>0</v>
      </c>
      <c r="AJ697" s="2">
        <f>Table2[[#This Row],[EV/Real]]-Table2[[#This Row],[Spread/V]]</f>
        <v>0</v>
      </c>
      <c r="AK697" s="2">
        <f>Table2[[#This Row],[SRS/Diff]]-Table2[[#This Row],[EV/Diff]]</f>
        <v>0</v>
      </c>
      <c r="AL697" s="18">
        <f>Table2[[#This Row],[SRS]]-Table2[[#This Row],[Spread]]</f>
        <v>-8.6286885245901654</v>
      </c>
      <c r="AM697" s="21">
        <f>Table2[[#This Row],[(A) Err]]^2</f>
        <v>74.454265654394007</v>
      </c>
      <c r="AN697" s="6">
        <f>Table2[[#This Row],[EV]]-Table2[[#This Row],[Spread]]</f>
        <v>-10.716724213496121</v>
      </c>
      <c r="AO697" s="1">
        <f>Table2[[#This Row],[EV Err]]^2</f>
        <v>114.84817786813406</v>
      </c>
      <c r="AP697" s="1"/>
    </row>
    <row r="698" spans="1:42" x14ac:dyDescent="0.25">
      <c r="A698" s="34">
        <v>42762</v>
      </c>
      <c r="B698" t="s">
        <v>114</v>
      </c>
      <c r="C698" t="s">
        <v>111</v>
      </c>
      <c r="E698" s="21"/>
      <c r="G698" s="21"/>
      <c r="H698" s="7"/>
      <c r="I698" s="21"/>
      <c r="K698"/>
      <c r="L698" s="21">
        <f>(Table2[[#This Row],[H/Pace]]/100)*(VLOOKUP(Table2[[#This Row],[Home/Neutral]],home_lookup,8,FALSE)+VLOOKUP(Table2[[#This Row],[Home/Neutral]],OFR_lookup,2,FALSE)+VLOOKUP(Table2[[#This Row],[Visitor/Neutral]],def_diff_lookup,6,FALSE))</f>
        <v>118.45478276756467</v>
      </c>
      <c r="M698" s="21"/>
      <c r="N698" s="21">
        <f>(Table2[[#This Row],[A/Pace]]/100)*(VLOOKUP(Table2[[#This Row],[Visitor/Neutral]],OFR_lookup,2,FALSE)+VLOOKUP(Table2[[#This Row],[Home/Neutral]],def_diff_lookup,6,FALSE))</f>
        <v>103.66838</v>
      </c>
      <c r="O698" s="21"/>
      <c r="P698" s="21"/>
      <c r="Q698">
        <f>VLOOKUP(Table2[[#This Row],[Home/Neutral]],pace_lookup,7,FALSE)</f>
        <v>97.3</v>
      </c>
      <c r="R698" s="5">
        <f>VLOOKUP(Table2[[#This Row],[Visitor/Neutral]],pace_lookup,7,FALSE)</f>
        <v>102</v>
      </c>
      <c r="S698" s="7"/>
      <c r="U698" s="15"/>
      <c r="W698" s="2">
        <f>-home-VLOOKUP(Table2[[#This Row],[Home/Neutral]],rtg_vlookup,4,FALSE)+VLOOKUP(Table2[[#This Row],[Visitor/Neutral]],rtg_vlookup,4,FALSE)</f>
        <v>-20.208688524590166</v>
      </c>
      <c r="X698" s="15"/>
      <c r="Y698" s="2"/>
      <c r="Z698" s="2">
        <f>Table2[[#This Row],[A/EV]]-Table2[[#This Row],[H/EV]]</f>
        <v>-14.786402767564667</v>
      </c>
      <c r="AA698" s="29"/>
      <c r="AB698" s="30"/>
      <c r="AC698" s="30"/>
      <c r="AD698" s="30"/>
      <c r="AE698" s="30"/>
      <c r="AF698" s="7" t="b">
        <f>IF(VLOOKUP(Table2[[#This Row],[Home/Neutral]],division_lookup,9,FALSE)=VLOOKUP(Table2[[#This Row],[Visitor/Neutral]],division_lookup,9,FALSE),TRUE,FALSE)</f>
        <v>0</v>
      </c>
      <c r="AG698" s="15" t="str">
        <f>VLOOKUP(Table2[[#This Row],[Home/Neutral]],division_lookup,9,FALSE)</f>
        <v>C</v>
      </c>
      <c r="AH698" s="15" t="str">
        <f>IF(Table2[[#This Row],[Total/EV]]&lt;Table2[[#This Row],[Total/V]],"UNDER","OVER")</f>
        <v>OVER</v>
      </c>
      <c r="AI698" s="26">
        <f>Table2[[#This Row],[SRS/Real]]-Table2[[#This Row],[Spread/V]]</f>
        <v>0</v>
      </c>
      <c r="AJ698" s="2">
        <f>Table2[[#This Row],[EV/Real]]-Table2[[#This Row],[Spread/V]]</f>
        <v>0</v>
      </c>
      <c r="AK698" s="2">
        <f>Table2[[#This Row],[SRS/Diff]]-Table2[[#This Row],[EV/Diff]]</f>
        <v>0</v>
      </c>
      <c r="AL698" s="18">
        <f>Table2[[#This Row],[SRS]]-Table2[[#This Row],[Spread]]</f>
        <v>-20.208688524590166</v>
      </c>
      <c r="AM698" s="21">
        <f>Table2[[#This Row],[(A) Err]]^2</f>
        <v>408.39109188390222</v>
      </c>
      <c r="AN698" s="6">
        <f>Table2[[#This Row],[EV]]-Table2[[#This Row],[Spread]]</f>
        <v>-14.786402767564667</v>
      </c>
      <c r="AO698" s="1">
        <f>Table2[[#This Row],[EV Err]]^2</f>
        <v>218.63770680464404</v>
      </c>
      <c r="AP698" s="1"/>
    </row>
    <row r="699" spans="1:42" x14ac:dyDescent="0.25">
      <c r="A699" s="34">
        <v>42762</v>
      </c>
      <c r="B699" t="s">
        <v>120</v>
      </c>
      <c r="C699" t="s">
        <v>133</v>
      </c>
      <c r="E699" s="21"/>
      <c r="G699" s="21"/>
      <c r="H699" s="7"/>
      <c r="I699" s="21"/>
      <c r="K699"/>
      <c r="L699" s="21">
        <f>(Table2[[#This Row],[H/Pace]]/100)*(VLOOKUP(Table2[[#This Row],[Home/Neutral]],home_lookup,8,FALSE)+VLOOKUP(Table2[[#This Row],[Home/Neutral]],OFR_lookup,2,FALSE)+VLOOKUP(Table2[[#This Row],[Visitor/Neutral]],def_diff_lookup,6,FALSE))</f>
        <v>109.17065542930861</v>
      </c>
      <c r="M699" s="21"/>
      <c r="N699" s="21">
        <f>(Table2[[#This Row],[A/Pace]]/100)*(VLOOKUP(Table2[[#This Row],[Visitor/Neutral]],OFR_lookup,2,FALSE)+VLOOKUP(Table2[[#This Row],[Home/Neutral]],def_diff_lookup,6,FALSE))</f>
        <v>103.370998</v>
      </c>
      <c r="O699" s="21"/>
      <c r="P699" s="21"/>
      <c r="Q699">
        <f>VLOOKUP(Table2[[#This Row],[Home/Neutral]],pace_lookup,7,FALSE)</f>
        <v>98.3</v>
      </c>
      <c r="R699" s="5">
        <f>VLOOKUP(Table2[[#This Row],[Visitor/Neutral]],pace_lookup,7,FALSE)</f>
        <v>94.2</v>
      </c>
      <c r="S699" s="7"/>
      <c r="U699" s="15"/>
      <c r="W699" s="2">
        <f>-home-VLOOKUP(Table2[[#This Row],[Home/Neutral]],rtg_vlookup,4,FALSE)+VLOOKUP(Table2[[#This Row],[Visitor/Neutral]],rtg_vlookup,4,FALSE)</f>
        <v>1.3114754098344505E-3</v>
      </c>
      <c r="X699" s="15"/>
      <c r="Y699" s="2"/>
      <c r="Z699" s="2">
        <f>Table2[[#This Row],[A/EV]]-Table2[[#This Row],[H/EV]]</f>
        <v>-5.7996574293086098</v>
      </c>
      <c r="AA699" s="29"/>
      <c r="AB699" s="30"/>
      <c r="AC699" s="30"/>
      <c r="AD699" s="30"/>
      <c r="AE699" s="30"/>
      <c r="AF699" s="7" t="b">
        <f>IF(VLOOKUP(Table2[[#This Row],[Home/Neutral]],division_lookup,9,FALSE)=VLOOKUP(Table2[[#This Row],[Visitor/Neutral]],division_lookup,9,FALSE),TRUE,FALSE)</f>
        <v>0</v>
      </c>
      <c r="AG699" s="15" t="str">
        <f>VLOOKUP(Table2[[#This Row],[Home/Neutral]],division_lookup,9,FALSE)</f>
        <v>C</v>
      </c>
      <c r="AH699" s="15" t="str">
        <f>IF(Table2[[#This Row],[Total/EV]]&lt;Table2[[#This Row],[Total/V]],"UNDER","OVER")</f>
        <v>OVER</v>
      </c>
      <c r="AI699" s="26">
        <f>Table2[[#This Row],[SRS/Real]]-Table2[[#This Row],[Spread/V]]</f>
        <v>0</v>
      </c>
      <c r="AJ699" s="2">
        <f>Table2[[#This Row],[EV/Real]]-Table2[[#This Row],[Spread/V]]</f>
        <v>0</v>
      </c>
      <c r="AK699" s="2">
        <f>Table2[[#This Row],[SRS/Diff]]-Table2[[#This Row],[EV/Diff]]</f>
        <v>0</v>
      </c>
      <c r="AL699" s="18">
        <f>Table2[[#This Row],[SRS]]-Table2[[#This Row],[Spread]]</f>
        <v>1.3114754098344505E-3</v>
      </c>
      <c r="AM699" s="21">
        <f>Table2[[#This Row],[(A) Err]]^2</f>
        <v>1.71996775060044E-6</v>
      </c>
      <c r="AN699" s="6">
        <f>Table2[[#This Row],[EV]]-Table2[[#This Row],[Spread]]</f>
        <v>-5.7996574293086098</v>
      </c>
      <c r="AO699" s="1">
        <f>Table2[[#This Row],[EV Err]]^2</f>
        <v>33.636026297334553</v>
      </c>
      <c r="AP699" s="1"/>
    </row>
    <row r="700" spans="1:42" x14ac:dyDescent="0.25">
      <c r="A700" s="34">
        <v>42762</v>
      </c>
      <c r="B700" t="s">
        <v>127</v>
      </c>
      <c r="C700" t="s">
        <v>134</v>
      </c>
      <c r="E700" s="21"/>
      <c r="G700" s="21"/>
      <c r="H700" s="7"/>
      <c r="I700" s="21"/>
      <c r="K700"/>
      <c r="L700" s="21">
        <f>(Table2[[#This Row],[H/Pace]]/100)*(VLOOKUP(Table2[[#This Row],[Home/Neutral]],home_lookup,8,FALSE)+VLOOKUP(Table2[[#This Row],[Home/Neutral]],OFR_lookup,2,FALSE)+VLOOKUP(Table2[[#This Row],[Visitor/Neutral]],def_diff_lookup,6,FALSE))</f>
        <v>101.32902493743049</v>
      </c>
      <c r="M700" s="21"/>
      <c r="N700" s="21">
        <f>(Table2[[#This Row],[A/Pace]]/100)*(VLOOKUP(Table2[[#This Row],[Visitor/Neutral]],OFR_lookup,2,FALSE)+VLOOKUP(Table2[[#This Row],[Home/Neutral]],def_diff_lookup,6,FALSE))</f>
        <v>104.03421266666666</v>
      </c>
      <c r="O700" s="21"/>
      <c r="P700" s="21"/>
      <c r="Q700">
        <f>VLOOKUP(Table2[[#This Row],[Home/Neutral]],pace_lookup,7,FALSE)</f>
        <v>99.3</v>
      </c>
      <c r="R700" s="5">
        <f>VLOOKUP(Table2[[#This Row],[Visitor/Neutral]],pace_lookup,7,FALSE)</f>
        <v>93.4</v>
      </c>
      <c r="S700" s="7"/>
      <c r="U700" s="15"/>
      <c r="W700" s="2">
        <f>-home-VLOOKUP(Table2[[#This Row],[Home/Neutral]],rtg_vlookup,4,FALSE)+VLOOKUP(Table2[[#This Row],[Visitor/Neutral]],rtg_vlookup,4,FALSE)</f>
        <v>7.271311475409834</v>
      </c>
      <c r="X700" s="15"/>
      <c r="Y700" s="2"/>
      <c r="Z700" s="2">
        <f>Table2[[#This Row],[A/EV]]-Table2[[#This Row],[H/EV]]</f>
        <v>2.7051877292361723</v>
      </c>
      <c r="AA700" s="29"/>
      <c r="AB700" s="30"/>
      <c r="AC700" s="30"/>
      <c r="AD700" s="30"/>
      <c r="AE700" s="30"/>
      <c r="AF700" s="7" t="b">
        <f>IF(VLOOKUP(Table2[[#This Row],[Home/Neutral]],division_lookup,9,FALSE)=VLOOKUP(Table2[[#This Row],[Visitor/Neutral]],division_lookup,9,FALSE),TRUE,FALSE)</f>
        <v>1</v>
      </c>
      <c r="AG700" s="15" t="str">
        <f>VLOOKUP(Table2[[#This Row],[Home/Neutral]],division_lookup,9,FALSE)</f>
        <v>SW</v>
      </c>
      <c r="AH700" s="15" t="str">
        <f>IF(Table2[[#This Row],[Total/EV]]&lt;Table2[[#This Row],[Total/V]],"UNDER","OVER")</f>
        <v>OVER</v>
      </c>
      <c r="AI700" s="26">
        <f>Table2[[#This Row],[SRS/Real]]-Table2[[#This Row],[Spread/V]]</f>
        <v>0</v>
      </c>
      <c r="AJ700" s="2">
        <f>Table2[[#This Row],[EV/Real]]-Table2[[#This Row],[Spread/V]]</f>
        <v>0</v>
      </c>
      <c r="AK700" s="2">
        <f>Table2[[#This Row],[SRS/Diff]]-Table2[[#This Row],[EV/Diff]]</f>
        <v>0</v>
      </c>
      <c r="AL700" s="18">
        <f>Table2[[#This Row],[SRS]]-Table2[[#This Row],[Spread]]</f>
        <v>7.271311475409834</v>
      </c>
      <c r="AM700" s="21">
        <f>Table2[[#This Row],[(A) Err]]^2</f>
        <v>52.87197057242674</v>
      </c>
      <c r="AN700" s="6">
        <f>Table2[[#This Row],[EV]]-Table2[[#This Row],[Spread]]</f>
        <v>2.7051877292361723</v>
      </c>
      <c r="AO700" s="1">
        <f>Table2[[#This Row],[EV Err]]^2</f>
        <v>7.3180406504099587</v>
      </c>
      <c r="AP700" s="1"/>
    </row>
    <row r="701" spans="1:42" x14ac:dyDescent="0.25">
      <c r="A701" s="34">
        <v>42762</v>
      </c>
      <c r="B701" t="s">
        <v>128</v>
      </c>
      <c r="C701" t="s">
        <v>112</v>
      </c>
      <c r="E701" s="21"/>
      <c r="G701" s="21"/>
      <c r="H701" s="7"/>
      <c r="I701" s="21"/>
      <c r="K701"/>
      <c r="L701" s="21">
        <f>(Table2[[#This Row],[H/Pace]]/100)*(VLOOKUP(Table2[[#This Row],[Home/Neutral]],home_lookup,8,FALSE)+VLOOKUP(Table2[[#This Row],[Home/Neutral]],OFR_lookup,2,FALSE)+VLOOKUP(Table2[[#This Row],[Visitor/Neutral]],def_diff_lookup,6,FALSE))</f>
        <v>107.4983298778302</v>
      </c>
      <c r="M701" s="21"/>
      <c r="N701" s="21">
        <f>(Table2[[#This Row],[A/Pace]]/100)*(VLOOKUP(Table2[[#This Row],[Visitor/Neutral]],OFR_lookup,2,FALSE)+VLOOKUP(Table2[[#This Row],[Home/Neutral]],def_diff_lookup,6,FALSE))</f>
        <v>108.03185933333334</v>
      </c>
      <c r="O701" s="21"/>
      <c r="P701" s="21"/>
      <c r="Q701">
        <f>VLOOKUP(Table2[[#This Row],[Home/Neutral]],pace_lookup,7,FALSE)</f>
        <v>96.3</v>
      </c>
      <c r="R701" s="5">
        <f>VLOOKUP(Table2[[#This Row],[Visitor/Neutral]],pace_lookup,7,FALSE)</f>
        <v>97.4</v>
      </c>
      <c r="S701" s="7"/>
      <c r="U701" s="15"/>
      <c r="W701" s="2">
        <f>-home-VLOOKUP(Table2[[#This Row],[Home/Neutral]],rtg_vlookup,4,FALSE)+VLOOKUP(Table2[[#This Row],[Visitor/Neutral]],rtg_vlookup,4,FALSE)</f>
        <v>1.1213114754098341</v>
      </c>
      <c r="X701" s="15"/>
      <c r="Y701" s="2"/>
      <c r="Z701" s="2">
        <f>Table2[[#This Row],[A/EV]]-Table2[[#This Row],[H/EV]]</f>
        <v>0.53352945550314246</v>
      </c>
      <c r="AA701" s="29"/>
      <c r="AB701" s="30"/>
      <c r="AC701" s="30"/>
      <c r="AD701" s="30"/>
      <c r="AE701" s="30"/>
      <c r="AF701" s="7" t="b">
        <f>IF(VLOOKUP(Table2[[#This Row],[Home/Neutral]],division_lookup,9,FALSE)=VLOOKUP(Table2[[#This Row],[Visitor/Neutral]],division_lookup,9,FALSE),TRUE,FALSE)</f>
        <v>0</v>
      </c>
      <c r="AG701" s="15" t="str">
        <f>VLOOKUP(Table2[[#This Row],[Home/Neutral]],division_lookup,9,FALSE)</f>
        <v>A</v>
      </c>
      <c r="AH701" s="15" t="str">
        <f>IF(Table2[[#This Row],[Total/EV]]&lt;Table2[[#This Row],[Total/V]],"UNDER","OVER")</f>
        <v>OVER</v>
      </c>
      <c r="AI701" s="26">
        <f>Table2[[#This Row],[SRS/Real]]-Table2[[#This Row],[Spread/V]]</f>
        <v>0</v>
      </c>
      <c r="AJ701" s="2">
        <f>Table2[[#This Row],[EV/Real]]-Table2[[#This Row],[Spread/V]]</f>
        <v>0</v>
      </c>
      <c r="AK701" s="2">
        <f>Table2[[#This Row],[SRS/Diff]]-Table2[[#This Row],[EV/Diff]]</f>
        <v>0</v>
      </c>
      <c r="AL701" s="18">
        <f>Table2[[#This Row],[SRS]]-Table2[[#This Row],[Spread]]</f>
        <v>1.1213114754098341</v>
      </c>
      <c r="AM701" s="21">
        <f>Table2[[#This Row],[(A) Err]]^2</f>
        <v>1.257339424885779</v>
      </c>
      <c r="AN701" s="6">
        <f>Table2[[#This Row],[EV]]-Table2[[#This Row],[Spread]]</f>
        <v>0.53352945550314246</v>
      </c>
      <c r="AO701" s="1">
        <f>Table2[[#This Row],[EV Err]]^2</f>
        <v>0.28465367988947965</v>
      </c>
      <c r="AP701" s="1"/>
    </row>
    <row r="702" spans="1:42" x14ac:dyDescent="0.25">
      <c r="A702" s="34">
        <v>42762</v>
      </c>
      <c r="B702" t="s">
        <v>138</v>
      </c>
      <c r="C702" t="s">
        <v>119</v>
      </c>
      <c r="E702" s="21"/>
      <c r="G702" s="21"/>
      <c r="H702" s="7"/>
      <c r="I702" s="21"/>
      <c r="K702"/>
      <c r="L702" s="21">
        <f>(Table2[[#This Row],[H/Pace]]/100)*(VLOOKUP(Table2[[#This Row],[Home/Neutral]],home_lookup,8,FALSE)+VLOOKUP(Table2[[#This Row],[Home/Neutral]],OFR_lookup,2,FALSE)+VLOOKUP(Table2[[#This Row],[Visitor/Neutral]],def_diff_lookup,6,FALSE))</f>
        <v>101.7570335312401</v>
      </c>
      <c r="M702" s="21"/>
      <c r="N702" s="21">
        <f>(Table2[[#This Row],[A/Pace]]/100)*(VLOOKUP(Table2[[#This Row],[Visitor/Neutral]],OFR_lookup,2,FALSE)+VLOOKUP(Table2[[#This Row],[Home/Neutral]],def_diff_lookup,6,FALSE))</f>
        <v>111.21762100000001</v>
      </c>
      <c r="O702" s="21"/>
      <c r="P702" s="21"/>
      <c r="Q702">
        <f>VLOOKUP(Table2[[#This Row],[Home/Neutral]],pace_lookup,7,FALSE)</f>
        <v>97.5</v>
      </c>
      <c r="R702" s="5">
        <f>VLOOKUP(Table2[[#This Row],[Visitor/Neutral]],pace_lookup,7,FALSE)</f>
        <v>96.9</v>
      </c>
      <c r="S702" s="7"/>
      <c r="U702" s="15"/>
      <c r="W702" s="2">
        <f>-home-VLOOKUP(Table2[[#This Row],[Home/Neutral]],rtg_vlookup,4,FALSE)+VLOOKUP(Table2[[#This Row],[Visitor/Neutral]],rtg_vlookup,4,FALSE)</f>
        <v>10.531311475409835</v>
      </c>
      <c r="X702" s="15"/>
      <c r="Y702" s="2"/>
      <c r="Z702" s="2">
        <f>Table2[[#This Row],[A/EV]]-Table2[[#This Row],[H/EV]]</f>
        <v>9.4605874687599112</v>
      </c>
      <c r="AA702" s="29"/>
      <c r="AB702" s="30"/>
      <c r="AC702" s="30"/>
      <c r="AD702" s="30"/>
      <c r="AE702" s="30"/>
      <c r="AF702" s="7" t="b">
        <f>IF(VLOOKUP(Table2[[#This Row],[Home/Neutral]],division_lookup,9,FALSE)=VLOOKUP(Table2[[#This Row],[Visitor/Neutral]],division_lookup,9,FALSE),TRUE,FALSE)</f>
        <v>0</v>
      </c>
      <c r="AG702" s="15" t="str">
        <f>VLOOKUP(Table2[[#This Row],[Home/Neutral]],division_lookup,9,FALSE)</f>
        <v>A</v>
      </c>
      <c r="AH702" s="15" t="str">
        <f>IF(Table2[[#This Row],[Total/EV]]&lt;Table2[[#This Row],[Total/V]],"UNDER","OVER")</f>
        <v>OVER</v>
      </c>
      <c r="AI702" s="26">
        <f>Table2[[#This Row],[SRS/Real]]-Table2[[#This Row],[Spread/V]]</f>
        <v>0</v>
      </c>
      <c r="AJ702" s="2">
        <f>Table2[[#This Row],[EV/Real]]-Table2[[#This Row],[Spread/V]]</f>
        <v>0</v>
      </c>
      <c r="AK702" s="2">
        <f>Table2[[#This Row],[SRS/Diff]]-Table2[[#This Row],[EV/Diff]]</f>
        <v>0</v>
      </c>
      <c r="AL702" s="18">
        <f>Table2[[#This Row],[SRS]]-Table2[[#This Row],[Spread]]</f>
        <v>10.531311475409835</v>
      </c>
      <c r="AM702" s="21">
        <f>Table2[[#This Row],[(A) Err]]^2</f>
        <v>110.90852139209888</v>
      </c>
      <c r="AN702" s="6">
        <f>Table2[[#This Row],[EV]]-Table2[[#This Row],[Spread]]</f>
        <v>9.4605874687599112</v>
      </c>
      <c r="AO702" s="1">
        <f>Table2[[#This Row],[EV Err]]^2</f>
        <v>89.502715254057065</v>
      </c>
      <c r="AP702" s="1"/>
    </row>
    <row r="703" spans="1:42" x14ac:dyDescent="0.25">
      <c r="A703" s="34">
        <v>42762</v>
      </c>
      <c r="B703" t="s">
        <v>132</v>
      </c>
      <c r="C703" t="s">
        <v>123</v>
      </c>
      <c r="E703" s="21"/>
      <c r="G703" s="21"/>
      <c r="H703" s="7"/>
      <c r="I703" s="21"/>
      <c r="K703"/>
      <c r="L703" s="21">
        <f>(Table2[[#This Row],[H/Pace]]/100)*(VLOOKUP(Table2[[#This Row],[Home/Neutral]],home_lookup,8,FALSE)+VLOOKUP(Table2[[#This Row],[Home/Neutral]],OFR_lookup,2,FALSE)+VLOOKUP(Table2[[#This Row],[Visitor/Neutral]],def_diff_lookup,6,FALSE))</f>
        <v>105.46722144606979</v>
      </c>
      <c r="M703" s="21"/>
      <c r="N703" s="21">
        <f>(Table2[[#This Row],[A/Pace]]/100)*(VLOOKUP(Table2[[#This Row],[Visitor/Neutral]],OFR_lookup,2,FALSE)+VLOOKUP(Table2[[#This Row],[Home/Neutral]],def_diff_lookup,6,FALSE))</f>
        <v>101.11699166666666</v>
      </c>
      <c r="O703" s="21"/>
      <c r="P703" s="21"/>
      <c r="Q703">
        <f>VLOOKUP(Table2[[#This Row],[Home/Neutral]],pace_lookup,7,FALSE)</f>
        <v>98.8</v>
      </c>
      <c r="R703" s="5">
        <f>VLOOKUP(Table2[[#This Row],[Visitor/Neutral]],pace_lookup,7,FALSE)</f>
        <v>92.5</v>
      </c>
      <c r="S703" s="7"/>
      <c r="U703" s="15"/>
      <c r="W703" s="2">
        <f>-home-VLOOKUP(Table2[[#This Row],[Home/Neutral]],rtg_vlookup,4,FALSE)+VLOOKUP(Table2[[#This Row],[Visitor/Neutral]],rtg_vlookup,4,FALSE)</f>
        <v>0.3413114754098342</v>
      </c>
      <c r="X703" s="15"/>
      <c r="Y703" s="2"/>
      <c r="Z703" s="2">
        <f>Table2[[#This Row],[A/EV]]-Table2[[#This Row],[H/EV]]</f>
        <v>-4.3502297794031222</v>
      </c>
      <c r="AA703" s="29"/>
      <c r="AB703" s="30"/>
      <c r="AC703" s="30"/>
      <c r="AD703" s="30"/>
      <c r="AE703" s="30"/>
      <c r="AF703" s="7" t="b">
        <f>IF(VLOOKUP(Table2[[#This Row],[Home/Neutral]],division_lookup,9,FALSE)=VLOOKUP(Table2[[#This Row],[Visitor/Neutral]],division_lookup,9,FALSE),TRUE,FALSE)</f>
        <v>0</v>
      </c>
      <c r="AG703" s="15" t="str">
        <f>VLOOKUP(Table2[[#This Row],[Home/Neutral]],division_lookup,9,FALSE)</f>
        <v>NW</v>
      </c>
      <c r="AH703" s="15" t="str">
        <f>IF(Table2[[#This Row],[Total/EV]]&lt;Table2[[#This Row],[Total/V]],"UNDER","OVER")</f>
        <v>OVER</v>
      </c>
      <c r="AI703" s="26">
        <f>Table2[[#This Row],[SRS/Real]]-Table2[[#This Row],[Spread/V]]</f>
        <v>0</v>
      </c>
      <c r="AJ703" s="2">
        <f>Table2[[#This Row],[EV/Real]]-Table2[[#This Row],[Spread/V]]</f>
        <v>0</v>
      </c>
      <c r="AK703" s="2">
        <f>Table2[[#This Row],[SRS/Diff]]-Table2[[#This Row],[EV/Diff]]</f>
        <v>0</v>
      </c>
      <c r="AL703" s="18">
        <f>Table2[[#This Row],[SRS]]-Table2[[#This Row],[Spread]]</f>
        <v>0.3413114754098342</v>
      </c>
      <c r="AM703" s="21">
        <f>Table2[[#This Row],[(A) Err]]^2</f>
        <v>0.11649352324643786</v>
      </c>
      <c r="AN703" s="6">
        <f>Table2[[#This Row],[EV]]-Table2[[#This Row],[Spread]]</f>
        <v>-4.3502297794031222</v>
      </c>
      <c r="AO703" s="1">
        <f>Table2[[#This Row],[EV Err]]^2</f>
        <v>18.924499133605735</v>
      </c>
      <c r="AP703" s="1"/>
    </row>
    <row r="704" spans="1:42" x14ac:dyDescent="0.25">
      <c r="A704" s="34">
        <v>42762</v>
      </c>
      <c r="B704" t="s">
        <v>135</v>
      </c>
      <c r="C704" t="s">
        <v>125</v>
      </c>
      <c r="E704" s="21"/>
      <c r="G704" s="21"/>
      <c r="H704" s="7"/>
      <c r="I704" s="21"/>
      <c r="K704"/>
      <c r="L704" s="21">
        <f>(Table2[[#This Row],[H/Pace]]/100)*(VLOOKUP(Table2[[#This Row],[Home/Neutral]],home_lookup,8,FALSE)+VLOOKUP(Table2[[#This Row],[Home/Neutral]],OFR_lookup,2,FALSE)+VLOOKUP(Table2[[#This Row],[Visitor/Neutral]],def_diff_lookup,6,FALSE))</f>
        <v>111.63378035324614</v>
      </c>
      <c r="M704" s="21"/>
      <c r="N704" s="21">
        <f>(Table2[[#This Row],[A/Pace]]/100)*(VLOOKUP(Table2[[#This Row],[Visitor/Neutral]],OFR_lookup,2,FALSE)+VLOOKUP(Table2[[#This Row],[Home/Neutral]],def_diff_lookup,6,FALSE))</f>
        <v>102.96698566666666</v>
      </c>
      <c r="O704" s="21"/>
      <c r="P704" s="21"/>
      <c r="Q704">
        <f>VLOOKUP(Table2[[#This Row],[Home/Neutral]],pace_lookup,7,FALSE)</f>
        <v>95.4</v>
      </c>
      <c r="R704" s="5">
        <f>VLOOKUP(Table2[[#This Row],[Visitor/Neutral]],pace_lookup,7,FALSE)</f>
        <v>96.1</v>
      </c>
      <c r="S704" s="7"/>
      <c r="U704" s="15"/>
      <c r="W704" s="2">
        <f>-home-VLOOKUP(Table2[[#This Row],[Home/Neutral]],rtg_vlookup,4,FALSE)+VLOOKUP(Table2[[#This Row],[Visitor/Neutral]],rtg_vlookup,4,FALSE)</f>
        <v>-11.198688524590166</v>
      </c>
      <c r="X704" s="15"/>
      <c r="Y704" s="2"/>
      <c r="Z704" s="2">
        <f>Table2[[#This Row],[A/EV]]-Table2[[#This Row],[H/EV]]</f>
        <v>-8.6667946865794789</v>
      </c>
      <c r="AA704" s="29"/>
      <c r="AB704" s="30"/>
      <c r="AC704" s="30"/>
      <c r="AD704" s="30"/>
      <c r="AE704" s="30"/>
      <c r="AF704" s="7" t="b">
        <f>IF(VLOOKUP(Table2[[#This Row],[Home/Neutral]],division_lookup,9,FALSE)=VLOOKUP(Table2[[#This Row],[Visitor/Neutral]],division_lookup,9,FALSE),TRUE,FALSE)</f>
        <v>0</v>
      </c>
      <c r="AG704" s="15" t="str">
        <f>VLOOKUP(Table2[[#This Row],[Home/Neutral]],division_lookup,9,FALSE)</f>
        <v>A</v>
      </c>
      <c r="AH704" s="15" t="str">
        <f>IF(Table2[[#This Row],[Total/EV]]&lt;Table2[[#This Row],[Total/V]],"UNDER","OVER")</f>
        <v>OVER</v>
      </c>
      <c r="AI704" s="26">
        <f>Table2[[#This Row],[SRS/Real]]-Table2[[#This Row],[Spread/V]]</f>
        <v>0</v>
      </c>
      <c r="AJ704" s="2">
        <f>Table2[[#This Row],[EV/Real]]-Table2[[#This Row],[Spread/V]]</f>
        <v>0</v>
      </c>
      <c r="AK704" s="2">
        <f>Table2[[#This Row],[SRS/Diff]]-Table2[[#This Row],[EV/Diff]]</f>
        <v>0</v>
      </c>
      <c r="AL704" s="18">
        <f>Table2[[#This Row],[SRS]]-Table2[[#This Row],[Spread]]</f>
        <v>-11.198688524590166</v>
      </c>
      <c r="AM704" s="21">
        <f>Table2[[#This Row],[(A) Err]]^2</f>
        <v>125.41062467078746</v>
      </c>
      <c r="AN704" s="6">
        <f>Table2[[#This Row],[EV]]-Table2[[#This Row],[Spread]]</f>
        <v>-8.6667946865794789</v>
      </c>
      <c r="AO704" s="1">
        <f>Table2[[#This Row],[EV Err]]^2</f>
        <v>75.113330139322287</v>
      </c>
      <c r="AP704" s="1"/>
    </row>
    <row r="705" spans="1:42" x14ac:dyDescent="0.25">
      <c r="A705" s="34">
        <v>42763</v>
      </c>
      <c r="B705" t="s">
        <v>112</v>
      </c>
      <c r="C705" t="s">
        <v>133</v>
      </c>
      <c r="E705" s="21"/>
      <c r="G705" s="21"/>
      <c r="H705" s="7"/>
      <c r="I705" s="21"/>
      <c r="K705"/>
      <c r="L705" s="21">
        <f>(Table2[[#This Row],[H/Pace]]/100)*(VLOOKUP(Table2[[#This Row],[Home/Neutral]],home_lookup,8,FALSE)+VLOOKUP(Table2[[#This Row],[Home/Neutral]],OFR_lookup,2,FALSE)+VLOOKUP(Table2[[#This Row],[Visitor/Neutral]],def_diff_lookup,6,FALSE))</f>
        <v>107.33552195313484</v>
      </c>
      <c r="M705" s="21"/>
      <c r="N705" s="21">
        <f>(Table2[[#This Row],[A/Pace]]/100)*(VLOOKUP(Table2[[#This Row],[Visitor/Neutral]],OFR_lookup,2,FALSE)+VLOOKUP(Table2[[#This Row],[Home/Neutral]],def_diff_lookup,6,FALSE))</f>
        <v>100.837018</v>
      </c>
      <c r="O705" s="21"/>
      <c r="P705" s="21"/>
      <c r="Q705">
        <f>VLOOKUP(Table2[[#This Row],[Home/Neutral]],pace_lookup,7,FALSE)</f>
        <v>97.4</v>
      </c>
      <c r="R705" s="5">
        <f>VLOOKUP(Table2[[#This Row],[Visitor/Neutral]],pace_lookup,7,FALSE)</f>
        <v>94.2</v>
      </c>
      <c r="S705" s="7"/>
      <c r="U705" s="15"/>
      <c r="W705" s="2">
        <f>-home-VLOOKUP(Table2[[#This Row],[Home/Neutral]],rtg_vlookup,4,FALSE)+VLOOKUP(Table2[[#This Row],[Visitor/Neutral]],rtg_vlookup,4,FALSE)</f>
        <v>-6.7386885245901658</v>
      </c>
      <c r="X705" s="15"/>
      <c r="Y705" s="2"/>
      <c r="Z705" s="2">
        <f>Table2[[#This Row],[A/EV]]-Table2[[#This Row],[H/EV]]</f>
        <v>-6.4985039531348434</v>
      </c>
      <c r="AA705" s="29"/>
      <c r="AB705" s="30"/>
      <c r="AC705" s="30"/>
      <c r="AD705" s="30"/>
      <c r="AE705" s="30"/>
      <c r="AF705" s="7" t="b">
        <f>IF(VLOOKUP(Table2[[#This Row],[Home/Neutral]],division_lookup,9,FALSE)=VLOOKUP(Table2[[#This Row],[Visitor/Neutral]],division_lookup,9,FALSE),TRUE,FALSE)</f>
        <v>0</v>
      </c>
      <c r="AG705" s="15" t="str">
        <f>VLOOKUP(Table2[[#This Row],[Home/Neutral]],division_lookup,9,FALSE)</f>
        <v>SE</v>
      </c>
      <c r="AH705" s="15" t="str">
        <f>IF(Table2[[#This Row],[Total/EV]]&lt;Table2[[#This Row],[Total/V]],"UNDER","OVER")</f>
        <v>OVER</v>
      </c>
      <c r="AI705" s="26">
        <f>Table2[[#This Row],[SRS/Real]]-Table2[[#This Row],[Spread/V]]</f>
        <v>0</v>
      </c>
      <c r="AJ705" s="2">
        <f>Table2[[#This Row],[EV/Real]]-Table2[[#This Row],[Spread/V]]</f>
        <v>0</v>
      </c>
      <c r="AK705" s="2">
        <f>Table2[[#This Row],[SRS/Diff]]-Table2[[#This Row],[EV/Diff]]</f>
        <v>0</v>
      </c>
      <c r="AL705" s="18">
        <f>Table2[[#This Row],[SRS]]-Table2[[#This Row],[Spread]]</f>
        <v>-6.7386885245901658</v>
      </c>
      <c r="AM705" s="21">
        <f>Table2[[#This Row],[(A) Err]]^2</f>
        <v>45.409923031443185</v>
      </c>
      <c r="AN705" s="6">
        <f>Table2[[#This Row],[EV]]-Table2[[#This Row],[Spread]]</f>
        <v>-6.4985039531348434</v>
      </c>
      <c r="AO705" s="1">
        <f>Table2[[#This Row],[EV Err]]^2</f>
        <v>42.230553628909185</v>
      </c>
      <c r="AP705" s="1"/>
    </row>
    <row r="706" spans="1:42" x14ac:dyDescent="0.25">
      <c r="A706" s="34">
        <v>42763</v>
      </c>
      <c r="B706" t="s">
        <v>118</v>
      </c>
      <c r="C706" t="s">
        <v>121</v>
      </c>
      <c r="E706" s="21"/>
      <c r="G706" s="21"/>
      <c r="H706" s="7"/>
      <c r="I706" s="21"/>
      <c r="K706"/>
      <c r="L706" s="21">
        <f>(Table2[[#This Row],[H/Pace]]/100)*(VLOOKUP(Table2[[#This Row],[Home/Neutral]],home_lookup,8,FALSE)+VLOOKUP(Table2[[#This Row],[Home/Neutral]],OFR_lookup,2,FALSE)+VLOOKUP(Table2[[#This Row],[Visitor/Neutral]],def_diff_lookup,6,FALSE))</f>
        <v>110.45539838078238</v>
      </c>
      <c r="M706" s="21"/>
      <c r="N706" s="21">
        <f>(Table2[[#This Row],[A/Pace]]/100)*(VLOOKUP(Table2[[#This Row],[Visitor/Neutral]],OFR_lookup,2,FALSE)+VLOOKUP(Table2[[#This Row],[Home/Neutral]],def_diff_lookup,6,FALSE))</f>
        <v>109.86290266666667</v>
      </c>
      <c r="O706" s="21"/>
      <c r="P706" s="21"/>
      <c r="Q706">
        <f>VLOOKUP(Table2[[#This Row],[Home/Neutral]],pace_lookup,7,FALSE)</f>
        <v>100.4</v>
      </c>
      <c r="R706" s="5">
        <f>VLOOKUP(Table2[[#This Row],[Visitor/Neutral]],pace_lookup,7,FALSE)</f>
        <v>96.4</v>
      </c>
      <c r="S706" s="7"/>
      <c r="U706" s="15"/>
      <c r="W706" s="2">
        <f>-home-VLOOKUP(Table2[[#This Row],[Home/Neutral]],rtg_vlookup,4,FALSE)+VLOOKUP(Table2[[#This Row],[Visitor/Neutral]],rtg_vlookup,4,FALSE)</f>
        <v>-1.4686885245901653</v>
      </c>
      <c r="X706" s="15"/>
      <c r="Y706" s="2"/>
      <c r="Z706" s="2">
        <f>Table2[[#This Row],[A/EV]]-Table2[[#This Row],[H/EV]]</f>
        <v>-0.59249571411571367</v>
      </c>
      <c r="AA706" s="29"/>
      <c r="AB706" s="30"/>
      <c r="AC706" s="30"/>
      <c r="AD706" s="30"/>
      <c r="AE706" s="30"/>
      <c r="AF706" s="7" t="b">
        <f>IF(VLOOKUP(Table2[[#This Row],[Home/Neutral]],division_lookup,9,FALSE)=VLOOKUP(Table2[[#This Row],[Visitor/Neutral]],division_lookup,9,FALSE),TRUE,FALSE)</f>
        <v>1</v>
      </c>
      <c r="AG706" s="15" t="str">
        <f>VLOOKUP(Table2[[#This Row],[Home/Neutral]],division_lookup,9,FALSE)</f>
        <v>P</v>
      </c>
      <c r="AH706" s="15" t="str">
        <f>IF(Table2[[#This Row],[Total/EV]]&lt;Table2[[#This Row],[Total/V]],"UNDER","OVER")</f>
        <v>OVER</v>
      </c>
      <c r="AI706" s="26">
        <f>Table2[[#This Row],[SRS/Real]]-Table2[[#This Row],[Spread/V]]</f>
        <v>0</v>
      </c>
      <c r="AJ706" s="2">
        <f>Table2[[#This Row],[EV/Real]]-Table2[[#This Row],[Spread/V]]</f>
        <v>0</v>
      </c>
      <c r="AK706" s="2">
        <f>Table2[[#This Row],[SRS/Diff]]-Table2[[#This Row],[EV/Diff]]</f>
        <v>0</v>
      </c>
      <c r="AL706" s="18">
        <f>Table2[[#This Row],[SRS]]-Table2[[#This Row],[Spread]]</f>
        <v>-1.4686885245901653</v>
      </c>
      <c r="AM706" s="21">
        <f>Table2[[#This Row],[(A) Err]]^2</f>
        <v>2.1570459822628365</v>
      </c>
      <c r="AN706" s="6">
        <f>Table2[[#This Row],[EV]]-Table2[[#This Row],[Spread]]</f>
        <v>-0.59249571411571367</v>
      </c>
      <c r="AO706" s="1">
        <f>Table2[[#This Row],[EV Err]]^2</f>
        <v>0.35105117124548951</v>
      </c>
      <c r="AP706" s="1"/>
    </row>
    <row r="707" spans="1:42" x14ac:dyDescent="0.25">
      <c r="A707" s="34">
        <v>42763</v>
      </c>
      <c r="B707" t="s">
        <v>124</v>
      </c>
      <c r="C707" t="s">
        <v>117</v>
      </c>
      <c r="E707" s="21"/>
      <c r="G707" s="21"/>
      <c r="H707" s="7"/>
      <c r="I707" s="21"/>
      <c r="K707"/>
      <c r="L707" s="21">
        <f>(Table2[[#This Row],[H/Pace]]/100)*(VLOOKUP(Table2[[#This Row],[Home/Neutral]],home_lookup,8,FALSE)+VLOOKUP(Table2[[#This Row],[Home/Neutral]],OFR_lookup,2,FALSE)+VLOOKUP(Table2[[#This Row],[Visitor/Neutral]],def_diff_lookup,6,FALSE))</f>
        <v>97.537635177235572</v>
      </c>
      <c r="M707" s="21"/>
      <c r="N707" s="21">
        <f>(Table2[[#This Row],[A/Pace]]/100)*(VLOOKUP(Table2[[#This Row],[Visitor/Neutral]],OFR_lookup,2,FALSE)+VLOOKUP(Table2[[#This Row],[Home/Neutral]],def_diff_lookup,6,FALSE))</f>
        <v>95.988726666666651</v>
      </c>
      <c r="O707" s="21"/>
      <c r="P707" s="21"/>
      <c r="Q707">
        <f>VLOOKUP(Table2[[#This Row],[Home/Neutral]],pace_lookup,7,FALSE)</f>
        <v>93.7</v>
      </c>
      <c r="R707" s="5">
        <f>VLOOKUP(Table2[[#This Row],[Visitor/Neutral]],pace_lookup,7,FALSE)</f>
        <v>94</v>
      </c>
      <c r="S707" s="7"/>
      <c r="U707" s="15"/>
      <c r="W707" s="2">
        <f>-home-VLOOKUP(Table2[[#This Row],[Home/Neutral]],rtg_vlookup,4,FALSE)+VLOOKUP(Table2[[#This Row],[Visitor/Neutral]],rtg_vlookup,4,FALSE)</f>
        <v>-8.6885245901657804E-3</v>
      </c>
      <c r="X707" s="15"/>
      <c r="Y707" s="2"/>
      <c r="Z707" s="2">
        <f>Table2[[#This Row],[A/EV]]-Table2[[#This Row],[H/EV]]</f>
        <v>-1.5489085105689213</v>
      </c>
      <c r="AA707" s="29"/>
      <c r="AB707" s="30"/>
      <c r="AC707" s="30"/>
      <c r="AD707" s="30"/>
      <c r="AE707" s="30"/>
      <c r="AF707" s="7" t="b">
        <f>IF(VLOOKUP(Table2[[#This Row],[Home/Neutral]],division_lookup,9,FALSE)=VLOOKUP(Table2[[#This Row],[Visitor/Neutral]],division_lookup,9,FALSE),TRUE,FALSE)</f>
        <v>0</v>
      </c>
      <c r="AG707" s="15" t="str">
        <f>VLOOKUP(Table2[[#This Row],[Home/Neutral]],division_lookup,9,FALSE)</f>
        <v>SE</v>
      </c>
      <c r="AH707" s="15" t="str">
        <f>IF(Table2[[#This Row],[Total/EV]]&lt;Table2[[#This Row],[Total/V]],"UNDER","OVER")</f>
        <v>OVER</v>
      </c>
      <c r="AI707" s="26">
        <f>Table2[[#This Row],[SRS/Real]]-Table2[[#This Row],[Spread/V]]</f>
        <v>0</v>
      </c>
      <c r="AJ707" s="2">
        <f>Table2[[#This Row],[EV/Real]]-Table2[[#This Row],[Spread/V]]</f>
        <v>0</v>
      </c>
      <c r="AK707" s="2">
        <f>Table2[[#This Row],[SRS/Diff]]-Table2[[#This Row],[EV/Diff]]</f>
        <v>0</v>
      </c>
      <c r="AL707" s="18">
        <f>Table2[[#This Row],[SRS]]-Table2[[#This Row],[Spread]]</f>
        <v>-8.6885245901657804E-3</v>
      </c>
      <c r="AM707" s="21">
        <f>Table2[[#This Row],[(A) Err]]^2</f>
        <v>7.549045955391544E-5</v>
      </c>
      <c r="AN707" s="6">
        <f>Table2[[#This Row],[EV]]-Table2[[#This Row],[Spread]]</f>
        <v>-1.5489085105689213</v>
      </c>
      <c r="AO707" s="1">
        <f>Table2[[#This Row],[EV Err]]^2</f>
        <v>2.3991175741128341</v>
      </c>
      <c r="AP707" s="1"/>
    </row>
    <row r="708" spans="1:42" x14ac:dyDescent="0.25">
      <c r="A708" s="34">
        <v>42763</v>
      </c>
      <c r="B708" t="s">
        <v>125</v>
      </c>
      <c r="C708" t="s">
        <v>110</v>
      </c>
      <c r="E708" s="21"/>
      <c r="G708" s="21"/>
      <c r="H708" s="7"/>
      <c r="I708" s="21"/>
      <c r="K708"/>
      <c r="L708" s="21">
        <f>(Table2[[#This Row],[H/Pace]]/100)*(VLOOKUP(Table2[[#This Row],[Home/Neutral]],home_lookup,8,FALSE)+VLOOKUP(Table2[[#This Row],[Home/Neutral]],OFR_lookup,2,FALSE)+VLOOKUP(Table2[[#This Row],[Visitor/Neutral]],def_diff_lookup,6,FALSE))</f>
        <v>109.18959550061908</v>
      </c>
      <c r="M708" s="21"/>
      <c r="N708" s="21">
        <f>(Table2[[#This Row],[A/Pace]]/100)*(VLOOKUP(Table2[[#This Row],[Visitor/Neutral]],OFR_lookup,2,FALSE)+VLOOKUP(Table2[[#This Row],[Home/Neutral]],def_diff_lookup,6,FALSE))</f>
        <v>105.73887133333334</v>
      </c>
      <c r="O708" s="21"/>
      <c r="P708" s="21"/>
      <c r="Q708">
        <f>VLOOKUP(Table2[[#This Row],[Home/Neutral]],pace_lookup,7,FALSE)</f>
        <v>96.1</v>
      </c>
      <c r="R708" s="5">
        <f>VLOOKUP(Table2[[#This Row],[Visitor/Neutral]],pace_lookup,7,FALSE)</f>
        <v>96.2</v>
      </c>
      <c r="S708" s="7"/>
      <c r="U708" s="15"/>
      <c r="W708" s="2">
        <f>-home-VLOOKUP(Table2[[#This Row],[Home/Neutral]],rtg_vlookup,4,FALSE)+VLOOKUP(Table2[[#This Row],[Visitor/Neutral]],rtg_vlookup,4,FALSE)</f>
        <v>0.18131147540983428</v>
      </c>
      <c r="X708" s="15"/>
      <c r="Y708" s="2"/>
      <c r="Z708" s="2">
        <f>Table2[[#This Row],[A/EV]]-Table2[[#This Row],[H/EV]]</f>
        <v>-3.4507241672857418</v>
      </c>
      <c r="AA708" s="29"/>
      <c r="AB708" s="30"/>
      <c r="AC708" s="30"/>
      <c r="AD708" s="30"/>
      <c r="AE708" s="30"/>
      <c r="AF708" s="7" t="b">
        <f>IF(VLOOKUP(Table2[[#This Row],[Home/Neutral]],division_lookup,9,FALSE)=VLOOKUP(Table2[[#This Row],[Visitor/Neutral]],division_lookup,9,FALSE),TRUE,FALSE)</f>
        <v>0</v>
      </c>
      <c r="AG708" s="15" t="str">
        <f>VLOOKUP(Table2[[#This Row],[Home/Neutral]],division_lookup,9,FALSE)</f>
        <v>C</v>
      </c>
      <c r="AH708" s="15" t="str">
        <f>IF(Table2[[#This Row],[Total/EV]]&lt;Table2[[#This Row],[Total/V]],"UNDER","OVER")</f>
        <v>OVER</v>
      </c>
      <c r="AI708" s="26">
        <f>Table2[[#This Row],[SRS/Real]]-Table2[[#This Row],[Spread/V]]</f>
        <v>0</v>
      </c>
      <c r="AJ708" s="2">
        <f>Table2[[#This Row],[EV/Real]]-Table2[[#This Row],[Spread/V]]</f>
        <v>0</v>
      </c>
      <c r="AK708" s="2">
        <f>Table2[[#This Row],[SRS/Diff]]-Table2[[#This Row],[EV/Diff]]</f>
        <v>0</v>
      </c>
      <c r="AL708" s="18">
        <f>Table2[[#This Row],[SRS]]-Table2[[#This Row],[Spread]]</f>
        <v>0.18131147540983428</v>
      </c>
      <c r="AM708" s="21">
        <f>Table2[[#This Row],[(A) Err]]^2</f>
        <v>3.2873851115290939E-2</v>
      </c>
      <c r="AN708" s="6">
        <f>Table2[[#This Row],[EV]]-Table2[[#This Row],[Spread]]</f>
        <v>-3.4507241672857418</v>
      </c>
      <c r="AO708" s="1">
        <f>Table2[[#This Row],[EV Err]]^2</f>
        <v>11.907497278689876</v>
      </c>
      <c r="AP708" s="1"/>
    </row>
    <row r="709" spans="1:42" x14ac:dyDescent="0.25">
      <c r="A709" s="34">
        <v>42763</v>
      </c>
      <c r="B709" t="s">
        <v>126</v>
      </c>
      <c r="C709" t="s">
        <v>111</v>
      </c>
      <c r="E709" s="21"/>
      <c r="G709" s="21"/>
      <c r="H709" s="7"/>
      <c r="I709" s="21"/>
      <c r="K709"/>
      <c r="L709" s="21">
        <f>(Table2[[#This Row],[H/Pace]]/100)*(VLOOKUP(Table2[[#This Row],[Home/Neutral]],home_lookup,8,FALSE)+VLOOKUP(Table2[[#This Row],[Home/Neutral]],OFR_lookup,2,FALSE)+VLOOKUP(Table2[[#This Row],[Visitor/Neutral]],def_diff_lookup,6,FALSE))</f>
        <v>119.00798777050785</v>
      </c>
      <c r="M709" s="21"/>
      <c r="N709" s="21">
        <f>(Table2[[#This Row],[A/Pace]]/100)*(VLOOKUP(Table2[[#This Row],[Visitor/Neutral]],OFR_lookup,2,FALSE)+VLOOKUP(Table2[[#This Row],[Home/Neutral]],def_diff_lookup,6,FALSE))</f>
        <v>107.48317999999999</v>
      </c>
      <c r="O709" s="21"/>
      <c r="P709" s="21"/>
      <c r="Q709">
        <f>VLOOKUP(Table2[[#This Row],[Home/Neutral]],pace_lookup,7,FALSE)</f>
        <v>95.7</v>
      </c>
      <c r="R709" s="5">
        <f>VLOOKUP(Table2[[#This Row],[Visitor/Neutral]],pace_lookup,7,FALSE)</f>
        <v>102</v>
      </c>
      <c r="S709" s="7"/>
      <c r="U709" s="15"/>
      <c r="W709" s="2">
        <f>-home-VLOOKUP(Table2[[#This Row],[Home/Neutral]],rtg_vlookup,4,FALSE)+VLOOKUP(Table2[[#This Row],[Visitor/Neutral]],rtg_vlookup,4,FALSE)</f>
        <v>-10.378688524590165</v>
      </c>
      <c r="X709" s="15"/>
      <c r="Y709" s="2"/>
      <c r="Z709" s="2">
        <f>Table2[[#This Row],[A/EV]]-Table2[[#This Row],[H/EV]]</f>
        <v>-11.524807770507863</v>
      </c>
      <c r="AA709" s="29"/>
      <c r="AB709" s="30"/>
      <c r="AC709" s="30"/>
      <c r="AD709" s="30"/>
      <c r="AE709" s="30"/>
      <c r="AF709" s="7" t="b">
        <f>IF(VLOOKUP(Table2[[#This Row],[Home/Neutral]],division_lookup,9,FALSE)=VLOOKUP(Table2[[#This Row],[Visitor/Neutral]],division_lookup,9,FALSE),TRUE,FALSE)</f>
        <v>0</v>
      </c>
      <c r="AG709" s="15" t="str">
        <f>VLOOKUP(Table2[[#This Row],[Home/Neutral]],division_lookup,9,FALSE)</f>
        <v>NW</v>
      </c>
      <c r="AH709" s="15" t="str">
        <f>IF(Table2[[#This Row],[Total/EV]]&lt;Table2[[#This Row],[Total/V]],"UNDER","OVER")</f>
        <v>OVER</v>
      </c>
      <c r="AI709" s="26">
        <f>Table2[[#This Row],[SRS/Real]]-Table2[[#This Row],[Spread/V]]</f>
        <v>0</v>
      </c>
      <c r="AJ709" s="2">
        <f>Table2[[#This Row],[EV/Real]]-Table2[[#This Row],[Spread/V]]</f>
        <v>0</v>
      </c>
      <c r="AK709" s="2">
        <f>Table2[[#This Row],[SRS/Diff]]-Table2[[#This Row],[EV/Diff]]</f>
        <v>0</v>
      </c>
      <c r="AL709" s="18">
        <f>Table2[[#This Row],[SRS]]-Table2[[#This Row],[Spread]]</f>
        <v>-10.378688524590165</v>
      </c>
      <c r="AM709" s="21">
        <f>Table2[[#This Row],[(A) Err]]^2</f>
        <v>107.71717549045958</v>
      </c>
      <c r="AN709" s="6">
        <f>Table2[[#This Row],[EV]]-Table2[[#This Row],[Spread]]</f>
        <v>-11.524807770507863</v>
      </c>
      <c r="AO709" s="1">
        <f>Table2[[#This Row],[EV Err]]^2</f>
        <v>132.82119414715842</v>
      </c>
      <c r="AP709" s="1"/>
    </row>
    <row r="710" spans="1:42" x14ac:dyDescent="0.25">
      <c r="A710" s="34">
        <v>42763</v>
      </c>
      <c r="B710" t="s">
        <v>131</v>
      </c>
      <c r="C710" t="s">
        <v>116</v>
      </c>
      <c r="E710" s="21"/>
      <c r="G710" s="21"/>
      <c r="H710" s="7"/>
      <c r="I710" s="21"/>
      <c r="K710"/>
      <c r="L710" s="21">
        <f>(Table2[[#This Row],[H/Pace]]/100)*(VLOOKUP(Table2[[#This Row],[Home/Neutral]],home_lookup,8,FALSE)+VLOOKUP(Table2[[#This Row],[Home/Neutral]],OFR_lookup,2,FALSE)+VLOOKUP(Table2[[#This Row],[Visitor/Neutral]],def_diff_lookup,6,FALSE))</f>
        <v>97.228249791197655</v>
      </c>
      <c r="M710" s="21"/>
      <c r="N710" s="21">
        <f>(Table2[[#This Row],[A/Pace]]/100)*(VLOOKUP(Table2[[#This Row],[Visitor/Neutral]],OFR_lookup,2,FALSE)+VLOOKUP(Table2[[#This Row],[Home/Neutral]],def_diff_lookup,6,FALSE))</f>
        <v>106.33991566666667</v>
      </c>
      <c r="O710" s="21"/>
      <c r="P710" s="21"/>
      <c r="Q710">
        <f>VLOOKUP(Table2[[#This Row],[Home/Neutral]],pace_lookup,7,FALSE)</f>
        <v>101.7</v>
      </c>
      <c r="R710" s="5">
        <f>VLOOKUP(Table2[[#This Row],[Visitor/Neutral]],pace_lookup,7,FALSE)</f>
        <v>99.1</v>
      </c>
      <c r="S710" s="7"/>
      <c r="U710" s="15"/>
      <c r="W710" s="2">
        <f>-home-VLOOKUP(Table2[[#This Row],[Home/Neutral]],rtg_vlookup,4,FALSE)+VLOOKUP(Table2[[#This Row],[Visitor/Neutral]],rtg_vlookup,4,FALSE)</f>
        <v>2.8613114754098343</v>
      </c>
      <c r="X710" s="15"/>
      <c r="Y710" s="2"/>
      <c r="Z710" s="2">
        <f>Table2[[#This Row],[A/EV]]-Table2[[#This Row],[H/EV]]</f>
        <v>9.111665875469015</v>
      </c>
      <c r="AA710" s="29"/>
      <c r="AB710" s="30"/>
      <c r="AC710" s="30"/>
      <c r="AD710" s="30"/>
      <c r="AE710" s="30"/>
      <c r="AF710" s="7" t="b">
        <f>IF(VLOOKUP(Table2[[#This Row],[Home/Neutral]],division_lookup,9,FALSE)=VLOOKUP(Table2[[#This Row],[Visitor/Neutral]],division_lookup,9,FALSE),TRUE,FALSE)</f>
        <v>0</v>
      </c>
      <c r="AG710" s="15" t="str">
        <f>VLOOKUP(Table2[[#This Row],[Home/Neutral]],division_lookup,9,FALSE)</f>
        <v>P</v>
      </c>
      <c r="AH710" s="15" t="str">
        <f>IF(Table2[[#This Row],[Total/EV]]&lt;Table2[[#This Row],[Total/V]],"UNDER","OVER")</f>
        <v>OVER</v>
      </c>
      <c r="AI710" s="26">
        <f>Table2[[#This Row],[SRS/Real]]-Table2[[#This Row],[Spread/V]]</f>
        <v>0</v>
      </c>
      <c r="AJ710" s="2">
        <f>Table2[[#This Row],[EV/Real]]-Table2[[#This Row],[Spread/V]]</f>
        <v>0</v>
      </c>
      <c r="AK710" s="2">
        <f>Table2[[#This Row],[SRS/Diff]]-Table2[[#This Row],[EV/Diff]]</f>
        <v>0</v>
      </c>
      <c r="AL710" s="18">
        <f>Table2[[#This Row],[SRS]]-Table2[[#This Row],[Spread]]</f>
        <v>2.8613114754098343</v>
      </c>
      <c r="AM710" s="21">
        <f>Table2[[#This Row],[(A) Err]]^2</f>
        <v>8.1871033593120028</v>
      </c>
      <c r="AN710" s="6">
        <f>Table2[[#This Row],[EV]]-Table2[[#This Row],[Spread]]</f>
        <v>9.111665875469015</v>
      </c>
      <c r="AO710" s="1">
        <f>Table2[[#This Row],[EV Err]]^2</f>
        <v>83.022455026186535</v>
      </c>
      <c r="AP710" s="1"/>
    </row>
    <row r="711" spans="1:42" x14ac:dyDescent="0.25">
      <c r="A711" s="34">
        <v>42763</v>
      </c>
      <c r="B711" t="s">
        <v>136</v>
      </c>
      <c r="C711" t="s">
        <v>123</v>
      </c>
      <c r="E711" s="21"/>
      <c r="G711" s="21"/>
      <c r="H711" s="7"/>
      <c r="I711" s="21"/>
      <c r="K711"/>
      <c r="L711" s="21">
        <f>(Table2[[#This Row],[H/Pace]]/100)*(VLOOKUP(Table2[[#This Row],[Home/Neutral]],home_lookup,8,FALSE)+VLOOKUP(Table2[[#This Row],[Home/Neutral]],OFR_lookup,2,FALSE)+VLOOKUP(Table2[[#This Row],[Visitor/Neutral]],def_diff_lookup,6,FALSE))</f>
        <v>101.80888534991898</v>
      </c>
      <c r="M711" s="21"/>
      <c r="N711" s="21">
        <f>(Table2[[#This Row],[A/Pace]]/100)*(VLOOKUP(Table2[[#This Row],[Visitor/Neutral]],OFR_lookup,2,FALSE)+VLOOKUP(Table2[[#This Row],[Home/Neutral]],def_diff_lookup,6,FALSE))</f>
        <v>91.857741666666655</v>
      </c>
      <c r="O711" s="21"/>
      <c r="P711" s="21"/>
      <c r="Q711">
        <f>VLOOKUP(Table2[[#This Row],[Home/Neutral]],pace_lookup,7,FALSE)</f>
        <v>91.5</v>
      </c>
      <c r="R711" s="5">
        <f>VLOOKUP(Table2[[#This Row],[Visitor/Neutral]],pace_lookup,7,FALSE)</f>
        <v>92.5</v>
      </c>
      <c r="S711" s="7"/>
      <c r="U711" s="15"/>
      <c r="W711" s="2">
        <f>-home-VLOOKUP(Table2[[#This Row],[Home/Neutral]],rtg_vlookup,4,FALSE)+VLOOKUP(Table2[[#This Row],[Visitor/Neutral]],rtg_vlookup,4,FALSE)</f>
        <v>-6.3486885245901661</v>
      </c>
      <c r="X711" s="15"/>
      <c r="Y711" s="2"/>
      <c r="Z711" s="2">
        <f>Table2[[#This Row],[A/EV]]-Table2[[#This Row],[H/EV]]</f>
        <v>-9.9511436832523259</v>
      </c>
      <c r="AA711" s="29"/>
      <c r="AB711" s="30"/>
      <c r="AC711" s="30"/>
      <c r="AD711" s="30"/>
      <c r="AE711" s="30"/>
      <c r="AF711" s="7" t="b">
        <f>IF(VLOOKUP(Table2[[#This Row],[Home/Neutral]],division_lookup,9,FALSE)=VLOOKUP(Table2[[#This Row],[Visitor/Neutral]],division_lookup,9,FALSE),TRUE,FALSE)</f>
        <v>0</v>
      </c>
      <c r="AG711" s="15" t="str">
        <f>VLOOKUP(Table2[[#This Row],[Home/Neutral]],division_lookup,9,FALSE)</f>
        <v>NW</v>
      </c>
      <c r="AH711" s="15" t="str">
        <f>IF(Table2[[#This Row],[Total/EV]]&lt;Table2[[#This Row],[Total/V]],"UNDER","OVER")</f>
        <v>OVER</v>
      </c>
      <c r="AI711" s="26">
        <f>Table2[[#This Row],[SRS/Real]]-Table2[[#This Row],[Spread/V]]</f>
        <v>0</v>
      </c>
      <c r="AJ711" s="2">
        <f>Table2[[#This Row],[EV/Real]]-Table2[[#This Row],[Spread/V]]</f>
        <v>0</v>
      </c>
      <c r="AK711" s="2">
        <f>Table2[[#This Row],[SRS/Diff]]-Table2[[#This Row],[EV/Diff]]</f>
        <v>0</v>
      </c>
      <c r="AL711" s="18">
        <f>Table2[[#This Row],[SRS]]-Table2[[#This Row],[Spread]]</f>
        <v>-6.3486885245901661</v>
      </c>
      <c r="AM711" s="21">
        <f>Table2[[#This Row],[(A) Err]]^2</f>
        <v>40.305845982262859</v>
      </c>
      <c r="AN711" s="6">
        <f>Table2[[#This Row],[EV]]-Table2[[#This Row],[Spread]]</f>
        <v>-9.9511436832523259</v>
      </c>
      <c r="AO711" s="1">
        <f>Table2[[#This Row],[EV Err]]^2</f>
        <v>99.025260604732665</v>
      </c>
      <c r="AP711" s="1"/>
    </row>
    <row r="712" spans="1:42" x14ac:dyDescent="0.25">
      <c r="A712" s="34">
        <v>42764</v>
      </c>
      <c r="B712" t="s">
        <v>109</v>
      </c>
      <c r="C712" t="s">
        <v>128</v>
      </c>
      <c r="E712" s="21"/>
      <c r="G712" s="21"/>
      <c r="H712" s="7"/>
      <c r="I712" s="21"/>
      <c r="K712"/>
      <c r="L712" s="21">
        <f>(Table2[[#This Row],[H/Pace]]/100)*(VLOOKUP(Table2[[#This Row],[Home/Neutral]],home_lookup,8,FALSE)+VLOOKUP(Table2[[#This Row],[Home/Neutral]],OFR_lookup,2,FALSE)+VLOOKUP(Table2[[#This Row],[Visitor/Neutral]],def_diff_lookup,6,FALSE))</f>
        <v>103.52032660728638</v>
      </c>
      <c r="M712" s="21"/>
      <c r="N712" s="21">
        <f>(Table2[[#This Row],[A/Pace]]/100)*(VLOOKUP(Table2[[#This Row],[Visitor/Neutral]],OFR_lookup,2,FALSE)+VLOOKUP(Table2[[#This Row],[Home/Neutral]],def_diff_lookup,6,FALSE))</f>
        <v>97.326236999999992</v>
      </c>
      <c r="O712" s="21"/>
      <c r="P712" s="21"/>
      <c r="Q712">
        <f>VLOOKUP(Table2[[#This Row],[Home/Neutral]],pace_lookup,7,FALSE)</f>
        <v>99.2</v>
      </c>
      <c r="R712" s="5">
        <f>VLOOKUP(Table2[[#This Row],[Visitor/Neutral]],pace_lookup,7,FALSE)</f>
        <v>96.3</v>
      </c>
      <c r="S712" s="7"/>
      <c r="U712" s="15"/>
      <c r="W712" s="2">
        <f>-home-VLOOKUP(Table2[[#This Row],[Home/Neutral]],rtg_vlookup,4,FALSE)+VLOOKUP(Table2[[#This Row],[Visitor/Neutral]],rtg_vlookup,4,FALSE)</f>
        <v>-6.9186885245901664</v>
      </c>
      <c r="X712" s="15"/>
      <c r="Y712" s="2"/>
      <c r="Z712" s="2">
        <f>Table2[[#This Row],[A/EV]]-Table2[[#This Row],[H/EV]]</f>
        <v>-6.1940896072863865</v>
      </c>
      <c r="AA712" s="29"/>
      <c r="AB712" s="30"/>
      <c r="AC712" s="30"/>
      <c r="AD712" s="30"/>
      <c r="AE712" s="30"/>
      <c r="AF712" s="7" t="b">
        <f>IF(VLOOKUP(Table2[[#This Row],[Home/Neutral]],division_lookup,9,FALSE)=VLOOKUP(Table2[[#This Row],[Visitor/Neutral]],division_lookup,9,FALSE),TRUE,FALSE)</f>
        <v>0</v>
      </c>
      <c r="AG712" s="15" t="str">
        <f>VLOOKUP(Table2[[#This Row],[Home/Neutral]],division_lookup,9,FALSE)</f>
        <v>SE</v>
      </c>
      <c r="AH712" s="15" t="str">
        <f>IF(Table2[[#This Row],[Total/EV]]&lt;Table2[[#This Row],[Total/V]],"UNDER","OVER")</f>
        <v>OVER</v>
      </c>
      <c r="AI712" s="26">
        <f>Table2[[#This Row],[SRS/Real]]-Table2[[#This Row],[Spread/V]]</f>
        <v>0</v>
      </c>
      <c r="AJ712" s="2">
        <f>Table2[[#This Row],[EV/Real]]-Table2[[#This Row],[Spread/V]]</f>
        <v>0</v>
      </c>
      <c r="AK712" s="2">
        <f>Table2[[#This Row],[SRS/Diff]]-Table2[[#This Row],[EV/Diff]]</f>
        <v>0</v>
      </c>
      <c r="AL712" s="18">
        <f>Table2[[#This Row],[SRS]]-Table2[[#This Row],[Spread]]</f>
        <v>-6.9186885245901664</v>
      </c>
      <c r="AM712" s="21">
        <f>Table2[[#This Row],[(A) Err]]^2</f>
        <v>47.868250900295656</v>
      </c>
      <c r="AN712" s="6">
        <f>Table2[[#This Row],[EV]]-Table2[[#This Row],[Spread]]</f>
        <v>-6.1940896072863865</v>
      </c>
      <c r="AO712" s="1">
        <f>Table2[[#This Row],[EV Err]]^2</f>
        <v>38.366746063093224</v>
      </c>
      <c r="AP712" s="1"/>
    </row>
    <row r="713" spans="1:42" x14ac:dyDescent="0.25">
      <c r="A713" s="34">
        <v>42764</v>
      </c>
      <c r="B713" t="s">
        <v>113</v>
      </c>
      <c r="C713" t="s">
        <v>138</v>
      </c>
      <c r="E713" s="21"/>
      <c r="G713" s="21"/>
      <c r="H713" s="7"/>
      <c r="I713" s="21"/>
      <c r="K713"/>
      <c r="L713" s="21">
        <f>(Table2[[#This Row],[H/Pace]]/100)*(VLOOKUP(Table2[[#This Row],[Home/Neutral]],home_lookup,8,FALSE)+VLOOKUP(Table2[[#This Row],[Home/Neutral]],OFR_lookup,2,FALSE)+VLOOKUP(Table2[[#This Row],[Visitor/Neutral]],def_diff_lookup,6,FALSE))</f>
        <v>110.7736938801628</v>
      </c>
      <c r="M713" s="21"/>
      <c r="N713" s="21">
        <f>(Table2[[#This Row],[A/Pace]]/100)*(VLOOKUP(Table2[[#This Row],[Visitor/Neutral]],OFR_lookup,2,FALSE)+VLOOKUP(Table2[[#This Row],[Home/Neutral]],def_diff_lookup,6,FALSE))</f>
        <v>95.848024999999993</v>
      </c>
      <c r="O713" s="21"/>
      <c r="P713" s="21"/>
      <c r="Q713">
        <f>VLOOKUP(Table2[[#This Row],[Home/Neutral]],pace_lookup,7,FALSE)</f>
        <v>95.1</v>
      </c>
      <c r="R713" s="5">
        <f>VLOOKUP(Table2[[#This Row],[Visitor/Neutral]],pace_lookup,7,FALSE)</f>
        <v>97.5</v>
      </c>
      <c r="S713" s="7"/>
      <c r="U713" s="15"/>
      <c r="W713" s="2">
        <f>-home-VLOOKUP(Table2[[#This Row],[Home/Neutral]],rtg_vlookup,4,FALSE)+VLOOKUP(Table2[[#This Row],[Visitor/Neutral]],rtg_vlookup,4,FALSE)</f>
        <v>-17.058688524590167</v>
      </c>
      <c r="X713" s="15"/>
      <c r="Y713" s="2"/>
      <c r="Z713" s="2">
        <f>Table2[[#This Row],[A/EV]]-Table2[[#This Row],[H/EV]]</f>
        <v>-14.925668880162803</v>
      </c>
      <c r="AA713" s="29"/>
      <c r="AB713" s="30"/>
      <c r="AC713" s="30"/>
      <c r="AD713" s="30"/>
      <c r="AE713" s="30"/>
      <c r="AF713" s="7" t="b">
        <f>IF(VLOOKUP(Table2[[#This Row],[Home/Neutral]],division_lookup,9,FALSE)=VLOOKUP(Table2[[#This Row],[Visitor/Neutral]],division_lookup,9,FALSE),TRUE,FALSE)</f>
        <v>0</v>
      </c>
      <c r="AG713" s="15" t="str">
        <f>VLOOKUP(Table2[[#This Row],[Home/Neutral]],division_lookup,9,FALSE)</f>
        <v>C</v>
      </c>
      <c r="AH713" s="15" t="str">
        <f>IF(Table2[[#This Row],[Total/EV]]&lt;Table2[[#This Row],[Total/V]],"UNDER","OVER")</f>
        <v>OVER</v>
      </c>
      <c r="AI713" s="26">
        <f>Table2[[#This Row],[SRS/Real]]-Table2[[#This Row],[Spread/V]]</f>
        <v>0</v>
      </c>
      <c r="AJ713" s="2">
        <f>Table2[[#This Row],[EV/Real]]-Table2[[#This Row],[Spread/V]]</f>
        <v>0</v>
      </c>
      <c r="AK713" s="2">
        <f>Table2[[#This Row],[SRS/Diff]]-Table2[[#This Row],[EV/Diff]]</f>
        <v>0</v>
      </c>
      <c r="AL713" s="18">
        <f>Table2[[#This Row],[SRS]]-Table2[[#This Row],[Spread]]</f>
        <v>-17.058688524590167</v>
      </c>
      <c r="AM713" s="21">
        <f>Table2[[#This Row],[(A) Err]]^2</f>
        <v>290.99885417898423</v>
      </c>
      <c r="AN713" s="6">
        <f>Table2[[#This Row],[EV]]-Table2[[#This Row],[Spread]]</f>
        <v>-14.925668880162803</v>
      </c>
      <c r="AO713" s="1">
        <f>Table2[[#This Row],[EV Err]]^2</f>
        <v>222.77559152026035</v>
      </c>
      <c r="AP713" s="1"/>
    </row>
    <row r="714" spans="1:42" x14ac:dyDescent="0.25">
      <c r="A714" s="34">
        <v>42764</v>
      </c>
      <c r="B714" t="s">
        <v>114</v>
      </c>
      <c r="C714" t="s">
        <v>129</v>
      </c>
      <c r="E714" s="21"/>
      <c r="G714" s="21"/>
      <c r="H714" s="7"/>
      <c r="I714" s="21"/>
      <c r="K714"/>
      <c r="L714" s="21">
        <f>(Table2[[#This Row],[H/Pace]]/100)*(VLOOKUP(Table2[[#This Row],[Home/Neutral]],home_lookup,8,FALSE)+VLOOKUP(Table2[[#This Row],[Home/Neutral]],OFR_lookup,2,FALSE)+VLOOKUP(Table2[[#This Row],[Visitor/Neutral]],def_diff_lookup,6,FALSE))</f>
        <v>112.41245276756467</v>
      </c>
      <c r="M714" s="21"/>
      <c r="N714" s="21">
        <f>(Table2[[#This Row],[A/Pace]]/100)*(VLOOKUP(Table2[[#This Row],[Visitor/Neutral]],OFR_lookup,2,FALSE)+VLOOKUP(Table2[[#This Row],[Home/Neutral]],def_diff_lookup,6,FALSE))</f>
        <v>104.65850999999999</v>
      </c>
      <c r="O714" s="21"/>
      <c r="P714" s="21"/>
      <c r="Q714">
        <f>VLOOKUP(Table2[[#This Row],[Home/Neutral]],pace_lookup,7,FALSE)</f>
        <v>97.3</v>
      </c>
      <c r="R714" s="5">
        <f>VLOOKUP(Table2[[#This Row],[Visitor/Neutral]],pace_lookup,7,FALSE)</f>
        <v>99</v>
      </c>
      <c r="S714" s="7"/>
      <c r="U714" s="15"/>
      <c r="W714" s="2">
        <f>-home-VLOOKUP(Table2[[#This Row],[Home/Neutral]],rtg_vlookup,4,FALSE)+VLOOKUP(Table2[[#This Row],[Visitor/Neutral]],rtg_vlookup,4,FALSE)</f>
        <v>-9.9186885245901664</v>
      </c>
      <c r="X714" s="15"/>
      <c r="Y714" s="2"/>
      <c r="Z714" s="2">
        <f>Table2[[#This Row],[A/EV]]-Table2[[#This Row],[H/EV]]</f>
        <v>-7.7539427675646806</v>
      </c>
      <c r="AA714" s="29"/>
      <c r="AB714" s="30"/>
      <c r="AC714" s="30"/>
      <c r="AD714" s="30"/>
      <c r="AE714" s="30"/>
      <c r="AF714" s="7" t="b">
        <f>IF(VLOOKUP(Table2[[#This Row],[Home/Neutral]],division_lookup,9,FALSE)=VLOOKUP(Table2[[#This Row],[Visitor/Neutral]],division_lookup,9,FALSE),TRUE,FALSE)</f>
        <v>0</v>
      </c>
      <c r="AG714" s="15" t="str">
        <f>VLOOKUP(Table2[[#This Row],[Home/Neutral]],division_lookup,9,FALSE)</f>
        <v>C</v>
      </c>
      <c r="AH714" s="15" t="str">
        <f>IF(Table2[[#This Row],[Total/EV]]&lt;Table2[[#This Row],[Total/V]],"UNDER","OVER")</f>
        <v>OVER</v>
      </c>
      <c r="AI714" s="26">
        <f>Table2[[#This Row],[SRS/Real]]-Table2[[#This Row],[Spread/V]]</f>
        <v>0</v>
      </c>
      <c r="AJ714" s="2">
        <f>Table2[[#This Row],[EV/Real]]-Table2[[#This Row],[Spread/V]]</f>
        <v>0</v>
      </c>
      <c r="AK714" s="2">
        <f>Table2[[#This Row],[SRS/Diff]]-Table2[[#This Row],[EV/Diff]]</f>
        <v>0</v>
      </c>
      <c r="AL714" s="18">
        <f>Table2[[#This Row],[SRS]]-Table2[[#This Row],[Spread]]</f>
        <v>-9.9186885245901664</v>
      </c>
      <c r="AM714" s="21">
        <f>Table2[[#This Row],[(A) Err]]^2</f>
        <v>98.380382047836648</v>
      </c>
      <c r="AN714" s="6">
        <f>Table2[[#This Row],[EV]]-Table2[[#This Row],[Spread]]</f>
        <v>-7.7539427675646806</v>
      </c>
      <c r="AO714" s="1">
        <f>Table2[[#This Row],[EV Err]]^2</f>
        <v>60.123628442668618</v>
      </c>
      <c r="AP714" s="1"/>
    </row>
    <row r="715" spans="1:42" x14ac:dyDescent="0.25">
      <c r="A715" s="34">
        <v>42764</v>
      </c>
      <c r="B715" t="s">
        <v>120</v>
      </c>
      <c r="C715" t="s">
        <v>119</v>
      </c>
      <c r="E715" s="21"/>
      <c r="G715" s="21"/>
      <c r="H715" s="7"/>
      <c r="I715" s="21"/>
      <c r="K715"/>
      <c r="L715" s="21">
        <f>(Table2[[#This Row],[H/Pace]]/100)*(VLOOKUP(Table2[[#This Row],[Home/Neutral]],home_lookup,8,FALSE)+VLOOKUP(Table2[[#This Row],[Home/Neutral]],OFR_lookup,2,FALSE)+VLOOKUP(Table2[[#This Row],[Visitor/Neutral]],def_diff_lookup,6,FALSE))</f>
        <v>108.65949542930861</v>
      </c>
      <c r="M715" s="21"/>
      <c r="N715" s="21">
        <f>(Table2[[#This Row],[A/Pace]]/100)*(VLOOKUP(Table2[[#This Row],[Visitor/Neutral]],OFR_lookup,2,FALSE)+VLOOKUP(Table2[[#This Row],[Home/Neutral]],def_diff_lookup,6,FALSE))</f>
        <v>111.256381</v>
      </c>
      <c r="O715" s="21"/>
      <c r="P715" s="21"/>
      <c r="Q715">
        <f>VLOOKUP(Table2[[#This Row],[Home/Neutral]],pace_lookup,7,FALSE)</f>
        <v>98.3</v>
      </c>
      <c r="R715" s="5">
        <f>VLOOKUP(Table2[[#This Row],[Visitor/Neutral]],pace_lookup,7,FALSE)</f>
        <v>96.9</v>
      </c>
      <c r="S715" s="7"/>
      <c r="U715" s="15"/>
      <c r="W715" s="2">
        <f>-home-VLOOKUP(Table2[[#This Row],[Home/Neutral]],rtg_vlookup,4,FALSE)+VLOOKUP(Table2[[#This Row],[Visitor/Neutral]],rtg_vlookup,4,FALSE)</f>
        <v>5.601311475409835</v>
      </c>
      <c r="X715" s="15"/>
      <c r="Y715" s="2"/>
      <c r="Z715" s="2">
        <f>Table2[[#This Row],[A/EV]]-Table2[[#This Row],[H/EV]]</f>
        <v>2.5968855706913985</v>
      </c>
      <c r="AA715" s="29"/>
      <c r="AB715" s="30"/>
      <c r="AC715" s="30"/>
      <c r="AD715" s="30"/>
      <c r="AE715" s="30"/>
      <c r="AF715" s="7" t="b">
        <f>IF(VLOOKUP(Table2[[#This Row],[Home/Neutral]],division_lookup,9,FALSE)=VLOOKUP(Table2[[#This Row],[Visitor/Neutral]],division_lookup,9,FALSE),TRUE,FALSE)</f>
        <v>0</v>
      </c>
      <c r="AG715" s="15" t="str">
        <f>VLOOKUP(Table2[[#This Row],[Home/Neutral]],division_lookup,9,FALSE)</f>
        <v>C</v>
      </c>
      <c r="AH715" s="15" t="str">
        <f>IF(Table2[[#This Row],[Total/EV]]&lt;Table2[[#This Row],[Total/V]],"UNDER","OVER")</f>
        <v>OVER</v>
      </c>
      <c r="AI715" s="26">
        <f>Table2[[#This Row],[SRS/Real]]-Table2[[#This Row],[Spread/V]]</f>
        <v>0</v>
      </c>
      <c r="AJ715" s="2">
        <f>Table2[[#This Row],[EV/Real]]-Table2[[#This Row],[Spread/V]]</f>
        <v>0</v>
      </c>
      <c r="AK715" s="2">
        <f>Table2[[#This Row],[SRS/Diff]]-Table2[[#This Row],[EV/Diff]]</f>
        <v>0</v>
      </c>
      <c r="AL715" s="18">
        <f>Table2[[#This Row],[SRS]]-Table2[[#This Row],[Spread]]</f>
        <v>5.601311475409835</v>
      </c>
      <c r="AM715" s="21">
        <f>Table2[[#This Row],[(A) Err]]^2</f>
        <v>31.374690244557904</v>
      </c>
      <c r="AN715" s="6">
        <f>Table2[[#This Row],[EV]]-Table2[[#This Row],[Spread]]</f>
        <v>2.5968855706913985</v>
      </c>
      <c r="AO715" s="1">
        <f>Table2[[#This Row],[EV Err]]^2</f>
        <v>6.7438146672651902</v>
      </c>
      <c r="AP715" s="1"/>
    </row>
    <row r="716" spans="1:42" x14ac:dyDescent="0.25">
      <c r="A716" s="34">
        <v>42764</v>
      </c>
      <c r="B716" t="s">
        <v>127</v>
      </c>
      <c r="C716" t="s">
        <v>137</v>
      </c>
      <c r="E716" s="21"/>
      <c r="G716" s="21"/>
      <c r="H716" s="7"/>
      <c r="I716" s="21"/>
      <c r="K716"/>
      <c r="L716" s="21">
        <f>(Table2[[#This Row],[H/Pace]]/100)*(VLOOKUP(Table2[[#This Row],[Home/Neutral]],home_lookup,8,FALSE)+VLOOKUP(Table2[[#This Row],[Home/Neutral]],OFR_lookup,2,FALSE)+VLOOKUP(Table2[[#This Row],[Visitor/Neutral]],def_diff_lookup,6,FALSE))</f>
        <v>106.16493493743047</v>
      </c>
      <c r="M716" s="21"/>
      <c r="N716" s="21">
        <f>(Table2[[#This Row],[A/Pace]]/100)*(VLOOKUP(Table2[[#This Row],[Visitor/Neutral]],OFR_lookup,2,FALSE)+VLOOKUP(Table2[[#This Row],[Home/Neutral]],def_diff_lookup,6,FALSE))</f>
        <v>101.64063999999999</v>
      </c>
      <c r="O716" s="21"/>
      <c r="P716" s="21"/>
      <c r="Q716">
        <f>VLOOKUP(Table2[[#This Row],[Home/Neutral]],pace_lookup,7,FALSE)</f>
        <v>99.3</v>
      </c>
      <c r="R716" s="5">
        <f>VLOOKUP(Table2[[#This Row],[Visitor/Neutral]],pace_lookup,7,FALSE)</f>
        <v>96</v>
      </c>
      <c r="S716" s="7"/>
      <c r="U716" s="15"/>
      <c r="W716" s="2">
        <f>-home-VLOOKUP(Table2[[#This Row],[Home/Neutral]],rtg_vlookup,4,FALSE)+VLOOKUP(Table2[[#This Row],[Visitor/Neutral]],rtg_vlookup,4,FALSE)</f>
        <v>-3.1086885245901654</v>
      </c>
      <c r="X716" s="15"/>
      <c r="Y716" s="2"/>
      <c r="Z716" s="2">
        <f>Table2[[#This Row],[A/EV]]-Table2[[#This Row],[H/EV]]</f>
        <v>-4.5242949374304828</v>
      </c>
      <c r="AA716" s="29"/>
      <c r="AB716" s="30"/>
      <c r="AC716" s="30"/>
      <c r="AD716" s="30"/>
      <c r="AE716" s="30"/>
      <c r="AF716" s="7" t="b">
        <f>IF(VLOOKUP(Table2[[#This Row],[Home/Neutral]],division_lookup,9,FALSE)=VLOOKUP(Table2[[#This Row],[Visitor/Neutral]],division_lookup,9,FALSE),TRUE,FALSE)</f>
        <v>0</v>
      </c>
      <c r="AG716" s="15" t="str">
        <f>VLOOKUP(Table2[[#This Row],[Home/Neutral]],division_lookup,9,FALSE)</f>
        <v>SW</v>
      </c>
      <c r="AH716" s="15" t="str">
        <f>IF(Table2[[#This Row],[Total/EV]]&lt;Table2[[#This Row],[Total/V]],"UNDER","OVER")</f>
        <v>OVER</v>
      </c>
      <c r="AI716" s="26">
        <f>Table2[[#This Row],[SRS/Real]]-Table2[[#This Row],[Spread/V]]</f>
        <v>0</v>
      </c>
      <c r="AJ716" s="2">
        <f>Table2[[#This Row],[EV/Real]]-Table2[[#This Row],[Spread/V]]</f>
        <v>0</v>
      </c>
      <c r="AK716" s="2">
        <f>Table2[[#This Row],[SRS/Diff]]-Table2[[#This Row],[EV/Diff]]</f>
        <v>0</v>
      </c>
      <c r="AL716" s="18">
        <f>Table2[[#This Row],[SRS]]-Table2[[#This Row],[Spread]]</f>
        <v>-3.1086885245901654</v>
      </c>
      <c r="AM716" s="21">
        <f>Table2[[#This Row],[(A) Err]]^2</f>
        <v>9.6639443429185796</v>
      </c>
      <c r="AN716" s="6">
        <f>Table2[[#This Row],[EV]]-Table2[[#This Row],[Spread]]</f>
        <v>-4.5242949374304828</v>
      </c>
      <c r="AO716" s="1">
        <f>Table2[[#This Row],[EV Err]]^2</f>
        <v>20.469244680859095</v>
      </c>
      <c r="AP716" s="1"/>
    </row>
    <row r="717" spans="1:42" x14ac:dyDescent="0.25">
      <c r="A717" s="34">
        <v>42764</v>
      </c>
      <c r="B717" t="s">
        <v>132</v>
      </c>
      <c r="C717" t="s">
        <v>118</v>
      </c>
      <c r="E717" s="21"/>
      <c r="G717" s="21"/>
      <c r="H717" s="7"/>
      <c r="I717" s="21"/>
      <c r="K717"/>
      <c r="L717" s="21">
        <f>(Table2[[#This Row],[H/Pace]]/100)*(VLOOKUP(Table2[[#This Row],[Home/Neutral]],home_lookup,8,FALSE)+VLOOKUP(Table2[[#This Row],[Home/Neutral]],OFR_lookup,2,FALSE)+VLOOKUP(Table2[[#This Row],[Visitor/Neutral]],def_diff_lookup,6,FALSE))</f>
        <v>107.8483014460698</v>
      </c>
      <c r="M717" s="21"/>
      <c r="N717" s="21">
        <f>(Table2[[#This Row],[A/Pace]]/100)*(VLOOKUP(Table2[[#This Row],[Visitor/Neutral]],OFR_lookup,2,FALSE)+VLOOKUP(Table2[[#This Row],[Home/Neutral]],def_diff_lookup,6,FALSE))</f>
        <v>122.94548933333333</v>
      </c>
      <c r="O717" s="21"/>
      <c r="P717" s="21"/>
      <c r="Q717">
        <f>VLOOKUP(Table2[[#This Row],[Home/Neutral]],pace_lookup,7,FALSE)</f>
        <v>98.8</v>
      </c>
      <c r="R717" s="5">
        <f>VLOOKUP(Table2[[#This Row],[Visitor/Neutral]],pace_lookup,7,FALSE)</f>
        <v>100.4</v>
      </c>
      <c r="S717" s="7"/>
      <c r="U717" s="15"/>
      <c r="W717" s="2">
        <f>-home-VLOOKUP(Table2[[#This Row],[Home/Neutral]],rtg_vlookup,4,FALSE)+VLOOKUP(Table2[[#This Row],[Visitor/Neutral]],rtg_vlookup,4,FALSE)</f>
        <v>11.081311475409834</v>
      </c>
      <c r="X717" s="15"/>
      <c r="Y717" s="2"/>
      <c r="Z717" s="2">
        <f>Table2[[#This Row],[A/EV]]-Table2[[#This Row],[H/EV]]</f>
        <v>15.09718788726353</v>
      </c>
      <c r="AA717" s="29"/>
      <c r="AB717" s="30"/>
      <c r="AC717" s="30"/>
      <c r="AD717" s="30"/>
      <c r="AE717" s="30"/>
      <c r="AF717" s="7" t="b">
        <f>IF(VLOOKUP(Table2[[#This Row],[Home/Neutral]],division_lookup,9,FALSE)=VLOOKUP(Table2[[#This Row],[Visitor/Neutral]],division_lookup,9,FALSE),TRUE,FALSE)</f>
        <v>0</v>
      </c>
      <c r="AG717" s="15" t="str">
        <f>VLOOKUP(Table2[[#This Row],[Home/Neutral]],division_lookup,9,FALSE)</f>
        <v>NW</v>
      </c>
      <c r="AH717" s="15" t="str">
        <f>IF(Table2[[#This Row],[Total/EV]]&lt;Table2[[#This Row],[Total/V]],"UNDER","OVER")</f>
        <v>OVER</v>
      </c>
      <c r="AI717" s="26">
        <f>Table2[[#This Row],[SRS/Real]]-Table2[[#This Row],[Spread/V]]</f>
        <v>0</v>
      </c>
      <c r="AJ717" s="2">
        <f>Table2[[#This Row],[EV/Real]]-Table2[[#This Row],[Spread/V]]</f>
        <v>0</v>
      </c>
      <c r="AK717" s="2">
        <f>Table2[[#This Row],[SRS/Diff]]-Table2[[#This Row],[EV/Diff]]</f>
        <v>0</v>
      </c>
      <c r="AL717" s="18">
        <f>Table2[[#This Row],[SRS]]-Table2[[#This Row],[Spread]]</f>
        <v>11.081311475409834</v>
      </c>
      <c r="AM717" s="21">
        <f>Table2[[#This Row],[(A) Err]]^2</f>
        <v>122.79546401504966</v>
      </c>
      <c r="AN717" s="6">
        <f>Table2[[#This Row],[EV]]-Table2[[#This Row],[Spread]]</f>
        <v>15.09718788726353</v>
      </c>
      <c r="AO717" s="1">
        <f>Table2[[#This Row],[EV Err]]^2</f>
        <v>227.92508210333665</v>
      </c>
      <c r="AP717" s="1"/>
    </row>
    <row r="718" spans="1:42" x14ac:dyDescent="0.25">
      <c r="A718" s="34">
        <v>42764</v>
      </c>
      <c r="B718" t="s">
        <v>134</v>
      </c>
      <c r="C718" t="s">
        <v>115</v>
      </c>
      <c r="E718" s="21"/>
      <c r="G718" s="21"/>
      <c r="H718" s="7"/>
      <c r="I718" s="21"/>
      <c r="K718"/>
      <c r="L718" s="21">
        <f>(Table2[[#This Row],[H/Pace]]/100)*(VLOOKUP(Table2[[#This Row],[Home/Neutral]],home_lookup,8,FALSE)+VLOOKUP(Table2[[#This Row],[Home/Neutral]],OFR_lookup,2,FALSE)+VLOOKUP(Table2[[#This Row],[Visitor/Neutral]],def_diff_lookup,6,FALSE))</f>
        <v>100.01967343638194</v>
      </c>
      <c r="M718" s="21"/>
      <c r="N718" s="21">
        <f>(Table2[[#This Row],[A/Pace]]/100)*(VLOOKUP(Table2[[#This Row],[Visitor/Neutral]],OFR_lookup,2,FALSE)+VLOOKUP(Table2[[#This Row],[Home/Neutral]],def_diff_lookup,6,FALSE))</f>
        <v>88.938434333333348</v>
      </c>
      <c r="O718" s="21"/>
      <c r="P718" s="21"/>
      <c r="Q718">
        <f>VLOOKUP(Table2[[#This Row],[Home/Neutral]],pace_lookup,7,FALSE)</f>
        <v>93.4</v>
      </c>
      <c r="R718" s="5">
        <f>VLOOKUP(Table2[[#This Row],[Visitor/Neutral]],pace_lookup,7,FALSE)</f>
        <v>92.9</v>
      </c>
      <c r="S718" s="7"/>
      <c r="U718" s="15"/>
      <c r="W718" s="2">
        <f>-home-VLOOKUP(Table2[[#This Row],[Home/Neutral]],rtg_vlookup,4,FALSE)+VLOOKUP(Table2[[#This Row],[Visitor/Neutral]],rtg_vlookup,4,FALSE)</f>
        <v>-19.028688524590166</v>
      </c>
      <c r="X718" s="15"/>
      <c r="Y718" s="2"/>
      <c r="Z718" s="2">
        <f>Table2[[#This Row],[A/EV]]-Table2[[#This Row],[H/EV]]</f>
        <v>-11.081239103048588</v>
      </c>
      <c r="AA718" s="29"/>
      <c r="AB718" s="30"/>
      <c r="AC718" s="30"/>
      <c r="AD718" s="30"/>
      <c r="AE718" s="30"/>
      <c r="AF718" s="7" t="b">
        <f>IF(VLOOKUP(Table2[[#This Row],[Home/Neutral]],division_lookup,9,FALSE)=VLOOKUP(Table2[[#This Row],[Visitor/Neutral]],division_lookup,9,FALSE),TRUE,FALSE)</f>
        <v>1</v>
      </c>
      <c r="AG718" s="15" t="str">
        <f>VLOOKUP(Table2[[#This Row],[Home/Neutral]],division_lookup,9,FALSE)</f>
        <v>SW</v>
      </c>
      <c r="AH718" s="15" t="str">
        <f>IF(Table2[[#This Row],[Total/EV]]&lt;Table2[[#This Row],[Total/V]],"UNDER","OVER")</f>
        <v>OVER</v>
      </c>
      <c r="AI718" s="26">
        <f>Table2[[#This Row],[SRS/Real]]-Table2[[#This Row],[Spread/V]]</f>
        <v>0</v>
      </c>
      <c r="AJ718" s="2">
        <f>Table2[[#This Row],[EV/Real]]-Table2[[#This Row],[Spread/V]]</f>
        <v>0</v>
      </c>
      <c r="AK718" s="2">
        <f>Table2[[#This Row],[SRS/Diff]]-Table2[[#This Row],[EV/Diff]]</f>
        <v>0</v>
      </c>
      <c r="AL718" s="18">
        <f>Table2[[#This Row],[SRS]]-Table2[[#This Row],[Spread]]</f>
        <v>-19.028688524590166</v>
      </c>
      <c r="AM718" s="21">
        <f>Table2[[#This Row],[(A) Err]]^2</f>
        <v>362.09098696586943</v>
      </c>
      <c r="AN718" s="6">
        <f>Table2[[#This Row],[EV]]-Table2[[#This Row],[Spread]]</f>
        <v>-11.081239103048588</v>
      </c>
      <c r="AO718" s="1">
        <f>Table2[[#This Row],[EV Err]]^2</f>
        <v>122.79386005893308</v>
      </c>
      <c r="AP718" s="1"/>
    </row>
    <row r="719" spans="1:42" x14ac:dyDescent="0.25">
      <c r="A719" s="34">
        <v>42764</v>
      </c>
      <c r="B719" t="s">
        <v>135</v>
      </c>
      <c r="C719" t="s">
        <v>130</v>
      </c>
      <c r="E719" s="21"/>
      <c r="G719" s="21"/>
      <c r="H719" s="7"/>
      <c r="I719" s="21"/>
      <c r="K719"/>
      <c r="L719" s="21">
        <f>(Table2[[#This Row],[H/Pace]]/100)*(VLOOKUP(Table2[[#This Row],[Home/Neutral]],home_lookup,8,FALSE)+VLOOKUP(Table2[[#This Row],[Home/Neutral]],OFR_lookup,2,FALSE)+VLOOKUP(Table2[[#This Row],[Visitor/Neutral]],def_diff_lookup,6,FALSE))</f>
        <v>109.47774035324613</v>
      </c>
      <c r="M719" s="21"/>
      <c r="N719" s="21">
        <f>(Table2[[#This Row],[A/Pace]]/100)*(VLOOKUP(Table2[[#This Row],[Visitor/Neutral]],OFR_lookup,2,FALSE)+VLOOKUP(Table2[[#This Row],[Home/Neutral]],def_diff_lookup,6,FALSE))</f>
        <v>92.999578</v>
      </c>
      <c r="O719" s="21"/>
      <c r="P719" s="21"/>
      <c r="Q719">
        <f>VLOOKUP(Table2[[#This Row],[Home/Neutral]],pace_lookup,7,FALSE)</f>
        <v>95.4</v>
      </c>
      <c r="R719" s="5">
        <f>VLOOKUP(Table2[[#This Row],[Visitor/Neutral]],pace_lookup,7,FALSE)</f>
        <v>94.2</v>
      </c>
      <c r="S719" s="7"/>
      <c r="U719" s="15"/>
      <c r="W719" s="2">
        <f>-home-VLOOKUP(Table2[[#This Row],[Home/Neutral]],rtg_vlookup,4,FALSE)+VLOOKUP(Table2[[#This Row],[Visitor/Neutral]],rtg_vlookup,4,FALSE)</f>
        <v>-17.348688524590166</v>
      </c>
      <c r="X719" s="15"/>
      <c r="Y719" s="2"/>
      <c r="Z719" s="2">
        <f>Table2[[#This Row],[A/EV]]-Table2[[#This Row],[H/EV]]</f>
        <v>-16.478162353246134</v>
      </c>
      <c r="AA719" s="29"/>
      <c r="AB719" s="30"/>
      <c r="AC719" s="30"/>
      <c r="AD719" s="30"/>
      <c r="AE719" s="30"/>
      <c r="AF719" s="7" t="b">
        <f>IF(VLOOKUP(Table2[[#This Row],[Home/Neutral]],division_lookup,9,FALSE)=VLOOKUP(Table2[[#This Row],[Visitor/Neutral]],division_lookup,9,FALSE),TRUE,FALSE)</f>
        <v>0</v>
      </c>
      <c r="AG719" s="15" t="str">
        <f>VLOOKUP(Table2[[#This Row],[Home/Neutral]],division_lookup,9,FALSE)</f>
        <v>A</v>
      </c>
      <c r="AH719" s="15" t="str">
        <f>IF(Table2[[#This Row],[Total/EV]]&lt;Table2[[#This Row],[Total/V]],"UNDER","OVER")</f>
        <v>OVER</v>
      </c>
      <c r="AI719" s="26">
        <f>Table2[[#This Row],[SRS/Real]]-Table2[[#This Row],[Spread/V]]</f>
        <v>0</v>
      </c>
      <c r="AJ719" s="2">
        <f>Table2[[#This Row],[EV/Real]]-Table2[[#This Row],[Spread/V]]</f>
        <v>0</v>
      </c>
      <c r="AK719" s="2">
        <f>Table2[[#This Row],[SRS/Diff]]-Table2[[#This Row],[EV/Diff]]</f>
        <v>0</v>
      </c>
      <c r="AL719" s="18">
        <f>Table2[[#This Row],[SRS]]-Table2[[#This Row],[Spread]]</f>
        <v>-17.348688524590166</v>
      </c>
      <c r="AM719" s="21">
        <f>Table2[[#This Row],[(A) Err]]^2</f>
        <v>300.97699352324651</v>
      </c>
      <c r="AN719" s="6">
        <f>Table2[[#This Row],[EV]]-Table2[[#This Row],[Spread]]</f>
        <v>-16.478162353246134</v>
      </c>
      <c r="AO719" s="1">
        <f>Table2[[#This Row],[EV Err]]^2</f>
        <v>271.52983453993818</v>
      </c>
      <c r="AP719" s="1"/>
    </row>
    <row r="720" spans="1:42" x14ac:dyDescent="0.25">
      <c r="A720" s="34">
        <v>42765</v>
      </c>
      <c r="B720" t="s">
        <v>110</v>
      </c>
      <c r="C720" t="s">
        <v>117</v>
      </c>
      <c r="E720" s="21"/>
      <c r="G720" s="21"/>
      <c r="H720" s="7"/>
      <c r="I720" s="21"/>
      <c r="K720"/>
      <c r="L720" s="21">
        <f>(Table2[[#This Row],[H/Pace]]/100)*(VLOOKUP(Table2[[#This Row],[Home/Neutral]],home_lookup,8,FALSE)+VLOOKUP(Table2[[#This Row],[Home/Neutral]],OFR_lookup,2,FALSE)+VLOOKUP(Table2[[#This Row],[Visitor/Neutral]],def_diff_lookup,6,FALSE))</f>
        <v>102.01127118900939</v>
      </c>
      <c r="M720" s="21"/>
      <c r="N720" s="21">
        <f>(Table2[[#This Row],[A/Pace]]/100)*(VLOOKUP(Table2[[#This Row],[Visitor/Neutral]],OFR_lookup,2,FALSE)+VLOOKUP(Table2[[#This Row],[Home/Neutral]],def_diff_lookup,6,FALSE))</f>
        <v>98.742926666666662</v>
      </c>
      <c r="O720" s="21"/>
      <c r="P720" s="21"/>
      <c r="Q720">
        <f>VLOOKUP(Table2[[#This Row],[Home/Neutral]],pace_lookup,7,FALSE)</f>
        <v>96.2</v>
      </c>
      <c r="R720" s="5">
        <f>VLOOKUP(Table2[[#This Row],[Visitor/Neutral]],pace_lookup,7,FALSE)</f>
        <v>94</v>
      </c>
      <c r="S720" s="7"/>
      <c r="U720" s="15"/>
      <c r="W720" s="2">
        <f>-home-VLOOKUP(Table2[[#This Row],[Home/Neutral]],rtg_vlookup,4,FALSE)+VLOOKUP(Table2[[#This Row],[Visitor/Neutral]],rtg_vlookup,4,FALSE)</f>
        <v>-1.6886885245901657</v>
      </c>
      <c r="X720" s="15"/>
      <c r="Y720" s="2"/>
      <c r="Z720" s="2">
        <f>Table2[[#This Row],[A/EV]]-Table2[[#This Row],[H/EV]]</f>
        <v>-3.2683445223427299</v>
      </c>
      <c r="AA720" s="29"/>
      <c r="AB720" s="30"/>
      <c r="AC720" s="30"/>
      <c r="AD720" s="30"/>
      <c r="AE720" s="30"/>
      <c r="AF720" s="7" t="b">
        <f>IF(VLOOKUP(Table2[[#This Row],[Home/Neutral]],division_lookup,9,FALSE)=VLOOKUP(Table2[[#This Row],[Visitor/Neutral]],division_lookup,9,FALSE),TRUE,FALSE)</f>
        <v>0</v>
      </c>
      <c r="AG720" s="15" t="str">
        <f>VLOOKUP(Table2[[#This Row],[Home/Neutral]],division_lookup,9,FALSE)</f>
        <v>A</v>
      </c>
      <c r="AH720" s="15" t="str">
        <f>IF(Table2[[#This Row],[Total/EV]]&lt;Table2[[#This Row],[Total/V]],"UNDER","OVER")</f>
        <v>OVER</v>
      </c>
      <c r="AI720" s="26">
        <f>Table2[[#This Row],[SRS/Real]]-Table2[[#This Row],[Spread/V]]</f>
        <v>0</v>
      </c>
      <c r="AJ720" s="2">
        <f>Table2[[#This Row],[EV/Real]]-Table2[[#This Row],[Spread/V]]</f>
        <v>0</v>
      </c>
      <c r="AK720" s="2">
        <f>Table2[[#This Row],[SRS/Diff]]-Table2[[#This Row],[EV/Diff]]</f>
        <v>0</v>
      </c>
      <c r="AL720" s="18">
        <f>Table2[[#This Row],[SRS]]-Table2[[#This Row],[Spread]]</f>
        <v>-1.6886885245901657</v>
      </c>
      <c r="AM720" s="21">
        <f>Table2[[#This Row],[(A) Err]]^2</f>
        <v>2.8516689330825109</v>
      </c>
      <c r="AN720" s="6">
        <f>Table2[[#This Row],[EV]]-Table2[[#This Row],[Spread]]</f>
        <v>-3.2683445223427299</v>
      </c>
      <c r="AO720" s="1">
        <f>Table2[[#This Row],[EV Err]]^2</f>
        <v>10.682075916727728</v>
      </c>
      <c r="AP720" s="1"/>
    </row>
    <row r="721" spans="1:42" x14ac:dyDescent="0.25">
      <c r="A721" s="34">
        <v>42765</v>
      </c>
      <c r="B721" t="s">
        <v>115</v>
      </c>
      <c r="C721" t="s">
        <v>114</v>
      </c>
      <c r="E721" s="21"/>
      <c r="G721" s="21"/>
      <c r="H721" s="7"/>
      <c r="I721" s="21"/>
      <c r="K721"/>
      <c r="L721" s="21">
        <f>(Table2[[#This Row],[H/Pace]]/100)*(VLOOKUP(Table2[[#This Row],[Home/Neutral]],home_lookup,8,FALSE)+VLOOKUP(Table2[[#This Row],[Home/Neutral]],OFR_lookup,2,FALSE)+VLOOKUP(Table2[[#This Row],[Visitor/Neutral]],def_diff_lookup,6,FALSE))</f>
        <v>94.913303115967764</v>
      </c>
      <c r="M721" s="21"/>
      <c r="N721" s="21">
        <f>(Table2[[#This Row],[A/Pace]]/100)*(VLOOKUP(Table2[[#This Row],[Visitor/Neutral]],OFR_lookup,2,FALSE)+VLOOKUP(Table2[[#This Row],[Home/Neutral]],def_diff_lookup,6,FALSE))</f>
        <v>110.99562366666666</v>
      </c>
      <c r="O721" s="21"/>
      <c r="P721" s="21"/>
      <c r="Q721">
        <f>VLOOKUP(Table2[[#This Row],[Home/Neutral]],pace_lookup,7,FALSE)</f>
        <v>92.9</v>
      </c>
      <c r="R721" s="5">
        <f>VLOOKUP(Table2[[#This Row],[Visitor/Neutral]],pace_lookup,7,FALSE)</f>
        <v>97.3</v>
      </c>
      <c r="S721" s="7"/>
      <c r="U721" s="15"/>
      <c r="W721" s="2">
        <f>-home-VLOOKUP(Table2[[#This Row],[Home/Neutral]],rtg_vlookup,4,FALSE)+VLOOKUP(Table2[[#This Row],[Visitor/Neutral]],rtg_vlookup,4,FALSE)</f>
        <v>14.731311475409834</v>
      </c>
      <c r="X721" s="15"/>
      <c r="Y721" s="2"/>
      <c r="Z721" s="2">
        <f>Table2[[#This Row],[A/EV]]-Table2[[#This Row],[H/EV]]</f>
        <v>16.082320550698896</v>
      </c>
      <c r="AA721" s="29"/>
      <c r="AB721" s="30"/>
      <c r="AC721" s="30"/>
      <c r="AD721" s="30"/>
      <c r="AE721" s="30"/>
      <c r="AF721" s="7" t="b">
        <f>IF(VLOOKUP(Table2[[#This Row],[Home/Neutral]],division_lookup,9,FALSE)=VLOOKUP(Table2[[#This Row],[Visitor/Neutral]],division_lookup,9,FALSE),TRUE,FALSE)</f>
        <v>0</v>
      </c>
      <c r="AG721" s="15" t="str">
        <f>VLOOKUP(Table2[[#This Row],[Home/Neutral]],division_lookup,9,FALSE)</f>
        <v>SW</v>
      </c>
      <c r="AH721" s="15" t="str">
        <f>IF(Table2[[#This Row],[Total/EV]]&lt;Table2[[#This Row],[Total/V]],"UNDER","OVER")</f>
        <v>OVER</v>
      </c>
      <c r="AI721" s="26">
        <f>Table2[[#This Row],[SRS/Real]]-Table2[[#This Row],[Spread/V]]</f>
        <v>0</v>
      </c>
      <c r="AJ721" s="2">
        <f>Table2[[#This Row],[EV/Real]]-Table2[[#This Row],[Spread/V]]</f>
        <v>0</v>
      </c>
      <c r="AK721" s="2">
        <f>Table2[[#This Row],[SRS/Diff]]-Table2[[#This Row],[EV/Diff]]</f>
        <v>0</v>
      </c>
      <c r="AL721" s="18">
        <f>Table2[[#This Row],[SRS]]-Table2[[#This Row],[Spread]]</f>
        <v>14.731311475409834</v>
      </c>
      <c r="AM721" s="21">
        <f>Table2[[#This Row],[(A) Err]]^2</f>
        <v>217.01153778554146</v>
      </c>
      <c r="AN721" s="6">
        <f>Table2[[#This Row],[EV]]-Table2[[#This Row],[Spread]]</f>
        <v>16.082320550698896</v>
      </c>
      <c r="AO721" s="1">
        <f>Table2[[#This Row],[EV Err]]^2</f>
        <v>258.64103429543201</v>
      </c>
      <c r="AP721" s="1"/>
    </row>
    <row r="722" spans="1:42" x14ac:dyDescent="0.25">
      <c r="A722" s="34">
        <v>42765</v>
      </c>
      <c r="B722" t="s">
        <v>124</v>
      </c>
      <c r="C722" t="s">
        <v>111</v>
      </c>
      <c r="E722" s="21"/>
      <c r="G722" s="21"/>
      <c r="H722" s="7"/>
      <c r="I722" s="21"/>
      <c r="K722"/>
      <c r="L722" s="21">
        <f>(Table2[[#This Row],[H/Pace]]/100)*(VLOOKUP(Table2[[#This Row],[Home/Neutral]],home_lookup,8,FALSE)+VLOOKUP(Table2[[#This Row],[Home/Neutral]],OFR_lookup,2,FALSE)+VLOOKUP(Table2[[#This Row],[Visitor/Neutral]],def_diff_lookup,6,FALSE))</f>
        <v>105.21166517723557</v>
      </c>
      <c r="M722" s="21"/>
      <c r="N722" s="21">
        <f>(Table2[[#This Row],[A/Pace]]/100)*(VLOOKUP(Table2[[#This Row],[Visitor/Neutral]],OFR_lookup,2,FALSE)+VLOOKUP(Table2[[#This Row],[Home/Neutral]],def_diff_lookup,6,FALSE))</f>
        <v>101.95478</v>
      </c>
      <c r="O722" s="21"/>
      <c r="P722" s="21"/>
      <c r="Q722">
        <f>VLOOKUP(Table2[[#This Row],[Home/Neutral]],pace_lookup,7,FALSE)</f>
        <v>93.7</v>
      </c>
      <c r="R722" s="5">
        <f>VLOOKUP(Table2[[#This Row],[Visitor/Neutral]],pace_lookup,7,FALSE)</f>
        <v>102</v>
      </c>
      <c r="S722" s="7"/>
      <c r="U722" s="15"/>
      <c r="W722" s="2">
        <f>-home-VLOOKUP(Table2[[#This Row],[Home/Neutral]],rtg_vlookup,4,FALSE)+VLOOKUP(Table2[[#This Row],[Visitor/Neutral]],rtg_vlookup,4,FALSE)</f>
        <v>-10.358688524590166</v>
      </c>
      <c r="X722" s="15"/>
      <c r="Y722" s="2"/>
      <c r="Z722" s="2">
        <f>Table2[[#This Row],[A/EV]]-Table2[[#This Row],[H/EV]]</f>
        <v>-3.2568851772355742</v>
      </c>
      <c r="AA722" s="29"/>
      <c r="AB722" s="30"/>
      <c r="AC722" s="30"/>
      <c r="AD722" s="30"/>
      <c r="AE722" s="30"/>
      <c r="AF722" s="7" t="b">
        <f>IF(VLOOKUP(Table2[[#This Row],[Home/Neutral]],division_lookup,9,FALSE)=VLOOKUP(Table2[[#This Row],[Visitor/Neutral]],division_lookup,9,FALSE),TRUE,FALSE)</f>
        <v>0</v>
      </c>
      <c r="AG722" s="15" t="str">
        <f>VLOOKUP(Table2[[#This Row],[Home/Neutral]],division_lookup,9,FALSE)</f>
        <v>SE</v>
      </c>
      <c r="AH722" s="15" t="str">
        <f>IF(Table2[[#This Row],[Total/EV]]&lt;Table2[[#This Row],[Total/V]],"UNDER","OVER")</f>
        <v>OVER</v>
      </c>
      <c r="AI722" s="26">
        <f>Table2[[#This Row],[SRS/Real]]-Table2[[#This Row],[Spread/V]]</f>
        <v>0</v>
      </c>
      <c r="AJ722" s="2">
        <f>Table2[[#This Row],[EV/Real]]-Table2[[#This Row],[Spread/V]]</f>
        <v>0</v>
      </c>
      <c r="AK722" s="2">
        <f>Table2[[#This Row],[SRS/Diff]]-Table2[[#This Row],[EV/Diff]]</f>
        <v>0</v>
      </c>
      <c r="AL722" s="18">
        <f>Table2[[#This Row],[SRS]]-Table2[[#This Row],[Spread]]</f>
        <v>-10.358688524590166</v>
      </c>
      <c r="AM722" s="21">
        <f>Table2[[#This Row],[(A) Err]]^2</f>
        <v>107.30242794947598</v>
      </c>
      <c r="AN722" s="6">
        <f>Table2[[#This Row],[EV]]-Table2[[#This Row],[Spread]]</f>
        <v>-3.2568851772355742</v>
      </c>
      <c r="AO722" s="1">
        <f>Table2[[#This Row],[EV Err]]^2</f>
        <v>10.607301057696798</v>
      </c>
      <c r="AP722" s="1"/>
    </row>
    <row r="723" spans="1:42" x14ac:dyDescent="0.25">
      <c r="A723" s="34">
        <v>42765</v>
      </c>
      <c r="B723" t="s">
        <v>126</v>
      </c>
      <c r="C723" t="s">
        <v>130</v>
      </c>
      <c r="E723" s="21"/>
      <c r="G723" s="21"/>
      <c r="H723" s="7"/>
      <c r="I723" s="21"/>
      <c r="K723"/>
      <c r="L723" s="21">
        <f>(Table2[[#This Row],[H/Pace]]/100)*(VLOOKUP(Table2[[#This Row],[Home/Neutral]],home_lookup,8,FALSE)+VLOOKUP(Table2[[#This Row],[Home/Neutral]],OFR_lookup,2,FALSE)+VLOOKUP(Table2[[#This Row],[Visitor/Neutral]],def_diff_lookup,6,FALSE))</f>
        <v>114.72062777050785</v>
      </c>
      <c r="M723" s="21"/>
      <c r="N723" s="21">
        <f>(Table2[[#This Row],[A/Pace]]/100)*(VLOOKUP(Table2[[#This Row],[Visitor/Neutral]],OFR_lookup,2,FALSE)+VLOOKUP(Table2[[#This Row],[Home/Neutral]],def_diff_lookup,6,FALSE))</f>
        <v>95.175597999999994</v>
      </c>
      <c r="O723" s="21"/>
      <c r="P723" s="21"/>
      <c r="Q723">
        <f>VLOOKUP(Table2[[#This Row],[Home/Neutral]],pace_lookup,7,FALSE)</f>
        <v>95.7</v>
      </c>
      <c r="R723" s="5">
        <f>VLOOKUP(Table2[[#This Row],[Visitor/Neutral]],pace_lookup,7,FALSE)</f>
        <v>94.2</v>
      </c>
      <c r="S723" s="7"/>
      <c r="U723" s="15"/>
      <c r="W723" s="2">
        <f>-home-VLOOKUP(Table2[[#This Row],[Home/Neutral]],rtg_vlookup,4,FALSE)+VLOOKUP(Table2[[#This Row],[Visitor/Neutral]],rtg_vlookup,4,FALSE)</f>
        <v>-10.228688524590167</v>
      </c>
      <c r="X723" s="15"/>
      <c r="Y723" s="2"/>
      <c r="Z723" s="2">
        <f>Table2[[#This Row],[A/EV]]-Table2[[#This Row],[H/EV]]</f>
        <v>-19.545029770507853</v>
      </c>
      <c r="AA723" s="29"/>
      <c r="AB723" s="30"/>
      <c r="AC723" s="30"/>
      <c r="AD723" s="30"/>
      <c r="AE723" s="30"/>
      <c r="AF723" s="7" t="b">
        <f>IF(VLOOKUP(Table2[[#This Row],[Home/Neutral]],division_lookup,9,FALSE)=VLOOKUP(Table2[[#This Row],[Visitor/Neutral]],division_lookup,9,FALSE),TRUE,FALSE)</f>
        <v>0</v>
      </c>
      <c r="AG723" s="15" t="str">
        <f>VLOOKUP(Table2[[#This Row],[Home/Neutral]],division_lookup,9,FALSE)</f>
        <v>NW</v>
      </c>
      <c r="AH723" s="15" t="str">
        <f>IF(Table2[[#This Row],[Total/EV]]&lt;Table2[[#This Row],[Total/V]],"UNDER","OVER")</f>
        <v>OVER</v>
      </c>
      <c r="AI723" s="26">
        <f>Table2[[#This Row],[SRS/Real]]-Table2[[#This Row],[Spread/V]]</f>
        <v>0</v>
      </c>
      <c r="AJ723" s="2">
        <f>Table2[[#This Row],[EV/Real]]-Table2[[#This Row],[Spread/V]]</f>
        <v>0</v>
      </c>
      <c r="AK723" s="2">
        <f>Table2[[#This Row],[SRS/Diff]]-Table2[[#This Row],[EV/Diff]]</f>
        <v>0</v>
      </c>
      <c r="AL723" s="18">
        <f>Table2[[#This Row],[SRS]]-Table2[[#This Row],[Spread]]</f>
        <v>-10.228688524590167</v>
      </c>
      <c r="AM723" s="21">
        <f>Table2[[#This Row],[(A) Err]]^2</f>
        <v>104.62606893308256</v>
      </c>
      <c r="AN723" s="6">
        <f>Table2[[#This Row],[EV]]-Table2[[#This Row],[Spread]]</f>
        <v>-19.545029770507853</v>
      </c>
      <c r="AO723" s="1">
        <f>Table2[[#This Row],[EV Err]]^2</f>
        <v>382.00818873003823</v>
      </c>
      <c r="AP723" s="1"/>
    </row>
    <row r="724" spans="1:42" x14ac:dyDescent="0.25">
      <c r="A724" s="34">
        <v>42765</v>
      </c>
      <c r="B724" t="s">
        <v>131</v>
      </c>
      <c r="C724" t="s">
        <v>123</v>
      </c>
      <c r="E724" s="21"/>
      <c r="G724" s="21"/>
      <c r="H724" s="7"/>
      <c r="I724" s="21"/>
      <c r="K724"/>
      <c r="L724" s="21">
        <f>(Table2[[#This Row],[H/Pace]]/100)*(VLOOKUP(Table2[[#This Row],[Home/Neutral]],home_lookup,8,FALSE)+VLOOKUP(Table2[[#This Row],[Home/Neutral]],OFR_lookup,2,FALSE)+VLOOKUP(Table2[[#This Row],[Visitor/Neutral]],def_diff_lookup,6,FALSE))</f>
        <v>93.353479791197657</v>
      </c>
      <c r="M724" s="21"/>
      <c r="N724" s="21">
        <f>(Table2[[#This Row],[A/Pace]]/100)*(VLOOKUP(Table2[[#This Row],[Visitor/Neutral]],OFR_lookup,2,FALSE)+VLOOKUP(Table2[[#This Row],[Home/Neutral]],def_diff_lookup,6,FALSE))</f>
        <v>97.056241666666665</v>
      </c>
      <c r="O724" s="21"/>
      <c r="P724" s="21"/>
      <c r="Q724">
        <f>VLOOKUP(Table2[[#This Row],[Home/Neutral]],pace_lookup,7,FALSE)</f>
        <v>101.7</v>
      </c>
      <c r="R724" s="5">
        <f>VLOOKUP(Table2[[#This Row],[Visitor/Neutral]],pace_lookup,7,FALSE)</f>
        <v>92.5</v>
      </c>
      <c r="S724" s="7"/>
      <c r="U724" s="15"/>
      <c r="W724" s="2">
        <f>-home-VLOOKUP(Table2[[#This Row],[Home/Neutral]],rtg_vlookup,4,FALSE)+VLOOKUP(Table2[[#This Row],[Visitor/Neutral]],rtg_vlookup,4,FALSE)</f>
        <v>4.2813114754098338</v>
      </c>
      <c r="X724" s="15"/>
      <c r="Y724" s="2"/>
      <c r="Z724" s="2">
        <f>Table2[[#This Row],[A/EV]]-Table2[[#This Row],[H/EV]]</f>
        <v>3.7027618754690081</v>
      </c>
      <c r="AA724" s="29"/>
      <c r="AB724" s="30"/>
      <c r="AC724" s="30"/>
      <c r="AD724" s="30"/>
      <c r="AE724" s="30"/>
      <c r="AF724" s="7" t="b">
        <f>IF(VLOOKUP(Table2[[#This Row],[Home/Neutral]],division_lookup,9,FALSE)=VLOOKUP(Table2[[#This Row],[Visitor/Neutral]],division_lookup,9,FALSE),TRUE,FALSE)</f>
        <v>0</v>
      </c>
      <c r="AG724" s="15" t="str">
        <f>VLOOKUP(Table2[[#This Row],[Home/Neutral]],division_lookup,9,FALSE)</f>
        <v>P</v>
      </c>
      <c r="AH724" s="15" t="str">
        <f>IF(Table2[[#This Row],[Total/EV]]&lt;Table2[[#This Row],[Total/V]],"UNDER","OVER")</f>
        <v>OVER</v>
      </c>
      <c r="AI724" s="26">
        <f>Table2[[#This Row],[SRS/Real]]-Table2[[#This Row],[Spread/V]]</f>
        <v>0</v>
      </c>
      <c r="AJ724" s="2">
        <f>Table2[[#This Row],[EV/Real]]-Table2[[#This Row],[Spread/V]]</f>
        <v>0</v>
      </c>
      <c r="AK724" s="2">
        <f>Table2[[#This Row],[SRS/Diff]]-Table2[[#This Row],[EV/Diff]]</f>
        <v>0</v>
      </c>
      <c r="AL724" s="18">
        <f>Table2[[#This Row],[SRS]]-Table2[[#This Row],[Spread]]</f>
        <v>4.2813114754098338</v>
      </c>
      <c r="AM724" s="21">
        <f>Table2[[#This Row],[(A) Err]]^2</f>
        <v>18.329627949475928</v>
      </c>
      <c r="AN724" s="6">
        <f>Table2[[#This Row],[EV]]-Table2[[#This Row],[Spread]]</f>
        <v>3.7027618754690081</v>
      </c>
      <c r="AO724" s="1">
        <f>Table2[[#This Row],[EV Err]]^2</f>
        <v>13.710445506426767</v>
      </c>
      <c r="AP724" s="1"/>
    </row>
    <row r="725" spans="1:42" x14ac:dyDescent="0.25">
      <c r="A725" s="34">
        <v>42766</v>
      </c>
      <c r="B725" t="s">
        <v>119</v>
      </c>
      <c r="C725" t="s">
        <v>133</v>
      </c>
      <c r="E725" s="21"/>
      <c r="G725" s="21"/>
      <c r="H725" s="7"/>
      <c r="I725" s="21"/>
      <c r="K725"/>
      <c r="L725" s="21">
        <f>(Table2[[#This Row],[H/Pace]]/100)*(VLOOKUP(Table2[[#This Row],[Home/Neutral]],home_lookup,8,FALSE)+VLOOKUP(Table2[[#This Row],[Home/Neutral]],OFR_lookup,2,FALSE)+VLOOKUP(Table2[[#This Row],[Visitor/Neutral]],def_diff_lookup,6,FALSE))</f>
        <v>112.04937376977628</v>
      </c>
      <c r="M725" s="21"/>
      <c r="N725" s="21">
        <f>(Table2[[#This Row],[A/Pace]]/100)*(VLOOKUP(Table2[[#This Row],[Visitor/Neutral]],OFR_lookup,2,FALSE)+VLOOKUP(Table2[[#This Row],[Home/Neutral]],def_diff_lookup,6,FALSE))</f>
        <v>104.27531800000001</v>
      </c>
      <c r="O725" s="21"/>
      <c r="P725" s="21"/>
      <c r="Q725">
        <f>VLOOKUP(Table2[[#This Row],[Home/Neutral]],pace_lookup,7,FALSE)</f>
        <v>96.9</v>
      </c>
      <c r="R725" s="5">
        <f>VLOOKUP(Table2[[#This Row],[Visitor/Neutral]],pace_lookup,7,FALSE)</f>
        <v>94.2</v>
      </c>
      <c r="S725" s="7"/>
      <c r="U725" s="15"/>
      <c r="W725" s="2">
        <f>-home-VLOOKUP(Table2[[#This Row],[Home/Neutral]],rtg_vlookup,4,FALSE)+VLOOKUP(Table2[[#This Row],[Visitor/Neutral]],rtg_vlookup,4,FALSE)</f>
        <v>-8.3786885245901654</v>
      </c>
      <c r="X725" s="15"/>
      <c r="Y725" s="2"/>
      <c r="Z725" s="2">
        <f>Table2[[#This Row],[A/EV]]-Table2[[#This Row],[H/EV]]</f>
        <v>-7.7740557697762682</v>
      </c>
      <c r="AA725" s="29"/>
      <c r="AB725" s="30"/>
      <c r="AC725" s="30"/>
      <c r="AD725" s="30"/>
      <c r="AE725" s="30"/>
      <c r="AF725" s="7" t="b">
        <f>IF(VLOOKUP(Table2[[#This Row],[Home/Neutral]],division_lookup,9,FALSE)=VLOOKUP(Table2[[#This Row],[Visitor/Neutral]],division_lookup,9,FALSE),TRUE,FALSE)</f>
        <v>0</v>
      </c>
      <c r="AG725" s="15" t="str">
        <f>VLOOKUP(Table2[[#This Row],[Home/Neutral]],division_lookup,9,FALSE)</f>
        <v>SW</v>
      </c>
      <c r="AH725" s="15" t="str">
        <f>IF(Table2[[#This Row],[Total/EV]]&lt;Table2[[#This Row],[Total/V]],"UNDER","OVER")</f>
        <v>OVER</v>
      </c>
      <c r="AI725" s="26">
        <f>Table2[[#This Row],[SRS/Real]]-Table2[[#This Row],[Spread/V]]</f>
        <v>0</v>
      </c>
      <c r="AJ725" s="2">
        <f>Table2[[#This Row],[EV/Real]]-Table2[[#This Row],[Spread/V]]</f>
        <v>0</v>
      </c>
      <c r="AK725" s="2">
        <f>Table2[[#This Row],[SRS/Diff]]-Table2[[#This Row],[EV/Diff]]</f>
        <v>0</v>
      </c>
      <c r="AL725" s="18">
        <f>Table2[[#This Row],[SRS]]-Table2[[#This Row],[Spread]]</f>
        <v>-8.3786885245901654</v>
      </c>
      <c r="AM725" s="21">
        <f>Table2[[#This Row],[(A) Err]]^2</f>
        <v>70.202421392098927</v>
      </c>
      <c r="AN725" s="6">
        <f>Table2[[#This Row],[EV]]-Table2[[#This Row],[Spread]]</f>
        <v>-7.7740557697762682</v>
      </c>
      <c r="AO725" s="1">
        <f>Table2[[#This Row],[EV Err]]^2</f>
        <v>60.435943111591683</v>
      </c>
      <c r="AP725" s="1"/>
    </row>
    <row r="726" spans="1:42" x14ac:dyDescent="0.25">
      <c r="A726" s="34">
        <v>42766</v>
      </c>
      <c r="B726" t="s">
        <v>122</v>
      </c>
      <c r="C726" t="s">
        <v>116</v>
      </c>
      <c r="E726" s="21"/>
      <c r="G726" s="21"/>
      <c r="H726" s="7"/>
      <c r="I726" s="21"/>
      <c r="K726"/>
      <c r="L726" s="21">
        <f>(Table2[[#This Row],[H/Pace]]/100)*(VLOOKUP(Table2[[#This Row],[Home/Neutral]],home_lookup,8,FALSE)+VLOOKUP(Table2[[#This Row],[Home/Neutral]],OFR_lookup,2,FALSE)+VLOOKUP(Table2[[#This Row],[Visitor/Neutral]],def_diff_lookup,6,FALSE))</f>
        <v>110.0685083274473</v>
      </c>
      <c r="M726" s="21"/>
      <c r="N726" s="21">
        <f>(Table2[[#This Row],[A/Pace]]/100)*(VLOOKUP(Table2[[#This Row],[Visitor/Neutral]],OFR_lookup,2,FALSE)+VLOOKUP(Table2[[#This Row],[Home/Neutral]],def_diff_lookup,6,FALSE))</f>
        <v>109.73904566666666</v>
      </c>
      <c r="O726" s="21"/>
      <c r="P726" s="21"/>
      <c r="Q726">
        <f>VLOOKUP(Table2[[#This Row],[Home/Neutral]],pace_lookup,7,FALSE)</f>
        <v>100.2</v>
      </c>
      <c r="R726" s="5">
        <f>VLOOKUP(Table2[[#This Row],[Visitor/Neutral]],pace_lookup,7,FALSE)</f>
        <v>99.1</v>
      </c>
      <c r="S726" s="7"/>
      <c r="U726" s="15"/>
      <c r="W726" s="2">
        <f>-home-VLOOKUP(Table2[[#This Row],[Home/Neutral]],rtg_vlookup,4,FALSE)+VLOOKUP(Table2[[#This Row],[Visitor/Neutral]],rtg_vlookup,4,FALSE)</f>
        <v>-1.2686885245901656</v>
      </c>
      <c r="X726" s="15"/>
      <c r="Y726" s="2"/>
      <c r="Z726" s="2">
        <f>Table2[[#This Row],[A/EV]]-Table2[[#This Row],[H/EV]]</f>
        <v>-0.32946266078064923</v>
      </c>
      <c r="AA726" s="29"/>
      <c r="AB726" s="30"/>
      <c r="AC726" s="30"/>
      <c r="AD726" s="30"/>
      <c r="AE726" s="30"/>
      <c r="AF726" s="7" t="b">
        <f>IF(VLOOKUP(Table2[[#This Row],[Home/Neutral]],division_lookup,9,FALSE)=VLOOKUP(Table2[[#This Row],[Visitor/Neutral]],division_lookup,9,FALSE),TRUE,FALSE)</f>
        <v>0</v>
      </c>
      <c r="AG726" s="15" t="str">
        <f>VLOOKUP(Table2[[#This Row],[Home/Neutral]],division_lookup,9,FALSE)</f>
        <v>P</v>
      </c>
      <c r="AH726" s="15" t="str">
        <f>IF(Table2[[#This Row],[Total/EV]]&lt;Table2[[#This Row],[Total/V]],"UNDER","OVER")</f>
        <v>OVER</v>
      </c>
      <c r="AI726" s="26">
        <f>Table2[[#This Row],[SRS/Real]]-Table2[[#This Row],[Spread/V]]</f>
        <v>0</v>
      </c>
      <c r="AJ726" s="2">
        <f>Table2[[#This Row],[EV/Real]]-Table2[[#This Row],[Spread/V]]</f>
        <v>0</v>
      </c>
      <c r="AK726" s="2">
        <f>Table2[[#This Row],[SRS/Diff]]-Table2[[#This Row],[EV/Diff]]</f>
        <v>0</v>
      </c>
      <c r="AL726" s="18">
        <f>Table2[[#This Row],[SRS]]-Table2[[#This Row],[Spread]]</f>
        <v>-1.2686885245901656</v>
      </c>
      <c r="AM726" s="21">
        <f>Table2[[#This Row],[(A) Err]]^2</f>
        <v>1.609570572426771</v>
      </c>
      <c r="AN726" s="6">
        <f>Table2[[#This Row],[EV]]-Table2[[#This Row],[Spread]]</f>
        <v>-0.32946266078064923</v>
      </c>
      <c r="AO726" s="1">
        <f>Table2[[#This Row],[EV Err]]^2</f>
        <v>0.10854564484866515</v>
      </c>
      <c r="AP726" s="1"/>
    </row>
    <row r="727" spans="1:42" x14ac:dyDescent="0.25">
      <c r="A727" s="34">
        <v>42766</v>
      </c>
      <c r="B727" t="s">
        <v>132</v>
      </c>
      <c r="C727" t="s">
        <v>112</v>
      </c>
      <c r="E727" s="21"/>
      <c r="G727" s="21"/>
      <c r="H727" s="7"/>
      <c r="I727" s="21"/>
      <c r="K727"/>
      <c r="L727" s="21">
        <f>(Table2[[#This Row],[H/Pace]]/100)*(VLOOKUP(Table2[[#This Row],[Home/Neutral]],home_lookup,8,FALSE)+VLOOKUP(Table2[[#This Row],[Home/Neutral]],OFR_lookup,2,FALSE)+VLOOKUP(Table2[[#This Row],[Visitor/Neutral]],def_diff_lookup,6,FALSE))</f>
        <v>108.05578144606979</v>
      </c>
      <c r="M727" s="21"/>
      <c r="N727" s="21">
        <f>(Table2[[#This Row],[A/Pace]]/100)*(VLOOKUP(Table2[[#This Row],[Visitor/Neutral]],OFR_lookup,2,FALSE)+VLOOKUP(Table2[[#This Row],[Home/Neutral]],def_diff_lookup,6,FALSE))</f>
        <v>110.34997933333334</v>
      </c>
      <c r="O727" s="21"/>
      <c r="P727" s="21"/>
      <c r="Q727">
        <f>VLOOKUP(Table2[[#This Row],[Home/Neutral]],pace_lookup,7,FALSE)</f>
        <v>98.8</v>
      </c>
      <c r="R727" s="5">
        <f>VLOOKUP(Table2[[#This Row],[Visitor/Neutral]],pace_lookup,7,FALSE)</f>
        <v>97.4</v>
      </c>
      <c r="S727" s="7"/>
      <c r="U727" s="15"/>
      <c r="W727" s="2">
        <f>-home-VLOOKUP(Table2[[#This Row],[Home/Neutral]],rtg_vlookup,4,FALSE)+VLOOKUP(Table2[[#This Row],[Visitor/Neutral]],rtg_vlookup,4,FALSE)</f>
        <v>1.7013114754098342</v>
      </c>
      <c r="X727" s="15"/>
      <c r="Y727" s="2"/>
      <c r="Z727" s="2">
        <f>Table2[[#This Row],[A/EV]]-Table2[[#This Row],[H/EV]]</f>
        <v>2.2941978872635502</v>
      </c>
      <c r="AA727" s="29"/>
      <c r="AB727" s="30"/>
      <c r="AC727" s="30"/>
      <c r="AD727" s="30"/>
      <c r="AE727" s="30"/>
      <c r="AF727" s="7" t="b">
        <f>IF(VLOOKUP(Table2[[#This Row],[Home/Neutral]],division_lookup,9,FALSE)=VLOOKUP(Table2[[#This Row],[Visitor/Neutral]],division_lookup,9,FALSE),TRUE,FALSE)</f>
        <v>0</v>
      </c>
      <c r="AG727" s="15" t="str">
        <f>VLOOKUP(Table2[[#This Row],[Home/Neutral]],division_lookup,9,FALSE)</f>
        <v>NW</v>
      </c>
      <c r="AH727" s="15" t="str">
        <f>IF(Table2[[#This Row],[Total/EV]]&lt;Table2[[#This Row],[Total/V]],"UNDER","OVER")</f>
        <v>OVER</v>
      </c>
      <c r="AI727" s="26">
        <f>Table2[[#This Row],[SRS/Real]]-Table2[[#This Row],[Spread/V]]</f>
        <v>0</v>
      </c>
      <c r="AJ727" s="2">
        <f>Table2[[#This Row],[EV/Real]]-Table2[[#This Row],[Spread/V]]</f>
        <v>0</v>
      </c>
      <c r="AK727" s="2">
        <f>Table2[[#This Row],[SRS/Diff]]-Table2[[#This Row],[EV/Diff]]</f>
        <v>0</v>
      </c>
      <c r="AL727" s="18">
        <f>Table2[[#This Row],[SRS]]-Table2[[#This Row],[Spread]]</f>
        <v>1.7013114754098342</v>
      </c>
      <c r="AM727" s="21">
        <f>Table2[[#This Row],[(A) Err]]^2</f>
        <v>2.8944607363611867</v>
      </c>
      <c r="AN727" s="6">
        <f>Table2[[#This Row],[EV]]-Table2[[#This Row],[Spread]]</f>
        <v>2.2941978872635502</v>
      </c>
      <c r="AO727" s="1">
        <f>Table2[[#This Row],[EV Err]]^2</f>
        <v>5.2633439459245377</v>
      </c>
      <c r="AP727" s="1"/>
    </row>
    <row r="728" spans="1:42" x14ac:dyDescent="0.25">
      <c r="A728" s="34">
        <v>42766</v>
      </c>
      <c r="B728" t="s">
        <v>134</v>
      </c>
      <c r="C728" t="s">
        <v>129</v>
      </c>
      <c r="E728" s="21"/>
      <c r="G728" s="21"/>
      <c r="H728" s="7"/>
      <c r="I728" s="21"/>
      <c r="K728"/>
      <c r="L728" s="21">
        <f>(Table2[[#This Row],[H/Pace]]/100)*(VLOOKUP(Table2[[#This Row],[Home/Neutral]],home_lookup,8,FALSE)+VLOOKUP(Table2[[#This Row],[Home/Neutral]],OFR_lookup,2,FALSE)+VLOOKUP(Table2[[#This Row],[Visitor/Neutral]],def_diff_lookup,6,FALSE))</f>
        <v>98.880193436381944</v>
      </c>
      <c r="M728" s="21"/>
      <c r="N728" s="21">
        <f>(Table2[[#This Row],[A/Pace]]/100)*(VLOOKUP(Table2[[#This Row],[Visitor/Neutral]],OFR_lookup,2,FALSE)+VLOOKUP(Table2[[#This Row],[Home/Neutral]],def_diff_lookup,6,FALSE))</f>
        <v>103.83681</v>
      </c>
      <c r="O728" s="21"/>
      <c r="P728" s="21"/>
      <c r="Q728">
        <f>VLOOKUP(Table2[[#This Row],[Home/Neutral]],pace_lookup,7,FALSE)</f>
        <v>93.4</v>
      </c>
      <c r="R728" s="5">
        <f>VLOOKUP(Table2[[#This Row],[Visitor/Neutral]],pace_lookup,7,FALSE)</f>
        <v>99</v>
      </c>
      <c r="S728" s="7"/>
      <c r="U728" s="15"/>
      <c r="W728" s="2">
        <f>-home-VLOOKUP(Table2[[#This Row],[Home/Neutral]],rtg_vlookup,4,FALSE)+VLOOKUP(Table2[[#This Row],[Visitor/Neutral]],rtg_vlookup,4,FALSE)</f>
        <v>-8.6586885245901648</v>
      </c>
      <c r="X728" s="15"/>
      <c r="Y728" s="2"/>
      <c r="Z728" s="2">
        <f>Table2[[#This Row],[A/EV]]-Table2[[#This Row],[H/EV]]</f>
        <v>4.9566165636180557</v>
      </c>
      <c r="AA728" s="29"/>
      <c r="AB728" s="30"/>
      <c r="AC728" s="30"/>
      <c r="AD728" s="30"/>
      <c r="AE728" s="30"/>
      <c r="AF728" s="7" t="b">
        <f>IF(VLOOKUP(Table2[[#This Row],[Home/Neutral]],division_lookup,9,FALSE)=VLOOKUP(Table2[[#This Row],[Visitor/Neutral]],division_lookup,9,FALSE),TRUE,FALSE)</f>
        <v>0</v>
      </c>
      <c r="AG728" s="15" t="str">
        <f>VLOOKUP(Table2[[#This Row],[Home/Neutral]],division_lookup,9,FALSE)</f>
        <v>SW</v>
      </c>
      <c r="AH728" s="15" t="str">
        <f>IF(Table2[[#This Row],[Total/EV]]&lt;Table2[[#This Row],[Total/V]],"UNDER","OVER")</f>
        <v>OVER</v>
      </c>
      <c r="AI728" s="26">
        <f>Table2[[#This Row],[SRS/Real]]-Table2[[#This Row],[Spread/V]]</f>
        <v>0</v>
      </c>
      <c r="AJ728" s="2">
        <f>Table2[[#This Row],[EV/Real]]-Table2[[#This Row],[Spread/V]]</f>
        <v>0</v>
      </c>
      <c r="AK728" s="2">
        <f>Table2[[#This Row],[SRS/Diff]]-Table2[[#This Row],[EV/Diff]]</f>
        <v>0</v>
      </c>
      <c r="AL728" s="18">
        <f>Table2[[#This Row],[SRS]]-Table2[[#This Row],[Spread]]</f>
        <v>-8.6586885245901648</v>
      </c>
      <c r="AM728" s="21">
        <f>Table2[[#This Row],[(A) Err]]^2</f>
        <v>74.972886965869407</v>
      </c>
      <c r="AN728" s="6">
        <f>Table2[[#This Row],[EV]]-Table2[[#This Row],[Spread]]</f>
        <v>4.9566165636180557</v>
      </c>
      <c r="AO728" s="1">
        <f>Table2[[#This Row],[EV Err]]^2</f>
        <v>24.568047758732863</v>
      </c>
      <c r="AP728" s="1"/>
    </row>
    <row r="729" spans="1:42" x14ac:dyDescent="0.25">
      <c r="A729" s="34">
        <v>42766</v>
      </c>
      <c r="B729" t="s">
        <v>135</v>
      </c>
      <c r="C729" t="s">
        <v>127</v>
      </c>
      <c r="E729" s="21"/>
      <c r="G729" s="21"/>
      <c r="H729" s="7"/>
      <c r="I729" s="21"/>
      <c r="K729"/>
      <c r="L729" s="21">
        <f>(Table2[[#This Row],[H/Pace]]/100)*(VLOOKUP(Table2[[#This Row],[Home/Neutral]],home_lookup,8,FALSE)+VLOOKUP(Table2[[#This Row],[Home/Neutral]],OFR_lookup,2,FALSE)+VLOOKUP(Table2[[#This Row],[Visitor/Neutral]],def_diff_lookup,6,FALSE))</f>
        <v>108.41880035324614</v>
      </c>
      <c r="M729" s="21"/>
      <c r="N729" s="21">
        <f>(Table2[[#This Row],[A/Pace]]/100)*(VLOOKUP(Table2[[#This Row],[Visitor/Neutral]],OFR_lookup,2,FALSE)+VLOOKUP(Table2[[#This Row],[Home/Neutral]],def_diff_lookup,6,FALSE))</f>
        <v>102.87049699999999</v>
      </c>
      <c r="O729" s="21"/>
      <c r="P729" s="21"/>
      <c r="Q729">
        <f>VLOOKUP(Table2[[#This Row],[Home/Neutral]],pace_lookup,7,FALSE)</f>
        <v>95.4</v>
      </c>
      <c r="R729" s="5">
        <f>VLOOKUP(Table2[[#This Row],[Visitor/Neutral]],pace_lookup,7,FALSE)</f>
        <v>99.3</v>
      </c>
      <c r="S729" s="7"/>
      <c r="U729" s="15"/>
      <c r="W729" s="2">
        <f>-home-VLOOKUP(Table2[[#This Row],[Home/Neutral]],rtg_vlookup,4,FALSE)+VLOOKUP(Table2[[#This Row],[Visitor/Neutral]],rtg_vlookup,4,FALSE)</f>
        <v>-11.378688524590165</v>
      </c>
      <c r="X729" s="15"/>
      <c r="Y729" s="2"/>
      <c r="Z729" s="2">
        <f>Table2[[#This Row],[A/EV]]-Table2[[#This Row],[H/EV]]</f>
        <v>-5.5483033532461548</v>
      </c>
      <c r="AA729" s="29"/>
      <c r="AB729" s="30"/>
      <c r="AC729" s="30"/>
      <c r="AD729" s="30"/>
      <c r="AE729" s="30"/>
      <c r="AF729" s="7" t="b">
        <f>IF(VLOOKUP(Table2[[#This Row],[Home/Neutral]],division_lookup,9,FALSE)=VLOOKUP(Table2[[#This Row],[Visitor/Neutral]],division_lookup,9,FALSE),TRUE,FALSE)</f>
        <v>0</v>
      </c>
      <c r="AG729" s="15" t="str">
        <f>VLOOKUP(Table2[[#This Row],[Home/Neutral]],division_lookup,9,FALSE)</f>
        <v>A</v>
      </c>
      <c r="AH729" s="15" t="str">
        <f>IF(Table2[[#This Row],[Total/EV]]&lt;Table2[[#This Row],[Total/V]],"UNDER","OVER")</f>
        <v>OVER</v>
      </c>
      <c r="AI729" s="26">
        <f>Table2[[#This Row],[SRS/Real]]-Table2[[#This Row],[Spread/V]]</f>
        <v>0</v>
      </c>
      <c r="AJ729" s="2">
        <f>Table2[[#This Row],[EV/Real]]-Table2[[#This Row],[Spread/V]]</f>
        <v>0</v>
      </c>
      <c r="AK729" s="2">
        <f>Table2[[#This Row],[SRS/Diff]]-Table2[[#This Row],[EV/Diff]]</f>
        <v>0</v>
      </c>
      <c r="AL729" s="18">
        <f>Table2[[#This Row],[SRS]]-Table2[[#This Row],[Spread]]</f>
        <v>-11.378688524590165</v>
      </c>
      <c r="AM729" s="21">
        <f>Table2[[#This Row],[(A) Err]]^2</f>
        <v>129.47455253963992</v>
      </c>
      <c r="AN729" s="6">
        <f>Table2[[#This Row],[EV]]-Table2[[#This Row],[Spread]]</f>
        <v>-5.5483033532461548</v>
      </c>
      <c r="AO729" s="1">
        <f>Table2[[#This Row],[EV Err]]^2</f>
        <v>30.783670099642524</v>
      </c>
      <c r="AP729" s="1"/>
    </row>
    <row r="730" spans="1:42" x14ac:dyDescent="0.25">
      <c r="A730" s="34">
        <v>42766</v>
      </c>
      <c r="B730" t="s">
        <v>137</v>
      </c>
      <c r="C730" t="s">
        <v>128</v>
      </c>
      <c r="E730" s="21"/>
      <c r="G730" s="21"/>
      <c r="H730" s="7"/>
      <c r="I730" s="21"/>
      <c r="K730"/>
      <c r="L730" s="21">
        <f>(Table2[[#This Row],[H/Pace]]/100)*(VLOOKUP(Table2[[#This Row],[Home/Neutral]],home_lookup,8,FALSE)+VLOOKUP(Table2[[#This Row],[Home/Neutral]],OFR_lookup,2,FALSE)+VLOOKUP(Table2[[#This Row],[Visitor/Neutral]],def_diff_lookup,6,FALSE))</f>
        <v>110.91133255421872</v>
      </c>
      <c r="M730" s="21"/>
      <c r="N730" s="21">
        <f>(Table2[[#This Row],[A/Pace]]/100)*(VLOOKUP(Table2[[#This Row],[Visitor/Neutral]],OFR_lookup,2,FALSE)+VLOOKUP(Table2[[#This Row],[Home/Neutral]],def_diff_lookup,6,FALSE))</f>
        <v>107.32217699999998</v>
      </c>
      <c r="O730" s="21"/>
      <c r="P730" s="21"/>
      <c r="Q730">
        <f>VLOOKUP(Table2[[#This Row],[Home/Neutral]],pace_lookup,7,FALSE)</f>
        <v>96</v>
      </c>
      <c r="R730" s="5">
        <f>VLOOKUP(Table2[[#This Row],[Visitor/Neutral]],pace_lookup,7,FALSE)</f>
        <v>96.3</v>
      </c>
      <c r="S730" s="7"/>
      <c r="U730" s="15"/>
      <c r="W730" s="2">
        <f>-home-VLOOKUP(Table2[[#This Row],[Home/Neutral]],rtg_vlookup,4,FALSE)+VLOOKUP(Table2[[#This Row],[Visitor/Neutral]],rtg_vlookup,4,FALSE)</f>
        <v>-1.6486885245901659</v>
      </c>
      <c r="X730" s="15"/>
      <c r="Y730" s="2"/>
      <c r="Z730" s="2">
        <f>Table2[[#This Row],[A/EV]]-Table2[[#This Row],[H/EV]]</f>
        <v>-3.5891555542187348</v>
      </c>
      <c r="AA730" s="29"/>
      <c r="AB730" s="30"/>
      <c r="AC730" s="30"/>
      <c r="AD730" s="30"/>
      <c r="AE730" s="30"/>
      <c r="AF730" s="7" t="b">
        <f>IF(VLOOKUP(Table2[[#This Row],[Home/Neutral]],division_lookup,9,FALSE)=VLOOKUP(Table2[[#This Row],[Visitor/Neutral]],division_lookup,9,FALSE),TRUE,FALSE)</f>
        <v>0</v>
      </c>
      <c r="AG730" s="15" t="str">
        <f>VLOOKUP(Table2[[#This Row],[Home/Neutral]],division_lookup,9,FALSE)</f>
        <v>SE</v>
      </c>
      <c r="AH730" s="15" t="str">
        <f>IF(Table2[[#This Row],[Total/EV]]&lt;Table2[[#This Row],[Total/V]],"UNDER","OVER")</f>
        <v>OVER</v>
      </c>
      <c r="AI730" s="26">
        <f>Table2[[#This Row],[SRS/Real]]-Table2[[#This Row],[Spread/V]]</f>
        <v>0</v>
      </c>
      <c r="AJ730" s="2">
        <f>Table2[[#This Row],[EV/Real]]-Table2[[#This Row],[Spread/V]]</f>
        <v>0</v>
      </c>
      <c r="AK730" s="2">
        <f>Table2[[#This Row],[SRS/Diff]]-Table2[[#This Row],[EV/Diff]]</f>
        <v>0</v>
      </c>
      <c r="AL730" s="18">
        <f>Table2[[#This Row],[SRS]]-Table2[[#This Row],[Spread]]</f>
        <v>-1.6486885245901659</v>
      </c>
      <c r="AM730" s="21">
        <f>Table2[[#This Row],[(A) Err]]^2</f>
        <v>2.718173851115298</v>
      </c>
      <c r="AN730" s="6">
        <f>Table2[[#This Row],[EV]]-Table2[[#This Row],[Spread]]</f>
        <v>-3.5891555542187348</v>
      </c>
      <c r="AO730" s="1">
        <f>Table2[[#This Row],[EV Err]]^2</f>
        <v>12.882037592379193</v>
      </c>
      <c r="AP730" s="1"/>
    </row>
    <row r="731" spans="1:42" x14ac:dyDescent="0.25">
      <c r="A731" s="34">
        <v>42767</v>
      </c>
      <c r="B731" t="s">
        <v>110</v>
      </c>
      <c r="C731" t="s">
        <v>135</v>
      </c>
      <c r="E731" s="21"/>
      <c r="G731" s="21"/>
      <c r="H731" s="7"/>
      <c r="I731" s="21"/>
      <c r="K731"/>
      <c r="L731" s="21">
        <f>(Table2[[#This Row],[H/Pace]]/100)*(VLOOKUP(Table2[[#This Row],[Home/Neutral]],home_lookup,8,FALSE)+VLOOKUP(Table2[[#This Row],[Home/Neutral]],OFR_lookup,2,FALSE)+VLOOKUP(Table2[[#This Row],[Visitor/Neutral]],def_diff_lookup,6,FALSE))</f>
        <v>106.62887118900939</v>
      </c>
      <c r="M731" s="21"/>
      <c r="N731" s="21">
        <f>(Table2[[#This Row],[A/Pace]]/100)*(VLOOKUP(Table2[[#This Row],[Visitor/Neutral]],OFR_lookup,2,FALSE)+VLOOKUP(Table2[[#This Row],[Home/Neutral]],def_diff_lookup,6,FALSE))</f>
        <v>108.96174600000001</v>
      </c>
      <c r="O731" s="21"/>
      <c r="P731" s="21"/>
      <c r="Q731">
        <f>VLOOKUP(Table2[[#This Row],[Home/Neutral]],pace_lookup,7,FALSE)</f>
        <v>96.2</v>
      </c>
      <c r="R731" s="5">
        <f>VLOOKUP(Table2[[#This Row],[Visitor/Neutral]],pace_lookup,7,FALSE)</f>
        <v>95.4</v>
      </c>
      <c r="S731" s="7"/>
      <c r="U731" s="15"/>
      <c r="W731" s="2">
        <f>-home-VLOOKUP(Table2[[#This Row],[Home/Neutral]],rtg_vlookup,4,FALSE)+VLOOKUP(Table2[[#This Row],[Visitor/Neutral]],rtg_vlookup,4,FALSE)</f>
        <v>2.6813114754098346</v>
      </c>
      <c r="X731" s="15"/>
      <c r="Y731" s="2"/>
      <c r="Z731" s="2">
        <f>Table2[[#This Row],[A/EV]]-Table2[[#This Row],[H/EV]]</f>
        <v>2.3328748109906172</v>
      </c>
      <c r="AA731" s="29"/>
      <c r="AB731" s="30"/>
      <c r="AC731" s="30"/>
      <c r="AD731" s="30"/>
      <c r="AE731" s="30"/>
      <c r="AF731" s="7" t="b">
        <f>IF(VLOOKUP(Table2[[#This Row],[Home/Neutral]],division_lookup,9,FALSE)=VLOOKUP(Table2[[#This Row],[Visitor/Neutral]],division_lookup,9,FALSE),TRUE,FALSE)</f>
        <v>1</v>
      </c>
      <c r="AG731" s="15" t="str">
        <f>VLOOKUP(Table2[[#This Row],[Home/Neutral]],division_lookup,9,FALSE)</f>
        <v>A</v>
      </c>
      <c r="AH731" s="15" t="str">
        <f>IF(Table2[[#This Row],[Total/EV]]&lt;Table2[[#This Row],[Total/V]],"UNDER","OVER")</f>
        <v>OVER</v>
      </c>
      <c r="AI731" s="26">
        <f>Table2[[#This Row],[SRS/Real]]-Table2[[#This Row],[Spread/V]]</f>
        <v>0</v>
      </c>
      <c r="AJ731" s="2">
        <f>Table2[[#This Row],[EV/Real]]-Table2[[#This Row],[Spread/V]]</f>
        <v>0</v>
      </c>
      <c r="AK731" s="2">
        <f>Table2[[#This Row],[SRS/Diff]]-Table2[[#This Row],[EV/Diff]]</f>
        <v>0</v>
      </c>
      <c r="AL731" s="18">
        <f>Table2[[#This Row],[SRS]]-Table2[[#This Row],[Spread]]</f>
        <v>2.6813114754098346</v>
      </c>
      <c r="AM731" s="21">
        <f>Table2[[#This Row],[(A) Err]]^2</f>
        <v>7.1894312281644641</v>
      </c>
      <c r="AN731" s="6">
        <f>Table2[[#This Row],[EV]]-Table2[[#This Row],[Spread]]</f>
        <v>2.3328748109906172</v>
      </c>
      <c r="AO731" s="1">
        <f>Table2[[#This Row],[EV Err]]^2</f>
        <v>5.4423048837545078</v>
      </c>
      <c r="AP731" s="1"/>
    </row>
    <row r="732" spans="1:42" x14ac:dyDescent="0.25">
      <c r="A732" s="34">
        <v>42767</v>
      </c>
      <c r="B732" t="s">
        <v>111</v>
      </c>
      <c r="C732" t="s">
        <v>128</v>
      </c>
      <c r="E732" s="21"/>
      <c r="G732" s="21"/>
      <c r="H732" s="7"/>
      <c r="I732" s="21"/>
      <c r="K732"/>
      <c r="L732" s="21">
        <f>(Table2[[#This Row],[H/Pace]]/100)*(VLOOKUP(Table2[[#This Row],[Home/Neutral]],home_lookup,8,FALSE)+VLOOKUP(Table2[[#This Row],[Home/Neutral]],OFR_lookup,2,FALSE)+VLOOKUP(Table2[[#This Row],[Visitor/Neutral]],def_diff_lookup,6,FALSE))</f>
        <v>103.38401832771636</v>
      </c>
      <c r="M732" s="21"/>
      <c r="N732" s="21">
        <f>(Table2[[#This Row],[A/Pace]]/100)*(VLOOKUP(Table2[[#This Row],[Visitor/Neutral]],OFR_lookup,2,FALSE)+VLOOKUP(Table2[[#This Row],[Home/Neutral]],def_diff_lookup,6,FALSE))</f>
        <v>108.07331699999999</v>
      </c>
      <c r="O732" s="21"/>
      <c r="P732" s="21"/>
      <c r="Q732">
        <f>VLOOKUP(Table2[[#This Row],[Home/Neutral]],pace_lookup,7,FALSE)</f>
        <v>102</v>
      </c>
      <c r="R732" s="5">
        <f>VLOOKUP(Table2[[#This Row],[Visitor/Neutral]],pace_lookup,7,FALSE)</f>
        <v>96.3</v>
      </c>
      <c r="S732" s="7"/>
      <c r="U732" s="15"/>
      <c r="W732" s="2">
        <f>-home-VLOOKUP(Table2[[#This Row],[Home/Neutral]],rtg_vlookup,4,FALSE)+VLOOKUP(Table2[[#This Row],[Visitor/Neutral]],rtg_vlookup,4,FALSE)</f>
        <v>4.1413114754098341</v>
      </c>
      <c r="X732" s="15"/>
      <c r="Y732" s="2"/>
      <c r="Z732" s="2">
        <f>Table2[[#This Row],[A/EV]]-Table2[[#This Row],[H/EV]]</f>
        <v>4.689298672283627</v>
      </c>
      <c r="AA732" s="29"/>
      <c r="AB732" s="30"/>
      <c r="AC732" s="30"/>
      <c r="AD732" s="30"/>
      <c r="AE732" s="30"/>
      <c r="AF732" s="7" t="b">
        <f>IF(VLOOKUP(Table2[[#This Row],[Home/Neutral]],division_lookup,9,FALSE)=VLOOKUP(Table2[[#This Row],[Visitor/Neutral]],division_lookup,9,FALSE),TRUE,FALSE)</f>
        <v>1</v>
      </c>
      <c r="AG732" s="15" t="str">
        <f>VLOOKUP(Table2[[#This Row],[Home/Neutral]],division_lookup,9,FALSE)</f>
        <v>A</v>
      </c>
      <c r="AH732" s="15" t="str">
        <f>IF(Table2[[#This Row],[Total/EV]]&lt;Table2[[#This Row],[Total/V]],"UNDER","OVER")</f>
        <v>OVER</v>
      </c>
      <c r="AI732" s="26">
        <f>Table2[[#This Row],[SRS/Real]]-Table2[[#This Row],[Spread/V]]</f>
        <v>0</v>
      </c>
      <c r="AJ732" s="2">
        <f>Table2[[#This Row],[EV/Real]]-Table2[[#This Row],[Spread/V]]</f>
        <v>0</v>
      </c>
      <c r="AK732" s="2">
        <f>Table2[[#This Row],[SRS/Diff]]-Table2[[#This Row],[EV/Diff]]</f>
        <v>0</v>
      </c>
      <c r="AL732" s="18">
        <f>Table2[[#This Row],[SRS]]-Table2[[#This Row],[Spread]]</f>
        <v>4.1413114754098341</v>
      </c>
      <c r="AM732" s="21">
        <f>Table2[[#This Row],[(A) Err]]^2</f>
        <v>17.150460736361179</v>
      </c>
      <c r="AN732" s="6">
        <f>Table2[[#This Row],[EV]]-Table2[[#This Row],[Spread]]</f>
        <v>4.689298672283627</v>
      </c>
      <c r="AO732" s="1">
        <f>Table2[[#This Row],[EV Err]]^2</f>
        <v>21.989522037880988</v>
      </c>
      <c r="AP732" s="1"/>
    </row>
    <row r="733" spans="1:42" x14ac:dyDescent="0.25">
      <c r="A733" s="34">
        <v>42767</v>
      </c>
      <c r="B733" t="s">
        <v>114</v>
      </c>
      <c r="C733" t="s">
        <v>126</v>
      </c>
      <c r="E733" s="21"/>
      <c r="G733" s="21"/>
      <c r="H733" s="7"/>
      <c r="I733" s="21"/>
      <c r="K733"/>
      <c r="L733" s="21">
        <f>(Table2[[#This Row],[H/Pace]]/100)*(VLOOKUP(Table2[[#This Row],[Home/Neutral]],home_lookup,8,FALSE)+VLOOKUP(Table2[[#This Row],[Home/Neutral]],OFR_lookup,2,FALSE)+VLOOKUP(Table2[[#This Row],[Visitor/Neutral]],def_diff_lookup,6,FALSE))</f>
        <v>117.40394276756466</v>
      </c>
      <c r="M733" s="21"/>
      <c r="N733" s="21">
        <f>(Table2[[#This Row],[A/Pace]]/100)*(VLOOKUP(Table2[[#This Row],[Visitor/Neutral]],OFR_lookup,2,FALSE)+VLOOKUP(Table2[[#This Row],[Home/Neutral]],def_diff_lookup,6,FALSE))</f>
        <v>103.49540300000001</v>
      </c>
      <c r="O733" s="21"/>
      <c r="P733" s="21"/>
      <c r="Q733">
        <f>VLOOKUP(Table2[[#This Row],[Home/Neutral]],pace_lookup,7,FALSE)</f>
        <v>97.3</v>
      </c>
      <c r="R733" s="5">
        <f>VLOOKUP(Table2[[#This Row],[Visitor/Neutral]],pace_lookup,7,FALSE)</f>
        <v>95.7</v>
      </c>
      <c r="S733" s="7"/>
      <c r="U733" s="15"/>
      <c r="W733" s="2">
        <f>-home-VLOOKUP(Table2[[#This Row],[Home/Neutral]],rtg_vlookup,4,FALSE)+VLOOKUP(Table2[[#This Row],[Visitor/Neutral]],rtg_vlookup,4,FALSE)</f>
        <v>-12.608688524590166</v>
      </c>
      <c r="X733" s="15"/>
      <c r="Y733" s="2"/>
      <c r="Z733" s="2">
        <f>Table2[[#This Row],[A/EV]]-Table2[[#This Row],[H/EV]]</f>
        <v>-13.908539767564648</v>
      </c>
      <c r="AA733" s="29"/>
      <c r="AB733" s="30"/>
      <c r="AC733" s="30"/>
      <c r="AD733" s="30"/>
      <c r="AE733" s="30"/>
      <c r="AF733" s="7" t="b">
        <f>IF(VLOOKUP(Table2[[#This Row],[Home/Neutral]],division_lookup,9,FALSE)=VLOOKUP(Table2[[#This Row],[Visitor/Neutral]],division_lookup,9,FALSE),TRUE,FALSE)</f>
        <v>0</v>
      </c>
      <c r="AG733" s="15" t="str">
        <f>VLOOKUP(Table2[[#This Row],[Home/Neutral]],division_lookup,9,FALSE)</f>
        <v>C</v>
      </c>
      <c r="AH733" s="15" t="str">
        <f>IF(Table2[[#This Row],[Total/EV]]&lt;Table2[[#This Row],[Total/V]],"UNDER","OVER")</f>
        <v>OVER</v>
      </c>
      <c r="AI733" s="26">
        <f>Table2[[#This Row],[SRS/Real]]-Table2[[#This Row],[Spread/V]]</f>
        <v>0</v>
      </c>
      <c r="AJ733" s="2">
        <f>Table2[[#This Row],[EV/Real]]-Table2[[#This Row],[Spread/V]]</f>
        <v>0</v>
      </c>
      <c r="AK733" s="2">
        <f>Table2[[#This Row],[SRS/Diff]]-Table2[[#This Row],[EV/Diff]]</f>
        <v>0</v>
      </c>
      <c r="AL733" s="18">
        <f>Table2[[#This Row],[SRS]]-Table2[[#This Row],[Spread]]</f>
        <v>-12.608688524590166</v>
      </c>
      <c r="AM733" s="21">
        <f>Table2[[#This Row],[(A) Err]]^2</f>
        <v>158.97902631013173</v>
      </c>
      <c r="AN733" s="6">
        <f>Table2[[#This Row],[EV]]-Table2[[#This Row],[Spread]]</f>
        <v>-13.908539767564648</v>
      </c>
      <c r="AO733" s="1">
        <f>Table2[[#This Row],[EV Err]]^2</f>
        <v>193.44747846592728</v>
      </c>
      <c r="AP733" s="1"/>
    </row>
    <row r="734" spans="1:42" x14ac:dyDescent="0.25">
      <c r="A734" s="34">
        <v>42767</v>
      </c>
      <c r="B734" t="s">
        <v>115</v>
      </c>
      <c r="C734" t="s">
        <v>138</v>
      </c>
      <c r="E734" s="21"/>
      <c r="G734" s="21"/>
      <c r="H734" s="7"/>
      <c r="I734" s="21"/>
      <c r="K734"/>
      <c r="L734" s="21">
        <f>(Table2[[#This Row],[H/Pace]]/100)*(VLOOKUP(Table2[[#This Row],[Home/Neutral]],home_lookup,8,FALSE)+VLOOKUP(Table2[[#This Row],[Home/Neutral]],OFR_lookup,2,FALSE)+VLOOKUP(Table2[[#This Row],[Visitor/Neutral]],def_diff_lookup,6,FALSE))</f>
        <v>97.003553115967762</v>
      </c>
      <c r="M734" s="21"/>
      <c r="N734" s="21">
        <f>(Table2[[#This Row],[A/Pace]]/100)*(VLOOKUP(Table2[[#This Row],[Visitor/Neutral]],OFR_lookup,2,FALSE)+VLOOKUP(Table2[[#This Row],[Home/Neutral]],def_diff_lookup,6,FALSE))</f>
        <v>95.604275000000001</v>
      </c>
      <c r="O734" s="21"/>
      <c r="P734" s="21"/>
      <c r="Q734">
        <f>VLOOKUP(Table2[[#This Row],[Home/Neutral]],pace_lookup,7,FALSE)</f>
        <v>92.9</v>
      </c>
      <c r="R734" s="5">
        <f>VLOOKUP(Table2[[#This Row],[Visitor/Neutral]],pace_lookup,7,FALSE)</f>
        <v>97.5</v>
      </c>
      <c r="S734" s="7"/>
      <c r="U734" s="15"/>
      <c r="W734" s="2">
        <f>-home-VLOOKUP(Table2[[#This Row],[Home/Neutral]],rtg_vlookup,4,FALSE)+VLOOKUP(Table2[[#This Row],[Visitor/Neutral]],rtg_vlookup,4,FALSE)</f>
        <v>-3.5486885245901671</v>
      </c>
      <c r="X734" s="15"/>
      <c r="Y734" s="2"/>
      <c r="Z734" s="2">
        <f>Table2[[#This Row],[A/EV]]-Table2[[#This Row],[H/EV]]</f>
        <v>-1.3992781159677605</v>
      </c>
      <c r="AA734" s="29"/>
      <c r="AB734" s="30"/>
      <c r="AC734" s="30"/>
      <c r="AD734" s="30"/>
      <c r="AE734" s="30"/>
      <c r="AF734" s="7" t="b">
        <f>IF(VLOOKUP(Table2[[#This Row],[Home/Neutral]],division_lookup,9,FALSE)=VLOOKUP(Table2[[#This Row],[Visitor/Neutral]],division_lookup,9,FALSE),TRUE,FALSE)</f>
        <v>0</v>
      </c>
      <c r="AG734" s="15" t="str">
        <f>VLOOKUP(Table2[[#This Row],[Home/Neutral]],division_lookup,9,FALSE)</f>
        <v>SW</v>
      </c>
      <c r="AH734" s="15" t="str">
        <f>IF(Table2[[#This Row],[Total/EV]]&lt;Table2[[#This Row],[Total/V]],"UNDER","OVER")</f>
        <v>OVER</v>
      </c>
      <c r="AI734" s="26">
        <f>Table2[[#This Row],[SRS/Real]]-Table2[[#This Row],[Spread/V]]</f>
        <v>0</v>
      </c>
      <c r="AJ734" s="2">
        <f>Table2[[#This Row],[EV/Real]]-Table2[[#This Row],[Spread/V]]</f>
        <v>0</v>
      </c>
      <c r="AK734" s="2">
        <f>Table2[[#This Row],[SRS/Diff]]-Table2[[#This Row],[EV/Diff]]</f>
        <v>0</v>
      </c>
      <c r="AL734" s="18">
        <f>Table2[[#This Row],[SRS]]-Table2[[#This Row],[Spread]]</f>
        <v>-3.5486885245901671</v>
      </c>
      <c r="AM734" s="21">
        <f>Table2[[#This Row],[(A) Err]]^2</f>
        <v>12.593190244557938</v>
      </c>
      <c r="AN734" s="6">
        <f>Table2[[#This Row],[EV]]-Table2[[#This Row],[Spread]]</f>
        <v>-1.3992781159677605</v>
      </c>
      <c r="AO734" s="1">
        <f>Table2[[#This Row],[EV Err]]^2</f>
        <v>1.9579792458262855</v>
      </c>
      <c r="AP734" s="1"/>
    </row>
    <row r="735" spans="1:42" x14ac:dyDescent="0.25">
      <c r="A735" s="34">
        <v>42767</v>
      </c>
      <c r="B735" t="s">
        <v>116</v>
      </c>
      <c r="C735" t="s">
        <v>123</v>
      </c>
      <c r="E735" s="21"/>
      <c r="G735" s="21"/>
      <c r="H735" s="7"/>
      <c r="I735" s="21"/>
      <c r="K735"/>
      <c r="L735" s="21">
        <f>(Table2[[#This Row],[H/Pace]]/100)*(VLOOKUP(Table2[[#This Row],[Home/Neutral]],home_lookup,8,FALSE)+VLOOKUP(Table2[[#This Row],[Home/Neutral]],OFR_lookup,2,FALSE)+VLOOKUP(Table2[[#This Row],[Visitor/Neutral]],def_diff_lookup,6,FALSE))</f>
        <v>101.39764470161863</v>
      </c>
      <c r="M735" s="21"/>
      <c r="N735" s="21">
        <f>(Table2[[#This Row],[A/Pace]]/100)*(VLOOKUP(Table2[[#This Row],[Visitor/Neutral]],OFR_lookup,2,FALSE)+VLOOKUP(Table2[[#This Row],[Home/Neutral]],def_diff_lookup,6,FALSE))</f>
        <v>96.251491666666652</v>
      </c>
      <c r="O735" s="21"/>
      <c r="P735" s="21"/>
      <c r="Q735">
        <f>VLOOKUP(Table2[[#This Row],[Home/Neutral]],pace_lookup,7,FALSE)</f>
        <v>99.1</v>
      </c>
      <c r="R735" s="5">
        <f>VLOOKUP(Table2[[#This Row],[Visitor/Neutral]],pace_lookup,7,FALSE)</f>
        <v>92.5</v>
      </c>
      <c r="S735" s="7"/>
      <c r="U735" s="15"/>
      <c r="W735" s="2">
        <f>-home-VLOOKUP(Table2[[#This Row],[Home/Neutral]],rtg_vlookup,4,FALSE)+VLOOKUP(Table2[[#This Row],[Visitor/Neutral]],rtg_vlookup,4,FALSE)</f>
        <v>-1.3586885245901659</v>
      </c>
      <c r="X735" s="15"/>
      <c r="Y735" s="2"/>
      <c r="Z735" s="2">
        <f>Table2[[#This Row],[A/EV]]-Table2[[#This Row],[H/EV]]</f>
        <v>-5.1461530349519791</v>
      </c>
      <c r="AA735" s="29"/>
      <c r="AB735" s="30"/>
      <c r="AC735" s="30"/>
      <c r="AD735" s="30"/>
      <c r="AE735" s="30"/>
      <c r="AF735" s="7" t="b">
        <f>IF(VLOOKUP(Table2[[#This Row],[Home/Neutral]],division_lookup,9,FALSE)=VLOOKUP(Table2[[#This Row],[Visitor/Neutral]],division_lookup,9,FALSE),TRUE,FALSE)</f>
        <v>0</v>
      </c>
      <c r="AG735" s="15" t="str">
        <f>VLOOKUP(Table2[[#This Row],[Home/Neutral]],division_lookup,9,FALSE)</f>
        <v>NW</v>
      </c>
      <c r="AH735" s="15" t="str">
        <f>IF(Table2[[#This Row],[Total/EV]]&lt;Table2[[#This Row],[Total/V]],"UNDER","OVER")</f>
        <v>OVER</v>
      </c>
      <c r="AI735" s="26">
        <f>Table2[[#This Row],[SRS/Real]]-Table2[[#This Row],[Spread/V]]</f>
        <v>0</v>
      </c>
      <c r="AJ735" s="2">
        <f>Table2[[#This Row],[EV/Real]]-Table2[[#This Row],[Spread/V]]</f>
        <v>0</v>
      </c>
      <c r="AK735" s="2">
        <f>Table2[[#This Row],[SRS/Diff]]-Table2[[#This Row],[EV/Diff]]</f>
        <v>0</v>
      </c>
      <c r="AL735" s="18">
        <f>Table2[[#This Row],[SRS]]-Table2[[#This Row],[Spread]]</f>
        <v>-1.3586885245901659</v>
      </c>
      <c r="AM735" s="21">
        <f>Table2[[#This Row],[(A) Err]]^2</f>
        <v>1.8460345068530017</v>
      </c>
      <c r="AN735" s="6">
        <f>Table2[[#This Row],[EV]]-Table2[[#This Row],[Spread]]</f>
        <v>-5.1461530349519791</v>
      </c>
      <c r="AO735" s="1">
        <f>Table2[[#This Row],[EV Err]]^2</f>
        <v>26.482891059145466</v>
      </c>
      <c r="AP735" s="1"/>
    </row>
    <row r="736" spans="1:42" x14ac:dyDescent="0.25">
      <c r="A736" s="34">
        <v>42767</v>
      </c>
      <c r="B736" t="s">
        <v>117</v>
      </c>
      <c r="C736" t="s">
        <v>127</v>
      </c>
      <c r="E736" s="21"/>
      <c r="G736" s="21"/>
      <c r="H736" s="7"/>
      <c r="I736" s="21"/>
      <c r="K736"/>
      <c r="L736" s="21">
        <f>(Table2[[#This Row],[H/Pace]]/100)*(VLOOKUP(Table2[[#This Row],[Home/Neutral]],home_lookup,8,FALSE)+VLOOKUP(Table2[[#This Row],[Home/Neutral]],OFR_lookup,2,FALSE)+VLOOKUP(Table2[[#This Row],[Visitor/Neutral]],def_diff_lookup,6,FALSE))</f>
        <v>111.01459591446428</v>
      </c>
      <c r="M736" s="21"/>
      <c r="N736" s="21">
        <f>(Table2[[#This Row],[A/Pace]]/100)*(VLOOKUP(Table2[[#This Row],[Visitor/Neutral]],OFR_lookup,2,FALSE)+VLOOKUP(Table2[[#This Row],[Home/Neutral]],def_diff_lookup,6,FALSE))</f>
        <v>98.104096999999996</v>
      </c>
      <c r="O736" s="21"/>
      <c r="P736" s="21"/>
      <c r="Q736">
        <f>VLOOKUP(Table2[[#This Row],[Home/Neutral]],pace_lookup,7,FALSE)</f>
        <v>94</v>
      </c>
      <c r="R736" s="5">
        <f>VLOOKUP(Table2[[#This Row],[Visitor/Neutral]],pace_lookup,7,FALSE)</f>
        <v>99.3</v>
      </c>
      <c r="S736" s="7"/>
      <c r="U736" s="15"/>
      <c r="W736" s="2">
        <f>-home-VLOOKUP(Table2[[#This Row],[Home/Neutral]],rtg_vlookup,4,FALSE)+VLOOKUP(Table2[[#This Row],[Visitor/Neutral]],rtg_vlookup,4,FALSE)</f>
        <v>-7.0086885245901662</v>
      </c>
      <c r="X736" s="15"/>
      <c r="Y736" s="2"/>
      <c r="Z736" s="2">
        <f>Table2[[#This Row],[A/EV]]-Table2[[#This Row],[H/EV]]</f>
        <v>-12.910498914464284</v>
      </c>
      <c r="AA736" s="29"/>
      <c r="AB736" s="30"/>
      <c r="AC736" s="30"/>
      <c r="AD736" s="30"/>
      <c r="AE736" s="30"/>
      <c r="AF736" s="7" t="b">
        <f>IF(VLOOKUP(Table2[[#This Row],[Home/Neutral]],division_lookup,9,FALSE)=VLOOKUP(Table2[[#This Row],[Visitor/Neutral]],division_lookup,9,FALSE),TRUE,FALSE)</f>
        <v>0</v>
      </c>
      <c r="AG736" s="15" t="str">
        <f>VLOOKUP(Table2[[#This Row],[Home/Neutral]],division_lookup,9,FALSE)</f>
        <v>C</v>
      </c>
      <c r="AH736" s="15" t="str">
        <f>IF(Table2[[#This Row],[Total/EV]]&lt;Table2[[#This Row],[Total/V]],"UNDER","OVER")</f>
        <v>OVER</v>
      </c>
      <c r="AI736" s="26">
        <f>Table2[[#This Row],[SRS/Real]]-Table2[[#This Row],[Spread/V]]</f>
        <v>0</v>
      </c>
      <c r="AJ736" s="2">
        <f>Table2[[#This Row],[EV/Real]]-Table2[[#This Row],[Spread/V]]</f>
        <v>0</v>
      </c>
      <c r="AK736" s="2">
        <f>Table2[[#This Row],[SRS/Diff]]-Table2[[#This Row],[EV/Diff]]</f>
        <v>0</v>
      </c>
      <c r="AL736" s="18">
        <f>Table2[[#This Row],[SRS]]-Table2[[#This Row],[Spread]]</f>
        <v>-7.0086885245901662</v>
      </c>
      <c r="AM736" s="21">
        <f>Table2[[#This Row],[(A) Err]]^2</f>
        <v>49.121714834721878</v>
      </c>
      <c r="AN736" s="6">
        <f>Table2[[#This Row],[EV]]-Table2[[#This Row],[Spread]]</f>
        <v>-12.910498914464284</v>
      </c>
      <c r="AO736" s="1">
        <f>Table2[[#This Row],[EV Err]]^2</f>
        <v>166.68098222038347</v>
      </c>
      <c r="AP736" s="1"/>
    </row>
    <row r="737" spans="1:42" x14ac:dyDescent="0.25">
      <c r="A737" s="34">
        <v>42767</v>
      </c>
      <c r="B737" t="s">
        <v>118</v>
      </c>
      <c r="C737" t="s">
        <v>112</v>
      </c>
      <c r="E737" s="21"/>
      <c r="G737" s="21"/>
      <c r="H737" s="7"/>
      <c r="I737" s="21"/>
      <c r="K737"/>
      <c r="L737" s="21">
        <f>(Table2[[#This Row],[H/Pace]]/100)*(VLOOKUP(Table2[[#This Row],[Home/Neutral]],home_lookup,8,FALSE)+VLOOKUP(Table2[[#This Row],[Home/Neutral]],OFR_lookup,2,FALSE)+VLOOKUP(Table2[[#This Row],[Visitor/Neutral]],def_diff_lookup,6,FALSE))</f>
        <v>113.81879838078237</v>
      </c>
      <c r="M737" s="21"/>
      <c r="N737" s="21">
        <f>(Table2[[#This Row],[A/Pace]]/100)*(VLOOKUP(Table2[[#This Row],[Visitor/Neutral]],OFR_lookup,2,FALSE)+VLOOKUP(Table2[[#This Row],[Home/Neutral]],def_diff_lookup,6,FALSE))</f>
        <v>103.86313933333334</v>
      </c>
      <c r="O737" s="21"/>
      <c r="P737" s="21"/>
      <c r="Q737">
        <f>VLOOKUP(Table2[[#This Row],[Home/Neutral]],pace_lookup,7,FALSE)</f>
        <v>100.4</v>
      </c>
      <c r="R737" s="5">
        <f>VLOOKUP(Table2[[#This Row],[Visitor/Neutral]],pace_lookup,7,FALSE)</f>
        <v>97.4</v>
      </c>
      <c r="S737" s="7"/>
      <c r="U737" s="15"/>
      <c r="W737" s="2">
        <f>-home-VLOOKUP(Table2[[#This Row],[Home/Neutral]],rtg_vlookup,4,FALSE)+VLOOKUP(Table2[[#This Row],[Visitor/Neutral]],rtg_vlookup,4,FALSE)</f>
        <v>-12.158688524590165</v>
      </c>
      <c r="X737" s="15"/>
      <c r="Y737" s="2"/>
      <c r="Z737" s="2">
        <f>Table2[[#This Row],[A/EV]]-Table2[[#This Row],[H/EV]]</f>
        <v>-9.9556590474490321</v>
      </c>
      <c r="AA737" s="29"/>
      <c r="AB737" s="30"/>
      <c r="AC737" s="30"/>
      <c r="AD737" s="30"/>
      <c r="AE737" s="30"/>
      <c r="AF737" s="7" t="b">
        <f>IF(VLOOKUP(Table2[[#This Row],[Home/Neutral]],division_lookup,9,FALSE)=VLOOKUP(Table2[[#This Row],[Visitor/Neutral]],division_lookup,9,FALSE),TRUE,FALSE)</f>
        <v>0</v>
      </c>
      <c r="AG737" s="15" t="str">
        <f>VLOOKUP(Table2[[#This Row],[Home/Neutral]],division_lookup,9,FALSE)</f>
        <v>P</v>
      </c>
      <c r="AH737" s="15" t="str">
        <f>IF(Table2[[#This Row],[Total/EV]]&lt;Table2[[#This Row],[Total/V]],"UNDER","OVER")</f>
        <v>OVER</v>
      </c>
      <c r="AI737" s="26">
        <f>Table2[[#This Row],[SRS/Real]]-Table2[[#This Row],[Spread/V]]</f>
        <v>0</v>
      </c>
      <c r="AJ737" s="2">
        <f>Table2[[#This Row],[EV/Real]]-Table2[[#This Row],[Spread/V]]</f>
        <v>0</v>
      </c>
      <c r="AK737" s="2">
        <f>Table2[[#This Row],[SRS/Diff]]-Table2[[#This Row],[EV/Diff]]</f>
        <v>0</v>
      </c>
      <c r="AL737" s="18">
        <f>Table2[[#This Row],[SRS]]-Table2[[#This Row],[Spread]]</f>
        <v>-12.158688524590165</v>
      </c>
      <c r="AM737" s="21">
        <f>Table2[[#This Row],[(A) Err]]^2</f>
        <v>147.83370663800056</v>
      </c>
      <c r="AN737" s="6">
        <f>Table2[[#This Row],[EV]]-Table2[[#This Row],[Spread]]</f>
        <v>-9.9556590474490321</v>
      </c>
      <c r="AO737" s="1">
        <f>Table2[[#This Row],[EV Err]]^2</f>
        <v>99.115147069053762</v>
      </c>
      <c r="AP737" s="1"/>
    </row>
    <row r="738" spans="1:42" x14ac:dyDescent="0.25">
      <c r="A738" s="34">
        <v>42767</v>
      </c>
      <c r="B738" t="s">
        <v>124</v>
      </c>
      <c r="C738" t="s">
        <v>109</v>
      </c>
      <c r="E738" s="21"/>
      <c r="G738" s="21"/>
      <c r="H738" s="7"/>
      <c r="I738" s="21"/>
      <c r="K738"/>
      <c r="L738" s="21">
        <f>(Table2[[#This Row],[H/Pace]]/100)*(VLOOKUP(Table2[[#This Row],[Home/Neutral]],home_lookup,8,FALSE)+VLOOKUP(Table2[[#This Row],[Home/Neutral]],OFR_lookup,2,FALSE)+VLOOKUP(Table2[[#This Row],[Visitor/Neutral]],def_diff_lookup,6,FALSE))</f>
        <v>94.754745177235577</v>
      </c>
      <c r="M738" s="21"/>
      <c r="N738" s="21">
        <f>(Table2[[#This Row],[A/Pace]]/100)*(VLOOKUP(Table2[[#This Row],[Visitor/Neutral]],OFR_lookup,2,FALSE)+VLOOKUP(Table2[[#This Row],[Home/Neutral]],def_diff_lookup,6,FALSE))</f>
        <v>99.066741333333326</v>
      </c>
      <c r="O738" s="21"/>
      <c r="P738" s="21"/>
      <c r="Q738">
        <f>VLOOKUP(Table2[[#This Row],[Home/Neutral]],pace_lookup,7,FALSE)</f>
        <v>93.7</v>
      </c>
      <c r="R738" s="5">
        <f>VLOOKUP(Table2[[#This Row],[Visitor/Neutral]],pace_lookup,7,FALSE)</f>
        <v>99.2</v>
      </c>
      <c r="S738" s="7"/>
      <c r="U738" s="15"/>
      <c r="W738" s="2">
        <f>-home-VLOOKUP(Table2[[#This Row],[Home/Neutral]],rtg_vlookup,4,FALSE)+VLOOKUP(Table2[[#This Row],[Visitor/Neutral]],rtg_vlookup,4,FALSE)</f>
        <v>0.70131147540983441</v>
      </c>
      <c r="X738" s="15"/>
      <c r="Y738" s="2"/>
      <c r="Z738" s="2">
        <f>Table2[[#This Row],[A/EV]]-Table2[[#This Row],[H/EV]]</f>
        <v>4.3119961560977487</v>
      </c>
      <c r="AA738" s="29"/>
      <c r="AB738" s="30"/>
      <c r="AC738" s="30"/>
      <c r="AD738" s="30"/>
      <c r="AE738" s="30"/>
      <c r="AF738" s="7" t="b">
        <f>IF(VLOOKUP(Table2[[#This Row],[Home/Neutral]],division_lookup,9,FALSE)=VLOOKUP(Table2[[#This Row],[Visitor/Neutral]],division_lookup,9,FALSE),TRUE,FALSE)</f>
        <v>1</v>
      </c>
      <c r="AG738" s="15" t="str">
        <f>VLOOKUP(Table2[[#This Row],[Home/Neutral]],division_lookup,9,FALSE)</f>
        <v>SE</v>
      </c>
      <c r="AH738" s="15" t="str">
        <f>IF(Table2[[#This Row],[Total/EV]]&lt;Table2[[#This Row],[Total/V]],"UNDER","OVER")</f>
        <v>OVER</v>
      </c>
      <c r="AI738" s="26">
        <f>Table2[[#This Row],[SRS/Real]]-Table2[[#This Row],[Spread/V]]</f>
        <v>0</v>
      </c>
      <c r="AJ738" s="2">
        <f>Table2[[#This Row],[EV/Real]]-Table2[[#This Row],[Spread/V]]</f>
        <v>0</v>
      </c>
      <c r="AK738" s="2">
        <f>Table2[[#This Row],[SRS/Diff]]-Table2[[#This Row],[EV/Diff]]</f>
        <v>0</v>
      </c>
      <c r="AL738" s="18">
        <f>Table2[[#This Row],[SRS]]-Table2[[#This Row],[Spread]]</f>
        <v>0.70131147540983441</v>
      </c>
      <c r="AM738" s="21">
        <f>Table2[[#This Row],[(A) Err]]^2</f>
        <v>0.49183778554151875</v>
      </c>
      <c r="AN738" s="6">
        <f>Table2[[#This Row],[EV]]-Table2[[#This Row],[Spread]]</f>
        <v>4.3119961560977487</v>
      </c>
      <c r="AO738" s="1">
        <f>Table2[[#This Row],[EV Err]]^2</f>
        <v>18.59331085020176</v>
      </c>
      <c r="AP738" s="1"/>
    </row>
    <row r="739" spans="1:42" x14ac:dyDescent="0.25">
      <c r="A739" s="34">
        <v>42767</v>
      </c>
      <c r="B739" t="s">
        <v>129</v>
      </c>
      <c r="C739" t="s">
        <v>113</v>
      </c>
      <c r="E739" s="21"/>
      <c r="G739" s="21"/>
      <c r="H739" s="7"/>
      <c r="I739" s="21"/>
      <c r="K739"/>
      <c r="L739" s="21">
        <f>(Table2[[#This Row],[H/Pace]]/100)*(VLOOKUP(Table2[[#This Row],[Home/Neutral]],home_lookup,8,FALSE)+VLOOKUP(Table2[[#This Row],[Home/Neutral]],OFR_lookup,2,FALSE)+VLOOKUP(Table2[[#This Row],[Visitor/Neutral]],def_diff_lookup,6,FALSE))</f>
        <v>106.96580376890108</v>
      </c>
      <c r="M739" s="21"/>
      <c r="N739" s="21">
        <f>(Table2[[#This Row],[A/Pace]]/100)*(VLOOKUP(Table2[[#This Row],[Visitor/Neutral]],OFR_lookup,2,FALSE)+VLOOKUP(Table2[[#This Row],[Home/Neutral]],def_diff_lookup,6,FALSE))</f>
        <v>103.588309</v>
      </c>
      <c r="O739" s="21"/>
      <c r="P739" s="21"/>
      <c r="Q739">
        <f>VLOOKUP(Table2[[#This Row],[Home/Neutral]],pace_lookup,7,FALSE)</f>
        <v>99</v>
      </c>
      <c r="R739" s="5">
        <f>VLOOKUP(Table2[[#This Row],[Visitor/Neutral]],pace_lookup,7,FALSE)</f>
        <v>95.1</v>
      </c>
      <c r="S739" s="7"/>
      <c r="U739" s="15"/>
      <c r="W739" s="2">
        <f>-home-VLOOKUP(Table2[[#This Row],[Home/Neutral]],rtg_vlookup,4,FALSE)+VLOOKUP(Table2[[#This Row],[Visitor/Neutral]],rtg_vlookup,4,FALSE)</f>
        <v>0.36131147540983477</v>
      </c>
      <c r="X739" s="15"/>
      <c r="Y739" s="2"/>
      <c r="Z739" s="2">
        <f>Table2[[#This Row],[A/EV]]-Table2[[#This Row],[H/EV]]</f>
        <v>-3.3774947689010872</v>
      </c>
      <c r="AA739" s="29"/>
      <c r="AB739" s="30"/>
      <c r="AC739" s="30"/>
      <c r="AD739" s="30"/>
      <c r="AE739" s="30"/>
      <c r="AF739" s="7" t="b">
        <f>IF(VLOOKUP(Table2[[#This Row],[Home/Neutral]],division_lookup,9,FALSE)=VLOOKUP(Table2[[#This Row],[Visitor/Neutral]],division_lookup,9,FALSE),TRUE,FALSE)</f>
        <v>0</v>
      </c>
      <c r="AG739" s="15" t="str">
        <f>VLOOKUP(Table2[[#This Row],[Home/Neutral]],division_lookup,9,FALSE)</f>
        <v>NW</v>
      </c>
      <c r="AH739" s="15" t="str">
        <f>IF(Table2[[#This Row],[Total/EV]]&lt;Table2[[#This Row],[Total/V]],"UNDER","OVER")</f>
        <v>OVER</v>
      </c>
      <c r="AI739" s="26">
        <f>Table2[[#This Row],[SRS/Real]]-Table2[[#This Row],[Spread/V]]</f>
        <v>0</v>
      </c>
      <c r="AJ739" s="2">
        <f>Table2[[#This Row],[EV/Real]]-Table2[[#This Row],[Spread/V]]</f>
        <v>0</v>
      </c>
      <c r="AK739" s="2">
        <f>Table2[[#This Row],[SRS/Diff]]-Table2[[#This Row],[EV/Diff]]</f>
        <v>0</v>
      </c>
      <c r="AL739" s="18">
        <f>Table2[[#This Row],[SRS]]-Table2[[#This Row],[Spread]]</f>
        <v>0.36131147540983477</v>
      </c>
      <c r="AM739" s="21">
        <f>Table2[[#This Row],[(A) Err]]^2</f>
        <v>0.13054598226283162</v>
      </c>
      <c r="AN739" s="6">
        <f>Table2[[#This Row],[EV]]-Table2[[#This Row],[Spread]]</f>
        <v>-3.3774947689010872</v>
      </c>
      <c r="AO739" s="1">
        <f>Table2[[#This Row],[EV Err]]^2</f>
        <v>11.407470913954208</v>
      </c>
      <c r="AP739" s="1"/>
    </row>
    <row r="740" spans="1:42" x14ac:dyDescent="0.25">
      <c r="A740" s="34">
        <v>42767</v>
      </c>
      <c r="B740" t="s">
        <v>130</v>
      </c>
      <c r="C740" t="s">
        <v>120</v>
      </c>
      <c r="E740" s="21"/>
      <c r="G740" s="21"/>
      <c r="H740" s="7"/>
      <c r="I740" s="21"/>
      <c r="K740"/>
      <c r="L740" s="21">
        <f>(Table2[[#This Row],[H/Pace]]/100)*(VLOOKUP(Table2[[#This Row],[Home/Neutral]],home_lookup,8,FALSE)+VLOOKUP(Table2[[#This Row],[Home/Neutral]],OFR_lookup,2,FALSE)+VLOOKUP(Table2[[#This Row],[Visitor/Neutral]],def_diff_lookup,6,FALSE))</f>
        <v>98.145704967109396</v>
      </c>
      <c r="M740" s="21"/>
      <c r="N740" s="21">
        <f>(Table2[[#This Row],[A/Pace]]/100)*(VLOOKUP(Table2[[#This Row],[Visitor/Neutral]],OFR_lookup,2,FALSE)+VLOOKUP(Table2[[#This Row],[Home/Neutral]],def_diff_lookup,6,FALSE))</f>
        <v>101.75590033333333</v>
      </c>
      <c r="O740" s="21"/>
      <c r="P740" s="21"/>
      <c r="Q740">
        <f>VLOOKUP(Table2[[#This Row],[Home/Neutral]],pace_lookup,7,FALSE)</f>
        <v>94.2</v>
      </c>
      <c r="R740" s="5">
        <f>VLOOKUP(Table2[[#This Row],[Visitor/Neutral]],pace_lookup,7,FALSE)</f>
        <v>98.3</v>
      </c>
      <c r="S740" s="7"/>
      <c r="U740" s="15"/>
      <c r="W740" s="2">
        <f>-home-VLOOKUP(Table2[[#This Row],[Home/Neutral]],rtg_vlookup,4,FALSE)+VLOOKUP(Table2[[#This Row],[Visitor/Neutral]],rtg_vlookup,4,FALSE)</f>
        <v>1.1513114754098348</v>
      </c>
      <c r="X740" s="15"/>
      <c r="Y740" s="2"/>
      <c r="Z740" s="2">
        <f>Table2[[#This Row],[A/EV]]-Table2[[#This Row],[H/EV]]</f>
        <v>3.6101953662239339</v>
      </c>
      <c r="AA740" s="29"/>
      <c r="AB740" s="30"/>
      <c r="AC740" s="30"/>
      <c r="AD740" s="30"/>
      <c r="AE740" s="30"/>
      <c r="AF740" s="7" t="b">
        <f>IF(VLOOKUP(Table2[[#This Row],[Home/Neutral]],division_lookup,9,FALSE)=VLOOKUP(Table2[[#This Row],[Visitor/Neutral]],division_lookup,9,FALSE),TRUE,FALSE)</f>
        <v>0</v>
      </c>
      <c r="AG740" s="15" t="str">
        <f>VLOOKUP(Table2[[#This Row],[Home/Neutral]],division_lookup,9,FALSE)</f>
        <v>SE</v>
      </c>
      <c r="AH740" s="15" t="str">
        <f>IF(Table2[[#This Row],[Total/EV]]&lt;Table2[[#This Row],[Total/V]],"UNDER","OVER")</f>
        <v>OVER</v>
      </c>
      <c r="AI740" s="26">
        <f>Table2[[#This Row],[SRS/Real]]-Table2[[#This Row],[Spread/V]]</f>
        <v>0</v>
      </c>
      <c r="AJ740" s="2">
        <f>Table2[[#This Row],[EV/Real]]-Table2[[#This Row],[Spread/V]]</f>
        <v>0</v>
      </c>
      <c r="AK740" s="2">
        <f>Table2[[#This Row],[SRS/Diff]]-Table2[[#This Row],[EV/Diff]]</f>
        <v>0</v>
      </c>
      <c r="AL740" s="18">
        <f>Table2[[#This Row],[SRS]]-Table2[[#This Row],[Spread]]</f>
        <v>1.1513114754098348</v>
      </c>
      <c r="AM740" s="21">
        <f>Table2[[#This Row],[(A) Err]]^2</f>
        <v>1.3255181134103706</v>
      </c>
      <c r="AN740" s="6">
        <f>Table2[[#This Row],[EV]]-Table2[[#This Row],[Spread]]</f>
        <v>3.6101953662239339</v>
      </c>
      <c r="AO740" s="1">
        <f>Table2[[#This Row],[EV Err]]^2</f>
        <v>13.033510582304764</v>
      </c>
      <c r="AP740" s="1"/>
    </row>
    <row r="741" spans="1:42" x14ac:dyDescent="0.25">
      <c r="A741" s="34">
        <v>42767</v>
      </c>
      <c r="B741" t="s">
        <v>131</v>
      </c>
      <c r="C741" t="s">
        <v>121</v>
      </c>
      <c r="E741" s="21"/>
      <c r="G741" s="21"/>
      <c r="H741" s="7"/>
      <c r="I741" s="21"/>
      <c r="K741"/>
      <c r="L741" s="21">
        <f>(Table2[[#This Row],[H/Pace]]/100)*(VLOOKUP(Table2[[#This Row],[Home/Neutral]],home_lookup,8,FALSE)+VLOOKUP(Table2[[#This Row],[Home/Neutral]],OFR_lookup,2,FALSE)+VLOOKUP(Table2[[#This Row],[Visitor/Neutral]],def_diff_lookup,6,FALSE))</f>
        <v>92.611069791197664</v>
      </c>
      <c r="M741" s="21"/>
      <c r="N741" s="21">
        <f>(Table2[[#This Row],[A/Pace]]/100)*(VLOOKUP(Table2[[#This Row],[Visitor/Neutral]],OFR_lookup,2,FALSE)+VLOOKUP(Table2[[#This Row],[Home/Neutral]],def_diff_lookup,6,FALSE))</f>
        <v>112.05118266666666</v>
      </c>
      <c r="O741" s="21"/>
      <c r="P741" s="21"/>
      <c r="Q741">
        <f>VLOOKUP(Table2[[#This Row],[Home/Neutral]],pace_lookup,7,FALSE)</f>
        <v>101.7</v>
      </c>
      <c r="R741" s="5">
        <f>VLOOKUP(Table2[[#This Row],[Visitor/Neutral]],pace_lookup,7,FALSE)</f>
        <v>96.4</v>
      </c>
      <c r="S741" s="7"/>
      <c r="U741" s="15"/>
      <c r="W741" s="2">
        <f>-home-VLOOKUP(Table2[[#This Row],[Home/Neutral]],rtg_vlookup,4,FALSE)+VLOOKUP(Table2[[#This Row],[Visitor/Neutral]],rtg_vlookup,4,FALSE)</f>
        <v>16.331311475409834</v>
      </c>
      <c r="X741" s="15"/>
      <c r="Y741" s="2"/>
      <c r="Z741" s="2">
        <f>Table2[[#This Row],[A/EV]]-Table2[[#This Row],[H/EV]]</f>
        <v>19.440112875468998</v>
      </c>
      <c r="AA741" s="29"/>
      <c r="AB741" s="30"/>
      <c r="AC741" s="30"/>
      <c r="AD741" s="30"/>
      <c r="AE741" s="30"/>
      <c r="AF741" s="7" t="b">
        <f>IF(VLOOKUP(Table2[[#This Row],[Home/Neutral]],division_lookup,9,FALSE)=VLOOKUP(Table2[[#This Row],[Visitor/Neutral]],division_lookup,9,FALSE),TRUE,FALSE)</f>
        <v>1</v>
      </c>
      <c r="AG741" s="15" t="str">
        <f>VLOOKUP(Table2[[#This Row],[Home/Neutral]],division_lookup,9,FALSE)</f>
        <v>P</v>
      </c>
      <c r="AH741" s="15" t="str">
        <f>IF(Table2[[#This Row],[Total/EV]]&lt;Table2[[#This Row],[Total/V]],"UNDER","OVER")</f>
        <v>OVER</v>
      </c>
      <c r="AI741" s="26">
        <f>Table2[[#This Row],[SRS/Real]]-Table2[[#This Row],[Spread/V]]</f>
        <v>0</v>
      </c>
      <c r="AJ741" s="2">
        <f>Table2[[#This Row],[EV/Real]]-Table2[[#This Row],[Spread/V]]</f>
        <v>0</v>
      </c>
      <c r="AK741" s="2">
        <f>Table2[[#This Row],[SRS/Diff]]-Table2[[#This Row],[EV/Diff]]</f>
        <v>0</v>
      </c>
      <c r="AL741" s="18">
        <f>Table2[[#This Row],[SRS]]-Table2[[#This Row],[Spread]]</f>
        <v>16.331311475409834</v>
      </c>
      <c r="AM741" s="21">
        <f>Table2[[#This Row],[(A) Err]]^2</f>
        <v>266.71173450685291</v>
      </c>
      <c r="AN741" s="6">
        <f>Table2[[#This Row],[EV]]-Table2[[#This Row],[Spread]]</f>
        <v>19.440112875468998</v>
      </c>
      <c r="AO741" s="1">
        <f>Table2[[#This Row],[EV Err]]^2</f>
        <v>377.9179886109755</v>
      </c>
      <c r="AP741" s="1"/>
    </row>
    <row r="742" spans="1:42" x14ac:dyDescent="0.25">
      <c r="A742" s="34">
        <v>42767</v>
      </c>
      <c r="B742" t="s">
        <v>136</v>
      </c>
      <c r="C742" t="s">
        <v>125</v>
      </c>
      <c r="E742" s="21"/>
      <c r="G742" s="21"/>
      <c r="H742" s="7"/>
      <c r="I742" s="21"/>
      <c r="K742"/>
      <c r="L742" s="21">
        <f>(Table2[[#This Row],[H/Pace]]/100)*(VLOOKUP(Table2[[#This Row],[Home/Neutral]],home_lookup,8,FALSE)+VLOOKUP(Table2[[#This Row],[Home/Neutral]],OFR_lookup,2,FALSE)+VLOOKUP(Table2[[#This Row],[Visitor/Neutral]],def_diff_lookup,6,FALSE))</f>
        <v>106.95118534991899</v>
      </c>
      <c r="M742" s="21"/>
      <c r="N742" s="21">
        <f>(Table2[[#This Row],[A/Pace]]/100)*(VLOOKUP(Table2[[#This Row],[Visitor/Neutral]],OFR_lookup,2,FALSE)+VLOOKUP(Table2[[#This Row],[Home/Neutral]],def_diff_lookup,6,FALSE))</f>
        <v>97.787195666666648</v>
      </c>
      <c r="O742" s="21"/>
      <c r="P742" s="21"/>
      <c r="Q742">
        <f>VLOOKUP(Table2[[#This Row],[Home/Neutral]],pace_lookup,7,FALSE)</f>
        <v>91.5</v>
      </c>
      <c r="R742" s="5">
        <f>VLOOKUP(Table2[[#This Row],[Visitor/Neutral]],pace_lookup,7,FALSE)</f>
        <v>96.1</v>
      </c>
      <c r="S742" s="7"/>
      <c r="U742" s="15"/>
      <c r="W742" s="2">
        <f>-home-VLOOKUP(Table2[[#This Row],[Home/Neutral]],rtg_vlookup,4,FALSE)+VLOOKUP(Table2[[#This Row],[Visitor/Neutral]],rtg_vlookup,4,FALSE)</f>
        <v>-9.5086885245901662</v>
      </c>
      <c r="X742" s="15"/>
      <c r="Y742" s="2"/>
      <c r="Z742" s="2">
        <f>Table2[[#This Row],[A/EV]]-Table2[[#This Row],[H/EV]]</f>
        <v>-9.1639896832523391</v>
      </c>
      <c r="AA742" s="29"/>
      <c r="AB742" s="30"/>
      <c r="AC742" s="30"/>
      <c r="AD742" s="30"/>
      <c r="AE742" s="30"/>
      <c r="AF742" s="7" t="b">
        <f>IF(VLOOKUP(Table2[[#This Row],[Home/Neutral]],division_lookup,9,FALSE)=VLOOKUP(Table2[[#This Row],[Visitor/Neutral]],division_lookup,9,FALSE),TRUE,FALSE)</f>
        <v>0</v>
      </c>
      <c r="AG742" s="15" t="str">
        <f>VLOOKUP(Table2[[#This Row],[Home/Neutral]],division_lookup,9,FALSE)</f>
        <v>NW</v>
      </c>
      <c r="AH742" s="15" t="str">
        <f>IF(Table2[[#This Row],[Total/EV]]&lt;Table2[[#This Row],[Total/V]],"UNDER","OVER")</f>
        <v>OVER</v>
      </c>
      <c r="AI742" s="26">
        <f>Table2[[#This Row],[SRS/Real]]-Table2[[#This Row],[Spread/V]]</f>
        <v>0</v>
      </c>
      <c r="AJ742" s="2">
        <f>Table2[[#This Row],[EV/Real]]-Table2[[#This Row],[Spread/V]]</f>
        <v>0</v>
      </c>
      <c r="AK742" s="2">
        <f>Table2[[#This Row],[SRS/Diff]]-Table2[[#This Row],[EV/Diff]]</f>
        <v>0</v>
      </c>
      <c r="AL742" s="18">
        <f>Table2[[#This Row],[SRS]]-Table2[[#This Row],[Spread]]</f>
        <v>-9.5086885245901662</v>
      </c>
      <c r="AM742" s="21">
        <f>Table2[[#This Row],[(A) Err]]^2</f>
        <v>90.415157457672706</v>
      </c>
      <c r="AN742" s="6">
        <f>Table2[[#This Row],[EV]]-Table2[[#This Row],[Spread]]</f>
        <v>-9.1639896832523391</v>
      </c>
      <c r="AO742" s="1">
        <f>Table2[[#This Row],[EV Err]]^2</f>
        <v>83.978706914755307</v>
      </c>
      <c r="AP742" s="1"/>
    </row>
    <row r="743" spans="1:42" x14ac:dyDescent="0.25">
      <c r="A743" s="34">
        <v>42768</v>
      </c>
      <c r="B743" t="s">
        <v>119</v>
      </c>
      <c r="C743" t="s">
        <v>109</v>
      </c>
      <c r="E743" s="21"/>
      <c r="G743" s="21"/>
      <c r="H743" s="7"/>
      <c r="I743" s="21"/>
      <c r="K743"/>
      <c r="L743" s="21">
        <f>(Table2[[#This Row],[H/Pace]]/100)*(VLOOKUP(Table2[[#This Row],[Home/Neutral]],home_lookup,8,FALSE)+VLOOKUP(Table2[[#This Row],[Home/Neutral]],OFR_lookup,2,FALSE)+VLOOKUP(Table2[[#This Row],[Visitor/Neutral]],def_diff_lookup,6,FALSE))</f>
        <v>102.25278376977627</v>
      </c>
      <c r="M743" s="21"/>
      <c r="N743" s="21">
        <f>(Table2[[#This Row],[A/Pace]]/100)*(VLOOKUP(Table2[[#This Row],[Visitor/Neutral]],OFR_lookup,2,FALSE)+VLOOKUP(Table2[[#This Row],[Home/Neutral]],def_diff_lookup,6,FALSE))</f>
        <v>103.95730133333333</v>
      </c>
      <c r="O743" s="21"/>
      <c r="P743" s="21"/>
      <c r="Q743">
        <f>VLOOKUP(Table2[[#This Row],[Home/Neutral]],pace_lookup,7,FALSE)</f>
        <v>96.9</v>
      </c>
      <c r="R743" s="5">
        <f>VLOOKUP(Table2[[#This Row],[Visitor/Neutral]],pace_lookup,7,FALSE)</f>
        <v>99.2</v>
      </c>
      <c r="S743" s="7"/>
      <c r="U743" s="15"/>
      <c r="W743" s="2">
        <f>-home-VLOOKUP(Table2[[#This Row],[Home/Neutral]],rtg_vlookup,4,FALSE)+VLOOKUP(Table2[[#This Row],[Visitor/Neutral]],rtg_vlookup,4,FALSE)</f>
        <v>-4.1786885245901653</v>
      </c>
      <c r="X743" s="15"/>
      <c r="Y743" s="2"/>
      <c r="Z743" s="2">
        <f>Table2[[#This Row],[A/EV]]-Table2[[#This Row],[H/EV]]</f>
        <v>1.7045175635570615</v>
      </c>
      <c r="AA743" s="29"/>
      <c r="AB743" s="30"/>
      <c r="AC743" s="30"/>
      <c r="AD743" s="30"/>
      <c r="AE743" s="30"/>
      <c r="AF743" s="7" t="b">
        <f>IF(VLOOKUP(Table2[[#This Row],[Home/Neutral]],division_lookup,9,FALSE)=VLOOKUP(Table2[[#This Row],[Visitor/Neutral]],division_lookup,9,FALSE),TRUE,FALSE)</f>
        <v>0</v>
      </c>
      <c r="AG743" s="15" t="str">
        <f>VLOOKUP(Table2[[#This Row],[Home/Neutral]],division_lookup,9,FALSE)</f>
        <v>SW</v>
      </c>
      <c r="AH743" s="15" t="str">
        <f>IF(Table2[[#This Row],[Total/EV]]&lt;Table2[[#This Row],[Total/V]],"UNDER","OVER")</f>
        <v>OVER</v>
      </c>
      <c r="AI743" s="26">
        <f>Table2[[#This Row],[SRS/Real]]-Table2[[#This Row],[Spread/V]]</f>
        <v>0</v>
      </c>
      <c r="AJ743" s="2">
        <f>Table2[[#This Row],[EV/Real]]-Table2[[#This Row],[Spread/V]]</f>
        <v>0</v>
      </c>
      <c r="AK743" s="2">
        <f>Table2[[#This Row],[SRS/Diff]]-Table2[[#This Row],[EV/Diff]]</f>
        <v>0</v>
      </c>
      <c r="AL743" s="18">
        <f>Table2[[#This Row],[SRS]]-Table2[[#This Row],[Spread]]</f>
        <v>-4.1786885245901653</v>
      </c>
      <c r="AM743" s="21">
        <f>Table2[[#This Row],[(A) Err]]^2</f>
        <v>17.461437785541531</v>
      </c>
      <c r="AN743" s="6">
        <f>Table2[[#This Row],[EV]]-Table2[[#This Row],[Spread]]</f>
        <v>1.7045175635570615</v>
      </c>
      <c r="AO743" s="1">
        <f>Table2[[#This Row],[EV Err]]^2</f>
        <v>2.9053801244745014</v>
      </c>
      <c r="AP743" s="1"/>
    </row>
    <row r="744" spans="1:42" x14ac:dyDescent="0.25">
      <c r="A744" s="34">
        <v>42768</v>
      </c>
      <c r="B744" t="s">
        <v>121</v>
      </c>
      <c r="C744" t="s">
        <v>118</v>
      </c>
      <c r="E744" s="21"/>
      <c r="G744" s="21"/>
      <c r="H744" s="7"/>
      <c r="I744" s="21"/>
      <c r="K744"/>
      <c r="L744" s="21">
        <f>(Table2[[#This Row],[H/Pace]]/100)*(VLOOKUP(Table2[[#This Row],[Home/Neutral]],home_lookup,8,FALSE)+VLOOKUP(Table2[[#This Row],[Home/Neutral]],OFR_lookup,2,FALSE)+VLOOKUP(Table2[[#This Row],[Visitor/Neutral]],def_diff_lookup,6,FALSE))</f>
        <v>112.78144060751254</v>
      </c>
      <c r="M744" s="21"/>
      <c r="N744" s="21">
        <f>(Table2[[#This Row],[A/Pace]]/100)*(VLOOKUP(Table2[[#This Row],[Visitor/Neutral]],OFR_lookup,2,FALSE)+VLOOKUP(Table2[[#This Row],[Home/Neutral]],def_diff_lookup,6,FALSE))</f>
        <v>113.10628933333332</v>
      </c>
      <c r="O744" s="21"/>
      <c r="P744" s="21"/>
      <c r="Q744">
        <f>VLOOKUP(Table2[[#This Row],[Home/Neutral]],pace_lookup,7,FALSE)</f>
        <v>96.4</v>
      </c>
      <c r="R744" s="5">
        <f>VLOOKUP(Table2[[#This Row],[Visitor/Neutral]],pace_lookup,7,FALSE)</f>
        <v>100.4</v>
      </c>
      <c r="S744" s="7"/>
      <c r="U744" s="15"/>
      <c r="W744" s="2">
        <f>-home-VLOOKUP(Table2[[#This Row],[Home/Neutral]],rtg_vlookup,4,FALSE)+VLOOKUP(Table2[[#This Row],[Visitor/Neutral]],rtg_vlookup,4,FALSE)</f>
        <v>-4.0886885245901663</v>
      </c>
      <c r="X744" s="15"/>
      <c r="Y744" s="2"/>
      <c r="Z744" s="2">
        <f>Table2[[#This Row],[A/EV]]-Table2[[#This Row],[H/EV]]</f>
        <v>0.32484872582078594</v>
      </c>
      <c r="AA744" s="29"/>
      <c r="AB744" s="30"/>
      <c r="AC744" s="30"/>
      <c r="AD744" s="30"/>
      <c r="AE744" s="30"/>
      <c r="AF744" s="7" t="b">
        <f>IF(VLOOKUP(Table2[[#This Row],[Home/Neutral]],division_lookup,9,FALSE)=VLOOKUP(Table2[[#This Row],[Visitor/Neutral]],division_lookup,9,FALSE),TRUE,FALSE)</f>
        <v>1</v>
      </c>
      <c r="AG744" s="15" t="str">
        <f>VLOOKUP(Table2[[#This Row],[Home/Neutral]],division_lookup,9,FALSE)</f>
        <v>P</v>
      </c>
      <c r="AH744" s="15" t="str">
        <f>IF(Table2[[#This Row],[Total/EV]]&lt;Table2[[#This Row],[Total/V]],"UNDER","OVER")</f>
        <v>OVER</v>
      </c>
      <c r="AI744" s="26">
        <f>Table2[[#This Row],[SRS/Real]]-Table2[[#This Row],[Spread/V]]</f>
        <v>0</v>
      </c>
      <c r="AJ744" s="2">
        <f>Table2[[#This Row],[EV/Real]]-Table2[[#This Row],[Spread/V]]</f>
        <v>0</v>
      </c>
      <c r="AK744" s="2">
        <f>Table2[[#This Row],[SRS/Diff]]-Table2[[#This Row],[EV/Diff]]</f>
        <v>0</v>
      </c>
      <c r="AL744" s="18">
        <f>Table2[[#This Row],[SRS]]-Table2[[#This Row],[Spread]]</f>
        <v>-4.0886885245901663</v>
      </c>
      <c r="AM744" s="21">
        <f>Table2[[#This Row],[(A) Err]]^2</f>
        <v>16.717373851115312</v>
      </c>
      <c r="AN744" s="6">
        <f>Table2[[#This Row],[EV]]-Table2[[#This Row],[Spread]]</f>
        <v>0.32484872582078594</v>
      </c>
      <c r="AO744" s="1">
        <f>Table2[[#This Row],[EV Err]]^2</f>
        <v>0.10552669466738816</v>
      </c>
      <c r="AP744" s="1"/>
    </row>
    <row r="745" spans="1:42" x14ac:dyDescent="0.25">
      <c r="A745" s="34">
        <v>42768</v>
      </c>
      <c r="B745" t="s">
        <v>134</v>
      </c>
      <c r="C745" t="s">
        <v>138</v>
      </c>
      <c r="E745" s="21"/>
      <c r="G745" s="21"/>
      <c r="H745" s="7"/>
      <c r="I745" s="21"/>
      <c r="K745"/>
      <c r="L745" s="21">
        <f>(Table2[[#This Row],[H/Pace]]/100)*(VLOOKUP(Table2[[#This Row],[Home/Neutral]],home_lookup,8,FALSE)+VLOOKUP(Table2[[#This Row],[Home/Neutral]],OFR_lookup,2,FALSE)+VLOOKUP(Table2[[#This Row],[Visitor/Neutral]],def_diff_lookup,6,FALSE))</f>
        <v>102.27995343638194</v>
      </c>
      <c r="M745" s="21"/>
      <c r="N745" s="21">
        <f>(Table2[[#This Row],[A/Pace]]/100)*(VLOOKUP(Table2[[#This Row],[Visitor/Neutral]],OFR_lookup,2,FALSE)+VLOOKUP(Table2[[#This Row],[Home/Neutral]],def_diff_lookup,6,FALSE))</f>
        <v>94.960774999999998</v>
      </c>
      <c r="O745" s="21"/>
      <c r="P745" s="21"/>
      <c r="Q745">
        <f>VLOOKUP(Table2[[#This Row],[Home/Neutral]],pace_lookup,7,FALSE)</f>
        <v>93.4</v>
      </c>
      <c r="R745" s="5">
        <f>VLOOKUP(Table2[[#This Row],[Visitor/Neutral]],pace_lookup,7,FALSE)</f>
        <v>97.5</v>
      </c>
      <c r="S745" s="7"/>
      <c r="U745" s="15"/>
      <c r="W745" s="2">
        <f>-home-VLOOKUP(Table2[[#This Row],[Home/Neutral]],rtg_vlookup,4,FALSE)+VLOOKUP(Table2[[#This Row],[Visitor/Neutral]],rtg_vlookup,4,FALSE)</f>
        <v>-19.798688524590165</v>
      </c>
      <c r="X745" s="15"/>
      <c r="Y745" s="2"/>
      <c r="Z745" s="2">
        <f>Table2[[#This Row],[A/EV]]-Table2[[#This Row],[H/EV]]</f>
        <v>-7.3191784363819465</v>
      </c>
      <c r="AA745" s="29"/>
      <c r="AB745" s="30"/>
      <c r="AC745" s="30"/>
      <c r="AD745" s="30"/>
      <c r="AE745" s="30"/>
      <c r="AF745" s="7" t="b">
        <f>IF(VLOOKUP(Table2[[#This Row],[Home/Neutral]],division_lookup,9,FALSE)=VLOOKUP(Table2[[#This Row],[Visitor/Neutral]],division_lookup,9,FALSE),TRUE,FALSE)</f>
        <v>0</v>
      </c>
      <c r="AG745" s="15" t="str">
        <f>VLOOKUP(Table2[[#This Row],[Home/Neutral]],division_lookup,9,FALSE)</f>
        <v>SW</v>
      </c>
      <c r="AH745" s="15" t="str">
        <f>IF(Table2[[#This Row],[Total/EV]]&lt;Table2[[#This Row],[Total/V]],"UNDER","OVER")</f>
        <v>OVER</v>
      </c>
      <c r="AI745" s="26">
        <f>Table2[[#This Row],[SRS/Real]]-Table2[[#This Row],[Spread/V]]</f>
        <v>0</v>
      </c>
      <c r="AJ745" s="2">
        <f>Table2[[#This Row],[EV/Real]]-Table2[[#This Row],[Spread/V]]</f>
        <v>0</v>
      </c>
      <c r="AK745" s="2">
        <f>Table2[[#This Row],[SRS/Diff]]-Table2[[#This Row],[EV/Diff]]</f>
        <v>0</v>
      </c>
      <c r="AL745" s="18">
        <f>Table2[[#This Row],[SRS]]-Table2[[#This Row],[Spread]]</f>
        <v>-19.798688524590165</v>
      </c>
      <c r="AM745" s="21">
        <f>Table2[[#This Row],[(A) Err]]^2</f>
        <v>391.98806729373831</v>
      </c>
      <c r="AN745" s="6">
        <f>Table2[[#This Row],[EV]]-Table2[[#This Row],[Spread]]</f>
        <v>-7.3191784363819465</v>
      </c>
      <c r="AO745" s="1">
        <f>Table2[[#This Row],[EV Err]]^2</f>
        <v>53.570372983598475</v>
      </c>
      <c r="AP745" s="1"/>
    </row>
    <row r="746" spans="1:42" x14ac:dyDescent="0.25">
      <c r="A746" s="34">
        <v>42768</v>
      </c>
      <c r="B746" t="s">
        <v>137</v>
      </c>
      <c r="C746" t="s">
        <v>122</v>
      </c>
      <c r="E746" s="21"/>
      <c r="G746" s="21"/>
      <c r="H746" s="7"/>
      <c r="I746" s="21"/>
      <c r="K746"/>
      <c r="L746" s="21">
        <f>(Table2[[#This Row],[H/Pace]]/100)*(VLOOKUP(Table2[[#This Row],[Home/Neutral]],home_lookup,8,FALSE)+VLOOKUP(Table2[[#This Row],[Home/Neutral]],OFR_lookup,2,FALSE)+VLOOKUP(Table2[[#This Row],[Visitor/Neutral]],def_diff_lookup,6,FALSE))</f>
        <v>112.27453255421869</v>
      </c>
      <c r="M746" s="21"/>
      <c r="N746" s="21">
        <f>(Table2[[#This Row],[A/Pace]]/100)*(VLOOKUP(Table2[[#This Row],[Visitor/Neutral]],OFR_lookup,2,FALSE)+VLOOKUP(Table2[[#This Row],[Home/Neutral]],def_diff_lookup,6,FALSE))</f>
        <v>112.70061799999999</v>
      </c>
      <c r="O746" s="21"/>
      <c r="P746" s="21"/>
      <c r="Q746">
        <f>VLOOKUP(Table2[[#This Row],[Home/Neutral]],pace_lookup,7,FALSE)</f>
        <v>96</v>
      </c>
      <c r="R746" s="5">
        <f>VLOOKUP(Table2[[#This Row],[Visitor/Neutral]],pace_lookup,7,FALSE)</f>
        <v>100.2</v>
      </c>
      <c r="S746" s="7"/>
      <c r="U746" s="15"/>
      <c r="W746" s="2">
        <f>-home-VLOOKUP(Table2[[#This Row],[Home/Neutral]],rtg_vlookup,4,FALSE)+VLOOKUP(Table2[[#This Row],[Visitor/Neutral]],rtg_vlookup,4,FALSE)</f>
        <v>-2.038688524590166</v>
      </c>
      <c r="X746" s="15"/>
      <c r="Y746" s="2"/>
      <c r="Z746" s="2">
        <f>Table2[[#This Row],[A/EV]]-Table2[[#This Row],[H/EV]]</f>
        <v>0.42608544578129681</v>
      </c>
      <c r="AA746" s="29"/>
      <c r="AB746" s="30"/>
      <c r="AC746" s="30"/>
      <c r="AD746" s="30"/>
      <c r="AE746" s="30"/>
      <c r="AF746" s="7" t="b">
        <f>IF(VLOOKUP(Table2[[#This Row],[Home/Neutral]],division_lookup,9,FALSE)=VLOOKUP(Table2[[#This Row],[Visitor/Neutral]],division_lookup,9,FALSE),TRUE,FALSE)</f>
        <v>0</v>
      </c>
      <c r="AG746" s="15" t="str">
        <f>VLOOKUP(Table2[[#This Row],[Home/Neutral]],division_lookup,9,FALSE)</f>
        <v>SE</v>
      </c>
      <c r="AH746" s="15" t="str">
        <f>IF(Table2[[#This Row],[Total/EV]]&lt;Table2[[#This Row],[Total/V]],"UNDER","OVER")</f>
        <v>OVER</v>
      </c>
      <c r="AI746" s="26">
        <f>Table2[[#This Row],[SRS/Real]]-Table2[[#This Row],[Spread/V]]</f>
        <v>0</v>
      </c>
      <c r="AJ746" s="2">
        <f>Table2[[#This Row],[EV/Real]]-Table2[[#This Row],[Spread/V]]</f>
        <v>0</v>
      </c>
      <c r="AK746" s="2">
        <f>Table2[[#This Row],[SRS/Diff]]-Table2[[#This Row],[EV/Diff]]</f>
        <v>0</v>
      </c>
      <c r="AL746" s="18">
        <f>Table2[[#This Row],[SRS]]-Table2[[#This Row],[Spread]]</f>
        <v>-2.038688524590166</v>
      </c>
      <c r="AM746" s="21">
        <f>Table2[[#This Row],[(A) Err]]^2</f>
        <v>4.1562509002956283</v>
      </c>
      <c r="AN746" s="6">
        <f>Table2[[#This Row],[EV]]-Table2[[#This Row],[Spread]]</f>
        <v>0.42608544578129681</v>
      </c>
      <c r="AO746" s="1">
        <f>Table2[[#This Row],[EV Err]]^2</f>
        <v>0.18154880710664642</v>
      </c>
      <c r="AP746" s="1"/>
    </row>
    <row r="747" spans="1:42" x14ac:dyDescent="0.25">
      <c r="A747" s="34">
        <v>42769</v>
      </c>
      <c r="B747" t="s">
        <v>110</v>
      </c>
      <c r="C747" t="s">
        <v>122</v>
      </c>
      <c r="E747" s="21"/>
      <c r="G747" s="21"/>
      <c r="H747" s="7"/>
      <c r="I747" s="21"/>
      <c r="K747"/>
      <c r="L747" s="21">
        <f>(Table2[[#This Row],[H/Pace]]/100)*(VLOOKUP(Table2[[#This Row],[Home/Neutral]],home_lookup,8,FALSE)+VLOOKUP(Table2[[#This Row],[Home/Neutral]],OFR_lookup,2,FALSE)+VLOOKUP(Table2[[#This Row],[Visitor/Neutral]],def_diff_lookup,6,FALSE))</f>
        <v>110.14979118900939</v>
      </c>
      <c r="M747" s="21"/>
      <c r="N747" s="21">
        <f>(Table2[[#This Row],[A/Pace]]/100)*(VLOOKUP(Table2[[#This Row],[Visitor/Neutral]],OFR_lookup,2,FALSE)+VLOOKUP(Table2[[#This Row],[Home/Neutral]],def_diff_lookup,6,FALSE))</f>
        <v>109.90503799999999</v>
      </c>
      <c r="O747" s="21"/>
      <c r="P747" s="21"/>
      <c r="Q747">
        <f>VLOOKUP(Table2[[#This Row],[Home/Neutral]],pace_lookup,7,FALSE)</f>
        <v>96.2</v>
      </c>
      <c r="R747" s="5">
        <f>VLOOKUP(Table2[[#This Row],[Visitor/Neutral]],pace_lookup,7,FALSE)</f>
        <v>100.2</v>
      </c>
      <c r="S747" s="7"/>
      <c r="U747" s="15"/>
      <c r="W747" s="2">
        <f>-home-VLOOKUP(Table2[[#This Row],[Home/Neutral]],rtg_vlookup,4,FALSE)+VLOOKUP(Table2[[#This Row],[Visitor/Neutral]],rtg_vlookup,4,FALSE)</f>
        <v>-5.5086885245901662</v>
      </c>
      <c r="X747" s="15"/>
      <c r="Y747" s="2"/>
      <c r="Z747" s="2">
        <f>Table2[[#This Row],[A/EV]]-Table2[[#This Row],[H/EV]]</f>
        <v>-0.24475318900940124</v>
      </c>
      <c r="AA747" s="29"/>
      <c r="AB747" s="30"/>
      <c r="AC747" s="30"/>
      <c r="AD747" s="30"/>
      <c r="AE747" s="30"/>
      <c r="AF747" s="7" t="b">
        <f>IF(VLOOKUP(Table2[[#This Row],[Home/Neutral]],division_lookup,9,FALSE)=VLOOKUP(Table2[[#This Row],[Visitor/Neutral]],division_lookup,9,FALSE),TRUE,FALSE)</f>
        <v>0</v>
      </c>
      <c r="AG747" s="15" t="str">
        <f>VLOOKUP(Table2[[#This Row],[Home/Neutral]],division_lookup,9,FALSE)</f>
        <v>A</v>
      </c>
      <c r="AH747" s="15" t="str">
        <f>IF(Table2[[#This Row],[Total/EV]]&lt;Table2[[#This Row],[Total/V]],"UNDER","OVER")</f>
        <v>OVER</v>
      </c>
      <c r="AI747" s="26">
        <f>Table2[[#This Row],[SRS/Real]]-Table2[[#This Row],[Spread/V]]</f>
        <v>0</v>
      </c>
      <c r="AJ747" s="2">
        <f>Table2[[#This Row],[EV/Real]]-Table2[[#This Row],[Spread/V]]</f>
        <v>0</v>
      </c>
      <c r="AK747" s="2">
        <f>Table2[[#This Row],[SRS/Diff]]-Table2[[#This Row],[EV/Diff]]</f>
        <v>0</v>
      </c>
      <c r="AL747" s="18">
        <f>Table2[[#This Row],[SRS]]-Table2[[#This Row],[Spread]]</f>
        <v>-5.5086885245901662</v>
      </c>
      <c r="AM747" s="21">
        <f>Table2[[#This Row],[(A) Err]]^2</f>
        <v>30.345649260951383</v>
      </c>
      <c r="AN747" s="6">
        <f>Table2[[#This Row],[EV]]-Table2[[#This Row],[Spread]]</f>
        <v>-0.24475318900940124</v>
      </c>
      <c r="AO747" s="1">
        <f>Table2[[#This Row],[EV Err]]^2</f>
        <v>5.9904123530271691E-2</v>
      </c>
      <c r="AP747" s="1"/>
    </row>
    <row r="748" spans="1:42" x14ac:dyDescent="0.25">
      <c r="A748" s="34">
        <v>42769</v>
      </c>
      <c r="B748" t="s">
        <v>111</v>
      </c>
      <c r="C748" t="s">
        <v>120</v>
      </c>
      <c r="E748" s="21"/>
      <c r="G748" s="21"/>
      <c r="H748" s="7"/>
      <c r="I748" s="21"/>
      <c r="K748"/>
      <c r="L748" s="21">
        <f>(Table2[[#This Row],[H/Pace]]/100)*(VLOOKUP(Table2[[#This Row],[Home/Neutral]],home_lookup,8,FALSE)+VLOOKUP(Table2[[#This Row],[Home/Neutral]],OFR_lookup,2,FALSE)+VLOOKUP(Table2[[#This Row],[Visitor/Neutral]],def_diff_lookup,6,FALSE))</f>
        <v>101.97641832771635</v>
      </c>
      <c r="M748" s="21"/>
      <c r="N748" s="21">
        <f>(Table2[[#This Row],[A/Pace]]/100)*(VLOOKUP(Table2[[#This Row],[Visitor/Neutral]],OFR_lookup,2,FALSE)+VLOOKUP(Table2[[#This Row],[Home/Neutral]],def_diff_lookup,6,FALSE))</f>
        <v>106.15974033333333</v>
      </c>
      <c r="O748" s="21"/>
      <c r="P748" s="21"/>
      <c r="Q748">
        <f>VLOOKUP(Table2[[#This Row],[Home/Neutral]],pace_lookup,7,FALSE)</f>
        <v>102</v>
      </c>
      <c r="R748" s="5">
        <f>VLOOKUP(Table2[[#This Row],[Visitor/Neutral]],pace_lookup,7,FALSE)</f>
        <v>98.3</v>
      </c>
      <c r="S748" s="7"/>
      <c r="U748" s="15"/>
      <c r="W748" s="2">
        <f>-home-VLOOKUP(Table2[[#This Row],[Home/Neutral]],rtg_vlookup,4,FALSE)+VLOOKUP(Table2[[#This Row],[Visitor/Neutral]],rtg_vlookup,4,FALSE)</f>
        <v>1.3013114754098334</v>
      </c>
      <c r="X748" s="15"/>
      <c r="Y748" s="2"/>
      <c r="Z748" s="2">
        <f>Table2[[#This Row],[A/EV]]-Table2[[#This Row],[H/EV]]</f>
        <v>4.1833220056169864</v>
      </c>
      <c r="AA748" s="29"/>
      <c r="AB748" s="30"/>
      <c r="AC748" s="30"/>
      <c r="AD748" s="30"/>
      <c r="AE748" s="30"/>
      <c r="AF748" s="7" t="b">
        <f>IF(VLOOKUP(Table2[[#This Row],[Home/Neutral]],division_lookup,9,FALSE)=VLOOKUP(Table2[[#This Row],[Visitor/Neutral]],division_lookup,9,FALSE),TRUE,FALSE)</f>
        <v>0</v>
      </c>
      <c r="AG748" s="15" t="str">
        <f>VLOOKUP(Table2[[#This Row],[Home/Neutral]],division_lookup,9,FALSE)</f>
        <v>A</v>
      </c>
      <c r="AH748" s="15" t="str">
        <f>IF(Table2[[#This Row],[Total/EV]]&lt;Table2[[#This Row],[Total/V]],"UNDER","OVER")</f>
        <v>OVER</v>
      </c>
      <c r="AI748" s="26">
        <f>Table2[[#This Row],[SRS/Real]]-Table2[[#This Row],[Spread/V]]</f>
        <v>0</v>
      </c>
      <c r="AJ748" s="2">
        <f>Table2[[#This Row],[EV/Real]]-Table2[[#This Row],[Spread/V]]</f>
        <v>0</v>
      </c>
      <c r="AK748" s="2">
        <f>Table2[[#This Row],[SRS/Diff]]-Table2[[#This Row],[EV/Diff]]</f>
        <v>0</v>
      </c>
      <c r="AL748" s="18">
        <f>Table2[[#This Row],[SRS]]-Table2[[#This Row],[Spread]]</f>
        <v>1.3013114754098334</v>
      </c>
      <c r="AM748" s="21">
        <f>Table2[[#This Row],[(A) Err]]^2</f>
        <v>1.6934115560333174</v>
      </c>
      <c r="AN748" s="6">
        <f>Table2[[#This Row],[EV]]-Table2[[#This Row],[Spread]]</f>
        <v>4.1833220056169864</v>
      </c>
      <c r="AO748" s="1">
        <f>Table2[[#This Row],[EV Err]]^2</f>
        <v>17.500183002679325</v>
      </c>
      <c r="AP748" s="1"/>
    </row>
    <row r="749" spans="1:42" x14ac:dyDescent="0.25">
      <c r="A749" s="34">
        <v>42769</v>
      </c>
      <c r="B749" t="s">
        <v>116</v>
      </c>
      <c r="C749" t="s">
        <v>125</v>
      </c>
      <c r="E749" s="21"/>
      <c r="G749" s="21"/>
      <c r="H749" s="7"/>
      <c r="I749" s="21"/>
      <c r="K749"/>
      <c r="L749" s="21">
        <f>(Table2[[#This Row],[H/Pace]]/100)*(VLOOKUP(Table2[[#This Row],[Home/Neutral]],home_lookup,8,FALSE)+VLOOKUP(Table2[[#This Row],[Home/Neutral]],OFR_lookup,2,FALSE)+VLOOKUP(Table2[[#This Row],[Visitor/Neutral]],def_diff_lookup,6,FALSE))</f>
        <v>106.96706470161864</v>
      </c>
      <c r="M749" s="21"/>
      <c r="N749" s="21">
        <f>(Table2[[#This Row],[A/Pace]]/100)*(VLOOKUP(Table2[[#This Row],[Visitor/Neutral]],OFR_lookup,2,FALSE)+VLOOKUP(Table2[[#This Row],[Home/Neutral]],def_diff_lookup,6,FALSE))</f>
        <v>102.35194566666665</v>
      </c>
      <c r="O749" s="21"/>
      <c r="P749" s="21"/>
      <c r="Q749">
        <f>VLOOKUP(Table2[[#This Row],[Home/Neutral]],pace_lookup,7,FALSE)</f>
        <v>99.1</v>
      </c>
      <c r="R749" s="5">
        <f>VLOOKUP(Table2[[#This Row],[Visitor/Neutral]],pace_lookup,7,FALSE)</f>
        <v>96.1</v>
      </c>
      <c r="S749" s="7"/>
      <c r="U749" s="15"/>
      <c r="W749" s="2">
        <f>-home-VLOOKUP(Table2[[#This Row],[Home/Neutral]],rtg_vlookup,4,FALSE)+VLOOKUP(Table2[[#This Row],[Visitor/Neutral]],rtg_vlookup,4,FALSE)</f>
        <v>-4.518688524590166</v>
      </c>
      <c r="X749" s="15"/>
      <c r="Y749" s="2"/>
      <c r="Z749" s="2">
        <f>Table2[[#This Row],[A/EV]]-Table2[[#This Row],[H/EV]]</f>
        <v>-4.6151190349519879</v>
      </c>
      <c r="AA749" s="29"/>
      <c r="AB749" s="30"/>
      <c r="AC749" s="30"/>
      <c r="AD749" s="30"/>
      <c r="AE749" s="30"/>
      <c r="AF749" s="7" t="b">
        <f>IF(VLOOKUP(Table2[[#This Row],[Home/Neutral]],division_lookup,9,FALSE)=VLOOKUP(Table2[[#This Row],[Visitor/Neutral]],division_lookup,9,FALSE),TRUE,FALSE)</f>
        <v>0</v>
      </c>
      <c r="AG749" s="15" t="str">
        <f>VLOOKUP(Table2[[#This Row],[Home/Neutral]],division_lookup,9,FALSE)</f>
        <v>NW</v>
      </c>
      <c r="AH749" s="15" t="str">
        <f>IF(Table2[[#This Row],[Total/EV]]&lt;Table2[[#This Row],[Total/V]],"UNDER","OVER")</f>
        <v>OVER</v>
      </c>
      <c r="AI749" s="26">
        <f>Table2[[#This Row],[SRS/Real]]-Table2[[#This Row],[Spread/V]]</f>
        <v>0</v>
      </c>
      <c r="AJ749" s="2">
        <f>Table2[[#This Row],[EV/Real]]-Table2[[#This Row],[Spread/V]]</f>
        <v>0</v>
      </c>
      <c r="AK749" s="2">
        <f>Table2[[#This Row],[SRS/Diff]]-Table2[[#This Row],[EV/Diff]]</f>
        <v>0</v>
      </c>
      <c r="AL749" s="18">
        <f>Table2[[#This Row],[SRS]]-Table2[[#This Row],[Spread]]</f>
        <v>-4.518688524590166</v>
      </c>
      <c r="AM749" s="21">
        <f>Table2[[#This Row],[(A) Err]]^2</f>
        <v>20.418545982262852</v>
      </c>
      <c r="AN749" s="6">
        <f>Table2[[#This Row],[EV]]-Table2[[#This Row],[Spread]]</f>
        <v>-4.6151190349519879</v>
      </c>
      <c r="AO749" s="1">
        <f>Table2[[#This Row],[EV Err]]^2</f>
        <v>21.299323706776168</v>
      </c>
      <c r="AP749" s="1"/>
    </row>
    <row r="750" spans="1:42" x14ac:dyDescent="0.25">
      <c r="A750" s="34">
        <v>42769</v>
      </c>
      <c r="B750" t="s">
        <v>117</v>
      </c>
      <c r="C750" t="s">
        <v>126</v>
      </c>
      <c r="E750" s="21"/>
      <c r="G750" s="21"/>
      <c r="H750" s="7"/>
      <c r="I750" s="21"/>
      <c r="K750"/>
      <c r="L750" s="21">
        <f>(Table2[[#This Row],[H/Pace]]/100)*(VLOOKUP(Table2[[#This Row],[Home/Neutral]],home_lookup,8,FALSE)+VLOOKUP(Table2[[#This Row],[Home/Neutral]],OFR_lookup,2,FALSE)+VLOOKUP(Table2[[#This Row],[Visitor/Neutral]],def_diff_lookup,6,FALSE))</f>
        <v>115.25399591446428</v>
      </c>
      <c r="M750" s="21"/>
      <c r="N750" s="21">
        <f>(Table2[[#This Row],[A/Pace]]/100)*(VLOOKUP(Table2[[#This Row],[Visitor/Neutral]],OFR_lookup,2,FALSE)+VLOOKUP(Table2[[#This Row],[Home/Neutral]],def_diff_lookup,6,FALSE))</f>
        <v>100.270313</v>
      </c>
      <c r="O750" s="21"/>
      <c r="P750" s="21"/>
      <c r="Q750">
        <f>VLOOKUP(Table2[[#This Row],[Home/Neutral]],pace_lookup,7,FALSE)</f>
        <v>94</v>
      </c>
      <c r="R750" s="5">
        <f>VLOOKUP(Table2[[#This Row],[Visitor/Neutral]],pace_lookup,7,FALSE)</f>
        <v>95.7</v>
      </c>
      <c r="S750" s="7"/>
      <c r="U750" s="15"/>
      <c r="W750" s="2">
        <f>-home-VLOOKUP(Table2[[#This Row],[Home/Neutral]],rtg_vlookup,4,FALSE)+VLOOKUP(Table2[[#This Row],[Visitor/Neutral]],rtg_vlookup,4,FALSE)</f>
        <v>-5.5286885245901658</v>
      </c>
      <c r="X750" s="15"/>
      <c r="Y750" s="2"/>
      <c r="Z750" s="2">
        <f>Table2[[#This Row],[A/EV]]-Table2[[#This Row],[H/EV]]</f>
        <v>-14.983682914464282</v>
      </c>
      <c r="AA750" s="29"/>
      <c r="AB750" s="30"/>
      <c r="AC750" s="30"/>
      <c r="AD750" s="30"/>
      <c r="AE750" s="30"/>
      <c r="AF750" s="7" t="b">
        <f>IF(VLOOKUP(Table2[[#This Row],[Home/Neutral]],division_lookup,9,FALSE)=VLOOKUP(Table2[[#This Row],[Visitor/Neutral]],division_lookup,9,FALSE),TRUE,FALSE)</f>
        <v>0</v>
      </c>
      <c r="AG750" s="15" t="str">
        <f>VLOOKUP(Table2[[#This Row],[Home/Neutral]],division_lookup,9,FALSE)</f>
        <v>C</v>
      </c>
      <c r="AH750" s="15" t="str">
        <f>IF(Table2[[#This Row],[Total/EV]]&lt;Table2[[#This Row],[Total/V]],"UNDER","OVER")</f>
        <v>OVER</v>
      </c>
      <c r="AI750" s="26">
        <f>Table2[[#This Row],[SRS/Real]]-Table2[[#This Row],[Spread/V]]</f>
        <v>0</v>
      </c>
      <c r="AJ750" s="2">
        <f>Table2[[#This Row],[EV/Real]]-Table2[[#This Row],[Spread/V]]</f>
        <v>0</v>
      </c>
      <c r="AK750" s="2">
        <f>Table2[[#This Row],[SRS/Diff]]-Table2[[#This Row],[EV/Diff]]</f>
        <v>0</v>
      </c>
      <c r="AL750" s="18">
        <f>Table2[[#This Row],[SRS]]-Table2[[#This Row],[Spread]]</f>
        <v>-5.5286885245901658</v>
      </c>
      <c r="AM750" s="21">
        <f>Table2[[#This Row],[(A) Err]]^2</f>
        <v>30.566396801934985</v>
      </c>
      <c r="AN750" s="6">
        <f>Table2[[#This Row],[EV]]-Table2[[#This Row],[Spread]]</f>
        <v>-14.983682914464282</v>
      </c>
      <c r="AO750" s="1">
        <f>Table2[[#This Row],[EV Err]]^2</f>
        <v>224.51075368120885</v>
      </c>
      <c r="AP750" s="1"/>
    </row>
    <row r="751" spans="1:42" x14ac:dyDescent="0.25">
      <c r="A751" s="34">
        <v>42769</v>
      </c>
      <c r="B751" t="s">
        <v>119</v>
      </c>
      <c r="C751" t="s">
        <v>113</v>
      </c>
      <c r="E751" s="21"/>
      <c r="G751" s="21"/>
      <c r="H751" s="7"/>
      <c r="I751" s="21"/>
      <c r="K751"/>
      <c r="L751" s="21">
        <f>(Table2[[#This Row],[H/Pace]]/100)*(VLOOKUP(Table2[[#This Row],[Home/Neutral]],home_lookup,8,FALSE)+VLOOKUP(Table2[[#This Row],[Home/Neutral]],OFR_lookup,2,FALSE)+VLOOKUP(Table2[[#This Row],[Visitor/Neutral]],def_diff_lookup,6,FALSE))</f>
        <v>108.47376376977628</v>
      </c>
      <c r="M751" s="21"/>
      <c r="N751" s="21">
        <f>(Table2[[#This Row],[A/Pace]]/100)*(VLOOKUP(Table2[[#This Row],[Visitor/Neutral]],OFR_lookup,2,FALSE)+VLOOKUP(Table2[[#This Row],[Home/Neutral]],def_diff_lookup,6,FALSE))</f>
        <v>108.00094900000001</v>
      </c>
      <c r="O751" s="21"/>
      <c r="P751" s="21"/>
      <c r="Q751">
        <f>VLOOKUP(Table2[[#This Row],[Home/Neutral]],pace_lookup,7,FALSE)</f>
        <v>96.9</v>
      </c>
      <c r="R751" s="5">
        <f>VLOOKUP(Table2[[#This Row],[Visitor/Neutral]],pace_lookup,7,FALSE)</f>
        <v>95.1</v>
      </c>
      <c r="S751" s="7"/>
      <c r="U751" s="15"/>
      <c r="W751" s="2">
        <f>-home-VLOOKUP(Table2[[#This Row],[Home/Neutral]],rtg_vlookup,4,FALSE)+VLOOKUP(Table2[[#This Row],[Visitor/Neutral]],rtg_vlookup,4,FALSE)</f>
        <v>-1.8086885245901652</v>
      </c>
      <c r="X751" s="15"/>
      <c r="Y751" s="2"/>
      <c r="Z751" s="2">
        <f>Table2[[#This Row],[A/EV]]-Table2[[#This Row],[H/EV]]</f>
        <v>-0.4728147697762779</v>
      </c>
      <c r="AA751" s="29"/>
      <c r="AB751" s="30"/>
      <c r="AC751" s="30"/>
      <c r="AD751" s="30"/>
      <c r="AE751" s="30"/>
      <c r="AF751" s="7" t="b">
        <f>IF(VLOOKUP(Table2[[#This Row],[Home/Neutral]],division_lookup,9,FALSE)=VLOOKUP(Table2[[#This Row],[Visitor/Neutral]],division_lookup,9,FALSE),TRUE,FALSE)</f>
        <v>0</v>
      </c>
      <c r="AG751" s="15" t="str">
        <f>VLOOKUP(Table2[[#This Row],[Home/Neutral]],division_lookup,9,FALSE)</f>
        <v>SW</v>
      </c>
      <c r="AH751" s="15" t="str">
        <f>IF(Table2[[#This Row],[Total/EV]]&lt;Table2[[#This Row],[Total/V]],"UNDER","OVER")</f>
        <v>OVER</v>
      </c>
      <c r="AI751" s="26">
        <f>Table2[[#This Row],[SRS/Real]]-Table2[[#This Row],[Spread/V]]</f>
        <v>0</v>
      </c>
      <c r="AJ751" s="2">
        <f>Table2[[#This Row],[EV/Real]]-Table2[[#This Row],[Spread/V]]</f>
        <v>0</v>
      </c>
      <c r="AK751" s="2">
        <f>Table2[[#This Row],[SRS/Diff]]-Table2[[#This Row],[EV/Diff]]</f>
        <v>0</v>
      </c>
      <c r="AL751" s="18">
        <f>Table2[[#This Row],[SRS]]-Table2[[#This Row],[Spread]]</f>
        <v>-1.8086885245901652</v>
      </c>
      <c r="AM751" s="21">
        <f>Table2[[#This Row],[(A) Err]]^2</f>
        <v>3.2713541789841485</v>
      </c>
      <c r="AN751" s="6">
        <f>Table2[[#This Row],[EV]]-Table2[[#This Row],[Spread]]</f>
        <v>-0.4728147697762779</v>
      </c>
      <c r="AO751" s="1">
        <f>Table2[[#This Row],[EV Err]]^2</f>
        <v>0.22355380651859466</v>
      </c>
      <c r="AP751" s="1"/>
    </row>
    <row r="752" spans="1:42" x14ac:dyDescent="0.25">
      <c r="A752" s="34">
        <v>42769</v>
      </c>
      <c r="B752" t="s">
        <v>129</v>
      </c>
      <c r="C752" t="s">
        <v>123</v>
      </c>
      <c r="E752" s="21"/>
      <c r="G752" s="21"/>
      <c r="H752" s="7"/>
      <c r="I752" s="21"/>
      <c r="K752"/>
      <c r="L752" s="21">
        <f>(Table2[[#This Row],[H/Pace]]/100)*(VLOOKUP(Table2[[#This Row],[Home/Neutral]],home_lookup,8,FALSE)+VLOOKUP(Table2[[#This Row],[Home/Neutral]],OFR_lookup,2,FALSE)+VLOOKUP(Table2[[#This Row],[Visitor/Neutral]],def_diff_lookup,6,FALSE))</f>
        <v>103.89680376890107</v>
      </c>
      <c r="M752" s="21"/>
      <c r="N752" s="21">
        <f>(Table2[[#This Row],[A/Pace]]/100)*(VLOOKUP(Table2[[#This Row],[Visitor/Neutral]],OFR_lookup,2,FALSE)+VLOOKUP(Table2[[#This Row],[Home/Neutral]],def_diff_lookup,6,FALSE))</f>
        <v>94.234991666666659</v>
      </c>
      <c r="O752" s="21"/>
      <c r="P752" s="21"/>
      <c r="Q752">
        <f>VLOOKUP(Table2[[#This Row],[Home/Neutral]],pace_lookup,7,FALSE)</f>
        <v>99</v>
      </c>
      <c r="R752" s="5">
        <f>VLOOKUP(Table2[[#This Row],[Visitor/Neutral]],pace_lookup,7,FALSE)</f>
        <v>92.5</v>
      </c>
      <c r="S752" s="7"/>
      <c r="U752" s="15"/>
      <c r="W752" s="2">
        <f>-home-VLOOKUP(Table2[[#This Row],[Home/Neutral]],rtg_vlookup,4,FALSE)+VLOOKUP(Table2[[#This Row],[Visitor/Neutral]],rtg_vlookup,4,FALSE)</f>
        <v>-3.6086885245901654</v>
      </c>
      <c r="X752" s="15"/>
      <c r="Y752" s="2"/>
      <c r="Z752" s="2">
        <f>Table2[[#This Row],[A/EV]]-Table2[[#This Row],[H/EV]]</f>
        <v>-9.661812102234407</v>
      </c>
      <c r="AA752" s="29"/>
      <c r="AB752" s="30"/>
      <c r="AC752" s="30"/>
      <c r="AD752" s="30"/>
      <c r="AE752" s="30"/>
      <c r="AF752" s="7" t="b">
        <f>IF(VLOOKUP(Table2[[#This Row],[Home/Neutral]],division_lookup,9,FALSE)=VLOOKUP(Table2[[#This Row],[Visitor/Neutral]],division_lookup,9,FALSE),TRUE,FALSE)</f>
        <v>0</v>
      </c>
      <c r="AG752" s="15" t="str">
        <f>VLOOKUP(Table2[[#This Row],[Home/Neutral]],division_lookup,9,FALSE)</f>
        <v>NW</v>
      </c>
      <c r="AH752" s="15" t="str">
        <f>IF(Table2[[#This Row],[Total/EV]]&lt;Table2[[#This Row],[Total/V]],"UNDER","OVER")</f>
        <v>OVER</v>
      </c>
      <c r="AI752" s="26">
        <f>Table2[[#This Row],[SRS/Real]]-Table2[[#This Row],[Spread/V]]</f>
        <v>0</v>
      </c>
      <c r="AJ752" s="2">
        <f>Table2[[#This Row],[EV/Real]]-Table2[[#This Row],[Spread/V]]</f>
        <v>0</v>
      </c>
      <c r="AK752" s="2">
        <f>Table2[[#This Row],[SRS/Diff]]-Table2[[#This Row],[EV/Diff]]</f>
        <v>0</v>
      </c>
      <c r="AL752" s="18">
        <f>Table2[[#This Row],[SRS]]-Table2[[#This Row],[Spread]]</f>
        <v>-3.6086885245901654</v>
      </c>
      <c r="AM752" s="21">
        <f>Table2[[#This Row],[(A) Err]]^2</f>
        <v>13.022632867508745</v>
      </c>
      <c r="AN752" s="6">
        <f>Table2[[#This Row],[EV]]-Table2[[#This Row],[Spread]]</f>
        <v>-9.661812102234407</v>
      </c>
      <c r="AO752" s="1">
        <f>Table2[[#This Row],[EV Err]]^2</f>
        <v>93.350613098883258</v>
      </c>
      <c r="AP752" s="1"/>
    </row>
    <row r="753" spans="1:42" x14ac:dyDescent="0.25">
      <c r="A753" s="34">
        <v>42769</v>
      </c>
      <c r="B753" t="s">
        <v>130</v>
      </c>
      <c r="C753" t="s">
        <v>135</v>
      </c>
      <c r="E753" s="21"/>
      <c r="G753" s="21"/>
      <c r="H753" s="7"/>
      <c r="I753" s="21"/>
      <c r="K753"/>
      <c r="L753" s="21">
        <f>(Table2[[#This Row],[H/Pace]]/100)*(VLOOKUP(Table2[[#This Row],[Home/Neutral]],home_lookup,8,FALSE)+VLOOKUP(Table2[[#This Row],[Home/Neutral]],OFR_lookup,2,FALSE)+VLOOKUP(Table2[[#This Row],[Visitor/Neutral]],def_diff_lookup,6,FALSE))</f>
        <v>97.335584967109398</v>
      </c>
      <c r="M753" s="21"/>
      <c r="N753" s="21">
        <f>(Table2[[#This Row],[A/Pace]]/100)*(VLOOKUP(Table2[[#This Row],[Visitor/Neutral]],OFR_lookup,2,FALSE)+VLOOKUP(Table2[[#This Row],[Home/Neutral]],def_diff_lookup,6,FALSE))</f>
        <v>108.09360599999999</v>
      </c>
      <c r="O753" s="21"/>
      <c r="P753" s="21"/>
      <c r="Q753">
        <f>VLOOKUP(Table2[[#This Row],[Home/Neutral]],pace_lookup,7,FALSE)</f>
        <v>94.2</v>
      </c>
      <c r="R753" s="5">
        <f>VLOOKUP(Table2[[#This Row],[Visitor/Neutral]],pace_lookup,7,FALSE)</f>
        <v>95.4</v>
      </c>
      <c r="S753" s="7"/>
      <c r="U753" s="15"/>
      <c r="W753" s="2">
        <f>-home-VLOOKUP(Table2[[#This Row],[Home/Neutral]],rtg_vlookup,4,FALSE)+VLOOKUP(Table2[[#This Row],[Visitor/Neutral]],rtg_vlookup,4,FALSE)</f>
        <v>11.791311475409834</v>
      </c>
      <c r="X753" s="15"/>
      <c r="Y753" s="2"/>
      <c r="Z753" s="2">
        <f>Table2[[#This Row],[A/EV]]-Table2[[#This Row],[H/EV]]</f>
        <v>10.758021032890596</v>
      </c>
      <c r="AA753" s="29"/>
      <c r="AB753" s="30"/>
      <c r="AC753" s="30"/>
      <c r="AD753" s="30"/>
      <c r="AE753" s="30"/>
      <c r="AF753" s="7" t="b">
        <f>IF(VLOOKUP(Table2[[#This Row],[Home/Neutral]],division_lookup,9,FALSE)=VLOOKUP(Table2[[#This Row],[Visitor/Neutral]],division_lookup,9,FALSE),TRUE,FALSE)</f>
        <v>0</v>
      </c>
      <c r="AG753" s="15" t="str">
        <f>VLOOKUP(Table2[[#This Row],[Home/Neutral]],division_lookup,9,FALSE)</f>
        <v>SE</v>
      </c>
      <c r="AH753" s="15" t="str">
        <f>IF(Table2[[#This Row],[Total/EV]]&lt;Table2[[#This Row],[Total/V]],"UNDER","OVER")</f>
        <v>OVER</v>
      </c>
      <c r="AI753" s="26">
        <f>Table2[[#This Row],[SRS/Real]]-Table2[[#This Row],[Spread/V]]</f>
        <v>0</v>
      </c>
      <c r="AJ753" s="2">
        <f>Table2[[#This Row],[EV/Real]]-Table2[[#This Row],[Spread/V]]</f>
        <v>0</v>
      </c>
      <c r="AK753" s="2">
        <f>Table2[[#This Row],[SRS/Diff]]-Table2[[#This Row],[EV/Diff]]</f>
        <v>0</v>
      </c>
      <c r="AL753" s="18">
        <f>Table2[[#This Row],[SRS]]-Table2[[#This Row],[Spread]]</f>
        <v>11.791311475409834</v>
      </c>
      <c r="AM753" s="21">
        <f>Table2[[#This Row],[(A) Err]]^2</f>
        <v>139.03502631013166</v>
      </c>
      <c r="AN753" s="6">
        <f>Table2[[#This Row],[EV]]-Table2[[#This Row],[Spread]]</f>
        <v>10.758021032890596</v>
      </c>
      <c r="AO753" s="1">
        <f>Table2[[#This Row],[EV Err]]^2</f>
        <v>115.73501654411645</v>
      </c>
      <c r="AP753" s="1"/>
    </row>
    <row r="754" spans="1:42" x14ac:dyDescent="0.25">
      <c r="A754" s="34">
        <v>42769</v>
      </c>
      <c r="B754" t="s">
        <v>132</v>
      </c>
      <c r="C754" t="s">
        <v>115</v>
      </c>
      <c r="E754" s="21"/>
      <c r="G754" s="21"/>
      <c r="H754" s="7"/>
      <c r="I754" s="21"/>
      <c r="K754"/>
      <c r="L754" s="21">
        <f>(Table2[[#This Row],[H/Pace]]/100)*(VLOOKUP(Table2[[#This Row],[Home/Neutral]],home_lookup,8,FALSE)+VLOOKUP(Table2[[#This Row],[Home/Neutral]],OFR_lookup,2,FALSE)+VLOOKUP(Table2[[#This Row],[Visitor/Neutral]],def_diff_lookup,6,FALSE))</f>
        <v>108.2830214460698</v>
      </c>
      <c r="M754" s="21"/>
      <c r="N754" s="21">
        <f>(Table2[[#This Row],[A/Pace]]/100)*(VLOOKUP(Table2[[#This Row],[Visitor/Neutral]],OFR_lookup,2,FALSE)+VLOOKUP(Table2[[#This Row],[Home/Neutral]],def_diff_lookup,6,FALSE))</f>
        <v>95.329954333333347</v>
      </c>
      <c r="O754" s="21"/>
      <c r="P754" s="21"/>
      <c r="Q754">
        <f>VLOOKUP(Table2[[#This Row],[Home/Neutral]],pace_lookup,7,FALSE)</f>
        <v>98.8</v>
      </c>
      <c r="R754" s="5">
        <f>VLOOKUP(Table2[[#This Row],[Visitor/Neutral]],pace_lookup,7,FALSE)</f>
        <v>92.9</v>
      </c>
      <c r="S754" s="7"/>
      <c r="U754" s="15"/>
      <c r="W754" s="2">
        <f>-home-VLOOKUP(Table2[[#This Row],[Home/Neutral]],rtg_vlookup,4,FALSE)+VLOOKUP(Table2[[#This Row],[Visitor/Neutral]],rtg_vlookup,4,FALSE)</f>
        <v>-9.1986885245901657</v>
      </c>
      <c r="X754" s="15"/>
      <c r="Y754" s="2"/>
      <c r="Z754" s="2">
        <f>Table2[[#This Row],[A/EV]]-Table2[[#This Row],[H/EV]]</f>
        <v>-12.953067112736449</v>
      </c>
      <c r="AA754" s="29"/>
      <c r="AB754" s="30"/>
      <c r="AC754" s="30"/>
      <c r="AD754" s="30"/>
      <c r="AE754" s="30"/>
      <c r="AF754" s="7" t="b">
        <f>IF(VLOOKUP(Table2[[#This Row],[Home/Neutral]],division_lookup,9,FALSE)=VLOOKUP(Table2[[#This Row],[Visitor/Neutral]],division_lookup,9,FALSE),TRUE,FALSE)</f>
        <v>0</v>
      </c>
      <c r="AG754" s="15" t="str">
        <f>VLOOKUP(Table2[[#This Row],[Home/Neutral]],division_lookup,9,FALSE)</f>
        <v>NW</v>
      </c>
      <c r="AH754" s="15" t="str">
        <f>IF(Table2[[#This Row],[Total/EV]]&lt;Table2[[#This Row],[Total/V]],"UNDER","OVER")</f>
        <v>OVER</v>
      </c>
      <c r="AI754" s="26">
        <f>Table2[[#This Row],[SRS/Real]]-Table2[[#This Row],[Spread/V]]</f>
        <v>0</v>
      </c>
      <c r="AJ754" s="2">
        <f>Table2[[#This Row],[EV/Real]]-Table2[[#This Row],[Spread/V]]</f>
        <v>0</v>
      </c>
      <c r="AK754" s="2">
        <f>Table2[[#This Row],[SRS/Diff]]-Table2[[#This Row],[EV/Diff]]</f>
        <v>0</v>
      </c>
      <c r="AL754" s="18">
        <f>Table2[[#This Row],[SRS]]-Table2[[#This Row],[Spread]]</f>
        <v>-9.1986885245901657</v>
      </c>
      <c r="AM754" s="21">
        <f>Table2[[#This Row],[(A) Err]]^2</f>
        <v>84.6158705724268</v>
      </c>
      <c r="AN754" s="6">
        <f>Table2[[#This Row],[EV]]-Table2[[#This Row],[Spread]]</f>
        <v>-12.953067112736449</v>
      </c>
      <c r="AO754" s="1">
        <f>Table2[[#This Row],[EV Err]]^2</f>
        <v>167.78194762705456</v>
      </c>
      <c r="AP754" s="1"/>
    </row>
    <row r="755" spans="1:42" x14ac:dyDescent="0.25">
      <c r="A755" s="34">
        <v>42769</v>
      </c>
      <c r="B755" t="s">
        <v>133</v>
      </c>
      <c r="C755" t="s">
        <v>131</v>
      </c>
      <c r="E755" s="21"/>
      <c r="G755" s="21"/>
      <c r="H755" s="7"/>
      <c r="I755" s="21"/>
      <c r="K755"/>
      <c r="L755" s="21">
        <f>(Table2[[#This Row],[H/Pace]]/100)*(VLOOKUP(Table2[[#This Row],[Home/Neutral]],home_lookup,8,FALSE)+VLOOKUP(Table2[[#This Row],[Home/Neutral]],OFR_lookup,2,FALSE)+VLOOKUP(Table2[[#This Row],[Visitor/Neutral]],def_diff_lookup,6,FALSE))</f>
        <v>109.10644748279979</v>
      </c>
      <c r="M755" s="21"/>
      <c r="N755" s="21">
        <f>(Table2[[#This Row],[A/Pace]]/100)*(VLOOKUP(Table2[[#This Row],[Visitor/Neutral]],OFR_lookup,2,FALSE)+VLOOKUP(Table2[[#This Row],[Home/Neutral]],def_diff_lookup,6,FALSE))</f>
        <v>106.424643</v>
      </c>
      <c r="O755" s="21"/>
      <c r="P755" s="21"/>
      <c r="Q755">
        <f>VLOOKUP(Table2[[#This Row],[Home/Neutral]],pace_lookup,7,FALSE)</f>
        <v>94.2</v>
      </c>
      <c r="R755" s="5">
        <f>VLOOKUP(Table2[[#This Row],[Visitor/Neutral]],pace_lookup,7,FALSE)</f>
        <v>101.7</v>
      </c>
      <c r="S755" s="7"/>
      <c r="U755" s="15"/>
      <c r="W755" s="2">
        <f>-home-VLOOKUP(Table2[[#This Row],[Home/Neutral]],rtg_vlookup,4,FALSE)+VLOOKUP(Table2[[#This Row],[Visitor/Neutral]],rtg_vlookup,4,FALSE)</f>
        <v>-7.2386885245901658</v>
      </c>
      <c r="X755" s="15"/>
      <c r="Y755" s="2"/>
      <c r="Z755" s="2">
        <f>Table2[[#This Row],[A/EV]]-Table2[[#This Row],[H/EV]]</f>
        <v>-2.6818044827997909</v>
      </c>
      <c r="AA755" s="29"/>
      <c r="AB755" s="30"/>
      <c r="AC755" s="30"/>
      <c r="AD755" s="30"/>
      <c r="AE755" s="30"/>
      <c r="AF755" s="7" t="b">
        <f>IF(VLOOKUP(Table2[[#This Row],[Home/Neutral]],division_lookup,9,FALSE)=VLOOKUP(Table2[[#This Row],[Visitor/Neutral]],division_lookup,9,FALSE),TRUE,FALSE)</f>
        <v>1</v>
      </c>
      <c r="AG755" s="15" t="str">
        <f>VLOOKUP(Table2[[#This Row],[Home/Neutral]],division_lookup,9,FALSE)</f>
        <v>P</v>
      </c>
      <c r="AH755" s="15" t="str">
        <f>IF(Table2[[#This Row],[Total/EV]]&lt;Table2[[#This Row],[Total/V]],"UNDER","OVER")</f>
        <v>OVER</v>
      </c>
      <c r="AI755" s="26">
        <f>Table2[[#This Row],[SRS/Real]]-Table2[[#This Row],[Spread/V]]</f>
        <v>0</v>
      </c>
      <c r="AJ755" s="2">
        <f>Table2[[#This Row],[EV/Real]]-Table2[[#This Row],[Spread/V]]</f>
        <v>0</v>
      </c>
      <c r="AK755" s="2">
        <f>Table2[[#This Row],[SRS/Diff]]-Table2[[#This Row],[EV/Diff]]</f>
        <v>0</v>
      </c>
      <c r="AL755" s="18">
        <f>Table2[[#This Row],[SRS]]-Table2[[#This Row],[Spread]]</f>
        <v>-7.2386885245901658</v>
      </c>
      <c r="AM755" s="21">
        <f>Table2[[#This Row],[(A) Err]]^2</f>
        <v>52.398611556033352</v>
      </c>
      <c r="AN755" s="6">
        <f>Table2[[#This Row],[EV]]-Table2[[#This Row],[Spread]]</f>
        <v>-2.6818044827997909</v>
      </c>
      <c r="AO755" s="1">
        <f>Table2[[#This Row],[EV Err]]^2</f>
        <v>7.1920752839650541</v>
      </c>
      <c r="AP755" s="1"/>
    </row>
    <row r="756" spans="1:42" x14ac:dyDescent="0.25">
      <c r="A756" s="34">
        <v>42770</v>
      </c>
      <c r="B756" t="s">
        <v>109</v>
      </c>
      <c r="C756" t="s">
        <v>130</v>
      </c>
      <c r="E756" s="21"/>
      <c r="G756" s="21"/>
      <c r="H756" s="7"/>
      <c r="I756" s="21"/>
      <c r="K756"/>
      <c r="L756" s="21">
        <f>(Table2[[#This Row],[H/Pace]]/100)*(VLOOKUP(Table2[[#This Row],[Home/Neutral]],home_lookup,8,FALSE)+VLOOKUP(Table2[[#This Row],[Home/Neutral]],OFR_lookup,2,FALSE)+VLOOKUP(Table2[[#This Row],[Visitor/Neutral]],def_diff_lookup,6,FALSE))</f>
        <v>100.21696660728637</v>
      </c>
      <c r="M756" s="21"/>
      <c r="N756" s="21">
        <f>(Table2[[#This Row],[A/Pace]]/100)*(VLOOKUP(Table2[[#This Row],[Visitor/Neutral]],OFR_lookup,2,FALSE)+VLOOKUP(Table2[[#This Row],[Home/Neutral]],def_diff_lookup,6,FALSE))</f>
        <v>85.680238000000003</v>
      </c>
      <c r="O756" s="21"/>
      <c r="P756" s="21"/>
      <c r="Q756">
        <f>VLOOKUP(Table2[[#This Row],[Home/Neutral]],pace_lookup,7,FALSE)</f>
        <v>99.2</v>
      </c>
      <c r="R756" s="5">
        <f>VLOOKUP(Table2[[#This Row],[Visitor/Neutral]],pace_lookup,7,FALSE)</f>
        <v>94.2</v>
      </c>
      <c r="S756" s="7"/>
      <c r="U756" s="15"/>
      <c r="W756" s="2">
        <f>-home-VLOOKUP(Table2[[#This Row],[Home/Neutral]],rtg_vlookup,4,FALSE)+VLOOKUP(Table2[[#This Row],[Visitor/Neutral]],rtg_vlookup,4,FALSE)</f>
        <v>-13.688688524590166</v>
      </c>
      <c r="X756" s="15"/>
      <c r="Y756" s="2"/>
      <c r="Z756" s="2">
        <f>Table2[[#This Row],[A/EV]]-Table2[[#This Row],[H/EV]]</f>
        <v>-14.536728607286364</v>
      </c>
      <c r="AA756" s="29"/>
      <c r="AB756" s="30"/>
      <c r="AC756" s="30"/>
      <c r="AD756" s="30"/>
      <c r="AE756" s="30"/>
      <c r="AF756" s="7" t="b">
        <f>IF(VLOOKUP(Table2[[#This Row],[Home/Neutral]],division_lookup,9,FALSE)=VLOOKUP(Table2[[#This Row],[Visitor/Neutral]],division_lookup,9,FALSE),TRUE,FALSE)</f>
        <v>1</v>
      </c>
      <c r="AG756" s="15" t="str">
        <f>VLOOKUP(Table2[[#This Row],[Home/Neutral]],division_lookup,9,FALSE)</f>
        <v>SE</v>
      </c>
      <c r="AH756" s="15" t="str">
        <f>IF(Table2[[#This Row],[Total/EV]]&lt;Table2[[#This Row],[Total/V]],"UNDER","OVER")</f>
        <v>OVER</v>
      </c>
      <c r="AI756" s="26">
        <f>Table2[[#This Row],[SRS/Real]]-Table2[[#This Row],[Spread/V]]</f>
        <v>0</v>
      </c>
      <c r="AJ756" s="2">
        <f>Table2[[#This Row],[EV/Real]]-Table2[[#This Row],[Spread/V]]</f>
        <v>0</v>
      </c>
      <c r="AK756" s="2">
        <f>Table2[[#This Row],[SRS/Diff]]-Table2[[#This Row],[EV/Diff]]</f>
        <v>0</v>
      </c>
      <c r="AL756" s="18">
        <f>Table2[[#This Row],[SRS]]-Table2[[#This Row],[Spread]]</f>
        <v>-13.688688524590166</v>
      </c>
      <c r="AM756" s="21">
        <f>Table2[[#This Row],[(A) Err]]^2</f>
        <v>187.3801935232465</v>
      </c>
      <c r="AN756" s="6">
        <f>Table2[[#This Row],[EV]]-Table2[[#This Row],[Spread]]</f>
        <v>-14.536728607286364</v>
      </c>
      <c r="AO756" s="1">
        <f>Table2[[#This Row],[EV Err]]^2</f>
        <v>211.31647860189773</v>
      </c>
      <c r="AP756" s="1"/>
    </row>
    <row r="757" spans="1:42" x14ac:dyDescent="0.25">
      <c r="A757" s="34">
        <v>42770</v>
      </c>
      <c r="B757" t="s">
        <v>120</v>
      </c>
      <c r="C757" t="s">
        <v>117</v>
      </c>
      <c r="E757" s="21"/>
      <c r="G757" s="21"/>
      <c r="H757" s="7"/>
      <c r="I757" s="21"/>
      <c r="K757"/>
      <c r="L757" s="21">
        <f>(Table2[[#This Row],[H/Pace]]/100)*(VLOOKUP(Table2[[#This Row],[Home/Neutral]],home_lookup,8,FALSE)+VLOOKUP(Table2[[#This Row],[Home/Neutral]],OFR_lookup,2,FALSE)+VLOOKUP(Table2[[#This Row],[Visitor/Neutral]],def_diff_lookup,6,FALSE))</f>
        <v>102.15203542930861</v>
      </c>
      <c r="M757" s="21"/>
      <c r="N757" s="21">
        <f>(Table2[[#This Row],[A/Pace]]/100)*(VLOOKUP(Table2[[#This Row],[Visitor/Neutral]],OFR_lookup,2,FALSE)+VLOOKUP(Table2[[#This Row],[Home/Neutral]],def_diff_lookup,6,FALSE))</f>
        <v>99.720526666666643</v>
      </c>
      <c r="O757" s="21"/>
      <c r="P757" s="21"/>
      <c r="Q757">
        <f>VLOOKUP(Table2[[#This Row],[Home/Neutral]],pace_lookup,7,FALSE)</f>
        <v>98.3</v>
      </c>
      <c r="R757" s="5">
        <f>VLOOKUP(Table2[[#This Row],[Visitor/Neutral]],pace_lookup,7,FALSE)</f>
        <v>94</v>
      </c>
      <c r="S757" s="7"/>
      <c r="U757" s="15"/>
      <c r="W757" s="2">
        <f>-home-VLOOKUP(Table2[[#This Row],[Home/Neutral]],rtg_vlookup,4,FALSE)+VLOOKUP(Table2[[#This Row],[Visitor/Neutral]],rtg_vlookup,4,FALSE)</f>
        <v>3.4913114754098347</v>
      </c>
      <c r="X757" s="15"/>
      <c r="Y757" s="2"/>
      <c r="Z757" s="2">
        <f>Table2[[#This Row],[A/EV]]-Table2[[#This Row],[H/EV]]</f>
        <v>-2.4315087626419682</v>
      </c>
      <c r="AA757" s="29"/>
      <c r="AB757" s="30"/>
      <c r="AC757" s="30"/>
      <c r="AD757" s="30"/>
      <c r="AE757" s="30"/>
      <c r="AF757" s="7" t="b">
        <f>IF(VLOOKUP(Table2[[#This Row],[Home/Neutral]],division_lookup,9,FALSE)=VLOOKUP(Table2[[#This Row],[Visitor/Neutral]],division_lookup,9,FALSE),TRUE,FALSE)</f>
        <v>1</v>
      </c>
      <c r="AG757" s="15" t="str">
        <f>VLOOKUP(Table2[[#This Row],[Home/Neutral]],division_lookup,9,FALSE)</f>
        <v>C</v>
      </c>
      <c r="AH757" s="15" t="str">
        <f>IF(Table2[[#This Row],[Total/EV]]&lt;Table2[[#This Row],[Total/V]],"UNDER","OVER")</f>
        <v>OVER</v>
      </c>
      <c r="AI757" s="26">
        <f>Table2[[#This Row],[SRS/Real]]-Table2[[#This Row],[Spread/V]]</f>
        <v>0</v>
      </c>
      <c r="AJ757" s="2">
        <f>Table2[[#This Row],[EV/Real]]-Table2[[#This Row],[Spread/V]]</f>
        <v>0</v>
      </c>
      <c r="AK757" s="2">
        <f>Table2[[#This Row],[SRS/Diff]]-Table2[[#This Row],[EV/Diff]]</f>
        <v>0</v>
      </c>
      <c r="AL757" s="18">
        <f>Table2[[#This Row],[SRS]]-Table2[[#This Row],[Spread]]</f>
        <v>3.4913114754098347</v>
      </c>
      <c r="AM757" s="21">
        <f>Table2[[#This Row],[(A) Err]]^2</f>
        <v>12.189255818328396</v>
      </c>
      <c r="AN757" s="6">
        <f>Table2[[#This Row],[EV]]-Table2[[#This Row],[Spread]]</f>
        <v>-2.4315087626419682</v>
      </c>
      <c r="AO757" s="1">
        <f>Table2[[#This Row],[EV Err]]^2</f>
        <v>5.9122348628046755</v>
      </c>
      <c r="AP757" s="1"/>
    </row>
    <row r="758" spans="1:42" x14ac:dyDescent="0.25">
      <c r="A758" s="34">
        <v>42770</v>
      </c>
      <c r="B758" t="s">
        <v>124</v>
      </c>
      <c r="C758" t="s">
        <v>138</v>
      </c>
      <c r="E758" s="21"/>
      <c r="G758" s="21"/>
      <c r="H758" s="7"/>
      <c r="I758" s="21"/>
      <c r="K758"/>
      <c r="L758" s="21">
        <f>(Table2[[#This Row],[H/Pace]]/100)*(VLOOKUP(Table2[[#This Row],[Home/Neutral]],home_lookup,8,FALSE)+VLOOKUP(Table2[[#This Row],[Home/Neutral]],OFR_lookup,2,FALSE)+VLOOKUP(Table2[[#This Row],[Visitor/Neutral]],def_diff_lookup,6,FALSE))</f>
        <v>102.80357517723557</v>
      </c>
      <c r="M758" s="21"/>
      <c r="N758" s="21">
        <f>(Table2[[#This Row],[A/Pace]]/100)*(VLOOKUP(Table2[[#This Row],[Visitor/Neutral]],OFR_lookup,2,FALSE)+VLOOKUP(Table2[[#This Row],[Home/Neutral]],def_diff_lookup,6,FALSE))</f>
        <v>94.132024999999999</v>
      </c>
      <c r="O758" s="21"/>
      <c r="P758" s="21"/>
      <c r="Q758">
        <f>VLOOKUP(Table2[[#This Row],[Home/Neutral]],pace_lookup,7,FALSE)</f>
        <v>93.7</v>
      </c>
      <c r="R758" s="5">
        <f>VLOOKUP(Table2[[#This Row],[Visitor/Neutral]],pace_lookup,7,FALSE)</f>
        <v>97.5</v>
      </c>
      <c r="S758" s="7"/>
      <c r="U758" s="15"/>
      <c r="W758" s="2">
        <f>-home-VLOOKUP(Table2[[#This Row],[Home/Neutral]],rtg_vlookup,4,FALSE)+VLOOKUP(Table2[[#This Row],[Visitor/Neutral]],rtg_vlookup,4,FALSE)</f>
        <v>-11.208688524590167</v>
      </c>
      <c r="X758" s="15"/>
      <c r="Y758" s="2"/>
      <c r="Z758" s="2">
        <f>Table2[[#This Row],[A/EV]]-Table2[[#This Row],[H/EV]]</f>
        <v>-8.6715501772355736</v>
      </c>
      <c r="AA758" s="29"/>
      <c r="AB758" s="30"/>
      <c r="AC758" s="30"/>
      <c r="AD758" s="30"/>
      <c r="AE758" s="30"/>
      <c r="AF758" s="7" t="b">
        <f>IF(VLOOKUP(Table2[[#This Row],[Home/Neutral]],division_lookup,9,FALSE)=VLOOKUP(Table2[[#This Row],[Visitor/Neutral]],division_lookup,9,FALSE),TRUE,FALSE)</f>
        <v>0</v>
      </c>
      <c r="AG758" s="15" t="str">
        <f>VLOOKUP(Table2[[#This Row],[Home/Neutral]],division_lookup,9,FALSE)</f>
        <v>SE</v>
      </c>
      <c r="AH758" s="15" t="str">
        <f>IF(Table2[[#This Row],[Total/EV]]&lt;Table2[[#This Row],[Total/V]],"UNDER","OVER")</f>
        <v>OVER</v>
      </c>
      <c r="AI758" s="26">
        <f>Table2[[#This Row],[SRS/Real]]-Table2[[#This Row],[Spread/V]]</f>
        <v>0</v>
      </c>
      <c r="AJ758" s="2">
        <f>Table2[[#This Row],[EV/Real]]-Table2[[#This Row],[Spread/V]]</f>
        <v>0</v>
      </c>
      <c r="AK758" s="2">
        <f>Table2[[#This Row],[SRS/Diff]]-Table2[[#This Row],[EV/Diff]]</f>
        <v>0</v>
      </c>
      <c r="AL758" s="18">
        <f>Table2[[#This Row],[SRS]]-Table2[[#This Row],[Spread]]</f>
        <v>-11.208688524590167</v>
      </c>
      <c r="AM758" s="21">
        <f>Table2[[#This Row],[(A) Err]]^2</f>
        <v>125.6346984412793</v>
      </c>
      <c r="AN758" s="6">
        <f>Table2[[#This Row],[EV]]-Table2[[#This Row],[Spread]]</f>
        <v>-8.6715501772355736</v>
      </c>
      <c r="AO758" s="1">
        <f>Table2[[#This Row],[EV Err]]^2</f>
        <v>75.195782476314307</v>
      </c>
      <c r="AP758" s="1"/>
    </row>
    <row r="759" spans="1:42" x14ac:dyDescent="0.25">
      <c r="A759" s="34">
        <v>42770</v>
      </c>
      <c r="B759" t="s">
        <v>126</v>
      </c>
      <c r="C759" t="s">
        <v>123</v>
      </c>
      <c r="E759" s="21"/>
      <c r="G759" s="21"/>
      <c r="H759" s="7"/>
      <c r="I759" s="21"/>
      <c r="K759"/>
      <c r="L759" s="21">
        <f>(Table2[[#This Row],[H/Pace]]/100)*(VLOOKUP(Table2[[#This Row],[Home/Neutral]],home_lookup,8,FALSE)+VLOOKUP(Table2[[#This Row],[Home/Neutral]],OFR_lookup,2,FALSE)+VLOOKUP(Table2[[#This Row],[Visitor/Neutral]],def_diff_lookup,6,FALSE))</f>
        <v>111.50510777050785</v>
      </c>
      <c r="M759" s="21"/>
      <c r="N759" s="21">
        <f>(Table2[[#This Row],[A/Pace]]/100)*(VLOOKUP(Table2[[#This Row],[Visitor/Neutral]],OFR_lookup,2,FALSE)+VLOOKUP(Table2[[#This Row],[Home/Neutral]],def_diff_lookup,6,FALSE))</f>
        <v>98.980241666666657</v>
      </c>
      <c r="O759" s="21"/>
      <c r="P759" s="21"/>
      <c r="Q759">
        <f>VLOOKUP(Table2[[#This Row],[Home/Neutral]],pace_lookup,7,FALSE)</f>
        <v>95.7</v>
      </c>
      <c r="R759" s="5">
        <f>VLOOKUP(Table2[[#This Row],[Visitor/Neutral]],pace_lookup,7,FALSE)</f>
        <v>92.5</v>
      </c>
      <c r="S759" s="7"/>
      <c r="U759" s="15"/>
      <c r="W759" s="2">
        <f>-home-VLOOKUP(Table2[[#This Row],[Home/Neutral]],rtg_vlookup,4,FALSE)+VLOOKUP(Table2[[#This Row],[Visitor/Neutral]],rtg_vlookup,4,FALSE)</f>
        <v>-0.91868852459016581</v>
      </c>
      <c r="X759" s="15"/>
      <c r="Y759" s="2"/>
      <c r="Z759" s="2">
        <f>Table2[[#This Row],[A/EV]]-Table2[[#This Row],[H/EV]]</f>
        <v>-12.524866103841191</v>
      </c>
      <c r="AA759" s="29"/>
      <c r="AB759" s="30"/>
      <c r="AC759" s="30"/>
      <c r="AD759" s="30"/>
      <c r="AE759" s="30"/>
      <c r="AF759" s="7" t="b">
        <f>IF(VLOOKUP(Table2[[#This Row],[Home/Neutral]],division_lookup,9,FALSE)=VLOOKUP(Table2[[#This Row],[Visitor/Neutral]],division_lookup,9,FALSE),TRUE,FALSE)</f>
        <v>0</v>
      </c>
      <c r="AG759" s="15" t="str">
        <f>VLOOKUP(Table2[[#This Row],[Home/Neutral]],division_lookup,9,FALSE)</f>
        <v>NW</v>
      </c>
      <c r="AH759" s="15" t="str">
        <f>IF(Table2[[#This Row],[Total/EV]]&lt;Table2[[#This Row],[Total/V]],"UNDER","OVER")</f>
        <v>OVER</v>
      </c>
      <c r="AI759" s="26">
        <f>Table2[[#This Row],[SRS/Real]]-Table2[[#This Row],[Spread/V]]</f>
        <v>0</v>
      </c>
      <c r="AJ759" s="2">
        <f>Table2[[#This Row],[EV/Real]]-Table2[[#This Row],[Spread/V]]</f>
        <v>0</v>
      </c>
      <c r="AK759" s="2">
        <f>Table2[[#This Row],[SRS/Diff]]-Table2[[#This Row],[EV/Diff]]</f>
        <v>0</v>
      </c>
      <c r="AL759" s="18">
        <f>Table2[[#This Row],[SRS]]-Table2[[#This Row],[Spread]]</f>
        <v>-0.91868852459016581</v>
      </c>
      <c r="AM759" s="21">
        <f>Table2[[#This Row],[(A) Err]]^2</f>
        <v>0.84398860521365571</v>
      </c>
      <c r="AN759" s="6">
        <f>Table2[[#This Row],[EV]]-Table2[[#This Row],[Spread]]</f>
        <v>-12.524866103841191</v>
      </c>
      <c r="AO759" s="1">
        <f>Table2[[#This Row],[EV Err]]^2</f>
        <v>156.87227091915003</v>
      </c>
      <c r="AP759" s="1"/>
    </row>
    <row r="760" spans="1:42" x14ac:dyDescent="0.25">
      <c r="A760" s="34">
        <v>42770</v>
      </c>
      <c r="B760" t="s">
        <v>128</v>
      </c>
      <c r="C760" t="s">
        <v>114</v>
      </c>
      <c r="E760" s="21"/>
      <c r="G760" s="21"/>
      <c r="H760" s="7"/>
      <c r="I760" s="21"/>
      <c r="K760"/>
      <c r="L760" s="21">
        <f>(Table2[[#This Row],[H/Pace]]/100)*(VLOOKUP(Table2[[#This Row],[Home/Neutral]],home_lookup,8,FALSE)+VLOOKUP(Table2[[#This Row],[Home/Neutral]],OFR_lookup,2,FALSE)+VLOOKUP(Table2[[#This Row],[Visitor/Neutral]],def_diff_lookup,6,FALSE))</f>
        <v>107.88352987783021</v>
      </c>
      <c r="M760" s="21"/>
      <c r="N760" s="21">
        <f>(Table2[[#This Row],[A/Pace]]/100)*(VLOOKUP(Table2[[#This Row],[Visitor/Neutral]],OFR_lookup,2,FALSE)+VLOOKUP(Table2[[#This Row],[Home/Neutral]],def_diff_lookup,6,FALSE))</f>
        <v>114.73194366666667</v>
      </c>
      <c r="O760" s="21"/>
      <c r="P760" s="21"/>
      <c r="Q760">
        <f>VLOOKUP(Table2[[#This Row],[Home/Neutral]],pace_lookup,7,FALSE)</f>
        <v>96.3</v>
      </c>
      <c r="R760" s="5">
        <f>VLOOKUP(Table2[[#This Row],[Visitor/Neutral]],pace_lookup,7,FALSE)</f>
        <v>97.3</v>
      </c>
      <c r="S760" s="7"/>
      <c r="U760" s="15"/>
      <c r="W760" s="2">
        <f>-home-VLOOKUP(Table2[[#This Row],[Home/Neutral]],rtg_vlookup,4,FALSE)+VLOOKUP(Table2[[#This Row],[Visitor/Neutral]],rtg_vlookup,4,FALSE)</f>
        <v>7.731311475409834</v>
      </c>
      <c r="X760" s="15"/>
      <c r="Y760" s="2"/>
      <c r="Z760" s="2">
        <f>Table2[[#This Row],[A/EV]]-Table2[[#This Row],[H/EV]]</f>
        <v>6.8484137888364529</v>
      </c>
      <c r="AA760" s="29"/>
      <c r="AB760" s="30"/>
      <c r="AC760" s="30"/>
      <c r="AD760" s="30"/>
      <c r="AE760" s="30"/>
      <c r="AF760" s="7" t="b">
        <f>IF(VLOOKUP(Table2[[#This Row],[Home/Neutral]],division_lookup,9,FALSE)=VLOOKUP(Table2[[#This Row],[Visitor/Neutral]],division_lookup,9,FALSE),TRUE,FALSE)</f>
        <v>0</v>
      </c>
      <c r="AG760" s="15" t="str">
        <f>VLOOKUP(Table2[[#This Row],[Home/Neutral]],division_lookup,9,FALSE)</f>
        <v>A</v>
      </c>
      <c r="AH760" s="15" t="str">
        <f>IF(Table2[[#This Row],[Total/EV]]&lt;Table2[[#This Row],[Total/V]],"UNDER","OVER")</f>
        <v>OVER</v>
      </c>
      <c r="AI760" s="26">
        <f>Table2[[#This Row],[SRS/Real]]-Table2[[#This Row],[Spread/V]]</f>
        <v>0</v>
      </c>
      <c r="AJ760" s="2">
        <f>Table2[[#This Row],[EV/Real]]-Table2[[#This Row],[Spread/V]]</f>
        <v>0</v>
      </c>
      <c r="AK760" s="2">
        <f>Table2[[#This Row],[SRS/Diff]]-Table2[[#This Row],[EV/Diff]]</f>
        <v>0</v>
      </c>
      <c r="AL760" s="18">
        <f>Table2[[#This Row],[SRS]]-Table2[[#This Row],[Spread]]</f>
        <v>7.731311475409834</v>
      </c>
      <c r="AM760" s="21">
        <f>Table2[[#This Row],[(A) Err]]^2</f>
        <v>59.773177129803784</v>
      </c>
      <c r="AN760" s="6">
        <f>Table2[[#This Row],[EV]]-Table2[[#This Row],[Spread]]</f>
        <v>6.8484137888364529</v>
      </c>
      <c r="AO760" s="1">
        <f>Table2[[#This Row],[EV Err]]^2</f>
        <v>46.900771423125263</v>
      </c>
      <c r="AP760" s="1"/>
    </row>
    <row r="761" spans="1:42" x14ac:dyDescent="0.25">
      <c r="A761" s="34">
        <v>42770</v>
      </c>
      <c r="B761" t="s">
        <v>131</v>
      </c>
      <c r="C761" t="s">
        <v>125</v>
      </c>
      <c r="E761" s="21"/>
      <c r="G761" s="21"/>
      <c r="H761" s="7"/>
      <c r="I761" s="21"/>
      <c r="K761"/>
      <c r="L761" s="21">
        <f>(Table2[[#This Row],[H/Pace]]/100)*(VLOOKUP(Table2[[#This Row],[Home/Neutral]],home_lookup,8,FALSE)+VLOOKUP(Table2[[#This Row],[Home/Neutral]],OFR_lookup,2,FALSE)+VLOOKUP(Table2[[#This Row],[Visitor/Neutral]],def_diff_lookup,6,FALSE))</f>
        <v>99.069019791197661</v>
      </c>
      <c r="M761" s="21"/>
      <c r="N761" s="21">
        <f>(Table2[[#This Row],[A/Pace]]/100)*(VLOOKUP(Table2[[#This Row],[Visitor/Neutral]],OFR_lookup,2,FALSE)+VLOOKUP(Table2[[#This Row],[Home/Neutral]],def_diff_lookup,6,FALSE))</f>
        <v>103.18801566666666</v>
      </c>
      <c r="O761" s="21"/>
      <c r="P761" s="21"/>
      <c r="Q761">
        <f>VLOOKUP(Table2[[#This Row],[Home/Neutral]],pace_lookup,7,FALSE)</f>
        <v>101.7</v>
      </c>
      <c r="R761" s="5">
        <f>VLOOKUP(Table2[[#This Row],[Visitor/Neutral]],pace_lookup,7,FALSE)</f>
        <v>96.1</v>
      </c>
      <c r="S761" s="7"/>
      <c r="U761" s="15"/>
      <c r="W761" s="2">
        <f>-home-VLOOKUP(Table2[[#This Row],[Home/Neutral]],rtg_vlookup,4,FALSE)+VLOOKUP(Table2[[#This Row],[Visitor/Neutral]],rtg_vlookup,4,FALSE)</f>
        <v>1.1213114754098341</v>
      </c>
      <c r="X761" s="15"/>
      <c r="Y761" s="2"/>
      <c r="Z761" s="2">
        <f>Table2[[#This Row],[A/EV]]-Table2[[#This Row],[H/EV]]</f>
        <v>4.1189958754689968</v>
      </c>
      <c r="AA761" s="29"/>
      <c r="AB761" s="30"/>
      <c r="AC761" s="30"/>
      <c r="AD761" s="30"/>
      <c r="AE761" s="30"/>
      <c r="AF761" s="7" t="b">
        <f>IF(VLOOKUP(Table2[[#This Row],[Home/Neutral]],division_lookup,9,FALSE)=VLOOKUP(Table2[[#This Row],[Visitor/Neutral]],division_lookup,9,FALSE),TRUE,FALSE)</f>
        <v>0</v>
      </c>
      <c r="AG761" s="15" t="str">
        <f>VLOOKUP(Table2[[#This Row],[Home/Neutral]],division_lookup,9,FALSE)</f>
        <v>P</v>
      </c>
      <c r="AH761" s="15" t="str">
        <f>IF(Table2[[#This Row],[Total/EV]]&lt;Table2[[#This Row],[Total/V]],"UNDER","OVER")</f>
        <v>OVER</v>
      </c>
      <c r="AI761" s="26">
        <f>Table2[[#This Row],[SRS/Real]]-Table2[[#This Row],[Spread/V]]</f>
        <v>0</v>
      </c>
      <c r="AJ761" s="2">
        <f>Table2[[#This Row],[EV/Real]]-Table2[[#This Row],[Spread/V]]</f>
        <v>0</v>
      </c>
      <c r="AK761" s="2">
        <f>Table2[[#This Row],[SRS/Diff]]-Table2[[#This Row],[EV/Diff]]</f>
        <v>0</v>
      </c>
      <c r="AL761" s="18">
        <f>Table2[[#This Row],[SRS]]-Table2[[#This Row],[Spread]]</f>
        <v>1.1213114754098341</v>
      </c>
      <c r="AM761" s="21">
        <f>Table2[[#This Row],[(A) Err]]^2</f>
        <v>1.257339424885779</v>
      </c>
      <c r="AN761" s="6">
        <f>Table2[[#This Row],[EV]]-Table2[[#This Row],[Spread]]</f>
        <v>4.1189958754689968</v>
      </c>
      <c r="AO761" s="1">
        <f>Table2[[#This Row],[EV Err]]^2</f>
        <v>16.966127022130607</v>
      </c>
      <c r="AP761" s="1"/>
    </row>
    <row r="762" spans="1:42" x14ac:dyDescent="0.25">
      <c r="A762" s="34">
        <v>42770</v>
      </c>
      <c r="B762" t="s">
        <v>133</v>
      </c>
      <c r="C762" t="s">
        <v>118</v>
      </c>
      <c r="E762" s="21"/>
      <c r="G762" s="21"/>
      <c r="H762" s="7"/>
      <c r="I762" s="21"/>
      <c r="K762"/>
      <c r="L762" s="21">
        <f>(Table2[[#This Row],[H/Pace]]/100)*(VLOOKUP(Table2[[#This Row],[Home/Neutral]],home_lookup,8,FALSE)+VLOOKUP(Table2[[#This Row],[Home/Neutral]],OFR_lookup,2,FALSE)+VLOOKUP(Table2[[#This Row],[Visitor/Neutral]],def_diff_lookup,6,FALSE))</f>
        <v>106.96810748279979</v>
      </c>
      <c r="M762" s="21"/>
      <c r="N762" s="21">
        <f>(Table2[[#This Row],[A/Pace]]/100)*(VLOOKUP(Table2[[#This Row],[Visitor/Neutral]],OFR_lookup,2,FALSE)+VLOOKUP(Table2[[#This Row],[Home/Neutral]],def_diff_lookup,6,FALSE))</f>
        <v>120.65636933333333</v>
      </c>
      <c r="O762" s="21"/>
      <c r="P762" s="21"/>
      <c r="Q762">
        <f>VLOOKUP(Table2[[#This Row],[Home/Neutral]],pace_lookup,7,FALSE)</f>
        <v>94.2</v>
      </c>
      <c r="R762" s="5">
        <f>VLOOKUP(Table2[[#This Row],[Visitor/Neutral]],pace_lookup,7,FALSE)</f>
        <v>100.4</v>
      </c>
      <c r="S762" s="7"/>
      <c r="U762" s="15"/>
      <c r="W762" s="2">
        <f>-home-VLOOKUP(Table2[[#This Row],[Home/Neutral]],rtg_vlookup,4,FALSE)+VLOOKUP(Table2[[#This Row],[Visitor/Neutral]],rtg_vlookup,4,FALSE)</f>
        <v>10.561311475409834</v>
      </c>
      <c r="X762" s="15"/>
      <c r="Y762" s="2"/>
      <c r="Z762" s="2">
        <f>Table2[[#This Row],[A/EV]]-Table2[[#This Row],[H/EV]]</f>
        <v>13.688261850533536</v>
      </c>
      <c r="AA762" s="29"/>
      <c r="AB762" s="30"/>
      <c r="AC762" s="30"/>
      <c r="AD762" s="30"/>
      <c r="AE762" s="30"/>
      <c r="AF762" s="7" t="b">
        <f>IF(VLOOKUP(Table2[[#This Row],[Home/Neutral]],division_lookup,9,FALSE)=VLOOKUP(Table2[[#This Row],[Visitor/Neutral]],division_lookup,9,FALSE),TRUE,FALSE)</f>
        <v>1</v>
      </c>
      <c r="AG762" s="15" t="str">
        <f>VLOOKUP(Table2[[#This Row],[Home/Neutral]],division_lookup,9,FALSE)</f>
        <v>P</v>
      </c>
      <c r="AH762" s="15" t="str">
        <f>IF(Table2[[#This Row],[Total/EV]]&lt;Table2[[#This Row],[Total/V]],"UNDER","OVER")</f>
        <v>OVER</v>
      </c>
      <c r="AI762" s="26">
        <f>Table2[[#This Row],[SRS/Real]]-Table2[[#This Row],[Spread/V]]</f>
        <v>0</v>
      </c>
      <c r="AJ762" s="2">
        <f>Table2[[#This Row],[EV/Real]]-Table2[[#This Row],[Spread/V]]</f>
        <v>0</v>
      </c>
      <c r="AK762" s="2">
        <f>Table2[[#This Row],[SRS/Diff]]-Table2[[#This Row],[EV/Diff]]</f>
        <v>0</v>
      </c>
      <c r="AL762" s="18">
        <f>Table2[[#This Row],[SRS]]-Table2[[#This Row],[Spread]]</f>
        <v>10.561311475409834</v>
      </c>
      <c r="AM762" s="21">
        <f>Table2[[#This Row],[(A) Err]]^2</f>
        <v>111.54130008062344</v>
      </c>
      <c r="AN762" s="6">
        <f>Table2[[#This Row],[EV]]-Table2[[#This Row],[Spread]]</f>
        <v>13.688261850533536</v>
      </c>
      <c r="AO762" s="1">
        <f>Table2[[#This Row],[EV Err]]^2</f>
        <v>187.36851248877178</v>
      </c>
      <c r="AP762" s="1"/>
    </row>
    <row r="763" spans="1:42" x14ac:dyDescent="0.25">
      <c r="A763" s="34">
        <v>42770</v>
      </c>
      <c r="B763" t="s">
        <v>134</v>
      </c>
      <c r="C763" t="s">
        <v>116</v>
      </c>
      <c r="E763" s="21"/>
      <c r="G763" s="21"/>
      <c r="H763" s="7"/>
      <c r="I763" s="21"/>
      <c r="K763"/>
      <c r="L763" s="21">
        <f>(Table2[[#This Row],[H/Pace]]/100)*(VLOOKUP(Table2[[#This Row],[Home/Neutral]],home_lookup,8,FALSE)+VLOOKUP(Table2[[#This Row],[Home/Neutral]],OFR_lookup,2,FALSE)+VLOOKUP(Table2[[#This Row],[Visitor/Neutral]],def_diff_lookup,6,FALSE))</f>
        <v>100.91631343638193</v>
      </c>
      <c r="M763" s="21"/>
      <c r="N763" s="21">
        <f>(Table2[[#This Row],[A/Pace]]/100)*(VLOOKUP(Table2[[#This Row],[Visitor/Neutral]],OFR_lookup,2,FALSE)+VLOOKUP(Table2[[#This Row],[Home/Neutral]],def_diff_lookup,6,FALSE))</f>
        <v>103.87232566666667</v>
      </c>
      <c r="O763" s="21"/>
      <c r="P763" s="21"/>
      <c r="Q763">
        <f>VLOOKUP(Table2[[#This Row],[Home/Neutral]],pace_lookup,7,FALSE)</f>
        <v>93.4</v>
      </c>
      <c r="R763" s="5">
        <f>VLOOKUP(Table2[[#This Row],[Visitor/Neutral]],pace_lookup,7,FALSE)</f>
        <v>99.1</v>
      </c>
      <c r="S763" s="7"/>
      <c r="U763" s="15"/>
      <c r="W763" s="2">
        <f>-home-VLOOKUP(Table2[[#This Row],[Home/Neutral]],rtg_vlookup,4,FALSE)+VLOOKUP(Table2[[#This Row],[Visitor/Neutral]],rtg_vlookup,4,FALSE)</f>
        <v>-10.908688524590165</v>
      </c>
      <c r="X763" s="15"/>
      <c r="Y763" s="2"/>
      <c r="Z763" s="2">
        <f>Table2[[#This Row],[A/EV]]-Table2[[#This Row],[H/EV]]</f>
        <v>2.9560122302847418</v>
      </c>
      <c r="AA763" s="29"/>
      <c r="AB763" s="30"/>
      <c r="AC763" s="30"/>
      <c r="AD763" s="30"/>
      <c r="AE763" s="30"/>
      <c r="AF763" s="7" t="b">
        <f>IF(VLOOKUP(Table2[[#This Row],[Home/Neutral]],division_lookup,9,FALSE)=VLOOKUP(Table2[[#This Row],[Visitor/Neutral]],division_lookup,9,FALSE),TRUE,FALSE)</f>
        <v>0</v>
      </c>
      <c r="AG763" s="15" t="str">
        <f>VLOOKUP(Table2[[#This Row],[Home/Neutral]],division_lookup,9,FALSE)</f>
        <v>SW</v>
      </c>
      <c r="AH763" s="15" t="str">
        <f>IF(Table2[[#This Row],[Total/EV]]&lt;Table2[[#This Row],[Total/V]],"UNDER","OVER")</f>
        <v>OVER</v>
      </c>
      <c r="AI763" s="26">
        <f>Table2[[#This Row],[SRS/Real]]-Table2[[#This Row],[Spread/V]]</f>
        <v>0</v>
      </c>
      <c r="AJ763" s="2">
        <f>Table2[[#This Row],[EV/Real]]-Table2[[#This Row],[Spread/V]]</f>
        <v>0</v>
      </c>
      <c r="AK763" s="2">
        <f>Table2[[#This Row],[SRS/Diff]]-Table2[[#This Row],[EV/Diff]]</f>
        <v>0</v>
      </c>
      <c r="AL763" s="18">
        <f>Table2[[#This Row],[SRS]]-Table2[[#This Row],[Spread]]</f>
        <v>-10.908688524590165</v>
      </c>
      <c r="AM763" s="21">
        <f>Table2[[#This Row],[(A) Err]]^2</f>
        <v>118.99948532652515</v>
      </c>
      <c r="AN763" s="6">
        <f>Table2[[#This Row],[EV]]-Table2[[#This Row],[Spread]]</f>
        <v>2.9560122302847418</v>
      </c>
      <c r="AO763" s="1">
        <f>Table2[[#This Row],[EV Err]]^2</f>
        <v>8.7380083055929738</v>
      </c>
      <c r="AP763" s="1"/>
    </row>
    <row r="764" spans="1:42" x14ac:dyDescent="0.25">
      <c r="A764" s="34">
        <v>42770</v>
      </c>
      <c r="B764" t="s">
        <v>136</v>
      </c>
      <c r="C764" t="s">
        <v>112</v>
      </c>
      <c r="E764" s="21"/>
      <c r="G764" s="21"/>
      <c r="H764" s="7"/>
      <c r="I764" s="21"/>
      <c r="K764"/>
      <c r="L764" s="21">
        <f>(Table2[[#This Row],[H/Pace]]/100)*(VLOOKUP(Table2[[#This Row],[Home/Neutral]],home_lookup,8,FALSE)+VLOOKUP(Table2[[#This Row],[Home/Neutral]],OFR_lookup,2,FALSE)+VLOOKUP(Table2[[#This Row],[Visitor/Neutral]],def_diff_lookup,6,FALSE))</f>
        <v>104.206185349919</v>
      </c>
      <c r="M764" s="21"/>
      <c r="N764" s="21">
        <f>(Table2[[#This Row],[A/Pace]]/100)*(VLOOKUP(Table2[[#This Row],[Visitor/Neutral]],OFR_lookup,2,FALSE)+VLOOKUP(Table2[[#This Row],[Home/Neutral]],def_diff_lookup,6,FALSE))</f>
        <v>100.60023933333333</v>
      </c>
      <c r="O764" s="21"/>
      <c r="P764" s="21"/>
      <c r="Q764">
        <f>VLOOKUP(Table2[[#This Row],[Home/Neutral]],pace_lookup,7,FALSE)</f>
        <v>91.5</v>
      </c>
      <c r="R764" s="5">
        <f>VLOOKUP(Table2[[#This Row],[Visitor/Neutral]],pace_lookup,7,FALSE)</f>
        <v>97.4</v>
      </c>
      <c r="S764" s="7"/>
      <c r="U764" s="15"/>
      <c r="W764" s="2">
        <f>-home-VLOOKUP(Table2[[#This Row],[Home/Neutral]],rtg_vlookup,4,FALSE)+VLOOKUP(Table2[[#This Row],[Visitor/Neutral]],rtg_vlookup,4,FALSE)</f>
        <v>-4.9886885245901658</v>
      </c>
      <c r="X764" s="15"/>
      <c r="Y764" s="2"/>
      <c r="Z764" s="2">
        <f>Table2[[#This Row],[A/EV]]-Table2[[#This Row],[H/EV]]</f>
        <v>-3.6059460165856621</v>
      </c>
      <c r="AA764" s="29"/>
      <c r="AB764" s="30"/>
      <c r="AC764" s="30"/>
      <c r="AD764" s="30"/>
      <c r="AE764" s="30"/>
      <c r="AF764" s="7" t="b">
        <f>IF(VLOOKUP(Table2[[#This Row],[Home/Neutral]],division_lookup,9,FALSE)=VLOOKUP(Table2[[#This Row],[Visitor/Neutral]],division_lookup,9,FALSE),TRUE,FALSE)</f>
        <v>0</v>
      </c>
      <c r="AG764" s="15" t="str">
        <f>VLOOKUP(Table2[[#This Row],[Home/Neutral]],division_lookup,9,FALSE)</f>
        <v>NW</v>
      </c>
      <c r="AH764" s="15" t="str">
        <f>IF(Table2[[#This Row],[Total/EV]]&lt;Table2[[#This Row],[Total/V]],"UNDER","OVER")</f>
        <v>OVER</v>
      </c>
      <c r="AI764" s="26">
        <f>Table2[[#This Row],[SRS/Real]]-Table2[[#This Row],[Spread/V]]</f>
        <v>0</v>
      </c>
      <c r="AJ764" s="2">
        <f>Table2[[#This Row],[EV/Real]]-Table2[[#This Row],[Spread/V]]</f>
        <v>0</v>
      </c>
      <c r="AK764" s="2">
        <f>Table2[[#This Row],[SRS/Diff]]-Table2[[#This Row],[EV/Diff]]</f>
        <v>0</v>
      </c>
      <c r="AL764" s="18">
        <f>Table2[[#This Row],[SRS]]-Table2[[#This Row],[Spread]]</f>
        <v>-4.9886885245901658</v>
      </c>
      <c r="AM764" s="21">
        <f>Table2[[#This Row],[(A) Err]]^2</f>
        <v>24.887013195377605</v>
      </c>
      <c r="AN764" s="6">
        <f>Table2[[#This Row],[EV]]-Table2[[#This Row],[Spread]]</f>
        <v>-3.6059460165856621</v>
      </c>
      <c r="AO764" s="1">
        <f>Table2[[#This Row],[EV Err]]^2</f>
        <v>13.002846674530003</v>
      </c>
      <c r="AP764" s="1"/>
    </row>
    <row r="765" spans="1:42" x14ac:dyDescent="0.25">
      <c r="A765" s="34">
        <v>42770</v>
      </c>
      <c r="B765" t="s">
        <v>137</v>
      </c>
      <c r="C765" t="s">
        <v>127</v>
      </c>
      <c r="E765" s="21"/>
      <c r="G765" s="21"/>
      <c r="H765" s="7"/>
      <c r="I765" s="21"/>
      <c r="K765"/>
      <c r="L765" s="21">
        <f>(Table2[[#This Row],[H/Pace]]/100)*(VLOOKUP(Table2[[#This Row],[Home/Neutral]],home_lookup,8,FALSE)+VLOOKUP(Table2[[#This Row],[Home/Neutral]],OFR_lookup,2,FALSE)+VLOOKUP(Table2[[#This Row],[Visitor/Neutral]],def_diff_lookup,6,FALSE))</f>
        <v>106.6489325542187</v>
      </c>
      <c r="M765" s="21"/>
      <c r="N765" s="21">
        <f>(Table2[[#This Row],[A/Pace]]/100)*(VLOOKUP(Table2[[#This Row],[Visitor/Neutral]],OFR_lookup,2,FALSE)+VLOOKUP(Table2[[#This Row],[Home/Neutral]],def_diff_lookup,6,FALSE))</f>
        <v>105.46222699999998</v>
      </c>
      <c r="O765" s="21"/>
      <c r="P765" s="21"/>
      <c r="Q765">
        <f>VLOOKUP(Table2[[#This Row],[Home/Neutral]],pace_lookup,7,FALSE)</f>
        <v>96</v>
      </c>
      <c r="R765" s="5">
        <f>VLOOKUP(Table2[[#This Row],[Visitor/Neutral]],pace_lookup,7,FALSE)</f>
        <v>99.3</v>
      </c>
      <c r="S765" s="7"/>
      <c r="U765" s="15"/>
      <c r="W765" s="2">
        <f>-home-VLOOKUP(Table2[[#This Row],[Home/Neutral]],rtg_vlookup,4,FALSE)+VLOOKUP(Table2[[#This Row],[Visitor/Neutral]],rtg_vlookup,4,FALSE)</f>
        <v>-2.4486885245901662</v>
      </c>
      <c r="X765" s="15"/>
      <c r="Y765" s="2"/>
      <c r="Z765" s="2">
        <f>Table2[[#This Row],[A/EV]]-Table2[[#This Row],[H/EV]]</f>
        <v>-1.1867055542187188</v>
      </c>
      <c r="AA765" s="29"/>
      <c r="AB765" s="30"/>
      <c r="AC765" s="30"/>
      <c r="AD765" s="30"/>
      <c r="AE765" s="30"/>
      <c r="AF765" s="7" t="b">
        <f>IF(VLOOKUP(Table2[[#This Row],[Home/Neutral]],division_lookup,9,FALSE)=VLOOKUP(Table2[[#This Row],[Visitor/Neutral]],division_lookup,9,FALSE),TRUE,FALSE)</f>
        <v>0</v>
      </c>
      <c r="AG765" s="15" t="str">
        <f>VLOOKUP(Table2[[#This Row],[Home/Neutral]],division_lookup,9,FALSE)</f>
        <v>SE</v>
      </c>
      <c r="AH765" s="15" t="str">
        <f>IF(Table2[[#This Row],[Total/EV]]&lt;Table2[[#This Row],[Total/V]],"UNDER","OVER")</f>
        <v>OVER</v>
      </c>
      <c r="AI765" s="26">
        <f>Table2[[#This Row],[SRS/Real]]-Table2[[#This Row],[Spread/V]]</f>
        <v>0</v>
      </c>
      <c r="AJ765" s="2">
        <f>Table2[[#This Row],[EV/Real]]-Table2[[#This Row],[Spread/V]]</f>
        <v>0</v>
      </c>
      <c r="AK765" s="2">
        <f>Table2[[#This Row],[SRS/Diff]]-Table2[[#This Row],[EV/Diff]]</f>
        <v>0</v>
      </c>
      <c r="AL765" s="18">
        <f>Table2[[#This Row],[SRS]]-Table2[[#This Row],[Spread]]</f>
        <v>-2.4486885245901662</v>
      </c>
      <c r="AM765" s="21">
        <f>Table2[[#This Row],[(A) Err]]^2</f>
        <v>5.9960754904595648</v>
      </c>
      <c r="AN765" s="6">
        <f>Table2[[#This Row],[EV]]-Table2[[#This Row],[Spread]]</f>
        <v>-1.1867055542187188</v>
      </c>
      <c r="AO765" s="1">
        <f>Table2[[#This Row],[EV Err]]^2</f>
        <v>1.4082700724135566</v>
      </c>
      <c r="AP765" s="1"/>
    </row>
    <row r="766" spans="1:42" x14ac:dyDescent="0.25">
      <c r="A766" s="34">
        <v>42771</v>
      </c>
      <c r="B766" t="s">
        <v>110</v>
      </c>
      <c r="C766" t="s">
        <v>121</v>
      </c>
      <c r="E766" s="21"/>
      <c r="G766" s="21"/>
      <c r="H766" s="7"/>
      <c r="I766" s="21"/>
      <c r="K766"/>
      <c r="L766" s="21">
        <f>(Table2[[#This Row],[H/Pace]]/100)*(VLOOKUP(Table2[[#This Row],[Home/Neutral]],home_lookup,8,FALSE)+VLOOKUP(Table2[[#This Row],[Home/Neutral]],OFR_lookup,2,FALSE)+VLOOKUP(Table2[[#This Row],[Visitor/Neutral]],def_diff_lookup,6,FALSE))</f>
        <v>101.6457111890094</v>
      </c>
      <c r="M766" s="21"/>
      <c r="N766" s="21">
        <f>(Table2[[#This Row],[A/Pace]]/100)*(VLOOKUP(Table2[[#This Row],[Visitor/Neutral]],OFR_lookup,2,FALSE)+VLOOKUP(Table2[[#This Row],[Home/Neutral]],def_diff_lookup,6,FALSE))</f>
        <v>111.65594266666668</v>
      </c>
      <c r="O766" s="21"/>
      <c r="P766" s="21"/>
      <c r="Q766">
        <f>VLOOKUP(Table2[[#This Row],[Home/Neutral]],pace_lookup,7,FALSE)</f>
        <v>96.2</v>
      </c>
      <c r="R766" s="5">
        <f>VLOOKUP(Table2[[#This Row],[Visitor/Neutral]],pace_lookup,7,FALSE)</f>
        <v>96.4</v>
      </c>
      <c r="S766" s="7"/>
      <c r="U766" s="15"/>
      <c r="W766" s="2">
        <f>-home-VLOOKUP(Table2[[#This Row],[Home/Neutral]],rtg_vlookup,4,FALSE)+VLOOKUP(Table2[[#This Row],[Visitor/Neutral]],rtg_vlookup,4,FALSE)</f>
        <v>9.4713114754098342</v>
      </c>
      <c r="X766" s="15"/>
      <c r="Y766" s="2"/>
      <c r="Z766" s="2">
        <f>Table2[[#This Row],[A/EV]]-Table2[[#This Row],[H/EV]]</f>
        <v>10.010231477657271</v>
      </c>
      <c r="AA766" s="29"/>
      <c r="AB766" s="30"/>
      <c r="AC766" s="30"/>
      <c r="AD766" s="30"/>
      <c r="AE766" s="30"/>
      <c r="AF766" s="7" t="b">
        <f>IF(VLOOKUP(Table2[[#This Row],[Home/Neutral]],division_lookup,9,FALSE)=VLOOKUP(Table2[[#This Row],[Visitor/Neutral]],division_lookup,9,FALSE),TRUE,FALSE)</f>
        <v>0</v>
      </c>
      <c r="AG766" s="15" t="str">
        <f>VLOOKUP(Table2[[#This Row],[Home/Neutral]],division_lookup,9,FALSE)</f>
        <v>A</v>
      </c>
      <c r="AH766" s="15" t="str">
        <f>IF(Table2[[#This Row],[Total/EV]]&lt;Table2[[#This Row],[Total/V]],"UNDER","OVER")</f>
        <v>OVER</v>
      </c>
      <c r="AI766" s="26">
        <f>Table2[[#This Row],[SRS/Real]]-Table2[[#This Row],[Spread/V]]</f>
        <v>0</v>
      </c>
      <c r="AJ766" s="2">
        <f>Table2[[#This Row],[EV/Real]]-Table2[[#This Row],[Spread/V]]</f>
        <v>0</v>
      </c>
      <c r="AK766" s="2">
        <f>Table2[[#This Row],[SRS/Diff]]-Table2[[#This Row],[EV/Diff]]</f>
        <v>0</v>
      </c>
      <c r="AL766" s="18">
        <f>Table2[[#This Row],[SRS]]-Table2[[#This Row],[Spread]]</f>
        <v>9.4713114754098342</v>
      </c>
      <c r="AM766" s="21">
        <f>Table2[[#This Row],[(A) Err]]^2</f>
        <v>89.705741064230011</v>
      </c>
      <c r="AN766" s="6">
        <f>Table2[[#This Row],[EV]]-Table2[[#This Row],[Spread]]</f>
        <v>10.010231477657271</v>
      </c>
      <c r="AO766" s="1">
        <f>Table2[[#This Row],[EV Err]]^2</f>
        <v>100.20473423628047</v>
      </c>
      <c r="AP766" s="1"/>
    </row>
    <row r="767" spans="1:42" x14ac:dyDescent="0.25">
      <c r="A767" s="34">
        <v>42771</v>
      </c>
      <c r="B767" t="s">
        <v>111</v>
      </c>
      <c r="C767" t="s">
        <v>135</v>
      </c>
      <c r="E767" s="21"/>
      <c r="G767" s="21"/>
      <c r="H767" s="7"/>
      <c r="I767" s="21"/>
      <c r="K767"/>
      <c r="L767" s="21">
        <f>(Table2[[#This Row],[H/Pace]]/100)*(VLOOKUP(Table2[[#This Row],[Home/Neutral]],home_lookup,8,FALSE)+VLOOKUP(Table2[[#This Row],[Home/Neutral]],OFR_lookup,2,FALSE)+VLOOKUP(Table2[[#This Row],[Visitor/Neutral]],def_diff_lookup,6,FALSE))</f>
        <v>101.09921832771636</v>
      </c>
      <c r="M767" s="21"/>
      <c r="N767" s="21">
        <f>(Table2[[#This Row],[A/Pace]]/100)*(VLOOKUP(Table2[[#This Row],[Visitor/Neutral]],OFR_lookup,2,FALSE)+VLOOKUP(Table2[[#This Row],[Home/Neutral]],def_diff_lookup,6,FALSE))</f>
        <v>112.367526</v>
      </c>
      <c r="O767" s="21"/>
      <c r="P767" s="21"/>
      <c r="Q767">
        <f>VLOOKUP(Table2[[#This Row],[Home/Neutral]],pace_lookup,7,FALSE)</f>
        <v>102</v>
      </c>
      <c r="R767" s="5">
        <f>VLOOKUP(Table2[[#This Row],[Visitor/Neutral]],pace_lookup,7,FALSE)</f>
        <v>95.4</v>
      </c>
      <c r="S767" s="7"/>
      <c r="U767" s="15"/>
      <c r="W767" s="2">
        <f>-home-VLOOKUP(Table2[[#This Row],[Home/Neutral]],rtg_vlookup,4,FALSE)+VLOOKUP(Table2[[#This Row],[Visitor/Neutral]],rtg_vlookup,4,FALSE)</f>
        <v>11.941311475409833</v>
      </c>
      <c r="X767" s="15"/>
      <c r="Y767" s="2"/>
      <c r="Z767" s="2">
        <f>Table2[[#This Row],[A/EV]]-Table2[[#This Row],[H/EV]]</f>
        <v>11.26830767228364</v>
      </c>
      <c r="AA767" s="29"/>
      <c r="AB767" s="30"/>
      <c r="AC767" s="30"/>
      <c r="AD767" s="30"/>
      <c r="AE767" s="30"/>
      <c r="AF767" s="7" t="b">
        <f>IF(VLOOKUP(Table2[[#This Row],[Home/Neutral]],division_lookup,9,FALSE)=VLOOKUP(Table2[[#This Row],[Visitor/Neutral]],division_lookup,9,FALSE),TRUE,FALSE)</f>
        <v>1</v>
      </c>
      <c r="AG767" s="15" t="str">
        <f>VLOOKUP(Table2[[#This Row],[Home/Neutral]],division_lookup,9,FALSE)</f>
        <v>A</v>
      </c>
      <c r="AH767" s="15" t="str">
        <f>IF(Table2[[#This Row],[Total/EV]]&lt;Table2[[#This Row],[Total/V]],"UNDER","OVER")</f>
        <v>OVER</v>
      </c>
      <c r="AI767" s="26">
        <f>Table2[[#This Row],[SRS/Real]]-Table2[[#This Row],[Spread/V]]</f>
        <v>0</v>
      </c>
      <c r="AJ767" s="2">
        <f>Table2[[#This Row],[EV/Real]]-Table2[[#This Row],[Spread/V]]</f>
        <v>0</v>
      </c>
      <c r="AK767" s="2">
        <f>Table2[[#This Row],[SRS/Diff]]-Table2[[#This Row],[EV/Diff]]</f>
        <v>0</v>
      </c>
      <c r="AL767" s="18">
        <f>Table2[[#This Row],[SRS]]-Table2[[#This Row],[Spread]]</f>
        <v>11.941311475409833</v>
      </c>
      <c r="AM767" s="21">
        <f>Table2[[#This Row],[(A) Err]]^2</f>
        <v>142.59491975275458</v>
      </c>
      <c r="AN767" s="6">
        <f>Table2[[#This Row],[EV]]-Table2[[#This Row],[Spread]]</f>
        <v>11.26830767228364</v>
      </c>
      <c r="AO767" s="1">
        <f>Table2[[#This Row],[EV Err]]^2</f>
        <v>126.97475779724635</v>
      </c>
      <c r="AP767" s="1"/>
    </row>
    <row r="768" spans="1:42" x14ac:dyDescent="0.25">
      <c r="A768" s="34">
        <v>42771</v>
      </c>
      <c r="B768" t="s">
        <v>129</v>
      </c>
      <c r="C768" t="s">
        <v>132</v>
      </c>
      <c r="E768" s="21"/>
      <c r="G768" s="21"/>
      <c r="H768" s="7"/>
      <c r="I768" s="21"/>
      <c r="K768"/>
      <c r="L768" s="21">
        <f>(Table2[[#This Row],[H/Pace]]/100)*(VLOOKUP(Table2[[#This Row],[Home/Neutral]],home_lookup,8,FALSE)+VLOOKUP(Table2[[#This Row],[Home/Neutral]],OFR_lookup,2,FALSE)+VLOOKUP(Table2[[#This Row],[Visitor/Neutral]],def_diff_lookup,6,FALSE))</f>
        <v>112.87610376890107</v>
      </c>
      <c r="M768" s="21"/>
      <c r="N768" s="21">
        <f>(Table2[[#This Row],[A/Pace]]/100)*(VLOOKUP(Table2[[#This Row],[Visitor/Neutral]],OFR_lookup,2,FALSE)+VLOOKUP(Table2[[#This Row],[Home/Neutral]],def_diff_lookup,6,FALSE))</f>
        <v>106.52187866666667</v>
      </c>
      <c r="O768" s="21"/>
      <c r="P768" s="21"/>
      <c r="Q768">
        <f>VLOOKUP(Table2[[#This Row],[Home/Neutral]],pace_lookup,7,FALSE)</f>
        <v>99</v>
      </c>
      <c r="R768" s="5">
        <f>VLOOKUP(Table2[[#This Row],[Visitor/Neutral]],pace_lookup,7,FALSE)</f>
        <v>98.8</v>
      </c>
      <c r="S768" s="7"/>
      <c r="U768" s="15"/>
      <c r="W768" s="2">
        <f>-home-VLOOKUP(Table2[[#This Row],[Home/Neutral]],rtg_vlookup,4,FALSE)+VLOOKUP(Table2[[#This Row],[Visitor/Neutral]],rtg_vlookup,4,FALSE)</f>
        <v>-6.7286885245901651</v>
      </c>
      <c r="X768" s="15"/>
      <c r="Y768" s="2"/>
      <c r="Z768" s="2">
        <f>Table2[[#This Row],[A/EV]]-Table2[[#This Row],[H/EV]]</f>
        <v>-6.354225102234409</v>
      </c>
      <c r="AA768" s="29"/>
      <c r="AB768" s="30"/>
      <c r="AC768" s="30"/>
      <c r="AD768" s="30"/>
      <c r="AE768" s="30"/>
      <c r="AF768" s="7" t="b">
        <f>IF(VLOOKUP(Table2[[#This Row],[Home/Neutral]],division_lookup,9,FALSE)=VLOOKUP(Table2[[#This Row],[Visitor/Neutral]],division_lookup,9,FALSE),TRUE,FALSE)</f>
        <v>1</v>
      </c>
      <c r="AG768" s="15" t="str">
        <f>VLOOKUP(Table2[[#This Row],[Home/Neutral]],division_lookup,9,FALSE)</f>
        <v>NW</v>
      </c>
      <c r="AH768" s="15" t="str">
        <f>IF(Table2[[#This Row],[Total/EV]]&lt;Table2[[#This Row],[Total/V]],"UNDER","OVER")</f>
        <v>OVER</v>
      </c>
      <c r="AI768" s="26">
        <f>Table2[[#This Row],[SRS/Real]]-Table2[[#This Row],[Spread/V]]</f>
        <v>0</v>
      </c>
      <c r="AJ768" s="2">
        <f>Table2[[#This Row],[EV/Real]]-Table2[[#This Row],[Spread/V]]</f>
        <v>0</v>
      </c>
      <c r="AK768" s="2">
        <f>Table2[[#This Row],[SRS/Diff]]-Table2[[#This Row],[EV/Diff]]</f>
        <v>0</v>
      </c>
      <c r="AL768" s="18">
        <f>Table2[[#This Row],[SRS]]-Table2[[#This Row],[Spread]]</f>
        <v>-6.7286885245901651</v>
      </c>
      <c r="AM768" s="21">
        <f>Table2[[#This Row],[(A) Err]]^2</f>
        <v>45.275249260951369</v>
      </c>
      <c r="AN768" s="6">
        <f>Table2[[#This Row],[EV]]-Table2[[#This Row],[Spread]]</f>
        <v>-6.354225102234409</v>
      </c>
      <c r="AO768" s="1">
        <f>Table2[[#This Row],[EV Err]]^2</f>
        <v>40.376176649865883</v>
      </c>
      <c r="AP768" s="1"/>
    </row>
    <row r="769" spans="1:42" x14ac:dyDescent="0.25">
      <c r="A769" s="34">
        <v>42772</v>
      </c>
      <c r="B769" t="s">
        <v>109</v>
      </c>
      <c r="C769" t="s">
        <v>136</v>
      </c>
      <c r="E769" s="21"/>
      <c r="G769" s="21"/>
      <c r="H769" s="7"/>
      <c r="I769" s="21"/>
      <c r="K769"/>
      <c r="L769" s="21">
        <f>(Table2[[#This Row],[H/Pace]]/100)*(VLOOKUP(Table2[[#This Row],[Home/Neutral]],home_lookup,8,FALSE)+VLOOKUP(Table2[[#This Row],[Home/Neutral]],OFR_lookup,2,FALSE)+VLOOKUP(Table2[[#This Row],[Visitor/Neutral]],def_diff_lookup,6,FALSE))</f>
        <v>95.951366607286374</v>
      </c>
      <c r="M769" s="21"/>
      <c r="N769" s="21">
        <f>(Table2[[#This Row],[A/Pace]]/100)*(VLOOKUP(Table2[[#This Row],[Visitor/Neutral]],OFR_lookup,2,FALSE)+VLOOKUP(Table2[[#This Row],[Home/Neutral]],def_diff_lookup,6,FALSE))</f>
        <v>91.084284999999994</v>
      </c>
      <c r="O769" s="21"/>
      <c r="P769" s="21"/>
      <c r="Q769">
        <f>VLOOKUP(Table2[[#This Row],[Home/Neutral]],pace_lookup,7,FALSE)</f>
        <v>99.2</v>
      </c>
      <c r="R769" s="5">
        <f>VLOOKUP(Table2[[#This Row],[Visitor/Neutral]],pace_lookup,7,FALSE)</f>
        <v>91.5</v>
      </c>
      <c r="S769" s="7"/>
      <c r="U769" s="15"/>
      <c r="W769" s="2">
        <f>-home-VLOOKUP(Table2[[#This Row],[Home/Neutral]],rtg_vlookup,4,FALSE)+VLOOKUP(Table2[[#This Row],[Visitor/Neutral]],rtg_vlookup,4,FALSE)</f>
        <v>-0.80868852459016605</v>
      </c>
      <c r="X769" s="15"/>
      <c r="Y769" s="2"/>
      <c r="Z769" s="2">
        <f>Table2[[#This Row],[A/EV]]-Table2[[#This Row],[H/EV]]</f>
        <v>-4.8670816072863801</v>
      </c>
      <c r="AA769" s="29"/>
      <c r="AB769" s="30"/>
      <c r="AC769" s="30"/>
      <c r="AD769" s="30"/>
      <c r="AE769" s="30"/>
      <c r="AF769" s="7" t="b">
        <f>IF(VLOOKUP(Table2[[#This Row],[Home/Neutral]],division_lookup,9,FALSE)=VLOOKUP(Table2[[#This Row],[Visitor/Neutral]],division_lookup,9,FALSE),TRUE,FALSE)</f>
        <v>0</v>
      </c>
      <c r="AG769" s="15" t="str">
        <f>VLOOKUP(Table2[[#This Row],[Home/Neutral]],division_lookup,9,FALSE)</f>
        <v>SE</v>
      </c>
      <c r="AH769" s="15" t="str">
        <f>IF(Table2[[#This Row],[Total/EV]]&lt;Table2[[#This Row],[Total/V]],"UNDER","OVER")</f>
        <v>OVER</v>
      </c>
      <c r="AI769" s="26">
        <f>Table2[[#This Row],[SRS/Real]]-Table2[[#This Row],[Spread/V]]</f>
        <v>0</v>
      </c>
      <c r="AJ769" s="2">
        <f>Table2[[#This Row],[EV/Real]]-Table2[[#This Row],[Spread/V]]</f>
        <v>0</v>
      </c>
      <c r="AK769" s="2">
        <f>Table2[[#This Row],[SRS/Diff]]-Table2[[#This Row],[EV/Diff]]</f>
        <v>0</v>
      </c>
      <c r="AL769" s="18">
        <f>Table2[[#This Row],[SRS]]-Table2[[#This Row],[Spread]]</f>
        <v>-0.80868852459016605</v>
      </c>
      <c r="AM769" s="21">
        <f>Table2[[#This Row],[(A) Err]]^2</f>
        <v>0.65397712980381961</v>
      </c>
      <c r="AN769" s="6">
        <f>Table2[[#This Row],[EV]]-Table2[[#This Row],[Spread]]</f>
        <v>-4.8670816072863801</v>
      </c>
      <c r="AO769" s="1">
        <f>Table2[[#This Row],[EV Err]]^2</f>
        <v>23.688483371985374</v>
      </c>
      <c r="AP769" s="1"/>
    </row>
    <row r="770" spans="1:42" x14ac:dyDescent="0.25">
      <c r="A770" s="34">
        <v>42772</v>
      </c>
      <c r="B770" t="s">
        <v>116</v>
      </c>
      <c r="C770" t="s">
        <v>115</v>
      </c>
      <c r="E770" s="21"/>
      <c r="G770" s="21"/>
      <c r="H770" s="7"/>
      <c r="I770" s="21"/>
      <c r="K770"/>
      <c r="L770" s="21">
        <f>(Table2[[#This Row],[H/Pace]]/100)*(VLOOKUP(Table2[[#This Row],[Home/Neutral]],home_lookup,8,FALSE)+VLOOKUP(Table2[[#This Row],[Home/Neutral]],OFR_lookup,2,FALSE)+VLOOKUP(Table2[[#This Row],[Visitor/Neutral]],def_diff_lookup,6,FALSE))</f>
        <v>104.22199470161864</v>
      </c>
      <c r="M770" s="21"/>
      <c r="N770" s="21">
        <f>(Table2[[#This Row],[A/Pace]]/100)*(VLOOKUP(Table2[[#This Row],[Visitor/Neutral]],OFR_lookup,2,FALSE)+VLOOKUP(Table2[[#This Row],[Home/Neutral]],def_diff_lookup,6,FALSE))</f>
        <v>90.443414333333337</v>
      </c>
      <c r="O770" s="21"/>
      <c r="P770" s="21"/>
      <c r="Q770">
        <f>VLOOKUP(Table2[[#This Row],[Home/Neutral]],pace_lookup,7,FALSE)</f>
        <v>99.1</v>
      </c>
      <c r="R770" s="5">
        <f>VLOOKUP(Table2[[#This Row],[Visitor/Neutral]],pace_lookup,7,FALSE)</f>
        <v>92.9</v>
      </c>
      <c r="S770" s="7"/>
      <c r="U770" s="15"/>
      <c r="W770" s="2">
        <f>-home-VLOOKUP(Table2[[#This Row],[Home/Neutral]],rtg_vlookup,4,FALSE)+VLOOKUP(Table2[[#This Row],[Visitor/Neutral]],rtg_vlookup,4,FALSE)</f>
        <v>-10.898688524590165</v>
      </c>
      <c r="X770" s="15"/>
      <c r="Y770" s="2"/>
      <c r="Z770" s="2">
        <f>Table2[[#This Row],[A/EV]]-Table2[[#This Row],[H/EV]]</f>
        <v>-13.778580368285304</v>
      </c>
      <c r="AA770" s="29"/>
      <c r="AB770" s="30"/>
      <c r="AC770" s="30"/>
      <c r="AD770" s="30"/>
      <c r="AE770" s="30"/>
      <c r="AF770" s="7" t="b">
        <f>IF(VLOOKUP(Table2[[#This Row],[Home/Neutral]],division_lookup,9,FALSE)=VLOOKUP(Table2[[#This Row],[Visitor/Neutral]],division_lookup,9,FALSE),TRUE,FALSE)</f>
        <v>0</v>
      </c>
      <c r="AG770" s="15" t="str">
        <f>VLOOKUP(Table2[[#This Row],[Home/Neutral]],division_lookup,9,FALSE)</f>
        <v>NW</v>
      </c>
      <c r="AH770" s="15" t="str">
        <f>IF(Table2[[#This Row],[Total/EV]]&lt;Table2[[#This Row],[Total/V]],"UNDER","OVER")</f>
        <v>OVER</v>
      </c>
      <c r="AI770" s="26">
        <f>Table2[[#This Row],[SRS/Real]]-Table2[[#This Row],[Spread/V]]</f>
        <v>0</v>
      </c>
      <c r="AJ770" s="2">
        <f>Table2[[#This Row],[EV/Real]]-Table2[[#This Row],[Spread/V]]</f>
        <v>0</v>
      </c>
      <c r="AK770" s="2">
        <f>Table2[[#This Row],[SRS/Diff]]-Table2[[#This Row],[EV/Diff]]</f>
        <v>0</v>
      </c>
      <c r="AL770" s="18">
        <f>Table2[[#This Row],[SRS]]-Table2[[#This Row],[Spread]]</f>
        <v>-10.898688524590165</v>
      </c>
      <c r="AM770" s="21">
        <f>Table2[[#This Row],[(A) Err]]^2</f>
        <v>118.78141155603335</v>
      </c>
      <c r="AN770" s="6">
        <f>Table2[[#This Row],[EV]]-Table2[[#This Row],[Spread]]</f>
        <v>-13.778580368285304</v>
      </c>
      <c r="AO770" s="1">
        <f>Table2[[#This Row],[EV Err]]^2</f>
        <v>189.84927696529718</v>
      </c>
      <c r="AP770" s="1"/>
    </row>
    <row r="771" spans="1:42" x14ac:dyDescent="0.25">
      <c r="A771" s="34">
        <v>42772</v>
      </c>
      <c r="B771" t="s">
        <v>117</v>
      </c>
      <c r="C771" t="s">
        <v>138</v>
      </c>
      <c r="E771" s="21"/>
      <c r="G771" s="21"/>
      <c r="H771" s="7"/>
      <c r="I771" s="21"/>
      <c r="K771"/>
      <c r="L771" s="21">
        <f>(Table2[[#This Row],[H/Pace]]/100)*(VLOOKUP(Table2[[#This Row],[Home/Neutral]],home_lookup,8,FALSE)+VLOOKUP(Table2[[#This Row],[Home/Neutral]],OFR_lookup,2,FALSE)+VLOOKUP(Table2[[#This Row],[Visitor/Neutral]],def_diff_lookup,6,FALSE))</f>
        <v>113.85339591446429</v>
      </c>
      <c r="M771" s="21"/>
      <c r="N771" s="21">
        <f>(Table2[[#This Row],[A/Pace]]/100)*(VLOOKUP(Table2[[#This Row],[Visitor/Neutral]],OFR_lookup,2,FALSE)+VLOOKUP(Table2[[#This Row],[Home/Neutral]],def_diff_lookup,6,FALSE))</f>
        <v>92.484274999999997</v>
      </c>
      <c r="O771" s="21"/>
      <c r="P771" s="21"/>
      <c r="Q771">
        <f>VLOOKUP(Table2[[#This Row],[Home/Neutral]],pace_lookup,7,FALSE)</f>
        <v>94</v>
      </c>
      <c r="R771" s="5">
        <f>VLOOKUP(Table2[[#This Row],[Visitor/Neutral]],pace_lookup,7,FALSE)</f>
        <v>97.5</v>
      </c>
      <c r="S771" s="7"/>
      <c r="U771" s="15"/>
      <c r="W771" s="2">
        <f>-home-VLOOKUP(Table2[[#This Row],[Home/Neutral]],rtg_vlookup,4,FALSE)+VLOOKUP(Table2[[#This Row],[Visitor/Neutral]],rtg_vlookup,4,FALSE)</f>
        <v>-13.978688524590167</v>
      </c>
      <c r="X771" s="15"/>
      <c r="Y771" s="2"/>
      <c r="Z771" s="2">
        <f>Table2[[#This Row],[A/EV]]-Table2[[#This Row],[H/EV]]</f>
        <v>-21.36912091446429</v>
      </c>
      <c r="AA771" s="29"/>
      <c r="AB771" s="30"/>
      <c r="AC771" s="30"/>
      <c r="AD771" s="30"/>
      <c r="AE771" s="30"/>
      <c r="AF771" s="7" t="b">
        <f>IF(VLOOKUP(Table2[[#This Row],[Home/Neutral]],division_lookup,9,FALSE)=VLOOKUP(Table2[[#This Row],[Visitor/Neutral]],division_lookup,9,FALSE),TRUE,FALSE)</f>
        <v>0</v>
      </c>
      <c r="AG771" s="15" t="str">
        <f>VLOOKUP(Table2[[#This Row],[Home/Neutral]],division_lookup,9,FALSE)</f>
        <v>C</v>
      </c>
      <c r="AH771" s="15" t="str">
        <f>IF(Table2[[#This Row],[Total/EV]]&lt;Table2[[#This Row],[Total/V]],"UNDER","OVER")</f>
        <v>OVER</v>
      </c>
      <c r="AI771" s="26">
        <f>Table2[[#This Row],[SRS/Real]]-Table2[[#This Row],[Spread/V]]</f>
        <v>0</v>
      </c>
      <c r="AJ771" s="2">
        <f>Table2[[#This Row],[EV/Real]]-Table2[[#This Row],[Spread/V]]</f>
        <v>0</v>
      </c>
      <c r="AK771" s="2">
        <f>Table2[[#This Row],[SRS/Diff]]-Table2[[#This Row],[EV/Diff]]</f>
        <v>0</v>
      </c>
      <c r="AL771" s="18">
        <f>Table2[[#This Row],[SRS]]-Table2[[#This Row],[Spread]]</f>
        <v>-13.978688524590167</v>
      </c>
      <c r="AM771" s="21">
        <f>Table2[[#This Row],[(A) Err]]^2</f>
        <v>195.40373286750881</v>
      </c>
      <c r="AN771" s="6">
        <f>Table2[[#This Row],[EV]]-Table2[[#This Row],[Spread]]</f>
        <v>-21.36912091446429</v>
      </c>
      <c r="AO771" s="1">
        <f>Table2[[#This Row],[EV Err]]^2</f>
        <v>456.63932865699513</v>
      </c>
      <c r="AP771" s="1"/>
    </row>
    <row r="772" spans="1:42" x14ac:dyDescent="0.25">
      <c r="A772" s="34">
        <v>42772</v>
      </c>
      <c r="B772" t="s">
        <v>120</v>
      </c>
      <c r="C772" t="s">
        <v>129</v>
      </c>
      <c r="E772" s="21"/>
      <c r="G772" s="21"/>
      <c r="H772" s="7"/>
      <c r="I772" s="21"/>
      <c r="K772"/>
      <c r="L772" s="21">
        <f>(Table2[[#This Row],[H/Pace]]/100)*(VLOOKUP(Table2[[#This Row],[Home/Neutral]],home_lookup,8,FALSE)+VLOOKUP(Table2[[#This Row],[Home/Neutral]],OFR_lookup,2,FALSE)+VLOOKUP(Table2[[#This Row],[Visitor/Neutral]],def_diff_lookup,6,FALSE))</f>
        <v>104.0983754293086</v>
      </c>
      <c r="M772" s="21"/>
      <c r="N772" s="21">
        <f>(Table2[[#This Row],[A/Pace]]/100)*(VLOOKUP(Table2[[#This Row],[Visitor/Neutral]],OFR_lookup,2,FALSE)+VLOOKUP(Table2[[#This Row],[Home/Neutral]],def_diff_lookup,6,FALSE))</f>
        <v>106.92560999999999</v>
      </c>
      <c r="O772" s="21"/>
      <c r="P772" s="21"/>
      <c r="Q772">
        <f>VLOOKUP(Table2[[#This Row],[Home/Neutral]],pace_lookup,7,FALSE)</f>
        <v>98.3</v>
      </c>
      <c r="R772" s="5">
        <f>VLOOKUP(Table2[[#This Row],[Visitor/Neutral]],pace_lookup,7,FALSE)</f>
        <v>99</v>
      </c>
      <c r="S772" s="7"/>
      <c r="U772" s="15"/>
      <c r="W772" s="2">
        <f>-home-VLOOKUP(Table2[[#This Row],[Home/Neutral]],rtg_vlookup,4,FALSE)+VLOOKUP(Table2[[#This Row],[Visitor/Neutral]],rtg_vlookup,4,FALSE)</f>
        <v>3.4313114754098342</v>
      </c>
      <c r="X772" s="15"/>
      <c r="Y772" s="2"/>
      <c r="Z772" s="2">
        <f>Table2[[#This Row],[A/EV]]-Table2[[#This Row],[H/EV]]</f>
        <v>2.8272345706913882</v>
      </c>
      <c r="AA772" s="29"/>
      <c r="AB772" s="30"/>
      <c r="AC772" s="30"/>
      <c r="AD772" s="30"/>
      <c r="AE772" s="30"/>
      <c r="AF772" s="7" t="b">
        <f>IF(VLOOKUP(Table2[[#This Row],[Home/Neutral]],division_lookup,9,FALSE)=VLOOKUP(Table2[[#This Row],[Visitor/Neutral]],division_lookup,9,FALSE),TRUE,FALSE)</f>
        <v>0</v>
      </c>
      <c r="AG772" s="15" t="str">
        <f>VLOOKUP(Table2[[#This Row],[Home/Neutral]],division_lookup,9,FALSE)</f>
        <v>C</v>
      </c>
      <c r="AH772" s="15" t="str">
        <f>IF(Table2[[#This Row],[Total/EV]]&lt;Table2[[#This Row],[Total/V]],"UNDER","OVER")</f>
        <v>OVER</v>
      </c>
      <c r="AI772" s="26">
        <f>Table2[[#This Row],[SRS/Real]]-Table2[[#This Row],[Spread/V]]</f>
        <v>0</v>
      </c>
      <c r="AJ772" s="2">
        <f>Table2[[#This Row],[EV/Real]]-Table2[[#This Row],[Spread/V]]</f>
        <v>0</v>
      </c>
      <c r="AK772" s="2">
        <f>Table2[[#This Row],[SRS/Diff]]-Table2[[#This Row],[EV/Diff]]</f>
        <v>0</v>
      </c>
      <c r="AL772" s="18">
        <f>Table2[[#This Row],[SRS]]-Table2[[#This Row],[Spread]]</f>
        <v>3.4313114754098342</v>
      </c>
      <c r="AM772" s="21">
        <f>Table2[[#This Row],[(A) Err]]^2</f>
        <v>11.773898441279213</v>
      </c>
      <c r="AN772" s="6">
        <f>Table2[[#This Row],[EV]]-Table2[[#This Row],[Spread]]</f>
        <v>2.8272345706913882</v>
      </c>
      <c r="AO772" s="1">
        <f>Table2[[#This Row],[EV Err]]^2</f>
        <v>7.9932553177125181</v>
      </c>
      <c r="AP772" s="1"/>
    </row>
    <row r="773" spans="1:42" x14ac:dyDescent="0.25">
      <c r="A773" s="34">
        <v>42772</v>
      </c>
      <c r="B773" t="s">
        <v>123</v>
      </c>
      <c r="C773" t="s">
        <v>134</v>
      </c>
      <c r="E773" s="21"/>
      <c r="G773" s="21"/>
      <c r="H773" s="7"/>
      <c r="I773" s="21"/>
      <c r="K773"/>
      <c r="L773" s="21">
        <f>(Table2[[#This Row],[H/Pace]]/100)*(VLOOKUP(Table2[[#This Row],[Home/Neutral]],home_lookup,8,FALSE)+VLOOKUP(Table2[[#This Row],[Home/Neutral]],OFR_lookup,2,FALSE)+VLOOKUP(Table2[[#This Row],[Visitor/Neutral]],def_diff_lookup,6,FALSE))</f>
        <v>100.49592709563919</v>
      </c>
      <c r="M773" s="21"/>
      <c r="N773" s="21">
        <f>(Table2[[#This Row],[A/Pace]]/100)*(VLOOKUP(Table2[[#This Row],[Visitor/Neutral]],OFR_lookup,2,FALSE)+VLOOKUP(Table2[[#This Row],[Home/Neutral]],def_diff_lookup,6,FALSE))</f>
        <v>101.93271266666666</v>
      </c>
      <c r="O773" s="21"/>
      <c r="P773" s="21"/>
      <c r="Q773">
        <f>VLOOKUP(Table2[[#This Row],[Home/Neutral]],pace_lookup,7,FALSE)</f>
        <v>92.5</v>
      </c>
      <c r="R773" s="5">
        <f>VLOOKUP(Table2[[#This Row],[Visitor/Neutral]],pace_lookup,7,FALSE)</f>
        <v>93.4</v>
      </c>
      <c r="S773" s="7"/>
      <c r="U773" s="15"/>
      <c r="W773" s="2">
        <f>-home-VLOOKUP(Table2[[#This Row],[Home/Neutral]],rtg_vlookup,4,FALSE)+VLOOKUP(Table2[[#This Row],[Visitor/Neutral]],rtg_vlookup,4,FALSE)</f>
        <v>3.9313114754098337</v>
      </c>
      <c r="X773" s="15"/>
      <c r="Y773" s="2"/>
      <c r="Z773" s="2">
        <f>Table2[[#This Row],[A/EV]]-Table2[[#This Row],[H/EV]]</f>
        <v>1.4367855710274711</v>
      </c>
      <c r="AA773" s="29"/>
      <c r="AB773" s="30"/>
      <c r="AC773" s="30"/>
      <c r="AD773" s="30"/>
      <c r="AE773" s="30"/>
      <c r="AF773" s="7" t="b">
        <f>IF(VLOOKUP(Table2[[#This Row],[Home/Neutral]],division_lookup,9,FALSE)=VLOOKUP(Table2[[#This Row],[Visitor/Neutral]],division_lookup,9,FALSE),TRUE,FALSE)</f>
        <v>1</v>
      </c>
      <c r="AG773" s="15" t="str">
        <f>VLOOKUP(Table2[[#This Row],[Home/Neutral]],division_lookup,9,FALSE)</f>
        <v>SW</v>
      </c>
      <c r="AH773" s="15" t="str">
        <f>IF(Table2[[#This Row],[Total/EV]]&lt;Table2[[#This Row],[Total/V]],"UNDER","OVER")</f>
        <v>OVER</v>
      </c>
      <c r="AI773" s="26">
        <f>Table2[[#This Row],[SRS/Real]]-Table2[[#This Row],[Spread/V]]</f>
        <v>0</v>
      </c>
      <c r="AJ773" s="2">
        <f>Table2[[#This Row],[EV/Real]]-Table2[[#This Row],[Spread/V]]</f>
        <v>0</v>
      </c>
      <c r="AK773" s="2">
        <f>Table2[[#This Row],[SRS/Diff]]-Table2[[#This Row],[EV/Diff]]</f>
        <v>0</v>
      </c>
      <c r="AL773" s="18">
        <f>Table2[[#This Row],[SRS]]-Table2[[#This Row],[Spread]]</f>
        <v>3.9313114754098337</v>
      </c>
      <c r="AM773" s="21">
        <f>Table2[[#This Row],[(A) Err]]^2</f>
        <v>15.455209916689043</v>
      </c>
      <c r="AN773" s="6">
        <f>Table2[[#This Row],[EV]]-Table2[[#This Row],[Spread]]</f>
        <v>1.4367855710274711</v>
      </c>
      <c r="AO773" s="1">
        <f>Table2[[#This Row],[EV Err]]^2</f>
        <v>2.0643527771127359</v>
      </c>
      <c r="AP773" s="1"/>
    </row>
    <row r="774" spans="1:42" x14ac:dyDescent="0.25">
      <c r="A774" s="34">
        <v>42772</v>
      </c>
      <c r="B774" t="s">
        <v>126</v>
      </c>
      <c r="C774" t="s">
        <v>124</v>
      </c>
      <c r="E774" s="21"/>
      <c r="G774" s="21"/>
      <c r="H774" s="7"/>
      <c r="I774" s="21"/>
      <c r="K774"/>
      <c r="L774" s="21">
        <f>(Table2[[#This Row],[H/Pace]]/100)*(VLOOKUP(Table2[[#This Row],[Home/Neutral]],home_lookup,8,FALSE)+VLOOKUP(Table2[[#This Row],[Home/Neutral]],OFR_lookup,2,FALSE)+VLOOKUP(Table2[[#This Row],[Visitor/Neutral]],def_diff_lookup,6,FALSE))</f>
        <v>112.78748777050785</v>
      </c>
      <c r="M774" s="21"/>
      <c r="N774" s="21">
        <f>(Table2[[#This Row],[A/Pace]]/100)*(VLOOKUP(Table2[[#This Row],[Visitor/Neutral]],OFR_lookup,2,FALSE)+VLOOKUP(Table2[[#This Row],[Home/Neutral]],def_diff_lookup,6,FALSE))</f>
        <v>99.748959666666664</v>
      </c>
      <c r="O774" s="21"/>
      <c r="P774" s="21"/>
      <c r="Q774">
        <f>VLOOKUP(Table2[[#This Row],[Home/Neutral]],pace_lookup,7,FALSE)</f>
        <v>95.7</v>
      </c>
      <c r="R774" s="5">
        <f>VLOOKUP(Table2[[#This Row],[Visitor/Neutral]],pace_lookup,7,FALSE)</f>
        <v>93.7</v>
      </c>
      <c r="S774" s="7"/>
      <c r="U774" s="15"/>
      <c r="W774" s="2">
        <f>-home-VLOOKUP(Table2[[#This Row],[Home/Neutral]],rtg_vlookup,4,FALSE)+VLOOKUP(Table2[[#This Row],[Visitor/Neutral]],rtg_vlookup,4,FALSE)</f>
        <v>-2.7986885245901658</v>
      </c>
      <c r="X774" s="15"/>
      <c r="Y774" s="2"/>
      <c r="Z774" s="2">
        <f>Table2[[#This Row],[A/EV]]-Table2[[#This Row],[H/EV]]</f>
        <v>-13.038528103841188</v>
      </c>
      <c r="AA774" s="29"/>
      <c r="AB774" s="30"/>
      <c r="AC774" s="30"/>
      <c r="AD774" s="30"/>
      <c r="AE774" s="30"/>
      <c r="AF774" s="7" t="b">
        <f>IF(VLOOKUP(Table2[[#This Row],[Home/Neutral]],division_lookup,9,FALSE)=VLOOKUP(Table2[[#This Row],[Visitor/Neutral]],division_lookup,9,FALSE),TRUE,FALSE)</f>
        <v>0</v>
      </c>
      <c r="AG774" s="15" t="str">
        <f>VLOOKUP(Table2[[#This Row],[Home/Neutral]],division_lookup,9,FALSE)</f>
        <v>NW</v>
      </c>
      <c r="AH774" s="15" t="str">
        <f>IF(Table2[[#This Row],[Total/EV]]&lt;Table2[[#This Row],[Total/V]],"UNDER","OVER")</f>
        <v>OVER</v>
      </c>
      <c r="AI774" s="26">
        <f>Table2[[#This Row],[SRS/Real]]-Table2[[#This Row],[Spread/V]]</f>
        <v>0</v>
      </c>
      <c r="AJ774" s="2">
        <f>Table2[[#This Row],[EV/Real]]-Table2[[#This Row],[Spread/V]]</f>
        <v>0</v>
      </c>
      <c r="AK774" s="2">
        <f>Table2[[#This Row],[SRS/Diff]]-Table2[[#This Row],[EV/Diff]]</f>
        <v>0</v>
      </c>
      <c r="AL774" s="18">
        <f>Table2[[#This Row],[SRS]]-Table2[[#This Row],[Spread]]</f>
        <v>-2.7986885245901658</v>
      </c>
      <c r="AM774" s="21">
        <f>Table2[[#This Row],[(A) Err]]^2</f>
        <v>7.8326574576726795</v>
      </c>
      <c r="AN774" s="6">
        <f>Table2[[#This Row],[EV]]-Table2[[#This Row],[Spread]]</f>
        <v>-13.038528103841188</v>
      </c>
      <c r="AO774" s="1">
        <f>Table2[[#This Row],[EV Err]]^2</f>
        <v>170.00321511465648</v>
      </c>
      <c r="AP774" s="1"/>
    </row>
    <row r="775" spans="1:42" x14ac:dyDescent="0.25">
      <c r="A775" s="34">
        <v>42772</v>
      </c>
      <c r="B775" t="s">
        <v>127</v>
      </c>
      <c r="C775" t="s">
        <v>131</v>
      </c>
      <c r="E775" s="21"/>
      <c r="G775" s="21"/>
      <c r="H775" s="7"/>
      <c r="I775" s="21"/>
      <c r="K775"/>
      <c r="L775" s="21">
        <f>(Table2[[#This Row],[H/Pace]]/100)*(VLOOKUP(Table2[[#This Row],[Home/Neutral]],home_lookup,8,FALSE)+VLOOKUP(Table2[[#This Row],[Home/Neutral]],OFR_lookup,2,FALSE)+VLOOKUP(Table2[[#This Row],[Visitor/Neutral]],def_diff_lookup,6,FALSE))</f>
        <v>103.80159493743048</v>
      </c>
      <c r="M775" s="21"/>
      <c r="N775" s="21">
        <f>(Table2[[#This Row],[A/Pace]]/100)*(VLOOKUP(Table2[[#This Row],[Visitor/Neutral]],OFR_lookup,2,FALSE)+VLOOKUP(Table2[[#This Row],[Home/Neutral]],def_diff_lookup,6,FALSE))</f>
        <v>101.807463</v>
      </c>
      <c r="O775" s="21"/>
      <c r="P775" s="21"/>
      <c r="Q775">
        <f>VLOOKUP(Table2[[#This Row],[Home/Neutral]],pace_lookup,7,FALSE)</f>
        <v>99.3</v>
      </c>
      <c r="R775" s="5">
        <f>VLOOKUP(Table2[[#This Row],[Visitor/Neutral]],pace_lookup,7,FALSE)</f>
        <v>101.7</v>
      </c>
      <c r="S775" s="7"/>
      <c r="U775" s="15"/>
      <c r="W775" s="2">
        <f>-home-VLOOKUP(Table2[[#This Row],[Home/Neutral]],rtg_vlookup,4,FALSE)+VLOOKUP(Table2[[#This Row],[Visitor/Neutral]],rtg_vlookup,4,FALSE)</f>
        <v>-6.4986885245901655</v>
      </c>
      <c r="X775" s="15"/>
      <c r="Y775" s="2"/>
      <c r="Z775" s="2">
        <f>Table2[[#This Row],[A/EV]]-Table2[[#This Row],[H/EV]]</f>
        <v>-1.9941319374304811</v>
      </c>
      <c r="AA775" s="29"/>
      <c r="AB775" s="30"/>
      <c r="AC775" s="30"/>
      <c r="AD775" s="30"/>
      <c r="AE775" s="30"/>
      <c r="AF775" s="7" t="b">
        <f>IF(VLOOKUP(Table2[[#This Row],[Home/Neutral]],division_lookup,9,FALSE)=VLOOKUP(Table2[[#This Row],[Visitor/Neutral]],division_lookup,9,FALSE),TRUE,FALSE)</f>
        <v>0</v>
      </c>
      <c r="AG775" s="15" t="str">
        <f>VLOOKUP(Table2[[#This Row],[Home/Neutral]],division_lookup,9,FALSE)</f>
        <v>SW</v>
      </c>
      <c r="AH775" s="15" t="str">
        <f>IF(Table2[[#This Row],[Total/EV]]&lt;Table2[[#This Row],[Total/V]],"UNDER","OVER")</f>
        <v>OVER</v>
      </c>
      <c r="AI775" s="26">
        <f>Table2[[#This Row],[SRS/Real]]-Table2[[#This Row],[Spread/V]]</f>
        <v>0</v>
      </c>
      <c r="AJ775" s="2">
        <f>Table2[[#This Row],[EV/Real]]-Table2[[#This Row],[Spread/V]]</f>
        <v>0</v>
      </c>
      <c r="AK775" s="2">
        <f>Table2[[#This Row],[SRS/Diff]]-Table2[[#This Row],[EV/Diff]]</f>
        <v>0</v>
      </c>
      <c r="AL775" s="18">
        <f>Table2[[#This Row],[SRS]]-Table2[[#This Row],[Spread]]</f>
        <v>-6.4986885245901655</v>
      </c>
      <c r="AM775" s="21">
        <f>Table2[[#This Row],[(A) Err]]^2</f>
        <v>42.232952539639903</v>
      </c>
      <c r="AN775" s="6">
        <f>Table2[[#This Row],[EV]]-Table2[[#This Row],[Spread]]</f>
        <v>-1.9941319374304811</v>
      </c>
      <c r="AO775" s="1">
        <f>Table2[[#This Row],[EV Err]]^2</f>
        <v>3.9765621838802443</v>
      </c>
      <c r="AP775" s="1"/>
    </row>
    <row r="776" spans="1:42" x14ac:dyDescent="0.25">
      <c r="A776" s="34">
        <v>42772</v>
      </c>
      <c r="B776" t="s">
        <v>128</v>
      </c>
      <c r="C776" t="s">
        <v>122</v>
      </c>
      <c r="E776" s="21"/>
      <c r="G776" s="21"/>
      <c r="H776" s="7"/>
      <c r="I776" s="21"/>
      <c r="K776"/>
      <c r="L776" s="21">
        <f>(Table2[[#This Row],[H/Pace]]/100)*(VLOOKUP(Table2[[#This Row],[Home/Neutral]],home_lookup,8,FALSE)+VLOOKUP(Table2[[#This Row],[Home/Neutral]],OFR_lookup,2,FALSE)+VLOOKUP(Table2[[#This Row],[Visitor/Neutral]],def_diff_lookup,6,FALSE))</f>
        <v>112.78519987783019</v>
      </c>
      <c r="M776" s="21"/>
      <c r="N776" s="21">
        <f>(Table2[[#This Row],[A/Pace]]/100)*(VLOOKUP(Table2[[#This Row],[Visitor/Neutral]],OFR_lookup,2,FALSE)+VLOOKUP(Table2[[#This Row],[Home/Neutral]],def_diff_lookup,6,FALSE))</f>
        <v>112.32987799999999</v>
      </c>
      <c r="O776" s="21"/>
      <c r="P776" s="21"/>
      <c r="Q776">
        <f>VLOOKUP(Table2[[#This Row],[Home/Neutral]],pace_lookup,7,FALSE)</f>
        <v>96.3</v>
      </c>
      <c r="R776" s="5">
        <f>VLOOKUP(Table2[[#This Row],[Visitor/Neutral]],pace_lookup,7,FALSE)</f>
        <v>100.2</v>
      </c>
      <c r="S776" s="7"/>
      <c r="U776" s="15"/>
      <c r="W776" s="2">
        <f>-home-VLOOKUP(Table2[[#This Row],[Home/Neutral]],rtg_vlookup,4,FALSE)+VLOOKUP(Table2[[#This Row],[Visitor/Neutral]],rtg_vlookup,4,FALSE)</f>
        <v>-3.1686885245901659</v>
      </c>
      <c r="X776" s="15"/>
      <c r="Y776" s="2"/>
      <c r="Z776" s="2">
        <f>Table2[[#This Row],[A/EV]]-Table2[[#This Row],[H/EV]]</f>
        <v>-0.45532187783020106</v>
      </c>
      <c r="AA776" s="29"/>
      <c r="AB776" s="30"/>
      <c r="AC776" s="30"/>
      <c r="AD776" s="30"/>
      <c r="AE776" s="30"/>
      <c r="AF776" s="7" t="b">
        <f>IF(VLOOKUP(Table2[[#This Row],[Home/Neutral]],division_lookup,9,FALSE)=VLOOKUP(Table2[[#This Row],[Visitor/Neutral]],division_lookup,9,FALSE),TRUE,FALSE)</f>
        <v>0</v>
      </c>
      <c r="AG776" s="15" t="str">
        <f>VLOOKUP(Table2[[#This Row],[Home/Neutral]],division_lookup,9,FALSE)</f>
        <v>A</v>
      </c>
      <c r="AH776" s="15" t="str">
        <f>IF(Table2[[#This Row],[Total/EV]]&lt;Table2[[#This Row],[Total/V]],"UNDER","OVER")</f>
        <v>OVER</v>
      </c>
      <c r="AI776" s="26">
        <f>Table2[[#This Row],[SRS/Real]]-Table2[[#This Row],[Spread/V]]</f>
        <v>0</v>
      </c>
      <c r="AJ776" s="2">
        <f>Table2[[#This Row],[EV/Real]]-Table2[[#This Row],[Spread/V]]</f>
        <v>0</v>
      </c>
      <c r="AK776" s="2">
        <f>Table2[[#This Row],[SRS/Diff]]-Table2[[#This Row],[EV/Diff]]</f>
        <v>0</v>
      </c>
      <c r="AL776" s="18">
        <f>Table2[[#This Row],[SRS]]-Table2[[#This Row],[Spread]]</f>
        <v>-3.1686885245901659</v>
      </c>
      <c r="AM776" s="21">
        <f>Table2[[#This Row],[(A) Err]]^2</f>
        <v>10.040586965869403</v>
      </c>
      <c r="AN776" s="6">
        <f>Table2[[#This Row],[EV]]-Table2[[#This Row],[Spread]]</f>
        <v>-0.45532187783020106</v>
      </c>
      <c r="AO776" s="1">
        <f>Table2[[#This Row],[EV Err]]^2</f>
        <v>0.20731801243082054</v>
      </c>
      <c r="AP776" s="1"/>
    </row>
    <row r="777" spans="1:42" x14ac:dyDescent="0.25">
      <c r="A777" s="34">
        <v>42772</v>
      </c>
      <c r="B777" t="s">
        <v>133</v>
      </c>
      <c r="C777" t="s">
        <v>113</v>
      </c>
      <c r="E777" s="21"/>
      <c r="G777" s="21"/>
      <c r="H777" s="7"/>
      <c r="I777" s="21"/>
      <c r="K777"/>
      <c r="L777" s="21">
        <f>(Table2[[#This Row],[H/Pace]]/100)*(VLOOKUP(Table2[[#This Row],[Home/Neutral]],home_lookup,8,FALSE)+VLOOKUP(Table2[[#This Row],[Home/Neutral]],OFR_lookup,2,FALSE)+VLOOKUP(Table2[[#This Row],[Visitor/Neutral]],def_diff_lookup,6,FALSE))</f>
        <v>107.61808748279979</v>
      </c>
      <c r="M777" s="21"/>
      <c r="N777" s="21">
        <f>(Table2[[#This Row],[A/Pace]]/100)*(VLOOKUP(Table2[[#This Row],[Visitor/Neutral]],OFR_lookup,2,FALSE)+VLOOKUP(Table2[[#This Row],[Home/Neutral]],def_diff_lookup,6,FALSE))</f>
        <v>108.495469</v>
      </c>
      <c r="O777" s="21"/>
      <c r="P777" s="21"/>
      <c r="Q777">
        <f>VLOOKUP(Table2[[#This Row],[Home/Neutral]],pace_lookup,7,FALSE)</f>
        <v>94.2</v>
      </c>
      <c r="R777" s="5">
        <f>VLOOKUP(Table2[[#This Row],[Visitor/Neutral]],pace_lookup,7,FALSE)</f>
        <v>95.1</v>
      </c>
      <c r="S777" s="7"/>
      <c r="U777" s="15"/>
      <c r="W777" s="2">
        <f>-home-VLOOKUP(Table2[[#This Row],[Home/Neutral]],rtg_vlookup,4,FALSE)+VLOOKUP(Table2[[#This Row],[Visitor/Neutral]],rtg_vlookup,4,FALSE)</f>
        <v>3.7913114754098345</v>
      </c>
      <c r="X777" s="15"/>
      <c r="Y777" s="2"/>
      <c r="Z777" s="2">
        <f>Table2[[#This Row],[A/EV]]-Table2[[#This Row],[H/EV]]</f>
        <v>0.87738151720020596</v>
      </c>
      <c r="AA777" s="29"/>
      <c r="AB777" s="30"/>
      <c r="AC777" s="30"/>
      <c r="AD777" s="30"/>
      <c r="AE777" s="30"/>
      <c r="AF777" s="7" t="b">
        <f>IF(VLOOKUP(Table2[[#This Row],[Home/Neutral]],division_lookup,9,FALSE)=VLOOKUP(Table2[[#This Row],[Visitor/Neutral]],division_lookup,9,FALSE),TRUE,FALSE)</f>
        <v>0</v>
      </c>
      <c r="AG777" s="15" t="str">
        <f>VLOOKUP(Table2[[#This Row],[Home/Neutral]],division_lookup,9,FALSE)</f>
        <v>P</v>
      </c>
      <c r="AH777" s="15" t="str">
        <f>IF(Table2[[#This Row],[Total/EV]]&lt;Table2[[#This Row],[Total/V]],"UNDER","OVER")</f>
        <v>OVER</v>
      </c>
      <c r="AI777" s="26">
        <f>Table2[[#This Row],[SRS/Real]]-Table2[[#This Row],[Spread/V]]</f>
        <v>0</v>
      </c>
      <c r="AJ777" s="2">
        <f>Table2[[#This Row],[EV/Real]]-Table2[[#This Row],[Spread/V]]</f>
        <v>0</v>
      </c>
      <c r="AK777" s="2">
        <f>Table2[[#This Row],[SRS/Diff]]-Table2[[#This Row],[EV/Diff]]</f>
        <v>0</v>
      </c>
      <c r="AL777" s="18">
        <f>Table2[[#This Row],[SRS]]-Table2[[#This Row],[Spread]]</f>
        <v>3.7913114754098345</v>
      </c>
      <c r="AM777" s="21">
        <f>Table2[[#This Row],[(A) Err]]^2</f>
        <v>14.374042703574297</v>
      </c>
      <c r="AN777" s="6">
        <f>Table2[[#This Row],[EV]]-Table2[[#This Row],[Spread]]</f>
        <v>0.87738151720020596</v>
      </c>
      <c r="AO777" s="1">
        <f>Table2[[#This Row],[EV Err]]^2</f>
        <v>0.7697983267245353</v>
      </c>
      <c r="AP777" s="1"/>
    </row>
    <row r="778" spans="1:42" x14ac:dyDescent="0.25">
      <c r="A778" s="34">
        <v>42772</v>
      </c>
      <c r="B778" t="s">
        <v>135</v>
      </c>
      <c r="C778" t="s">
        <v>121</v>
      </c>
      <c r="E778" s="21"/>
      <c r="G778" s="21"/>
      <c r="H778" s="7"/>
      <c r="I778" s="21"/>
      <c r="K778"/>
      <c r="L778" s="21">
        <f>(Table2[[#This Row],[H/Pace]]/100)*(VLOOKUP(Table2[[#This Row],[Home/Neutral]],home_lookup,8,FALSE)+VLOOKUP(Table2[[#This Row],[Home/Neutral]],OFR_lookup,2,FALSE)+VLOOKUP(Table2[[#This Row],[Visitor/Neutral]],def_diff_lookup,6,FALSE))</f>
        <v>105.57588035324615</v>
      </c>
      <c r="M778" s="21"/>
      <c r="N778" s="21">
        <f>(Table2[[#This Row],[A/Pace]]/100)*(VLOOKUP(Table2[[#This Row],[Visitor/Neutral]],OFR_lookup,2,FALSE)+VLOOKUP(Table2[[#This Row],[Home/Neutral]],def_diff_lookup,6,FALSE))</f>
        <v>111.82946266666667</v>
      </c>
      <c r="O778" s="21"/>
      <c r="P778" s="21"/>
      <c r="Q778">
        <f>VLOOKUP(Table2[[#This Row],[Home/Neutral]],pace_lookup,7,FALSE)</f>
        <v>95.4</v>
      </c>
      <c r="R778" s="5">
        <f>VLOOKUP(Table2[[#This Row],[Visitor/Neutral]],pace_lookup,7,FALSE)</f>
        <v>96.4</v>
      </c>
      <c r="S778" s="7"/>
      <c r="U778" s="15"/>
      <c r="W778" s="2">
        <f>-home-VLOOKUP(Table2[[#This Row],[Home/Neutral]],rtg_vlookup,4,FALSE)+VLOOKUP(Table2[[#This Row],[Visitor/Neutral]],rtg_vlookup,4,FALSE)</f>
        <v>4.0113114754098351</v>
      </c>
      <c r="X778" s="15"/>
      <c r="Y778" s="2"/>
      <c r="Z778" s="2">
        <f>Table2[[#This Row],[A/EV]]-Table2[[#This Row],[H/EV]]</f>
        <v>6.2535823134205231</v>
      </c>
      <c r="AA778" s="29"/>
      <c r="AB778" s="30"/>
      <c r="AC778" s="30"/>
      <c r="AD778" s="30"/>
      <c r="AE778" s="30"/>
      <c r="AF778" s="7" t="b">
        <f>IF(VLOOKUP(Table2[[#This Row],[Home/Neutral]],division_lookup,9,FALSE)=VLOOKUP(Table2[[#This Row],[Visitor/Neutral]],division_lookup,9,FALSE),TRUE,FALSE)</f>
        <v>0</v>
      </c>
      <c r="AG778" s="15" t="str">
        <f>VLOOKUP(Table2[[#This Row],[Home/Neutral]],division_lookup,9,FALSE)</f>
        <v>A</v>
      </c>
      <c r="AH778" s="15" t="str">
        <f>IF(Table2[[#This Row],[Total/EV]]&lt;Table2[[#This Row],[Total/V]],"UNDER","OVER")</f>
        <v>OVER</v>
      </c>
      <c r="AI778" s="26">
        <f>Table2[[#This Row],[SRS/Real]]-Table2[[#This Row],[Spread/V]]</f>
        <v>0</v>
      </c>
      <c r="AJ778" s="2">
        <f>Table2[[#This Row],[EV/Real]]-Table2[[#This Row],[Spread/V]]</f>
        <v>0</v>
      </c>
      <c r="AK778" s="2">
        <f>Table2[[#This Row],[SRS/Diff]]-Table2[[#This Row],[EV/Diff]]</f>
        <v>0</v>
      </c>
      <c r="AL778" s="18">
        <f>Table2[[#This Row],[SRS]]-Table2[[#This Row],[Spread]]</f>
        <v>4.0113114754098351</v>
      </c>
      <c r="AM778" s="21">
        <f>Table2[[#This Row],[(A) Err]]^2</f>
        <v>16.090619752754627</v>
      </c>
      <c r="AN778" s="6">
        <f>Table2[[#This Row],[EV]]-Table2[[#This Row],[Spread]]</f>
        <v>6.2535823134205231</v>
      </c>
      <c r="AO778" s="1">
        <f>Table2[[#This Row],[EV Err]]^2</f>
        <v>39.107291750725985</v>
      </c>
      <c r="AP778" s="1"/>
    </row>
    <row r="779" spans="1:42" x14ac:dyDescent="0.25">
      <c r="A779" s="34">
        <v>42772</v>
      </c>
      <c r="B779" t="s">
        <v>137</v>
      </c>
      <c r="C779" t="s">
        <v>114</v>
      </c>
      <c r="E779" s="21"/>
      <c r="G779" s="21"/>
      <c r="H779" s="7"/>
      <c r="I779" s="21"/>
      <c r="K779"/>
      <c r="L779" s="21">
        <f>(Table2[[#This Row],[H/Pace]]/100)*(VLOOKUP(Table2[[#This Row],[Home/Neutral]],home_lookup,8,FALSE)+VLOOKUP(Table2[[#This Row],[Home/Neutral]],OFR_lookup,2,FALSE)+VLOOKUP(Table2[[#This Row],[Visitor/Neutral]],def_diff_lookup,6,FALSE))</f>
        <v>107.38813255421871</v>
      </c>
      <c r="M779" s="21"/>
      <c r="N779" s="21">
        <f>(Table2[[#This Row],[A/Pace]]/100)*(VLOOKUP(Table2[[#This Row],[Visitor/Neutral]],OFR_lookup,2,FALSE)+VLOOKUP(Table2[[#This Row],[Home/Neutral]],def_diff_lookup,6,FALSE))</f>
        <v>115.09195366666665</v>
      </c>
      <c r="O779" s="21"/>
      <c r="P779" s="21"/>
      <c r="Q779">
        <f>VLOOKUP(Table2[[#This Row],[Home/Neutral]],pace_lookup,7,FALSE)</f>
        <v>96</v>
      </c>
      <c r="R779" s="5">
        <f>VLOOKUP(Table2[[#This Row],[Visitor/Neutral]],pace_lookup,7,FALSE)</f>
        <v>97.3</v>
      </c>
      <c r="S779" s="7"/>
      <c r="U779" s="15"/>
      <c r="W779" s="2">
        <f>-home-VLOOKUP(Table2[[#This Row],[Home/Neutral]],rtg_vlookup,4,FALSE)+VLOOKUP(Table2[[#This Row],[Visitor/Neutral]],rtg_vlookup,4,FALSE)</f>
        <v>8.8613114754098348</v>
      </c>
      <c r="X779" s="15"/>
      <c r="Y779" s="2"/>
      <c r="Z779" s="2">
        <f>Table2[[#This Row],[A/EV]]-Table2[[#This Row],[H/EV]]</f>
        <v>7.7038211124479403</v>
      </c>
      <c r="AA779" s="29"/>
      <c r="AB779" s="30"/>
      <c r="AC779" s="30"/>
      <c r="AD779" s="30"/>
      <c r="AE779" s="30"/>
      <c r="AF779" s="7" t="b">
        <f>IF(VLOOKUP(Table2[[#This Row],[Home/Neutral]],division_lookup,9,FALSE)=VLOOKUP(Table2[[#This Row],[Visitor/Neutral]],division_lookup,9,FALSE),TRUE,FALSE)</f>
        <v>0</v>
      </c>
      <c r="AG779" s="15" t="str">
        <f>VLOOKUP(Table2[[#This Row],[Home/Neutral]],division_lookup,9,FALSE)</f>
        <v>SE</v>
      </c>
      <c r="AH779" s="15" t="str">
        <f>IF(Table2[[#This Row],[Total/EV]]&lt;Table2[[#This Row],[Total/V]],"UNDER","OVER")</f>
        <v>OVER</v>
      </c>
      <c r="AI779" s="26">
        <f>Table2[[#This Row],[SRS/Real]]-Table2[[#This Row],[Spread/V]]</f>
        <v>0</v>
      </c>
      <c r="AJ779" s="2">
        <f>Table2[[#This Row],[EV/Real]]-Table2[[#This Row],[Spread/V]]</f>
        <v>0</v>
      </c>
      <c r="AK779" s="2">
        <f>Table2[[#This Row],[SRS/Diff]]-Table2[[#This Row],[EV/Diff]]</f>
        <v>0</v>
      </c>
      <c r="AL779" s="18">
        <f>Table2[[#This Row],[SRS]]-Table2[[#This Row],[Spread]]</f>
        <v>8.8613114754098348</v>
      </c>
      <c r="AM779" s="21">
        <f>Table2[[#This Row],[(A) Err]]^2</f>
        <v>78.522841064230022</v>
      </c>
      <c r="AN779" s="6">
        <f>Table2[[#This Row],[EV]]-Table2[[#This Row],[Spread]]</f>
        <v>7.7038211124479403</v>
      </c>
      <c r="AO779" s="1">
        <f>Table2[[#This Row],[EV Err]]^2</f>
        <v>59.348859732598619</v>
      </c>
      <c r="AP779" s="1"/>
    </row>
    <row r="780" spans="1:42" x14ac:dyDescent="0.25">
      <c r="A780" s="34">
        <v>42773</v>
      </c>
      <c r="B780" t="s">
        <v>112</v>
      </c>
      <c r="C780" t="s">
        <v>111</v>
      </c>
      <c r="E780" s="21"/>
      <c r="G780" s="21"/>
      <c r="H780" s="7"/>
      <c r="I780" s="21"/>
      <c r="K780"/>
      <c r="L780" s="21">
        <f>(Table2[[#This Row],[H/Pace]]/100)*(VLOOKUP(Table2[[#This Row],[Home/Neutral]],home_lookup,8,FALSE)+VLOOKUP(Table2[[#This Row],[Home/Neutral]],OFR_lookup,2,FALSE)+VLOOKUP(Table2[[#This Row],[Visitor/Neutral]],def_diff_lookup,6,FALSE))</f>
        <v>108.35822195313484</v>
      </c>
      <c r="M780" s="21"/>
      <c r="N780" s="21">
        <f>(Table2[[#This Row],[A/Pace]]/100)*(VLOOKUP(Table2[[#This Row],[Visitor/Neutral]],OFR_lookup,2,FALSE)+VLOOKUP(Table2[[#This Row],[Home/Neutral]],def_diff_lookup,6,FALSE))</f>
        <v>103.26038</v>
      </c>
      <c r="O780" s="21"/>
      <c r="P780" s="21"/>
      <c r="Q780">
        <f>VLOOKUP(Table2[[#This Row],[Home/Neutral]],pace_lookup,7,FALSE)</f>
        <v>97.4</v>
      </c>
      <c r="R780" s="5">
        <f>VLOOKUP(Table2[[#This Row],[Visitor/Neutral]],pace_lookup,7,FALSE)</f>
        <v>102</v>
      </c>
      <c r="S780" s="7"/>
      <c r="U780" s="15"/>
      <c r="W780" s="2">
        <f>-home-VLOOKUP(Table2[[#This Row],[Home/Neutral]],rtg_vlookup,4,FALSE)+VLOOKUP(Table2[[#This Row],[Visitor/Neutral]],rtg_vlookup,4,FALSE)</f>
        <v>-13.598688524590166</v>
      </c>
      <c r="X780" s="15"/>
      <c r="Y780" s="2"/>
      <c r="Z780" s="2">
        <f>Table2[[#This Row],[A/EV]]-Table2[[#This Row],[H/EV]]</f>
        <v>-5.0978419531348464</v>
      </c>
      <c r="AA780" s="29"/>
      <c r="AB780" s="30"/>
      <c r="AC780" s="30"/>
      <c r="AD780" s="30"/>
      <c r="AE780" s="30"/>
      <c r="AF780" s="7" t="b">
        <f>IF(VLOOKUP(Table2[[#This Row],[Home/Neutral]],division_lookup,9,FALSE)=VLOOKUP(Table2[[#This Row],[Visitor/Neutral]],division_lookup,9,FALSE),TRUE,FALSE)</f>
        <v>0</v>
      </c>
      <c r="AG780" s="15" t="str">
        <f>VLOOKUP(Table2[[#This Row],[Home/Neutral]],division_lookup,9,FALSE)</f>
        <v>SE</v>
      </c>
      <c r="AH780" s="15" t="str">
        <f>IF(Table2[[#This Row],[Total/EV]]&lt;Table2[[#This Row],[Total/V]],"UNDER","OVER")</f>
        <v>OVER</v>
      </c>
      <c r="AI780" s="26">
        <f>Table2[[#This Row],[SRS/Real]]-Table2[[#This Row],[Spread/V]]</f>
        <v>0</v>
      </c>
      <c r="AJ780" s="2">
        <f>Table2[[#This Row],[EV/Real]]-Table2[[#This Row],[Spread/V]]</f>
        <v>0</v>
      </c>
      <c r="AK780" s="2">
        <f>Table2[[#This Row],[SRS/Diff]]-Table2[[#This Row],[EV/Diff]]</f>
        <v>0</v>
      </c>
      <c r="AL780" s="18">
        <f>Table2[[#This Row],[SRS]]-Table2[[#This Row],[Spread]]</f>
        <v>-13.598688524590166</v>
      </c>
      <c r="AM780" s="21">
        <f>Table2[[#This Row],[(A) Err]]^2</f>
        <v>184.92432958882026</v>
      </c>
      <c r="AN780" s="6">
        <f>Table2[[#This Row],[EV]]-Table2[[#This Row],[Spread]]</f>
        <v>-5.0978419531348464</v>
      </c>
      <c r="AO780" s="1">
        <f>Table2[[#This Row],[EV Err]]^2</f>
        <v>25.987992579141707</v>
      </c>
      <c r="AP780" s="1"/>
    </row>
    <row r="781" spans="1:42" x14ac:dyDescent="0.25">
      <c r="A781" s="34">
        <v>42773</v>
      </c>
      <c r="B781" t="s">
        <v>115</v>
      </c>
      <c r="C781" t="s">
        <v>132</v>
      </c>
      <c r="E781" s="21"/>
      <c r="G781" s="21"/>
      <c r="H781" s="7"/>
      <c r="I781" s="21"/>
      <c r="K781"/>
      <c r="L781" s="21">
        <f>(Table2[[#This Row],[H/Pace]]/100)*(VLOOKUP(Table2[[#This Row],[Home/Neutral]],home_lookup,8,FALSE)+VLOOKUP(Table2[[#This Row],[Home/Neutral]],OFR_lookup,2,FALSE)+VLOOKUP(Table2[[#This Row],[Visitor/Neutral]],def_diff_lookup,6,FALSE))</f>
        <v>100.53375311596776</v>
      </c>
      <c r="M781" s="21"/>
      <c r="N781" s="21">
        <f>(Table2[[#This Row],[A/Pace]]/100)*(VLOOKUP(Table2[[#This Row],[Visitor/Neutral]],OFR_lookup,2,FALSE)+VLOOKUP(Table2[[#This Row],[Home/Neutral]],def_diff_lookup,6,FALSE))</f>
        <v>107.72723866666666</v>
      </c>
      <c r="O781" s="21"/>
      <c r="P781" s="21"/>
      <c r="Q781">
        <f>VLOOKUP(Table2[[#This Row],[Home/Neutral]],pace_lookup,7,FALSE)</f>
        <v>92.9</v>
      </c>
      <c r="R781" s="5">
        <f>VLOOKUP(Table2[[#This Row],[Visitor/Neutral]],pace_lookup,7,FALSE)</f>
        <v>98.8</v>
      </c>
      <c r="S781" s="7"/>
      <c r="U781" s="15"/>
      <c r="W781" s="2">
        <f>-home-VLOOKUP(Table2[[#This Row],[Home/Neutral]],rtg_vlookup,4,FALSE)+VLOOKUP(Table2[[#This Row],[Visitor/Neutral]],rtg_vlookup,4,FALSE)</f>
        <v>3.6413114754098337</v>
      </c>
      <c r="X781" s="15"/>
      <c r="Y781" s="2"/>
      <c r="Z781" s="2">
        <f>Table2[[#This Row],[A/EV]]-Table2[[#This Row],[H/EV]]</f>
        <v>7.1934855506989095</v>
      </c>
      <c r="AA781" s="29"/>
      <c r="AB781" s="30"/>
      <c r="AC781" s="30"/>
      <c r="AD781" s="30"/>
      <c r="AE781" s="30"/>
      <c r="AF781" s="7" t="b">
        <f>IF(VLOOKUP(Table2[[#This Row],[Home/Neutral]],division_lookup,9,FALSE)=VLOOKUP(Table2[[#This Row],[Visitor/Neutral]],division_lookup,9,FALSE),TRUE,FALSE)</f>
        <v>0</v>
      </c>
      <c r="AG781" s="15" t="str">
        <f>VLOOKUP(Table2[[#This Row],[Home/Neutral]],division_lookup,9,FALSE)</f>
        <v>SW</v>
      </c>
      <c r="AH781" s="15" t="str">
        <f>IF(Table2[[#This Row],[Total/EV]]&lt;Table2[[#This Row],[Total/V]],"UNDER","OVER")</f>
        <v>OVER</v>
      </c>
      <c r="AI781" s="26">
        <f>Table2[[#This Row],[SRS/Real]]-Table2[[#This Row],[Spread/V]]</f>
        <v>0</v>
      </c>
      <c r="AJ781" s="2">
        <f>Table2[[#This Row],[EV/Real]]-Table2[[#This Row],[Spread/V]]</f>
        <v>0</v>
      </c>
      <c r="AK781" s="2">
        <f>Table2[[#This Row],[SRS/Diff]]-Table2[[#This Row],[EV/Diff]]</f>
        <v>0</v>
      </c>
      <c r="AL781" s="18">
        <f>Table2[[#This Row],[SRS]]-Table2[[#This Row],[Spread]]</f>
        <v>3.6413114754098337</v>
      </c>
      <c r="AM781" s="21">
        <f>Table2[[#This Row],[(A) Err]]^2</f>
        <v>13.259149260951339</v>
      </c>
      <c r="AN781" s="6">
        <f>Table2[[#This Row],[EV]]-Table2[[#This Row],[Spread]]</f>
        <v>7.1934855506989095</v>
      </c>
      <c r="AO781" s="1">
        <f>Table2[[#This Row],[EV Err]]^2</f>
        <v>51.746234368113996</v>
      </c>
      <c r="AP781" s="1"/>
    </row>
    <row r="782" spans="1:42" x14ac:dyDescent="0.25">
      <c r="A782" s="34">
        <v>42773</v>
      </c>
      <c r="B782" t="s">
        <v>119</v>
      </c>
      <c r="C782" t="s">
        <v>130</v>
      </c>
      <c r="E782" s="21"/>
      <c r="G782" s="21"/>
      <c r="H782" s="7"/>
      <c r="I782" s="21"/>
      <c r="K782"/>
      <c r="L782" s="21">
        <f>(Table2[[#This Row],[H/Pace]]/100)*(VLOOKUP(Table2[[#This Row],[Home/Neutral]],home_lookup,8,FALSE)+VLOOKUP(Table2[[#This Row],[Home/Neutral]],OFR_lookup,2,FALSE)+VLOOKUP(Table2[[#This Row],[Visitor/Neutral]],def_diff_lookup,6,FALSE))</f>
        <v>108.72570376977627</v>
      </c>
      <c r="M782" s="21"/>
      <c r="N782" s="21">
        <f>(Table2[[#This Row],[A/Pace]]/100)*(VLOOKUP(Table2[[#This Row],[Visitor/Neutral]],OFR_lookup,2,FALSE)+VLOOKUP(Table2[[#This Row],[Home/Neutral]],def_diff_lookup,6,FALSE))</f>
        <v>94.714017999999996</v>
      </c>
      <c r="O782" s="21"/>
      <c r="P782" s="21"/>
      <c r="Q782">
        <f>VLOOKUP(Table2[[#This Row],[Home/Neutral]],pace_lookup,7,FALSE)</f>
        <v>96.9</v>
      </c>
      <c r="R782" s="5">
        <f>VLOOKUP(Table2[[#This Row],[Visitor/Neutral]],pace_lookup,7,FALSE)</f>
        <v>94.2</v>
      </c>
      <c r="S782" s="7"/>
      <c r="U782" s="15"/>
      <c r="W782" s="2">
        <f>-home-VLOOKUP(Table2[[#This Row],[Home/Neutral]],rtg_vlookup,4,FALSE)+VLOOKUP(Table2[[#This Row],[Visitor/Neutral]],rtg_vlookup,4,FALSE)</f>
        <v>-15.088688524590166</v>
      </c>
      <c r="X782" s="15"/>
      <c r="Y782" s="2"/>
      <c r="Z782" s="2">
        <f>Table2[[#This Row],[A/EV]]-Table2[[#This Row],[H/EV]]</f>
        <v>-14.011685769776278</v>
      </c>
      <c r="AA782" s="29"/>
      <c r="AB782" s="30"/>
      <c r="AC782" s="30"/>
      <c r="AD782" s="30"/>
      <c r="AE782" s="30"/>
      <c r="AF782" s="7" t="b">
        <f>IF(VLOOKUP(Table2[[#This Row],[Home/Neutral]],division_lookup,9,FALSE)=VLOOKUP(Table2[[#This Row],[Visitor/Neutral]],division_lookup,9,FALSE),TRUE,FALSE)</f>
        <v>0</v>
      </c>
      <c r="AG782" s="15" t="str">
        <f>VLOOKUP(Table2[[#This Row],[Home/Neutral]],division_lookup,9,FALSE)</f>
        <v>SW</v>
      </c>
      <c r="AH782" s="15" t="str">
        <f>IF(Table2[[#This Row],[Total/EV]]&lt;Table2[[#This Row],[Total/V]],"UNDER","OVER")</f>
        <v>OVER</v>
      </c>
      <c r="AI782" s="26">
        <f>Table2[[#This Row],[SRS/Real]]-Table2[[#This Row],[Spread/V]]</f>
        <v>0</v>
      </c>
      <c r="AJ782" s="2">
        <f>Table2[[#This Row],[EV/Real]]-Table2[[#This Row],[Spread/V]]</f>
        <v>0</v>
      </c>
      <c r="AK782" s="2">
        <f>Table2[[#This Row],[SRS/Diff]]-Table2[[#This Row],[EV/Diff]]</f>
        <v>0</v>
      </c>
      <c r="AL782" s="18">
        <f>Table2[[#This Row],[SRS]]-Table2[[#This Row],[Spread]]</f>
        <v>-15.088688524590166</v>
      </c>
      <c r="AM782" s="21">
        <f>Table2[[#This Row],[(A) Err]]^2</f>
        <v>227.66852139209897</v>
      </c>
      <c r="AN782" s="6">
        <f>Table2[[#This Row],[EV]]-Table2[[#This Row],[Spread]]</f>
        <v>-14.011685769776278</v>
      </c>
      <c r="AO782" s="1">
        <f>Table2[[#This Row],[EV Err]]^2</f>
        <v>196.32733811095105</v>
      </c>
      <c r="AP782" s="1"/>
    </row>
    <row r="783" spans="1:42" x14ac:dyDescent="0.25">
      <c r="A783" s="34">
        <v>42774</v>
      </c>
      <c r="B783" t="s">
        <v>109</v>
      </c>
      <c r="C783" t="s">
        <v>116</v>
      </c>
      <c r="E783" s="21"/>
      <c r="G783" s="21"/>
      <c r="H783" s="7"/>
      <c r="I783" s="21"/>
      <c r="K783"/>
      <c r="L783" s="21">
        <f>(Table2[[#This Row],[H/Pace]]/100)*(VLOOKUP(Table2[[#This Row],[Home/Neutral]],home_lookup,8,FALSE)+VLOOKUP(Table2[[#This Row],[Home/Neutral]],OFR_lookup,2,FALSE)+VLOOKUP(Table2[[#This Row],[Visitor/Neutral]],def_diff_lookup,6,FALSE))</f>
        <v>100.66336660728638</v>
      </c>
      <c r="M783" s="21"/>
      <c r="N783" s="21">
        <f>(Table2[[#This Row],[A/Pace]]/100)*(VLOOKUP(Table2[[#This Row],[Visitor/Neutral]],OFR_lookup,2,FALSE)+VLOOKUP(Table2[[#This Row],[Home/Neutral]],def_diff_lookup,6,FALSE))</f>
        <v>98.411915666666673</v>
      </c>
      <c r="O783" s="21"/>
      <c r="P783" s="21"/>
      <c r="Q783">
        <f>VLOOKUP(Table2[[#This Row],[Home/Neutral]],pace_lookup,7,FALSE)</f>
        <v>99.2</v>
      </c>
      <c r="R783" s="5">
        <f>VLOOKUP(Table2[[#This Row],[Visitor/Neutral]],pace_lookup,7,FALSE)</f>
        <v>99.1</v>
      </c>
      <c r="S783" s="7"/>
      <c r="U783" s="15"/>
      <c r="W783" s="2">
        <f>-home-VLOOKUP(Table2[[#This Row],[Home/Neutral]],rtg_vlookup,4,FALSE)+VLOOKUP(Table2[[#This Row],[Visitor/Neutral]],rtg_vlookup,4,FALSE)</f>
        <v>-5.7986885245901663</v>
      </c>
      <c r="X783" s="15"/>
      <c r="Y783" s="2"/>
      <c r="Z783" s="2">
        <f>Table2[[#This Row],[A/EV]]-Table2[[#This Row],[H/EV]]</f>
        <v>-2.251450940619705</v>
      </c>
      <c r="AA783" s="29"/>
      <c r="AB783" s="30"/>
      <c r="AC783" s="30"/>
      <c r="AD783" s="30"/>
      <c r="AE783" s="30"/>
      <c r="AF783" s="7" t="b">
        <f>IF(VLOOKUP(Table2[[#This Row],[Home/Neutral]],division_lookup,9,FALSE)=VLOOKUP(Table2[[#This Row],[Visitor/Neutral]],division_lookup,9,FALSE),TRUE,FALSE)</f>
        <v>0</v>
      </c>
      <c r="AG783" s="15" t="str">
        <f>VLOOKUP(Table2[[#This Row],[Home/Neutral]],division_lookup,9,FALSE)</f>
        <v>SE</v>
      </c>
      <c r="AH783" s="15" t="str">
        <f>IF(Table2[[#This Row],[Total/EV]]&lt;Table2[[#This Row],[Total/V]],"UNDER","OVER")</f>
        <v>OVER</v>
      </c>
      <c r="AI783" s="26">
        <f>Table2[[#This Row],[SRS/Real]]-Table2[[#This Row],[Spread/V]]</f>
        <v>0</v>
      </c>
      <c r="AJ783" s="2">
        <f>Table2[[#This Row],[EV/Real]]-Table2[[#This Row],[Spread/V]]</f>
        <v>0</v>
      </c>
      <c r="AK783" s="2">
        <f>Table2[[#This Row],[SRS/Diff]]-Table2[[#This Row],[EV/Diff]]</f>
        <v>0</v>
      </c>
      <c r="AL783" s="18">
        <f>Table2[[#This Row],[SRS]]-Table2[[#This Row],[Spread]]</f>
        <v>-5.7986885245901663</v>
      </c>
      <c r="AM783" s="21">
        <f>Table2[[#This Row],[(A) Err]]^2</f>
        <v>33.624788605213681</v>
      </c>
      <c r="AN783" s="6">
        <f>Table2[[#This Row],[EV]]-Table2[[#This Row],[Spread]]</f>
        <v>-2.251450940619705</v>
      </c>
      <c r="AO783" s="1">
        <f>Table2[[#This Row],[EV Err]]^2</f>
        <v>5.0690313380173544</v>
      </c>
      <c r="AP783" s="1"/>
    </row>
    <row r="784" spans="1:42" x14ac:dyDescent="0.25">
      <c r="A784" s="34">
        <v>42774</v>
      </c>
      <c r="B784" t="s">
        <v>111</v>
      </c>
      <c r="C784" t="s">
        <v>137</v>
      </c>
      <c r="E784" s="21"/>
      <c r="G784" s="21"/>
      <c r="H784" s="7"/>
      <c r="I784" s="21"/>
      <c r="K784"/>
      <c r="L784" s="21">
        <f>(Table2[[#This Row],[H/Pace]]/100)*(VLOOKUP(Table2[[#This Row],[Home/Neutral]],home_lookup,8,FALSE)+VLOOKUP(Table2[[#This Row],[Home/Neutral]],OFR_lookup,2,FALSE)+VLOOKUP(Table2[[#This Row],[Visitor/Neutral]],def_diff_lookup,6,FALSE))</f>
        <v>103.76141832771636</v>
      </c>
      <c r="M784" s="21"/>
      <c r="N784" s="21">
        <f>(Table2[[#This Row],[A/Pace]]/100)*(VLOOKUP(Table2[[#This Row],[Visitor/Neutral]],OFR_lookup,2,FALSE)+VLOOKUP(Table2[[#This Row],[Home/Neutral]],def_diff_lookup,6,FALSE))</f>
        <v>107.00703999999999</v>
      </c>
      <c r="O784" s="21"/>
      <c r="P784" s="21"/>
      <c r="Q784">
        <f>VLOOKUP(Table2[[#This Row],[Home/Neutral]],pace_lookup,7,FALSE)</f>
        <v>102</v>
      </c>
      <c r="R784" s="5">
        <f>VLOOKUP(Table2[[#This Row],[Visitor/Neutral]],pace_lookup,7,FALSE)</f>
        <v>96</v>
      </c>
      <c r="S784" s="7"/>
      <c r="U784" s="15"/>
      <c r="W784" s="2">
        <f>-home-VLOOKUP(Table2[[#This Row],[Home/Neutral]],rtg_vlookup,4,FALSE)+VLOOKUP(Table2[[#This Row],[Visitor/Neutral]],rtg_vlookup,4,FALSE)</f>
        <v>3.0113114754098338</v>
      </c>
      <c r="X784" s="15"/>
      <c r="Y784" s="2"/>
      <c r="Z784" s="2">
        <f>Table2[[#This Row],[A/EV]]-Table2[[#This Row],[H/EV]]</f>
        <v>3.2456216722836331</v>
      </c>
      <c r="AA784" s="29"/>
      <c r="AB784" s="30"/>
      <c r="AC784" s="30"/>
      <c r="AD784" s="30"/>
      <c r="AE784" s="30"/>
      <c r="AF784" s="7" t="b">
        <f>IF(VLOOKUP(Table2[[#This Row],[Home/Neutral]],division_lookup,9,FALSE)=VLOOKUP(Table2[[#This Row],[Visitor/Neutral]],division_lookup,9,FALSE),TRUE,FALSE)</f>
        <v>0</v>
      </c>
      <c r="AG784" s="15" t="str">
        <f>VLOOKUP(Table2[[#This Row],[Home/Neutral]],division_lookup,9,FALSE)</f>
        <v>A</v>
      </c>
      <c r="AH784" s="15" t="str">
        <f>IF(Table2[[#This Row],[Total/EV]]&lt;Table2[[#This Row],[Total/V]],"UNDER","OVER")</f>
        <v>OVER</v>
      </c>
      <c r="AI784" s="26">
        <f>Table2[[#This Row],[SRS/Real]]-Table2[[#This Row],[Spread/V]]</f>
        <v>0</v>
      </c>
      <c r="AJ784" s="2">
        <f>Table2[[#This Row],[EV/Real]]-Table2[[#This Row],[Spread/V]]</f>
        <v>0</v>
      </c>
      <c r="AK784" s="2">
        <f>Table2[[#This Row],[SRS/Diff]]-Table2[[#This Row],[EV/Diff]]</f>
        <v>0</v>
      </c>
      <c r="AL784" s="18">
        <f>Table2[[#This Row],[SRS]]-Table2[[#This Row],[Spread]]</f>
        <v>3.0113114754098338</v>
      </c>
      <c r="AM784" s="21">
        <f>Table2[[#This Row],[(A) Err]]^2</f>
        <v>9.0679968019349495</v>
      </c>
      <c r="AN784" s="6">
        <f>Table2[[#This Row],[EV]]-Table2[[#This Row],[Spread]]</f>
        <v>3.2456216722836331</v>
      </c>
      <c r="AO784" s="1">
        <f>Table2[[#This Row],[EV Err]]^2</f>
        <v>10.534060039597207</v>
      </c>
      <c r="AP784" s="1"/>
    </row>
    <row r="785" spans="1:42" x14ac:dyDescent="0.25">
      <c r="A785" s="34">
        <v>42774</v>
      </c>
      <c r="B785" t="s">
        <v>117</v>
      </c>
      <c r="C785" t="s">
        <v>122</v>
      </c>
      <c r="E785" s="21"/>
      <c r="G785" s="21"/>
      <c r="H785" s="7"/>
      <c r="I785" s="21"/>
      <c r="K785"/>
      <c r="L785" s="21">
        <f>(Table2[[#This Row],[H/Pace]]/100)*(VLOOKUP(Table2[[#This Row],[Home/Neutral]],home_lookup,8,FALSE)+VLOOKUP(Table2[[#This Row],[Home/Neutral]],OFR_lookup,2,FALSE)+VLOOKUP(Table2[[#This Row],[Visitor/Neutral]],def_diff_lookup,6,FALSE))</f>
        <v>116.52299591446427</v>
      </c>
      <c r="M785" s="21"/>
      <c r="N785" s="21">
        <f>(Table2[[#This Row],[A/Pace]]/100)*(VLOOKUP(Table2[[#This Row],[Visitor/Neutral]],OFR_lookup,2,FALSE)+VLOOKUP(Table2[[#This Row],[Home/Neutral]],def_diff_lookup,6,FALSE))</f>
        <v>105.27579799999999</v>
      </c>
      <c r="O785" s="21"/>
      <c r="P785" s="21"/>
      <c r="Q785">
        <f>VLOOKUP(Table2[[#This Row],[Home/Neutral]],pace_lookup,7,FALSE)</f>
        <v>94</v>
      </c>
      <c r="R785" s="5">
        <f>VLOOKUP(Table2[[#This Row],[Visitor/Neutral]],pace_lookup,7,FALSE)</f>
        <v>100.2</v>
      </c>
      <c r="S785" s="7"/>
      <c r="U785" s="15"/>
      <c r="W785" s="2">
        <f>-home-VLOOKUP(Table2[[#This Row],[Home/Neutral]],rtg_vlookup,4,FALSE)+VLOOKUP(Table2[[#This Row],[Visitor/Neutral]],rtg_vlookup,4,FALSE)</f>
        <v>-6.5986885245901661</v>
      </c>
      <c r="X785" s="15"/>
      <c r="Y785" s="2"/>
      <c r="Z785" s="2">
        <f>Table2[[#This Row],[A/EV]]-Table2[[#This Row],[H/EV]]</f>
        <v>-11.24719791446428</v>
      </c>
      <c r="AA785" s="29"/>
      <c r="AB785" s="30"/>
      <c r="AC785" s="30"/>
      <c r="AD785" s="30"/>
      <c r="AE785" s="30"/>
      <c r="AF785" s="7" t="b">
        <f>IF(VLOOKUP(Table2[[#This Row],[Home/Neutral]],division_lookup,9,FALSE)=VLOOKUP(Table2[[#This Row],[Visitor/Neutral]],division_lookup,9,FALSE),TRUE,FALSE)</f>
        <v>0</v>
      </c>
      <c r="AG785" s="15" t="str">
        <f>VLOOKUP(Table2[[#This Row],[Home/Neutral]],division_lookup,9,FALSE)</f>
        <v>C</v>
      </c>
      <c r="AH785" s="15" t="str">
        <f>IF(Table2[[#This Row],[Total/EV]]&lt;Table2[[#This Row],[Total/V]],"UNDER","OVER")</f>
        <v>OVER</v>
      </c>
      <c r="AI785" s="26">
        <f>Table2[[#This Row],[SRS/Real]]-Table2[[#This Row],[Spread/V]]</f>
        <v>0</v>
      </c>
      <c r="AJ785" s="2">
        <f>Table2[[#This Row],[EV/Real]]-Table2[[#This Row],[Spread/V]]</f>
        <v>0</v>
      </c>
      <c r="AK785" s="2">
        <f>Table2[[#This Row],[SRS/Diff]]-Table2[[#This Row],[EV/Diff]]</f>
        <v>0</v>
      </c>
      <c r="AL785" s="18">
        <f>Table2[[#This Row],[SRS]]-Table2[[#This Row],[Spread]]</f>
        <v>-6.5986885245901661</v>
      </c>
      <c r="AM785" s="21">
        <f>Table2[[#This Row],[(A) Err]]^2</f>
        <v>43.542690244557946</v>
      </c>
      <c r="AN785" s="6">
        <f>Table2[[#This Row],[EV]]-Table2[[#This Row],[Spread]]</f>
        <v>-11.24719791446428</v>
      </c>
      <c r="AO785" s="1">
        <f>Table2[[#This Row],[EV Err]]^2</f>
        <v>126.49946092712965</v>
      </c>
      <c r="AP785" s="1"/>
    </row>
    <row r="786" spans="1:42" x14ac:dyDescent="0.25">
      <c r="A786" s="34">
        <v>42774</v>
      </c>
      <c r="B786" t="s">
        <v>118</v>
      </c>
      <c r="C786" t="s">
        <v>113</v>
      </c>
      <c r="E786" s="21"/>
      <c r="G786" s="21"/>
      <c r="H786" s="7"/>
      <c r="I786" s="21"/>
      <c r="K786"/>
      <c r="L786" s="21">
        <f>(Table2[[#This Row],[H/Pace]]/100)*(VLOOKUP(Table2[[#This Row],[Home/Neutral]],home_lookup,8,FALSE)+VLOOKUP(Table2[[#This Row],[Home/Neutral]],OFR_lookup,2,FALSE)+VLOOKUP(Table2[[#This Row],[Visitor/Neutral]],def_diff_lookup,6,FALSE))</f>
        <v>114.30071838078237</v>
      </c>
      <c r="M786" s="21"/>
      <c r="N786" s="21">
        <f>(Table2[[#This Row],[A/Pace]]/100)*(VLOOKUP(Table2[[#This Row],[Visitor/Neutral]],OFR_lookup,2,FALSE)+VLOOKUP(Table2[[#This Row],[Home/Neutral]],def_diff_lookup,6,FALSE))</f>
        <v>104.330089</v>
      </c>
      <c r="O786" s="21"/>
      <c r="P786" s="21"/>
      <c r="Q786">
        <f>VLOOKUP(Table2[[#This Row],[Home/Neutral]],pace_lookup,7,FALSE)</f>
        <v>100.4</v>
      </c>
      <c r="R786" s="5">
        <f>VLOOKUP(Table2[[#This Row],[Visitor/Neutral]],pace_lookup,7,FALSE)</f>
        <v>95.1</v>
      </c>
      <c r="S786" s="7"/>
      <c r="U786" s="15"/>
      <c r="W786" s="2">
        <f>-home-VLOOKUP(Table2[[#This Row],[Home/Neutral]],rtg_vlookup,4,FALSE)+VLOOKUP(Table2[[#This Row],[Visitor/Neutral]],rtg_vlookup,4,FALSE)</f>
        <v>-9.5486885245901654</v>
      </c>
      <c r="X786" s="15"/>
      <c r="Y786" s="2"/>
      <c r="Z786" s="2">
        <f>Table2[[#This Row],[A/EV]]-Table2[[#This Row],[H/EV]]</f>
        <v>-9.9706293807823698</v>
      </c>
      <c r="AA786" s="29"/>
      <c r="AB786" s="30"/>
      <c r="AC786" s="30"/>
      <c r="AD786" s="30"/>
      <c r="AE786" s="30"/>
      <c r="AF786" s="7" t="b">
        <f>IF(VLOOKUP(Table2[[#This Row],[Home/Neutral]],division_lookup,9,FALSE)=VLOOKUP(Table2[[#This Row],[Visitor/Neutral]],division_lookup,9,FALSE),TRUE,FALSE)</f>
        <v>0</v>
      </c>
      <c r="AG786" s="15" t="str">
        <f>VLOOKUP(Table2[[#This Row],[Home/Neutral]],division_lookup,9,FALSE)</f>
        <v>P</v>
      </c>
      <c r="AH786" s="15" t="str">
        <f>IF(Table2[[#This Row],[Total/EV]]&lt;Table2[[#This Row],[Total/V]],"UNDER","OVER")</f>
        <v>OVER</v>
      </c>
      <c r="AI786" s="26">
        <f>Table2[[#This Row],[SRS/Real]]-Table2[[#This Row],[Spread/V]]</f>
        <v>0</v>
      </c>
      <c r="AJ786" s="2">
        <f>Table2[[#This Row],[EV/Real]]-Table2[[#This Row],[Spread/V]]</f>
        <v>0</v>
      </c>
      <c r="AK786" s="2">
        <f>Table2[[#This Row],[SRS/Diff]]-Table2[[#This Row],[EV/Diff]]</f>
        <v>0</v>
      </c>
      <c r="AL786" s="18">
        <f>Table2[[#This Row],[SRS]]-Table2[[#This Row],[Spread]]</f>
        <v>-9.5486885245901654</v>
      </c>
      <c r="AM786" s="21">
        <f>Table2[[#This Row],[(A) Err]]^2</f>
        <v>91.177452539639916</v>
      </c>
      <c r="AN786" s="6">
        <f>Table2[[#This Row],[EV]]-Table2[[#This Row],[Spread]]</f>
        <v>-9.9706293807823698</v>
      </c>
      <c r="AO786" s="1">
        <f>Table2[[#This Row],[EV Err]]^2</f>
        <v>99.413450248920626</v>
      </c>
      <c r="AP786" s="1"/>
    </row>
    <row r="787" spans="1:42" x14ac:dyDescent="0.25">
      <c r="A787" s="34">
        <v>42774</v>
      </c>
      <c r="B787" t="s">
        <v>120</v>
      </c>
      <c r="C787" t="s">
        <v>114</v>
      </c>
      <c r="E787" s="21"/>
      <c r="G787" s="21"/>
      <c r="H787" s="7"/>
      <c r="I787" s="21"/>
      <c r="K787"/>
      <c r="L787" s="21">
        <f>(Table2[[#This Row],[H/Pace]]/100)*(VLOOKUP(Table2[[#This Row],[Home/Neutral]],home_lookup,8,FALSE)+VLOOKUP(Table2[[#This Row],[Home/Neutral]],OFR_lookup,2,FALSE)+VLOOKUP(Table2[[#This Row],[Visitor/Neutral]],def_diff_lookup,6,FALSE))</f>
        <v>105.46474542930861</v>
      </c>
      <c r="M787" s="21"/>
      <c r="N787" s="21">
        <f>(Table2[[#This Row],[A/Pace]]/100)*(VLOOKUP(Table2[[#This Row],[Visitor/Neutral]],OFR_lookup,2,FALSE)+VLOOKUP(Table2[[#This Row],[Home/Neutral]],def_diff_lookup,6,FALSE))</f>
        <v>113.38920366666666</v>
      </c>
      <c r="O787" s="21"/>
      <c r="P787" s="21"/>
      <c r="Q787">
        <f>VLOOKUP(Table2[[#This Row],[Home/Neutral]],pace_lookup,7,FALSE)</f>
        <v>98.3</v>
      </c>
      <c r="R787" s="5">
        <f>VLOOKUP(Table2[[#This Row],[Visitor/Neutral]],pace_lookup,7,FALSE)</f>
        <v>97.3</v>
      </c>
      <c r="S787" s="7"/>
      <c r="U787" s="15"/>
      <c r="W787" s="2">
        <f>-home-VLOOKUP(Table2[[#This Row],[Home/Neutral]],rtg_vlookup,4,FALSE)+VLOOKUP(Table2[[#This Row],[Visitor/Neutral]],rtg_vlookup,4,FALSE)</f>
        <v>10.571311475409836</v>
      </c>
      <c r="X787" s="15"/>
      <c r="Y787" s="2"/>
      <c r="Z787" s="2">
        <f>Table2[[#This Row],[A/EV]]-Table2[[#This Row],[H/EV]]</f>
        <v>7.9244582373580528</v>
      </c>
      <c r="AA787" s="29"/>
      <c r="AB787" s="30"/>
      <c r="AC787" s="30"/>
      <c r="AD787" s="30"/>
      <c r="AE787" s="30"/>
      <c r="AF787" s="7" t="b">
        <f>IF(VLOOKUP(Table2[[#This Row],[Home/Neutral]],division_lookup,9,FALSE)=VLOOKUP(Table2[[#This Row],[Visitor/Neutral]],division_lookup,9,FALSE),TRUE,FALSE)</f>
        <v>1</v>
      </c>
      <c r="AG787" s="15" t="str">
        <f>VLOOKUP(Table2[[#This Row],[Home/Neutral]],division_lookup,9,FALSE)</f>
        <v>C</v>
      </c>
      <c r="AH787" s="15" t="str">
        <f>IF(Table2[[#This Row],[Total/EV]]&lt;Table2[[#This Row],[Total/V]],"UNDER","OVER")</f>
        <v>OVER</v>
      </c>
      <c r="AI787" s="26">
        <f>Table2[[#This Row],[SRS/Real]]-Table2[[#This Row],[Spread/V]]</f>
        <v>0</v>
      </c>
      <c r="AJ787" s="2">
        <f>Table2[[#This Row],[EV/Real]]-Table2[[#This Row],[Spread/V]]</f>
        <v>0</v>
      </c>
      <c r="AK787" s="2">
        <f>Table2[[#This Row],[SRS/Diff]]-Table2[[#This Row],[EV/Diff]]</f>
        <v>0</v>
      </c>
      <c r="AL787" s="18">
        <f>Table2[[#This Row],[SRS]]-Table2[[#This Row],[Spread]]</f>
        <v>10.571311475409836</v>
      </c>
      <c r="AM787" s="21">
        <f>Table2[[#This Row],[(A) Err]]^2</f>
        <v>111.75262631013167</v>
      </c>
      <c r="AN787" s="6">
        <f>Table2[[#This Row],[EV]]-Table2[[#This Row],[Spread]]</f>
        <v>7.9244582373580528</v>
      </c>
      <c r="AO787" s="1">
        <f>Table2[[#This Row],[EV Err]]^2</f>
        <v>62.797038355631898</v>
      </c>
      <c r="AP787" s="1"/>
    </row>
    <row r="788" spans="1:42" x14ac:dyDescent="0.25">
      <c r="A788" s="34">
        <v>42774</v>
      </c>
      <c r="B788" t="s">
        <v>123</v>
      </c>
      <c r="C788" t="s">
        <v>131</v>
      </c>
      <c r="E788" s="21"/>
      <c r="G788" s="21"/>
      <c r="H788" s="7"/>
      <c r="I788" s="21"/>
      <c r="K788"/>
      <c r="L788" s="21">
        <f>(Table2[[#This Row],[H/Pace]]/100)*(VLOOKUP(Table2[[#This Row],[Home/Neutral]],home_lookup,8,FALSE)+VLOOKUP(Table2[[#This Row],[Home/Neutral]],OFR_lookup,2,FALSE)+VLOOKUP(Table2[[#This Row],[Visitor/Neutral]],def_diff_lookup,6,FALSE))</f>
        <v>102.79917709563918</v>
      </c>
      <c r="M788" s="21"/>
      <c r="N788" s="21">
        <f>(Table2[[#This Row],[A/Pace]]/100)*(VLOOKUP(Table2[[#This Row],[Visitor/Neutral]],OFR_lookup,2,FALSE)+VLOOKUP(Table2[[#This Row],[Home/Neutral]],def_diff_lookup,6,FALSE))</f>
        <v>99.519212999999993</v>
      </c>
      <c r="O788" s="21"/>
      <c r="P788" s="21"/>
      <c r="Q788">
        <f>VLOOKUP(Table2[[#This Row],[Home/Neutral]],pace_lookup,7,FALSE)</f>
        <v>92.5</v>
      </c>
      <c r="R788" s="5">
        <f>VLOOKUP(Table2[[#This Row],[Visitor/Neutral]],pace_lookup,7,FALSE)</f>
        <v>101.7</v>
      </c>
      <c r="S788" s="7"/>
      <c r="U788" s="15"/>
      <c r="W788" s="2">
        <f>-home-VLOOKUP(Table2[[#This Row],[Home/Neutral]],rtg_vlookup,4,FALSE)+VLOOKUP(Table2[[#This Row],[Visitor/Neutral]],rtg_vlookup,4,FALSE)</f>
        <v>-9.8386885245901663</v>
      </c>
      <c r="X788" s="15"/>
      <c r="Y788" s="2"/>
      <c r="Z788" s="2">
        <f>Table2[[#This Row],[A/EV]]-Table2[[#This Row],[H/EV]]</f>
        <v>-3.2799640956391869</v>
      </c>
      <c r="AA788" s="29"/>
      <c r="AB788" s="30"/>
      <c r="AC788" s="30"/>
      <c r="AD788" s="30"/>
      <c r="AE788" s="30"/>
      <c r="AF788" s="7" t="b">
        <f>IF(VLOOKUP(Table2[[#This Row],[Home/Neutral]],division_lookup,9,FALSE)=VLOOKUP(Table2[[#This Row],[Visitor/Neutral]],division_lookup,9,FALSE),TRUE,FALSE)</f>
        <v>0</v>
      </c>
      <c r="AG788" s="15" t="str">
        <f>VLOOKUP(Table2[[#This Row],[Home/Neutral]],division_lookup,9,FALSE)</f>
        <v>SW</v>
      </c>
      <c r="AH788" s="15" t="str">
        <f>IF(Table2[[#This Row],[Total/EV]]&lt;Table2[[#This Row],[Total/V]],"UNDER","OVER")</f>
        <v>OVER</v>
      </c>
      <c r="AI788" s="26">
        <f>Table2[[#This Row],[SRS/Real]]-Table2[[#This Row],[Spread/V]]</f>
        <v>0</v>
      </c>
      <c r="AJ788" s="2">
        <f>Table2[[#This Row],[EV/Real]]-Table2[[#This Row],[Spread/V]]</f>
        <v>0</v>
      </c>
      <c r="AK788" s="2">
        <f>Table2[[#This Row],[SRS/Diff]]-Table2[[#This Row],[EV/Diff]]</f>
        <v>0</v>
      </c>
      <c r="AL788" s="18">
        <f>Table2[[#This Row],[SRS]]-Table2[[#This Row],[Spread]]</f>
        <v>-9.8386885245901663</v>
      </c>
      <c r="AM788" s="21">
        <f>Table2[[#This Row],[(A) Err]]^2</f>
        <v>96.799791883902216</v>
      </c>
      <c r="AN788" s="6">
        <f>Table2[[#This Row],[EV]]-Table2[[#This Row],[Spread]]</f>
        <v>-3.2799640956391869</v>
      </c>
      <c r="AO788" s="1">
        <f>Table2[[#This Row],[EV Err]]^2</f>
        <v>10.758164468682189</v>
      </c>
      <c r="AP788" s="1"/>
    </row>
    <row r="789" spans="1:42" x14ac:dyDescent="0.25">
      <c r="A789" s="34">
        <v>42774</v>
      </c>
      <c r="B789" t="s">
        <v>125</v>
      </c>
      <c r="C789" t="s">
        <v>124</v>
      </c>
      <c r="E789" s="21"/>
      <c r="G789" s="21"/>
      <c r="H789" s="7"/>
      <c r="I789" s="21"/>
      <c r="K789"/>
      <c r="L789" s="21">
        <f>(Table2[[#This Row],[H/Pace]]/100)*(VLOOKUP(Table2[[#This Row],[Home/Neutral]],home_lookup,8,FALSE)+VLOOKUP(Table2[[#This Row],[Home/Neutral]],OFR_lookup,2,FALSE)+VLOOKUP(Table2[[#This Row],[Visitor/Neutral]],def_diff_lookup,6,FALSE))</f>
        <v>106.37386550061908</v>
      </c>
      <c r="M789" s="21"/>
      <c r="N789" s="21">
        <f>(Table2[[#This Row],[A/Pace]]/100)*(VLOOKUP(Table2[[#This Row],[Visitor/Neutral]],OFR_lookup,2,FALSE)+VLOOKUP(Table2[[#This Row],[Home/Neutral]],def_diff_lookup,6,FALSE))</f>
        <v>98.680779666666666</v>
      </c>
      <c r="O789" s="21"/>
      <c r="P789" s="21"/>
      <c r="Q789">
        <f>VLOOKUP(Table2[[#This Row],[Home/Neutral]],pace_lookup,7,FALSE)</f>
        <v>96.1</v>
      </c>
      <c r="R789" s="5">
        <f>VLOOKUP(Table2[[#This Row],[Visitor/Neutral]],pace_lookup,7,FALSE)</f>
        <v>93.7</v>
      </c>
      <c r="S789" s="7"/>
      <c r="U789" s="15"/>
      <c r="W789" s="2">
        <f>-home-VLOOKUP(Table2[[#This Row],[Home/Neutral]],rtg_vlookup,4,FALSE)+VLOOKUP(Table2[[#This Row],[Visitor/Neutral]],rtg_vlookup,4,FALSE)</f>
        <v>-1.4986885245901658</v>
      </c>
      <c r="X789" s="15"/>
      <c r="Y789" s="2"/>
      <c r="Z789" s="2">
        <f>Table2[[#This Row],[A/EV]]-Table2[[#This Row],[H/EV]]</f>
        <v>-7.6930858339524093</v>
      </c>
      <c r="AA789" s="29"/>
      <c r="AB789" s="30"/>
      <c r="AC789" s="30"/>
      <c r="AD789" s="30"/>
      <c r="AE789" s="30"/>
      <c r="AF789" s="7" t="b">
        <f>IF(VLOOKUP(Table2[[#This Row],[Home/Neutral]],division_lookup,9,FALSE)=VLOOKUP(Table2[[#This Row],[Visitor/Neutral]],division_lookup,9,FALSE),TRUE,FALSE)</f>
        <v>0</v>
      </c>
      <c r="AG789" s="15" t="str">
        <f>VLOOKUP(Table2[[#This Row],[Home/Neutral]],division_lookup,9,FALSE)</f>
        <v>C</v>
      </c>
      <c r="AH789" s="15" t="str">
        <f>IF(Table2[[#This Row],[Total/EV]]&lt;Table2[[#This Row],[Total/V]],"UNDER","OVER")</f>
        <v>OVER</v>
      </c>
      <c r="AI789" s="26">
        <f>Table2[[#This Row],[SRS/Real]]-Table2[[#This Row],[Spread/V]]</f>
        <v>0</v>
      </c>
      <c r="AJ789" s="2">
        <f>Table2[[#This Row],[EV/Real]]-Table2[[#This Row],[Spread/V]]</f>
        <v>0</v>
      </c>
      <c r="AK789" s="2">
        <f>Table2[[#This Row],[SRS/Diff]]-Table2[[#This Row],[EV/Diff]]</f>
        <v>0</v>
      </c>
      <c r="AL789" s="18">
        <f>Table2[[#This Row],[SRS]]-Table2[[#This Row],[Spread]]</f>
        <v>-1.4986885245901658</v>
      </c>
      <c r="AM789" s="21">
        <f>Table2[[#This Row],[(A) Err]]^2</f>
        <v>2.246067293738248</v>
      </c>
      <c r="AN789" s="6">
        <f>Table2[[#This Row],[EV]]-Table2[[#This Row],[Spread]]</f>
        <v>-7.6930858339524093</v>
      </c>
      <c r="AO789" s="1">
        <f>Table2[[#This Row],[EV Err]]^2</f>
        <v>59.183569648559235</v>
      </c>
      <c r="AP789" s="1"/>
    </row>
    <row r="790" spans="1:42" x14ac:dyDescent="0.25">
      <c r="A790" s="34">
        <v>42774</v>
      </c>
      <c r="B790" t="s">
        <v>126</v>
      </c>
      <c r="C790" t="s">
        <v>135</v>
      </c>
      <c r="E790" s="21"/>
      <c r="G790" s="21"/>
      <c r="H790" s="7"/>
      <c r="I790" s="21"/>
      <c r="K790"/>
      <c r="L790" s="21">
        <f>(Table2[[#This Row],[H/Pace]]/100)*(VLOOKUP(Table2[[#This Row],[Home/Neutral]],home_lookup,8,FALSE)+VLOOKUP(Table2[[#This Row],[Home/Neutral]],OFR_lookup,2,FALSE)+VLOOKUP(Table2[[#This Row],[Visitor/Neutral]],def_diff_lookup,6,FALSE))</f>
        <v>115.76375777050785</v>
      </c>
      <c r="M790" s="21"/>
      <c r="N790" s="21">
        <f>(Table2[[#This Row],[A/Pace]]/100)*(VLOOKUP(Table2[[#This Row],[Visitor/Neutral]],OFR_lookup,2,FALSE)+VLOOKUP(Table2[[#This Row],[Home/Neutral]],def_diff_lookup,6,FALSE))</f>
        <v>111.33720599999999</v>
      </c>
      <c r="O790" s="21"/>
      <c r="P790" s="21"/>
      <c r="Q790">
        <f>VLOOKUP(Table2[[#This Row],[Home/Neutral]],pace_lookup,7,FALSE)</f>
        <v>95.7</v>
      </c>
      <c r="R790" s="5">
        <f>VLOOKUP(Table2[[#This Row],[Visitor/Neutral]],pace_lookup,7,FALSE)</f>
        <v>95.4</v>
      </c>
      <c r="S790" s="7"/>
      <c r="U790" s="15"/>
      <c r="W790" s="2">
        <f>-home-VLOOKUP(Table2[[#This Row],[Home/Neutral]],rtg_vlookup,4,FALSE)+VLOOKUP(Table2[[#This Row],[Visitor/Neutral]],rtg_vlookup,4,FALSE)</f>
        <v>4.3413114754098343</v>
      </c>
      <c r="X790" s="15"/>
      <c r="Y790" s="2"/>
      <c r="Z790" s="2">
        <f>Table2[[#This Row],[A/EV]]-Table2[[#This Row],[H/EV]]</f>
        <v>-4.4265517705078565</v>
      </c>
      <c r="AA790" s="29"/>
      <c r="AB790" s="30"/>
      <c r="AC790" s="30"/>
      <c r="AD790" s="30"/>
      <c r="AE790" s="30"/>
      <c r="AF790" s="7" t="b">
        <f>IF(VLOOKUP(Table2[[#This Row],[Home/Neutral]],division_lookup,9,FALSE)=VLOOKUP(Table2[[#This Row],[Visitor/Neutral]],division_lookup,9,FALSE),TRUE,FALSE)</f>
        <v>0</v>
      </c>
      <c r="AG790" s="15" t="str">
        <f>VLOOKUP(Table2[[#This Row],[Home/Neutral]],division_lookup,9,FALSE)</f>
        <v>NW</v>
      </c>
      <c r="AH790" s="15" t="str">
        <f>IF(Table2[[#This Row],[Total/EV]]&lt;Table2[[#This Row],[Total/V]],"UNDER","OVER")</f>
        <v>OVER</v>
      </c>
      <c r="AI790" s="26">
        <f>Table2[[#This Row],[SRS/Real]]-Table2[[#This Row],[Spread/V]]</f>
        <v>0</v>
      </c>
      <c r="AJ790" s="2">
        <f>Table2[[#This Row],[EV/Real]]-Table2[[#This Row],[Spread/V]]</f>
        <v>0</v>
      </c>
      <c r="AK790" s="2">
        <f>Table2[[#This Row],[SRS/Diff]]-Table2[[#This Row],[EV/Diff]]</f>
        <v>0</v>
      </c>
      <c r="AL790" s="18">
        <f>Table2[[#This Row],[SRS]]-Table2[[#This Row],[Spread]]</f>
        <v>4.3413114754098343</v>
      </c>
      <c r="AM790" s="21">
        <f>Table2[[#This Row],[(A) Err]]^2</f>
        <v>18.846985326525111</v>
      </c>
      <c r="AN790" s="6">
        <f>Table2[[#This Row],[EV]]-Table2[[#This Row],[Spread]]</f>
        <v>-4.4265517705078565</v>
      </c>
      <c r="AO790" s="1">
        <f>Table2[[#This Row],[EV Err]]^2</f>
        <v>19.59436057698624</v>
      </c>
      <c r="AP790" s="1"/>
    </row>
    <row r="791" spans="1:42" x14ac:dyDescent="0.25">
      <c r="A791" s="34">
        <v>42774</v>
      </c>
      <c r="B791" t="s">
        <v>127</v>
      </c>
      <c r="C791" t="s">
        <v>136</v>
      </c>
      <c r="E791" s="21"/>
      <c r="G791" s="21"/>
      <c r="H791" s="7"/>
      <c r="I791" s="21"/>
      <c r="K791"/>
      <c r="L791" s="21">
        <f>(Table2[[#This Row],[H/Pace]]/100)*(VLOOKUP(Table2[[#This Row],[Home/Neutral]],home_lookup,8,FALSE)+VLOOKUP(Table2[[#This Row],[Home/Neutral]],OFR_lookup,2,FALSE)+VLOOKUP(Table2[[#This Row],[Visitor/Neutral]],def_diff_lookup,6,FALSE))</f>
        <v>98.220934937430471</v>
      </c>
      <c r="M791" s="21"/>
      <c r="N791" s="21">
        <f>(Table2[[#This Row],[A/Pace]]/100)*(VLOOKUP(Table2[[#This Row],[Visitor/Neutral]],OFR_lookup,2,FALSE)+VLOOKUP(Table2[[#This Row],[Home/Neutral]],def_diff_lookup,6,FALSE))</f>
        <v>96.180834999999988</v>
      </c>
      <c r="O791" s="21"/>
      <c r="P791" s="21"/>
      <c r="Q791">
        <f>VLOOKUP(Table2[[#This Row],[Home/Neutral]],pace_lookup,7,FALSE)</f>
        <v>99.3</v>
      </c>
      <c r="R791" s="5">
        <f>VLOOKUP(Table2[[#This Row],[Visitor/Neutral]],pace_lookup,7,FALSE)</f>
        <v>91.5</v>
      </c>
      <c r="S791" s="7"/>
      <c r="U791" s="15"/>
      <c r="W791" s="2">
        <f>-home-VLOOKUP(Table2[[#This Row],[Home/Neutral]],rtg_vlookup,4,FALSE)+VLOOKUP(Table2[[#This Row],[Visitor/Neutral]],rtg_vlookup,4,FALSE)</f>
        <v>4.1313114754098343</v>
      </c>
      <c r="X791" s="15"/>
      <c r="Y791" s="2"/>
      <c r="Z791" s="2">
        <f>Table2[[#This Row],[A/EV]]-Table2[[#This Row],[H/EV]]</f>
        <v>-2.0400999374304831</v>
      </c>
      <c r="AA791" s="29"/>
      <c r="AB791" s="30"/>
      <c r="AC791" s="30"/>
      <c r="AD791" s="30"/>
      <c r="AE791" s="30"/>
      <c r="AF791" s="7" t="b">
        <f>IF(VLOOKUP(Table2[[#This Row],[Home/Neutral]],division_lookup,9,FALSE)=VLOOKUP(Table2[[#This Row],[Visitor/Neutral]],division_lookup,9,FALSE),TRUE,FALSE)</f>
        <v>0</v>
      </c>
      <c r="AG791" s="15" t="str">
        <f>VLOOKUP(Table2[[#This Row],[Home/Neutral]],division_lookup,9,FALSE)</f>
        <v>SW</v>
      </c>
      <c r="AH791" s="15" t="str">
        <f>IF(Table2[[#This Row],[Total/EV]]&lt;Table2[[#This Row],[Total/V]],"UNDER","OVER")</f>
        <v>OVER</v>
      </c>
      <c r="AI791" s="26">
        <f>Table2[[#This Row],[SRS/Real]]-Table2[[#This Row],[Spread/V]]</f>
        <v>0</v>
      </c>
      <c r="AJ791" s="2">
        <f>Table2[[#This Row],[EV/Real]]-Table2[[#This Row],[Spread/V]]</f>
        <v>0</v>
      </c>
      <c r="AK791" s="2">
        <f>Table2[[#This Row],[SRS/Diff]]-Table2[[#This Row],[EV/Diff]]</f>
        <v>0</v>
      </c>
      <c r="AL791" s="18">
        <f>Table2[[#This Row],[SRS]]-Table2[[#This Row],[Spread]]</f>
        <v>4.1313114754098343</v>
      </c>
      <c r="AM791" s="21">
        <f>Table2[[#This Row],[(A) Err]]^2</f>
        <v>17.067734506852982</v>
      </c>
      <c r="AN791" s="6">
        <f>Table2[[#This Row],[EV]]-Table2[[#This Row],[Spread]]</f>
        <v>-2.0400999374304831</v>
      </c>
      <c r="AO791" s="1">
        <f>Table2[[#This Row],[EV Err]]^2</f>
        <v>4.1620077547038612</v>
      </c>
      <c r="AP791" s="1"/>
    </row>
    <row r="792" spans="1:42" x14ac:dyDescent="0.25">
      <c r="A792" s="34">
        <v>42774</v>
      </c>
      <c r="B792" t="s">
        <v>128</v>
      </c>
      <c r="C792" t="s">
        <v>121</v>
      </c>
      <c r="E792" s="21"/>
      <c r="G792" s="21"/>
      <c r="H792" s="7"/>
      <c r="I792" s="21"/>
      <c r="K792"/>
      <c r="L792" s="21">
        <f>(Table2[[#This Row],[H/Pace]]/100)*(VLOOKUP(Table2[[#This Row],[Home/Neutral]],home_lookup,8,FALSE)+VLOOKUP(Table2[[#This Row],[Home/Neutral]],OFR_lookup,2,FALSE)+VLOOKUP(Table2[[#This Row],[Visitor/Neutral]],def_diff_lookup,6,FALSE))</f>
        <v>104.2722798778302</v>
      </c>
      <c r="M792" s="21"/>
      <c r="N792" s="21">
        <f>(Table2[[#This Row],[A/Pace]]/100)*(VLOOKUP(Table2[[#This Row],[Visitor/Neutral]],OFR_lookup,2,FALSE)+VLOOKUP(Table2[[#This Row],[Home/Neutral]],def_diff_lookup,6,FALSE))</f>
        <v>113.98882266666668</v>
      </c>
      <c r="O792" s="21"/>
      <c r="P792" s="21"/>
      <c r="Q792">
        <f>VLOOKUP(Table2[[#This Row],[Home/Neutral]],pace_lookup,7,FALSE)</f>
        <v>96.3</v>
      </c>
      <c r="R792" s="5">
        <f>VLOOKUP(Table2[[#This Row],[Visitor/Neutral]],pace_lookup,7,FALSE)</f>
        <v>96.4</v>
      </c>
      <c r="S792" s="7"/>
      <c r="U792" s="15"/>
      <c r="W792" s="2">
        <f>-home-VLOOKUP(Table2[[#This Row],[Home/Neutral]],rtg_vlookup,4,FALSE)+VLOOKUP(Table2[[#This Row],[Visitor/Neutral]],rtg_vlookup,4,FALSE)</f>
        <v>11.811311475409834</v>
      </c>
      <c r="X792" s="15"/>
      <c r="Y792" s="2"/>
      <c r="Z792" s="2">
        <f>Table2[[#This Row],[A/EV]]-Table2[[#This Row],[H/EV]]</f>
        <v>9.7165427888364775</v>
      </c>
      <c r="AA792" s="29"/>
      <c r="AB792" s="30"/>
      <c r="AC792" s="30"/>
      <c r="AD792" s="30"/>
      <c r="AE792" s="30"/>
      <c r="AF792" s="7" t="b">
        <f>IF(VLOOKUP(Table2[[#This Row],[Home/Neutral]],division_lookup,9,FALSE)=VLOOKUP(Table2[[#This Row],[Visitor/Neutral]],division_lookup,9,FALSE),TRUE,FALSE)</f>
        <v>0</v>
      </c>
      <c r="AG792" s="15" t="str">
        <f>VLOOKUP(Table2[[#This Row],[Home/Neutral]],division_lookup,9,FALSE)</f>
        <v>A</v>
      </c>
      <c r="AH792" s="15" t="str">
        <f>IF(Table2[[#This Row],[Total/EV]]&lt;Table2[[#This Row],[Total/V]],"UNDER","OVER")</f>
        <v>OVER</v>
      </c>
      <c r="AI792" s="26">
        <f>Table2[[#This Row],[SRS/Real]]-Table2[[#This Row],[Spread/V]]</f>
        <v>0</v>
      </c>
      <c r="AJ792" s="2">
        <f>Table2[[#This Row],[EV/Real]]-Table2[[#This Row],[Spread/V]]</f>
        <v>0</v>
      </c>
      <c r="AK792" s="2">
        <f>Table2[[#This Row],[SRS/Diff]]-Table2[[#This Row],[EV/Diff]]</f>
        <v>0</v>
      </c>
      <c r="AL792" s="18">
        <f>Table2[[#This Row],[SRS]]-Table2[[#This Row],[Spread]]</f>
        <v>11.811311475409834</v>
      </c>
      <c r="AM792" s="21">
        <f>Table2[[#This Row],[(A) Err]]^2</f>
        <v>139.50707876914802</v>
      </c>
      <c r="AN792" s="6">
        <f>Table2[[#This Row],[EV]]-Table2[[#This Row],[Spread]]</f>
        <v>9.7165427888364775</v>
      </c>
      <c r="AO792" s="1">
        <f>Table2[[#This Row],[EV Err]]^2</f>
        <v>94.411203767290147</v>
      </c>
      <c r="AP792" s="1"/>
    </row>
    <row r="793" spans="1:42" x14ac:dyDescent="0.25">
      <c r="A793" s="34">
        <v>42774</v>
      </c>
      <c r="B793" t="s">
        <v>138</v>
      </c>
      <c r="C793" t="s">
        <v>134</v>
      </c>
      <c r="E793" s="21"/>
      <c r="G793" s="21"/>
      <c r="H793" s="7"/>
      <c r="I793" s="21"/>
      <c r="K793"/>
      <c r="L793" s="21">
        <f>(Table2[[#This Row],[H/Pace]]/100)*(VLOOKUP(Table2[[#This Row],[Home/Neutral]],home_lookup,8,FALSE)+VLOOKUP(Table2[[#This Row],[Home/Neutral]],OFR_lookup,2,FALSE)+VLOOKUP(Table2[[#This Row],[Visitor/Neutral]],def_diff_lookup,6,FALSE))</f>
        <v>97.779033531240103</v>
      </c>
      <c r="M793" s="21"/>
      <c r="N793" s="21">
        <f>(Table2[[#This Row],[A/Pace]]/100)*(VLOOKUP(Table2[[#This Row],[Visitor/Neutral]],OFR_lookup,2,FALSE)+VLOOKUP(Table2[[#This Row],[Home/Neutral]],def_diff_lookup,6,FALSE))</f>
        <v>106.85489266666667</v>
      </c>
      <c r="O793" s="21"/>
      <c r="P793" s="21"/>
      <c r="Q793">
        <f>VLOOKUP(Table2[[#This Row],[Home/Neutral]],pace_lookup,7,FALSE)</f>
        <v>97.5</v>
      </c>
      <c r="R793" s="5">
        <f>VLOOKUP(Table2[[#This Row],[Visitor/Neutral]],pace_lookup,7,FALSE)</f>
        <v>93.4</v>
      </c>
      <c r="S793" s="7"/>
      <c r="U793" s="15"/>
      <c r="W793" s="2">
        <f>-home-VLOOKUP(Table2[[#This Row],[Home/Neutral]],rtg_vlookup,4,FALSE)+VLOOKUP(Table2[[#This Row],[Visitor/Neutral]],rtg_vlookup,4,FALSE)</f>
        <v>14.241311475409834</v>
      </c>
      <c r="X793" s="15"/>
      <c r="Y793" s="2"/>
      <c r="Z793" s="2">
        <f>Table2[[#This Row],[A/EV]]-Table2[[#This Row],[H/EV]]</f>
        <v>9.075859135426569</v>
      </c>
      <c r="AA793" s="29"/>
      <c r="AB793" s="30"/>
      <c r="AC793" s="30"/>
      <c r="AD793" s="30"/>
      <c r="AE793" s="30"/>
      <c r="AF793" s="7" t="b">
        <f>IF(VLOOKUP(Table2[[#This Row],[Home/Neutral]],division_lookup,9,FALSE)=VLOOKUP(Table2[[#This Row],[Visitor/Neutral]],division_lookup,9,FALSE),TRUE,FALSE)</f>
        <v>0</v>
      </c>
      <c r="AG793" s="15" t="str">
        <f>VLOOKUP(Table2[[#This Row],[Home/Neutral]],division_lookup,9,FALSE)</f>
        <v>A</v>
      </c>
      <c r="AH793" s="15" t="str">
        <f>IF(Table2[[#This Row],[Total/EV]]&lt;Table2[[#This Row],[Total/V]],"UNDER","OVER")</f>
        <v>OVER</v>
      </c>
      <c r="AI793" s="26">
        <f>Table2[[#This Row],[SRS/Real]]-Table2[[#This Row],[Spread/V]]</f>
        <v>0</v>
      </c>
      <c r="AJ793" s="2">
        <f>Table2[[#This Row],[EV/Real]]-Table2[[#This Row],[Spread/V]]</f>
        <v>0</v>
      </c>
      <c r="AK793" s="2">
        <f>Table2[[#This Row],[SRS/Diff]]-Table2[[#This Row],[EV/Diff]]</f>
        <v>0</v>
      </c>
      <c r="AL793" s="18">
        <f>Table2[[#This Row],[SRS]]-Table2[[#This Row],[Spread]]</f>
        <v>14.241311475409834</v>
      </c>
      <c r="AM793" s="21">
        <f>Table2[[#This Row],[(A) Err]]^2</f>
        <v>202.81495253963982</v>
      </c>
      <c r="AN793" s="6">
        <f>Table2[[#This Row],[EV]]-Table2[[#This Row],[Spread]]</f>
        <v>9.075859135426569</v>
      </c>
      <c r="AO793" s="1">
        <f>Table2[[#This Row],[EV Err]]^2</f>
        <v>82.371219046105907</v>
      </c>
      <c r="AP793" s="1"/>
    </row>
    <row r="794" spans="1:42" x14ac:dyDescent="0.25">
      <c r="A794" s="34">
        <v>42774</v>
      </c>
      <c r="B794" t="s">
        <v>133</v>
      </c>
      <c r="C794" t="s">
        <v>110</v>
      </c>
      <c r="E794" s="21"/>
      <c r="G794" s="21"/>
      <c r="H794" s="7"/>
      <c r="I794" s="21"/>
      <c r="K794"/>
      <c r="L794" s="21">
        <f>(Table2[[#This Row],[H/Pace]]/100)*(VLOOKUP(Table2[[#This Row],[Home/Neutral]],home_lookup,8,FALSE)+VLOOKUP(Table2[[#This Row],[Home/Neutral]],OFR_lookup,2,FALSE)+VLOOKUP(Table2[[#This Row],[Visitor/Neutral]],def_diff_lookup,6,FALSE))</f>
        <v>108.7202274827998</v>
      </c>
      <c r="M794" s="21"/>
      <c r="N794" s="21">
        <f>(Table2[[#This Row],[A/Pace]]/100)*(VLOOKUP(Table2[[#This Row],[Visitor/Neutral]],OFR_lookup,2,FALSE)+VLOOKUP(Table2[[#This Row],[Home/Neutral]],def_diff_lookup,6,FALSE))</f>
        <v>106.86441133333334</v>
      </c>
      <c r="O794" s="21"/>
      <c r="P794" s="21"/>
      <c r="Q794">
        <f>VLOOKUP(Table2[[#This Row],[Home/Neutral]],pace_lookup,7,FALSE)</f>
        <v>94.2</v>
      </c>
      <c r="R794" s="5">
        <f>VLOOKUP(Table2[[#This Row],[Visitor/Neutral]],pace_lookup,7,FALSE)</f>
        <v>96.2</v>
      </c>
      <c r="S794" s="7"/>
      <c r="U794" s="15"/>
      <c r="W794" s="2">
        <f>-home-VLOOKUP(Table2[[#This Row],[Home/Neutral]],rtg_vlookup,4,FALSE)+VLOOKUP(Table2[[#This Row],[Visitor/Neutral]],rtg_vlookup,4,FALSE)</f>
        <v>-0.37868852459016578</v>
      </c>
      <c r="X794" s="15"/>
      <c r="Y794" s="2"/>
      <c r="Z794" s="2">
        <f>Table2[[#This Row],[A/EV]]-Table2[[#This Row],[H/EV]]</f>
        <v>-1.8558161494664631</v>
      </c>
      <c r="AA794" s="29"/>
      <c r="AB794" s="30"/>
      <c r="AC794" s="30"/>
      <c r="AD794" s="30"/>
      <c r="AE794" s="30"/>
      <c r="AF794" s="7" t="b">
        <f>IF(VLOOKUP(Table2[[#This Row],[Home/Neutral]],division_lookup,9,FALSE)=VLOOKUP(Table2[[#This Row],[Visitor/Neutral]],division_lookup,9,FALSE),TRUE,FALSE)</f>
        <v>0</v>
      </c>
      <c r="AG794" s="15" t="str">
        <f>VLOOKUP(Table2[[#This Row],[Home/Neutral]],division_lookup,9,FALSE)</f>
        <v>P</v>
      </c>
      <c r="AH794" s="15" t="str">
        <f>IF(Table2[[#This Row],[Total/EV]]&lt;Table2[[#This Row],[Total/V]],"UNDER","OVER")</f>
        <v>OVER</v>
      </c>
      <c r="AI794" s="26">
        <f>Table2[[#This Row],[SRS/Real]]-Table2[[#This Row],[Spread/V]]</f>
        <v>0</v>
      </c>
      <c r="AJ794" s="2">
        <f>Table2[[#This Row],[EV/Real]]-Table2[[#This Row],[Spread/V]]</f>
        <v>0</v>
      </c>
      <c r="AK794" s="2">
        <f>Table2[[#This Row],[SRS/Diff]]-Table2[[#This Row],[EV/Diff]]</f>
        <v>0</v>
      </c>
      <c r="AL794" s="18">
        <f>Table2[[#This Row],[SRS]]-Table2[[#This Row],[Spread]]</f>
        <v>-0.37868852459016578</v>
      </c>
      <c r="AM794" s="21">
        <f>Table2[[#This Row],[(A) Err]]^2</f>
        <v>0.14340499865627659</v>
      </c>
      <c r="AN794" s="6">
        <f>Table2[[#This Row],[EV]]-Table2[[#This Row],[Spread]]</f>
        <v>-1.8558161494664631</v>
      </c>
      <c r="AO794" s="1">
        <f>Table2[[#This Row],[EV Err]]^2</f>
        <v>3.4440535806205297</v>
      </c>
      <c r="AP794" s="1"/>
    </row>
    <row r="795" spans="1:42" x14ac:dyDescent="0.25">
      <c r="A795" s="34">
        <v>42775</v>
      </c>
      <c r="B795" t="s">
        <v>112</v>
      </c>
      <c r="C795" t="s">
        <v>119</v>
      </c>
      <c r="E795" s="21"/>
      <c r="G795" s="21"/>
      <c r="H795" s="7"/>
      <c r="I795" s="21"/>
      <c r="K795"/>
      <c r="L795" s="21">
        <f>(Table2[[#This Row],[H/Pace]]/100)*(VLOOKUP(Table2[[#This Row],[Home/Neutral]],home_lookup,8,FALSE)+VLOOKUP(Table2[[#This Row],[Home/Neutral]],OFR_lookup,2,FALSE)+VLOOKUP(Table2[[#This Row],[Visitor/Neutral]],def_diff_lookup,6,FALSE))</f>
        <v>106.82904195313485</v>
      </c>
      <c r="M795" s="21"/>
      <c r="N795" s="21">
        <f>(Table2[[#This Row],[A/Pace]]/100)*(VLOOKUP(Table2[[#This Row],[Visitor/Neutral]],OFR_lookup,2,FALSE)+VLOOKUP(Table2[[#This Row],[Home/Neutral]],def_diff_lookup,6,FALSE))</f>
        <v>108.649771</v>
      </c>
      <c r="O795" s="21"/>
      <c r="P795" s="21"/>
      <c r="Q795">
        <f>VLOOKUP(Table2[[#This Row],[Home/Neutral]],pace_lookup,7,FALSE)</f>
        <v>97.4</v>
      </c>
      <c r="R795" s="5">
        <f>VLOOKUP(Table2[[#This Row],[Visitor/Neutral]],pace_lookup,7,FALSE)</f>
        <v>96.9</v>
      </c>
      <c r="S795" s="7"/>
      <c r="U795" s="15"/>
      <c r="W795" s="2">
        <f>-home-VLOOKUP(Table2[[#This Row],[Home/Neutral]],rtg_vlookup,4,FALSE)+VLOOKUP(Table2[[#This Row],[Visitor/Neutral]],rtg_vlookup,4,FALSE)</f>
        <v>-1.1386885245901657</v>
      </c>
      <c r="X795" s="15"/>
      <c r="Y795" s="2"/>
      <c r="Z795" s="2">
        <f>Table2[[#This Row],[A/EV]]-Table2[[#This Row],[H/EV]]</f>
        <v>1.8207290468651536</v>
      </c>
      <c r="AA795" s="29"/>
      <c r="AB795" s="30"/>
      <c r="AC795" s="30"/>
      <c r="AD795" s="30"/>
      <c r="AE795" s="30"/>
      <c r="AF795" s="7" t="b">
        <f>IF(VLOOKUP(Table2[[#This Row],[Home/Neutral]],division_lookup,9,FALSE)=VLOOKUP(Table2[[#This Row],[Visitor/Neutral]],division_lookup,9,FALSE),TRUE,FALSE)</f>
        <v>0</v>
      </c>
      <c r="AG795" s="15" t="str">
        <f>VLOOKUP(Table2[[#This Row],[Home/Neutral]],division_lookup,9,FALSE)</f>
        <v>SE</v>
      </c>
      <c r="AH795" s="15" t="str">
        <f>IF(Table2[[#This Row],[Total/EV]]&lt;Table2[[#This Row],[Total/V]],"UNDER","OVER")</f>
        <v>OVER</v>
      </c>
      <c r="AI795" s="26">
        <f>Table2[[#This Row],[SRS/Real]]-Table2[[#This Row],[Spread/V]]</f>
        <v>0</v>
      </c>
      <c r="AJ795" s="2">
        <f>Table2[[#This Row],[EV/Real]]-Table2[[#This Row],[Spread/V]]</f>
        <v>0</v>
      </c>
      <c r="AK795" s="2">
        <f>Table2[[#This Row],[SRS/Diff]]-Table2[[#This Row],[EV/Diff]]</f>
        <v>0</v>
      </c>
      <c r="AL795" s="18">
        <f>Table2[[#This Row],[SRS]]-Table2[[#This Row],[Spread]]</f>
        <v>-1.1386885245901657</v>
      </c>
      <c r="AM795" s="21">
        <f>Table2[[#This Row],[(A) Err]]^2</f>
        <v>1.2966115560333282</v>
      </c>
      <c r="AN795" s="6">
        <f>Table2[[#This Row],[EV]]-Table2[[#This Row],[Spread]]</f>
        <v>1.8207290468651536</v>
      </c>
      <c r="AO795" s="1">
        <f>Table2[[#This Row],[EV Err]]^2</f>
        <v>3.3150542620984904</v>
      </c>
      <c r="AP795" s="1"/>
    </row>
    <row r="796" spans="1:42" x14ac:dyDescent="0.25">
      <c r="A796" s="34">
        <v>42775</v>
      </c>
      <c r="B796" t="s">
        <v>115</v>
      </c>
      <c r="C796" t="s">
        <v>136</v>
      </c>
      <c r="E796" s="21"/>
      <c r="G796" s="21"/>
      <c r="H796" s="7"/>
      <c r="I796" s="21"/>
      <c r="K796"/>
      <c r="L796" s="21">
        <f>(Table2[[#This Row],[H/Pace]]/100)*(VLOOKUP(Table2[[#This Row],[Home/Neutral]],home_lookup,8,FALSE)+VLOOKUP(Table2[[#This Row],[Home/Neutral]],OFR_lookup,2,FALSE)+VLOOKUP(Table2[[#This Row],[Visitor/Neutral]],def_diff_lookup,6,FALSE))</f>
        <v>91.234463115967756</v>
      </c>
      <c r="M796" s="21"/>
      <c r="N796" s="21">
        <f>(Table2[[#This Row],[A/Pace]]/100)*(VLOOKUP(Table2[[#This Row],[Visitor/Neutral]],OFR_lookup,2,FALSE)+VLOOKUP(Table2[[#This Row],[Home/Neutral]],def_diff_lookup,6,FALSE))</f>
        <v>96.729834999999994</v>
      </c>
      <c r="O796" s="21"/>
      <c r="P796" s="21"/>
      <c r="Q796">
        <f>VLOOKUP(Table2[[#This Row],[Home/Neutral]],pace_lookup,7,FALSE)</f>
        <v>92.9</v>
      </c>
      <c r="R796" s="5">
        <f>VLOOKUP(Table2[[#This Row],[Visitor/Neutral]],pace_lookup,7,FALSE)</f>
        <v>91.5</v>
      </c>
      <c r="S796" s="7"/>
      <c r="U796" s="15"/>
      <c r="W796" s="2">
        <f>-home-VLOOKUP(Table2[[#This Row],[Home/Neutral]],rtg_vlookup,4,FALSE)+VLOOKUP(Table2[[#This Row],[Visitor/Neutral]],rtg_vlookup,4,FALSE)</f>
        <v>10.331311475409834</v>
      </c>
      <c r="X796" s="15"/>
      <c r="Y796" s="2"/>
      <c r="Z796" s="2">
        <f>Table2[[#This Row],[A/EV]]-Table2[[#This Row],[H/EV]]</f>
        <v>5.4953718840322381</v>
      </c>
      <c r="AA796" s="29"/>
      <c r="AB796" s="30"/>
      <c r="AC796" s="30"/>
      <c r="AD796" s="30"/>
      <c r="AE796" s="30"/>
      <c r="AF796" s="7" t="b">
        <f>IF(VLOOKUP(Table2[[#This Row],[Home/Neutral]],division_lookup,9,FALSE)=VLOOKUP(Table2[[#This Row],[Visitor/Neutral]],division_lookup,9,FALSE),TRUE,FALSE)</f>
        <v>0</v>
      </c>
      <c r="AG796" s="15" t="str">
        <f>VLOOKUP(Table2[[#This Row],[Home/Neutral]],division_lookup,9,FALSE)</f>
        <v>SW</v>
      </c>
      <c r="AH796" s="15" t="str">
        <f>IF(Table2[[#This Row],[Total/EV]]&lt;Table2[[#This Row],[Total/V]],"UNDER","OVER")</f>
        <v>OVER</v>
      </c>
      <c r="AI796" s="26">
        <f>Table2[[#This Row],[SRS/Real]]-Table2[[#This Row],[Spread/V]]</f>
        <v>0</v>
      </c>
      <c r="AJ796" s="2">
        <f>Table2[[#This Row],[EV/Real]]-Table2[[#This Row],[Spread/V]]</f>
        <v>0</v>
      </c>
      <c r="AK796" s="2">
        <f>Table2[[#This Row],[SRS/Diff]]-Table2[[#This Row],[EV/Diff]]</f>
        <v>0</v>
      </c>
      <c r="AL796" s="18">
        <f>Table2[[#This Row],[SRS]]-Table2[[#This Row],[Spread]]</f>
        <v>10.331311475409834</v>
      </c>
      <c r="AM796" s="21">
        <f>Table2[[#This Row],[(A) Err]]^2</f>
        <v>106.73599680193492</v>
      </c>
      <c r="AN796" s="6">
        <f>Table2[[#This Row],[EV]]-Table2[[#This Row],[Spread]]</f>
        <v>5.4953718840322381</v>
      </c>
      <c r="AO796" s="1">
        <f>Table2[[#This Row],[EV Err]]^2</f>
        <v>30.19911214381203</v>
      </c>
      <c r="AP796" s="1"/>
    </row>
    <row r="797" spans="1:42" x14ac:dyDescent="0.25">
      <c r="A797" s="34">
        <v>42775</v>
      </c>
      <c r="B797" t="s">
        <v>129</v>
      </c>
      <c r="C797" t="s">
        <v>114</v>
      </c>
      <c r="E797" s="21"/>
      <c r="G797" s="21"/>
      <c r="H797" s="7"/>
      <c r="I797" s="21"/>
      <c r="K797"/>
      <c r="L797" s="21">
        <f>(Table2[[#This Row],[H/Pace]]/100)*(VLOOKUP(Table2[[#This Row],[Home/Neutral]],home_lookup,8,FALSE)+VLOOKUP(Table2[[#This Row],[Home/Neutral]],OFR_lookup,2,FALSE)+VLOOKUP(Table2[[#This Row],[Visitor/Neutral]],def_diff_lookup,6,FALSE))</f>
        <v>106.88660376890108</v>
      </c>
      <c r="M797" s="21"/>
      <c r="N797" s="21">
        <f>(Table2[[#This Row],[A/Pace]]/100)*(VLOOKUP(Table2[[#This Row],[Visitor/Neutral]],OFR_lookup,2,FALSE)+VLOOKUP(Table2[[#This Row],[Home/Neutral]],def_diff_lookup,6,FALSE))</f>
        <v>109.80856366666666</v>
      </c>
      <c r="O797" s="21"/>
      <c r="P797" s="21"/>
      <c r="Q797">
        <f>VLOOKUP(Table2[[#This Row],[Home/Neutral]],pace_lookup,7,FALSE)</f>
        <v>99</v>
      </c>
      <c r="R797" s="5">
        <f>VLOOKUP(Table2[[#This Row],[Visitor/Neutral]],pace_lookup,7,FALSE)</f>
        <v>97.3</v>
      </c>
      <c r="S797" s="7"/>
      <c r="U797" s="15"/>
      <c r="W797" s="2">
        <f>-home-VLOOKUP(Table2[[#This Row],[Home/Neutral]],rtg_vlookup,4,FALSE)+VLOOKUP(Table2[[#This Row],[Visitor/Neutral]],rtg_vlookup,4,FALSE)</f>
        <v>4.3613114754098348</v>
      </c>
      <c r="X797" s="15"/>
      <c r="Y797" s="2"/>
      <c r="Z797" s="2">
        <f>Table2[[#This Row],[A/EV]]-Table2[[#This Row],[H/EV]]</f>
        <v>2.921959897765575</v>
      </c>
      <c r="AA797" s="29"/>
      <c r="AB797" s="30"/>
      <c r="AC797" s="30"/>
      <c r="AD797" s="30"/>
      <c r="AE797" s="30"/>
      <c r="AF797" s="7" t="b">
        <f>IF(VLOOKUP(Table2[[#This Row],[Home/Neutral]],division_lookup,9,FALSE)=VLOOKUP(Table2[[#This Row],[Visitor/Neutral]],division_lookup,9,FALSE),TRUE,FALSE)</f>
        <v>0</v>
      </c>
      <c r="AG797" s="15" t="str">
        <f>VLOOKUP(Table2[[#This Row],[Home/Neutral]],division_lookup,9,FALSE)</f>
        <v>NW</v>
      </c>
      <c r="AH797" s="15" t="str">
        <f>IF(Table2[[#This Row],[Total/EV]]&lt;Table2[[#This Row],[Total/V]],"UNDER","OVER")</f>
        <v>OVER</v>
      </c>
      <c r="AI797" s="26">
        <f>Table2[[#This Row],[SRS/Real]]-Table2[[#This Row],[Spread/V]]</f>
        <v>0</v>
      </c>
      <c r="AJ797" s="2">
        <f>Table2[[#This Row],[EV/Real]]-Table2[[#This Row],[Spread/V]]</f>
        <v>0</v>
      </c>
      <c r="AK797" s="2">
        <f>Table2[[#This Row],[SRS/Diff]]-Table2[[#This Row],[EV/Diff]]</f>
        <v>0</v>
      </c>
      <c r="AL797" s="18">
        <f>Table2[[#This Row],[SRS]]-Table2[[#This Row],[Spread]]</f>
        <v>4.3613114754098348</v>
      </c>
      <c r="AM797" s="21">
        <f>Table2[[#This Row],[(A) Err]]^2</f>
        <v>19.021037785541509</v>
      </c>
      <c r="AN797" s="6">
        <f>Table2[[#This Row],[EV]]-Table2[[#This Row],[Spread]]</f>
        <v>2.921959897765575</v>
      </c>
      <c r="AO797" s="1">
        <f>Table2[[#This Row],[EV Err]]^2</f>
        <v>8.5378496441502101</v>
      </c>
      <c r="AP797" s="1"/>
    </row>
    <row r="798" spans="1:42" x14ac:dyDescent="0.25">
      <c r="A798" s="34">
        <v>42775</v>
      </c>
      <c r="B798" t="s">
        <v>130</v>
      </c>
      <c r="C798" t="s">
        <v>138</v>
      </c>
      <c r="E798" s="21"/>
      <c r="G798" s="21"/>
      <c r="H798" s="7"/>
      <c r="I798" s="21"/>
      <c r="K798"/>
      <c r="L798" s="21">
        <f>(Table2[[#This Row],[H/Pace]]/100)*(VLOOKUP(Table2[[#This Row],[Home/Neutral]],home_lookup,8,FALSE)+VLOOKUP(Table2[[#This Row],[Home/Neutral]],OFR_lookup,2,FALSE)+VLOOKUP(Table2[[#This Row],[Visitor/Neutral]],def_diff_lookup,6,FALSE))</f>
        <v>98.108024967109401</v>
      </c>
      <c r="M798" s="21"/>
      <c r="N798" s="21">
        <f>(Table2[[#This Row],[A/Pace]]/100)*(VLOOKUP(Table2[[#This Row],[Visitor/Neutral]],OFR_lookup,2,FALSE)+VLOOKUP(Table2[[#This Row],[Home/Neutral]],def_diff_lookup,6,FALSE))</f>
        <v>96.101524999999995</v>
      </c>
      <c r="O798" s="21"/>
      <c r="P798" s="21"/>
      <c r="Q798">
        <f>VLOOKUP(Table2[[#This Row],[Home/Neutral]],pace_lookup,7,FALSE)</f>
        <v>94.2</v>
      </c>
      <c r="R798" s="5">
        <f>VLOOKUP(Table2[[#This Row],[Visitor/Neutral]],pace_lookup,7,FALSE)</f>
        <v>97.5</v>
      </c>
      <c r="S798" s="7"/>
      <c r="U798" s="15"/>
      <c r="W798" s="2">
        <f>-home-VLOOKUP(Table2[[#This Row],[Home/Neutral]],rtg_vlookup,4,FALSE)+VLOOKUP(Table2[[#This Row],[Visitor/Neutral]],rtg_vlookup,4,FALSE)</f>
        <v>-3.7786885245901658</v>
      </c>
      <c r="X798" s="15"/>
      <c r="Y798" s="2"/>
      <c r="Z798" s="2">
        <f>Table2[[#This Row],[A/EV]]-Table2[[#This Row],[H/EV]]</f>
        <v>-2.0064999671094057</v>
      </c>
      <c r="AA798" s="29"/>
      <c r="AB798" s="30"/>
      <c r="AC798" s="30"/>
      <c r="AD798" s="30"/>
      <c r="AE798" s="30"/>
      <c r="AF798" s="7" t="b">
        <f>IF(VLOOKUP(Table2[[#This Row],[Home/Neutral]],division_lookup,9,FALSE)=VLOOKUP(Table2[[#This Row],[Visitor/Neutral]],division_lookup,9,FALSE),TRUE,FALSE)</f>
        <v>0</v>
      </c>
      <c r="AG798" s="15" t="str">
        <f>VLOOKUP(Table2[[#This Row],[Home/Neutral]],division_lookup,9,FALSE)</f>
        <v>SE</v>
      </c>
      <c r="AH798" s="15" t="str">
        <f>IF(Table2[[#This Row],[Total/EV]]&lt;Table2[[#This Row],[Total/V]],"UNDER","OVER")</f>
        <v>OVER</v>
      </c>
      <c r="AI798" s="26">
        <f>Table2[[#This Row],[SRS/Real]]-Table2[[#This Row],[Spread/V]]</f>
        <v>0</v>
      </c>
      <c r="AJ798" s="2">
        <f>Table2[[#This Row],[EV/Real]]-Table2[[#This Row],[Spread/V]]</f>
        <v>0</v>
      </c>
      <c r="AK798" s="2">
        <f>Table2[[#This Row],[SRS/Diff]]-Table2[[#This Row],[EV/Diff]]</f>
        <v>0</v>
      </c>
      <c r="AL798" s="18">
        <f>Table2[[#This Row],[SRS]]-Table2[[#This Row],[Spread]]</f>
        <v>-3.7786885245901658</v>
      </c>
      <c r="AM798" s="21">
        <f>Table2[[#This Row],[(A) Err]]^2</f>
        <v>14.278486965869405</v>
      </c>
      <c r="AN798" s="6">
        <f>Table2[[#This Row],[EV]]-Table2[[#This Row],[Spread]]</f>
        <v>-2.0064999671094057</v>
      </c>
      <c r="AO798" s="1">
        <f>Table2[[#This Row],[EV Err]]^2</f>
        <v>4.0260421180100465</v>
      </c>
      <c r="AP798" s="1"/>
    </row>
    <row r="799" spans="1:42" x14ac:dyDescent="0.25">
      <c r="A799" s="34">
        <v>42775</v>
      </c>
      <c r="B799" t="s">
        <v>132</v>
      </c>
      <c r="C799" t="s">
        <v>110</v>
      </c>
      <c r="E799" s="21"/>
      <c r="G799" s="21"/>
      <c r="H799" s="7"/>
      <c r="I799" s="21"/>
      <c r="K799"/>
      <c r="L799" s="21">
        <f>(Table2[[#This Row],[H/Pace]]/100)*(VLOOKUP(Table2[[#This Row],[Home/Neutral]],home_lookup,8,FALSE)+VLOOKUP(Table2[[#This Row],[Home/Neutral]],OFR_lookup,2,FALSE)+VLOOKUP(Table2[[#This Row],[Visitor/Neutral]],def_diff_lookup,6,FALSE))</f>
        <v>109.68598144606979</v>
      </c>
      <c r="M799" s="21"/>
      <c r="N799" s="21">
        <f>(Table2[[#This Row],[A/Pace]]/100)*(VLOOKUP(Table2[[#This Row],[Visitor/Neutral]],OFR_lookup,2,FALSE)+VLOOKUP(Table2[[#This Row],[Home/Neutral]],def_diff_lookup,6,FALSE))</f>
        <v>109.05777133333335</v>
      </c>
      <c r="O799" s="21"/>
      <c r="P799" s="21"/>
      <c r="Q799">
        <f>VLOOKUP(Table2[[#This Row],[Home/Neutral]],pace_lookup,7,FALSE)</f>
        <v>98.8</v>
      </c>
      <c r="R799" s="5">
        <f>VLOOKUP(Table2[[#This Row],[Visitor/Neutral]],pace_lookup,7,FALSE)</f>
        <v>96.2</v>
      </c>
      <c r="S799" s="7"/>
      <c r="U799" s="15"/>
      <c r="W799" s="2">
        <f>-home-VLOOKUP(Table2[[#This Row],[Home/Neutral]],rtg_vlookup,4,FALSE)+VLOOKUP(Table2[[#This Row],[Visitor/Neutral]],rtg_vlookup,4,FALSE)</f>
        <v>0.14131147540983424</v>
      </c>
      <c r="X799" s="15"/>
      <c r="Y799" s="2"/>
      <c r="Z799" s="2">
        <f>Table2[[#This Row],[A/EV]]-Table2[[#This Row],[H/EV]]</f>
        <v>-0.6282101127364399</v>
      </c>
      <c r="AA799" s="29"/>
      <c r="AB799" s="30"/>
      <c r="AC799" s="30"/>
      <c r="AD799" s="30"/>
      <c r="AE799" s="30"/>
      <c r="AF799" s="7" t="b">
        <f>IF(VLOOKUP(Table2[[#This Row],[Home/Neutral]],division_lookup,9,FALSE)=VLOOKUP(Table2[[#This Row],[Visitor/Neutral]],division_lookup,9,FALSE),TRUE,FALSE)</f>
        <v>0</v>
      </c>
      <c r="AG799" s="15" t="str">
        <f>VLOOKUP(Table2[[#This Row],[Home/Neutral]],division_lookup,9,FALSE)</f>
        <v>NW</v>
      </c>
      <c r="AH799" s="15" t="str">
        <f>IF(Table2[[#This Row],[Total/EV]]&lt;Table2[[#This Row],[Total/V]],"UNDER","OVER")</f>
        <v>OVER</v>
      </c>
      <c r="AI799" s="26">
        <f>Table2[[#This Row],[SRS/Real]]-Table2[[#This Row],[Spread/V]]</f>
        <v>0</v>
      </c>
      <c r="AJ799" s="2">
        <f>Table2[[#This Row],[EV/Real]]-Table2[[#This Row],[Spread/V]]</f>
        <v>0</v>
      </c>
      <c r="AK799" s="2">
        <f>Table2[[#This Row],[SRS/Diff]]-Table2[[#This Row],[EV/Diff]]</f>
        <v>0</v>
      </c>
      <c r="AL799" s="18">
        <f>Table2[[#This Row],[SRS]]-Table2[[#This Row],[Spread]]</f>
        <v>0.14131147540983424</v>
      </c>
      <c r="AM799" s="21">
        <f>Table2[[#This Row],[(A) Err]]^2</f>
        <v>1.9968933082504189E-2</v>
      </c>
      <c r="AN799" s="6">
        <f>Table2[[#This Row],[EV]]-Table2[[#This Row],[Spread]]</f>
        <v>-0.6282101127364399</v>
      </c>
      <c r="AO799" s="1">
        <f>Table2[[#This Row],[EV Err]]^2</f>
        <v>0.39464794574433054</v>
      </c>
      <c r="AP799" s="1"/>
    </row>
    <row r="800" spans="1:42" x14ac:dyDescent="0.25">
      <c r="A800" s="34">
        <v>42776</v>
      </c>
      <c r="B800" t="s">
        <v>111</v>
      </c>
      <c r="C800" t="s">
        <v>124</v>
      </c>
      <c r="E800" s="21"/>
      <c r="G800" s="21"/>
      <c r="H800" s="7"/>
      <c r="I800" s="21"/>
      <c r="K800"/>
      <c r="L800" s="21">
        <f>(Table2[[#This Row],[H/Pace]]/100)*(VLOOKUP(Table2[[#This Row],[Home/Neutral]],home_lookup,8,FALSE)+VLOOKUP(Table2[[#This Row],[Home/Neutral]],OFR_lookup,2,FALSE)+VLOOKUP(Table2[[#This Row],[Visitor/Neutral]],def_diff_lookup,6,FALSE))</f>
        <v>97.927018327716354</v>
      </c>
      <c r="M800" s="21"/>
      <c r="N800" s="21">
        <f>(Table2[[#This Row],[A/Pace]]/100)*(VLOOKUP(Table2[[#This Row],[Visitor/Neutral]],OFR_lookup,2,FALSE)+VLOOKUP(Table2[[#This Row],[Home/Neutral]],def_diff_lookup,6,FALSE))</f>
        <v>100.76091966666667</v>
      </c>
      <c r="O800" s="21"/>
      <c r="P800" s="21"/>
      <c r="Q800">
        <f>VLOOKUP(Table2[[#This Row],[Home/Neutral]],pace_lookup,7,FALSE)</f>
        <v>102</v>
      </c>
      <c r="R800" s="5">
        <f>VLOOKUP(Table2[[#This Row],[Visitor/Neutral]],pace_lookup,7,FALSE)</f>
        <v>93.7</v>
      </c>
      <c r="S800" s="7"/>
      <c r="U800" s="15"/>
      <c r="W800" s="2">
        <f>-home-VLOOKUP(Table2[[#This Row],[Home/Neutral]],rtg_vlookup,4,FALSE)+VLOOKUP(Table2[[#This Row],[Visitor/Neutral]],rtg_vlookup,4,FALSE)</f>
        <v>4.8013114754098334</v>
      </c>
      <c r="X800" s="15"/>
      <c r="Y800" s="2"/>
      <c r="Z800" s="2">
        <f>Table2[[#This Row],[A/EV]]-Table2[[#This Row],[H/EV]]</f>
        <v>2.8339013389503123</v>
      </c>
      <c r="AA800" s="29"/>
      <c r="AB800" s="30"/>
      <c r="AC800" s="30"/>
      <c r="AD800" s="30"/>
      <c r="AE800" s="30"/>
      <c r="AF800" s="7" t="b">
        <f>IF(VLOOKUP(Table2[[#This Row],[Home/Neutral]],division_lookup,9,FALSE)=VLOOKUP(Table2[[#This Row],[Visitor/Neutral]],division_lookup,9,FALSE),TRUE,FALSE)</f>
        <v>0</v>
      </c>
      <c r="AG800" s="15" t="str">
        <f>VLOOKUP(Table2[[#This Row],[Home/Neutral]],division_lookup,9,FALSE)</f>
        <v>A</v>
      </c>
      <c r="AH800" s="15" t="str">
        <f>IF(Table2[[#This Row],[Total/EV]]&lt;Table2[[#This Row],[Total/V]],"UNDER","OVER")</f>
        <v>OVER</v>
      </c>
      <c r="AI800" s="26">
        <f>Table2[[#This Row],[SRS/Real]]-Table2[[#This Row],[Spread/V]]</f>
        <v>0</v>
      </c>
      <c r="AJ800" s="2">
        <f>Table2[[#This Row],[EV/Real]]-Table2[[#This Row],[Spread/V]]</f>
        <v>0</v>
      </c>
      <c r="AK800" s="2">
        <f>Table2[[#This Row],[SRS/Diff]]-Table2[[#This Row],[EV/Diff]]</f>
        <v>0</v>
      </c>
      <c r="AL800" s="18">
        <f>Table2[[#This Row],[SRS]]-Table2[[#This Row],[Spread]]</f>
        <v>4.8013114754098334</v>
      </c>
      <c r="AM800" s="21">
        <f>Table2[[#This Row],[(A) Err]]^2</f>
        <v>23.052591883902153</v>
      </c>
      <c r="AN800" s="6">
        <f>Table2[[#This Row],[EV]]-Table2[[#This Row],[Spread]]</f>
        <v>2.8339013389503123</v>
      </c>
      <c r="AO800" s="1">
        <f>Table2[[#This Row],[EV Err]]^2</f>
        <v>8.030996798904372</v>
      </c>
      <c r="AP800" s="1"/>
    </row>
    <row r="801" spans="1:42" x14ac:dyDescent="0.25">
      <c r="A801" s="34">
        <v>42776</v>
      </c>
      <c r="B801" t="s">
        <v>117</v>
      </c>
      <c r="C801" t="s">
        <v>134</v>
      </c>
      <c r="E801" s="21"/>
      <c r="G801" s="21"/>
      <c r="H801" s="7"/>
      <c r="I801" s="21"/>
      <c r="K801"/>
      <c r="L801" s="21">
        <f>(Table2[[#This Row],[H/Pace]]/100)*(VLOOKUP(Table2[[#This Row],[Home/Neutral]],home_lookup,8,FALSE)+VLOOKUP(Table2[[#This Row],[Home/Neutral]],OFR_lookup,2,FALSE)+VLOOKUP(Table2[[#This Row],[Visitor/Neutral]],def_diff_lookup,6,FALSE))</f>
        <v>110.9581959144643</v>
      </c>
      <c r="M801" s="21"/>
      <c r="N801" s="21">
        <f>(Table2[[#This Row],[A/Pace]]/100)*(VLOOKUP(Table2[[#This Row],[Visitor/Neutral]],OFR_lookup,2,FALSE)+VLOOKUP(Table2[[#This Row],[Home/Neutral]],def_diff_lookup,6,FALSE))</f>
        <v>101.60581266666667</v>
      </c>
      <c r="O801" s="21"/>
      <c r="P801" s="21"/>
      <c r="Q801">
        <f>VLOOKUP(Table2[[#This Row],[Home/Neutral]],pace_lookup,7,FALSE)</f>
        <v>94</v>
      </c>
      <c r="R801" s="5">
        <f>VLOOKUP(Table2[[#This Row],[Visitor/Neutral]],pace_lookup,7,FALSE)</f>
        <v>93.4</v>
      </c>
      <c r="S801" s="7"/>
      <c r="U801" s="15"/>
      <c r="W801" s="2">
        <f>-home-VLOOKUP(Table2[[#This Row],[Home/Neutral]],rtg_vlookup,4,FALSE)+VLOOKUP(Table2[[#This Row],[Visitor/Neutral]],rtg_vlookup,4,FALSE)</f>
        <v>3.0413114754098336</v>
      </c>
      <c r="X801" s="15"/>
      <c r="Y801" s="2"/>
      <c r="Z801" s="2">
        <f>Table2[[#This Row],[A/EV]]-Table2[[#This Row],[H/EV]]</f>
        <v>-9.3523832477976327</v>
      </c>
      <c r="AA801" s="29"/>
      <c r="AB801" s="30"/>
      <c r="AC801" s="30"/>
      <c r="AD801" s="30"/>
      <c r="AE801" s="30"/>
      <c r="AF801" s="7" t="b">
        <f>IF(VLOOKUP(Table2[[#This Row],[Home/Neutral]],division_lookup,9,FALSE)=VLOOKUP(Table2[[#This Row],[Visitor/Neutral]],division_lookup,9,FALSE),TRUE,FALSE)</f>
        <v>0</v>
      </c>
      <c r="AG801" s="15" t="str">
        <f>VLOOKUP(Table2[[#This Row],[Home/Neutral]],division_lookup,9,FALSE)</f>
        <v>C</v>
      </c>
      <c r="AH801" s="15" t="str">
        <f>IF(Table2[[#This Row],[Total/EV]]&lt;Table2[[#This Row],[Total/V]],"UNDER","OVER")</f>
        <v>OVER</v>
      </c>
      <c r="AI801" s="26">
        <f>Table2[[#This Row],[SRS/Real]]-Table2[[#This Row],[Spread/V]]</f>
        <v>0</v>
      </c>
      <c r="AJ801" s="2">
        <f>Table2[[#This Row],[EV/Real]]-Table2[[#This Row],[Spread/V]]</f>
        <v>0</v>
      </c>
      <c r="AK801" s="2">
        <f>Table2[[#This Row],[SRS/Diff]]-Table2[[#This Row],[EV/Diff]]</f>
        <v>0</v>
      </c>
      <c r="AL801" s="18">
        <f>Table2[[#This Row],[SRS]]-Table2[[#This Row],[Spread]]</f>
        <v>3.0413114754098336</v>
      </c>
      <c r="AM801" s="21">
        <f>Table2[[#This Row],[(A) Err]]^2</f>
        <v>9.2495754904595398</v>
      </c>
      <c r="AN801" s="6">
        <f>Table2[[#This Row],[EV]]-Table2[[#This Row],[Spread]]</f>
        <v>-9.3523832477976327</v>
      </c>
      <c r="AO801" s="1">
        <f>Table2[[#This Row],[EV Err]]^2</f>
        <v>87.467072413685798</v>
      </c>
      <c r="AP801" s="1"/>
    </row>
    <row r="802" spans="1:42" x14ac:dyDescent="0.25">
      <c r="A802" s="34">
        <v>42776</v>
      </c>
      <c r="B802" t="s">
        <v>123</v>
      </c>
      <c r="C802" t="s">
        <v>118</v>
      </c>
      <c r="E802" s="21"/>
      <c r="G802" s="21"/>
      <c r="H802" s="7"/>
      <c r="I802" s="21"/>
      <c r="K802"/>
      <c r="L802" s="21">
        <f>(Table2[[#This Row],[H/Pace]]/100)*(VLOOKUP(Table2[[#This Row],[Home/Neutral]],home_lookup,8,FALSE)+VLOOKUP(Table2[[#This Row],[Home/Neutral]],OFR_lookup,2,FALSE)+VLOOKUP(Table2[[#This Row],[Visitor/Neutral]],def_diff_lookup,6,FALSE))</f>
        <v>100.69942709563918</v>
      </c>
      <c r="M802" s="21"/>
      <c r="N802" s="21">
        <f>(Table2[[#This Row],[A/Pace]]/100)*(VLOOKUP(Table2[[#This Row],[Visitor/Neutral]],OFR_lookup,2,FALSE)+VLOOKUP(Table2[[#This Row],[Home/Neutral]],def_diff_lookup,6,FALSE))</f>
        <v>113.83920933333332</v>
      </c>
      <c r="O802" s="21"/>
      <c r="P802" s="21"/>
      <c r="Q802">
        <f>VLOOKUP(Table2[[#This Row],[Home/Neutral]],pace_lookup,7,FALSE)</f>
        <v>92.5</v>
      </c>
      <c r="R802" s="5">
        <f>VLOOKUP(Table2[[#This Row],[Visitor/Neutral]],pace_lookup,7,FALSE)</f>
        <v>100.4</v>
      </c>
      <c r="S802" s="7"/>
      <c r="U802" s="15"/>
      <c r="W802" s="2">
        <f>-home-VLOOKUP(Table2[[#This Row],[Home/Neutral]],rtg_vlookup,4,FALSE)+VLOOKUP(Table2[[#This Row],[Visitor/Neutral]],rtg_vlookup,4,FALSE)</f>
        <v>7.9613114754098344</v>
      </c>
      <c r="X802" s="15"/>
      <c r="Y802" s="2"/>
      <c r="Z802" s="2">
        <f>Table2[[#This Row],[A/EV]]-Table2[[#This Row],[H/EV]]</f>
        <v>13.139782237694135</v>
      </c>
      <c r="AA802" s="29"/>
      <c r="AB802" s="30"/>
      <c r="AC802" s="30"/>
      <c r="AD802" s="30"/>
      <c r="AE802" s="30"/>
      <c r="AF802" s="7" t="b">
        <f>IF(VLOOKUP(Table2[[#This Row],[Home/Neutral]],division_lookup,9,FALSE)=VLOOKUP(Table2[[#This Row],[Visitor/Neutral]],division_lookup,9,FALSE),TRUE,FALSE)</f>
        <v>0</v>
      </c>
      <c r="AG802" s="15" t="str">
        <f>VLOOKUP(Table2[[#This Row],[Home/Neutral]],division_lookup,9,FALSE)</f>
        <v>SW</v>
      </c>
      <c r="AH802" s="15" t="str">
        <f>IF(Table2[[#This Row],[Total/EV]]&lt;Table2[[#This Row],[Total/V]],"UNDER","OVER")</f>
        <v>OVER</v>
      </c>
      <c r="AI802" s="26">
        <f>Table2[[#This Row],[SRS/Real]]-Table2[[#This Row],[Spread/V]]</f>
        <v>0</v>
      </c>
      <c r="AJ802" s="2">
        <f>Table2[[#This Row],[EV/Real]]-Table2[[#This Row],[Spread/V]]</f>
        <v>0</v>
      </c>
      <c r="AK802" s="2">
        <f>Table2[[#This Row],[SRS/Diff]]-Table2[[#This Row],[EV/Diff]]</f>
        <v>0</v>
      </c>
      <c r="AL802" s="18">
        <f>Table2[[#This Row],[SRS]]-Table2[[#This Row],[Spread]]</f>
        <v>7.9613114754098344</v>
      </c>
      <c r="AM802" s="21">
        <f>Table2[[#This Row],[(A) Err]]^2</f>
        <v>63.382480408492313</v>
      </c>
      <c r="AN802" s="6">
        <f>Table2[[#This Row],[EV]]-Table2[[#This Row],[Spread]]</f>
        <v>13.139782237694135</v>
      </c>
      <c r="AO802" s="1">
        <f>Table2[[#This Row],[EV Err]]^2</f>
        <v>172.65387725402229</v>
      </c>
      <c r="AP802" s="1"/>
    </row>
    <row r="803" spans="1:42" x14ac:dyDescent="0.25">
      <c r="A803" s="34">
        <v>42776</v>
      </c>
      <c r="B803" t="s">
        <v>125</v>
      </c>
      <c r="C803" t="s">
        <v>122</v>
      </c>
      <c r="E803" s="21"/>
      <c r="G803" s="21"/>
      <c r="H803" s="7"/>
      <c r="I803" s="21"/>
      <c r="K803"/>
      <c r="L803" s="21">
        <f>(Table2[[#This Row],[H/Pace]]/100)*(VLOOKUP(Table2[[#This Row],[Home/Neutral]],home_lookup,8,FALSE)+VLOOKUP(Table2[[#This Row],[Home/Neutral]],OFR_lookup,2,FALSE)+VLOOKUP(Table2[[#This Row],[Visitor/Neutral]],def_diff_lookup,6,FALSE))</f>
        <v>112.87983550061908</v>
      </c>
      <c r="M803" s="21"/>
      <c r="N803" s="21">
        <f>(Table2[[#This Row],[A/Pace]]/100)*(VLOOKUP(Table2[[#This Row],[Visitor/Neutral]],OFR_lookup,2,FALSE)+VLOOKUP(Table2[[#This Row],[Home/Neutral]],def_diff_lookup,6,FALSE))</f>
        <v>111.25773799999999</v>
      </c>
      <c r="O803" s="21"/>
      <c r="P803" s="21"/>
      <c r="Q803">
        <f>VLOOKUP(Table2[[#This Row],[Home/Neutral]],pace_lookup,7,FALSE)</f>
        <v>96.1</v>
      </c>
      <c r="R803" s="5">
        <f>VLOOKUP(Table2[[#This Row],[Visitor/Neutral]],pace_lookup,7,FALSE)</f>
        <v>100.2</v>
      </c>
      <c r="S803" s="7"/>
      <c r="U803" s="15"/>
      <c r="W803" s="2">
        <f>-home-VLOOKUP(Table2[[#This Row],[Home/Neutral]],rtg_vlookup,4,FALSE)+VLOOKUP(Table2[[#This Row],[Visitor/Neutral]],rtg_vlookup,4,FALSE)</f>
        <v>-2.5486885245901658</v>
      </c>
      <c r="X803" s="15"/>
      <c r="Y803" s="2"/>
      <c r="Z803" s="2">
        <f>Table2[[#This Row],[A/EV]]-Table2[[#This Row],[H/EV]]</f>
        <v>-1.6220975006190912</v>
      </c>
      <c r="AA803" s="29"/>
      <c r="AB803" s="30"/>
      <c r="AC803" s="30"/>
      <c r="AD803" s="30"/>
      <c r="AE803" s="30"/>
      <c r="AF803" s="7" t="b">
        <f>IF(VLOOKUP(Table2[[#This Row],[Home/Neutral]],division_lookup,9,FALSE)=VLOOKUP(Table2[[#This Row],[Visitor/Neutral]],division_lookup,9,FALSE),TRUE,FALSE)</f>
        <v>0</v>
      </c>
      <c r="AG803" s="15" t="str">
        <f>VLOOKUP(Table2[[#This Row],[Home/Neutral]],division_lookup,9,FALSE)</f>
        <v>C</v>
      </c>
      <c r="AH803" s="15" t="str">
        <f>IF(Table2[[#This Row],[Total/EV]]&lt;Table2[[#This Row],[Total/V]],"UNDER","OVER")</f>
        <v>OVER</v>
      </c>
      <c r="AI803" s="26">
        <f>Table2[[#This Row],[SRS/Real]]-Table2[[#This Row],[Spread/V]]</f>
        <v>0</v>
      </c>
      <c r="AJ803" s="2">
        <f>Table2[[#This Row],[EV/Real]]-Table2[[#This Row],[Spread/V]]</f>
        <v>0</v>
      </c>
      <c r="AK803" s="2">
        <f>Table2[[#This Row],[SRS/Diff]]-Table2[[#This Row],[EV/Diff]]</f>
        <v>0</v>
      </c>
      <c r="AL803" s="18">
        <f>Table2[[#This Row],[SRS]]-Table2[[#This Row],[Spread]]</f>
        <v>-2.5486885245901658</v>
      </c>
      <c r="AM803" s="21">
        <f>Table2[[#This Row],[(A) Err]]^2</f>
        <v>6.4958131953775959</v>
      </c>
      <c r="AN803" s="6">
        <f>Table2[[#This Row],[EV]]-Table2[[#This Row],[Spread]]</f>
        <v>-1.6220975006190912</v>
      </c>
      <c r="AO803" s="1">
        <f>Table2[[#This Row],[EV Err]]^2</f>
        <v>2.6312003015147027</v>
      </c>
      <c r="AP803" s="1"/>
    </row>
    <row r="804" spans="1:42" x14ac:dyDescent="0.25">
      <c r="A804" s="34">
        <v>42776</v>
      </c>
      <c r="B804" t="s">
        <v>126</v>
      </c>
      <c r="C804" t="s">
        <v>127</v>
      </c>
      <c r="E804" s="21"/>
      <c r="G804" s="21"/>
      <c r="H804" s="7"/>
      <c r="I804" s="21"/>
      <c r="K804"/>
      <c r="L804" s="21">
        <f>(Table2[[#This Row],[H/Pace]]/100)*(VLOOKUP(Table2[[#This Row],[Home/Neutral]],home_lookup,8,FALSE)+VLOOKUP(Table2[[#This Row],[Home/Neutral]],OFR_lookup,2,FALSE)+VLOOKUP(Table2[[#This Row],[Visitor/Neutral]],def_diff_lookup,6,FALSE))</f>
        <v>113.65835777050785</v>
      </c>
      <c r="M804" s="21"/>
      <c r="N804" s="21">
        <f>(Table2[[#This Row],[A/Pace]]/100)*(VLOOKUP(Table2[[#This Row],[Visitor/Neutral]],OFR_lookup,2,FALSE)+VLOOKUP(Table2[[#This Row],[Home/Neutral]],def_diff_lookup,6,FALSE))</f>
        <v>105.164327</v>
      </c>
      <c r="O804" s="21"/>
      <c r="P804" s="21"/>
      <c r="Q804">
        <f>VLOOKUP(Table2[[#This Row],[Home/Neutral]],pace_lookup,7,FALSE)</f>
        <v>95.7</v>
      </c>
      <c r="R804" s="5">
        <f>VLOOKUP(Table2[[#This Row],[Visitor/Neutral]],pace_lookup,7,FALSE)</f>
        <v>99.3</v>
      </c>
      <c r="S804" s="7"/>
      <c r="U804" s="15"/>
      <c r="W804" s="2">
        <f>-home-VLOOKUP(Table2[[#This Row],[Home/Neutral]],rtg_vlookup,4,FALSE)+VLOOKUP(Table2[[#This Row],[Visitor/Neutral]],rtg_vlookup,4,FALSE)</f>
        <v>-4.2586885245901662</v>
      </c>
      <c r="X804" s="15"/>
      <c r="Y804" s="2"/>
      <c r="Z804" s="2">
        <f>Table2[[#This Row],[A/EV]]-Table2[[#This Row],[H/EV]]</f>
        <v>-8.4940307705078482</v>
      </c>
      <c r="AA804" s="29"/>
      <c r="AB804" s="30"/>
      <c r="AC804" s="30"/>
      <c r="AD804" s="30"/>
      <c r="AE804" s="30"/>
      <c r="AF804" s="7" t="b">
        <f>IF(VLOOKUP(Table2[[#This Row],[Home/Neutral]],division_lookup,9,FALSE)=VLOOKUP(Table2[[#This Row],[Visitor/Neutral]],division_lookup,9,FALSE),TRUE,FALSE)</f>
        <v>0</v>
      </c>
      <c r="AG804" s="15" t="str">
        <f>VLOOKUP(Table2[[#This Row],[Home/Neutral]],division_lookup,9,FALSE)</f>
        <v>NW</v>
      </c>
      <c r="AH804" s="15" t="str">
        <f>IF(Table2[[#This Row],[Total/EV]]&lt;Table2[[#This Row],[Total/V]],"UNDER","OVER")</f>
        <v>OVER</v>
      </c>
      <c r="AI804" s="26">
        <f>Table2[[#This Row],[SRS/Real]]-Table2[[#This Row],[Spread/V]]</f>
        <v>0</v>
      </c>
      <c r="AJ804" s="2">
        <f>Table2[[#This Row],[EV/Real]]-Table2[[#This Row],[Spread/V]]</f>
        <v>0</v>
      </c>
      <c r="AK804" s="2">
        <f>Table2[[#This Row],[SRS/Diff]]-Table2[[#This Row],[EV/Diff]]</f>
        <v>0</v>
      </c>
      <c r="AL804" s="18">
        <f>Table2[[#This Row],[SRS]]-Table2[[#This Row],[Spread]]</f>
        <v>-4.2586885245901662</v>
      </c>
      <c r="AM804" s="21">
        <f>Table2[[#This Row],[(A) Err]]^2</f>
        <v>18.136427949475966</v>
      </c>
      <c r="AN804" s="6">
        <f>Table2[[#This Row],[EV]]-Table2[[#This Row],[Spread]]</f>
        <v>-8.4940307705078482</v>
      </c>
      <c r="AO804" s="1">
        <f>Table2[[#This Row],[EV Err]]^2</f>
        <v>72.148558730334145</v>
      </c>
      <c r="AP804" s="1"/>
    </row>
    <row r="805" spans="1:42" x14ac:dyDescent="0.25">
      <c r="A805" s="34">
        <v>42776</v>
      </c>
      <c r="B805" t="s">
        <v>128</v>
      </c>
      <c r="C805" t="s">
        <v>116</v>
      </c>
      <c r="E805" s="21"/>
      <c r="G805" s="21"/>
      <c r="H805" s="7"/>
      <c r="I805" s="21"/>
      <c r="K805"/>
      <c r="L805" s="21">
        <f>(Table2[[#This Row],[H/Pace]]/100)*(VLOOKUP(Table2[[#This Row],[Home/Neutral]],home_lookup,8,FALSE)+VLOOKUP(Table2[[#This Row],[Home/Neutral]],OFR_lookup,2,FALSE)+VLOOKUP(Table2[[#This Row],[Visitor/Neutral]],def_diff_lookup,6,FALSE))</f>
        <v>108.64429987783019</v>
      </c>
      <c r="M805" s="21"/>
      <c r="N805" s="21">
        <f>(Table2[[#This Row],[A/Pace]]/100)*(VLOOKUP(Table2[[#This Row],[Visitor/Neutral]],OFR_lookup,2,FALSE)+VLOOKUP(Table2[[#This Row],[Home/Neutral]],def_diff_lookup,6,FALSE))</f>
        <v>108.33182566666667</v>
      </c>
      <c r="O805" s="21"/>
      <c r="P805" s="21"/>
      <c r="Q805">
        <f>VLOOKUP(Table2[[#This Row],[Home/Neutral]],pace_lookup,7,FALSE)</f>
        <v>96.3</v>
      </c>
      <c r="R805" s="5">
        <f>VLOOKUP(Table2[[#This Row],[Visitor/Neutral]],pace_lookup,7,FALSE)</f>
        <v>99.1</v>
      </c>
      <c r="S805" s="7"/>
      <c r="U805" s="15"/>
      <c r="W805" s="2">
        <f>-home-VLOOKUP(Table2[[#This Row],[Home/Neutral]],rtg_vlookup,4,FALSE)+VLOOKUP(Table2[[#This Row],[Visitor/Neutral]],rtg_vlookup,4,FALSE)</f>
        <v>-1.6586885245901657</v>
      </c>
      <c r="X805" s="15"/>
      <c r="Y805" s="2"/>
      <c r="Z805" s="2">
        <f>Table2[[#This Row],[A/EV]]-Table2[[#This Row],[H/EV]]</f>
        <v>-0.31247421116351859</v>
      </c>
      <c r="AA805" s="29"/>
      <c r="AB805" s="30"/>
      <c r="AC805" s="30"/>
      <c r="AD805" s="30"/>
      <c r="AE805" s="30"/>
      <c r="AF805" s="7" t="b">
        <f>IF(VLOOKUP(Table2[[#This Row],[Home/Neutral]],division_lookup,9,FALSE)=VLOOKUP(Table2[[#This Row],[Visitor/Neutral]],division_lookup,9,FALSE),TRUE,FALSE)</f>
        <v>0</v>
      </c>
      <c r="AG805" s="15" t="str">
        <f>VLOOKUP(Table2[[#This Row],[Home/Neutral]],division_lookup,9,FALSE)</f>
        <v>A</v>
      </c>
      <c r="AH805" s="15" t="str">
        <f>IF(Table2[[#This Row],[Total/EV]]&lt;Table2[[#This Row],[Total/V]],"UNDER","OVER")</f>
        <v>OVER</v>
      </c>
      <c r="AI805" s="26">
        <f>Table2[[#This Row],[SRS/Real]]-Table2[[#This Row],[Spread/V]]</f>
        <v>0</v>
      </c>
      <c r="AJ805" s="2">
        <f>Table2[[#This Row],[EV/Real]]-Table2[[#This Row],[Spread/V]]</f>
        <v>0</v>
      </c>
      <c r="AK805" s="2">
        <f>Table2[[#This Row],[SRS/Diff]]-Table2[[#This Row],[EV/Diff]]</f>
        <v>0</v>
      </c>
      <c r="AL805" s="18">
        <f>Table2[[#This Row],[SRS]]-Table2[[#This Row],[Spread]]</f>
        <v>-1.6586885245901657</v>
      </c>
      <c r="AM805" s="21">
        <f>Table2[[#This Row],[(A) Err]]^2</f>
        <v>2.7512476216071007</v>
      </c>
      <c r="AN805" s="6">
        <f>Table2[[#This Row],[EV]]-Table2[[#This Row],[Spread]]</f>
        <v>-0.31247421116351859</v>
      </c>
      <c r="AO805" s="1">
        <f>Table2[[#This Row],[EV Err]]^2</f>
        <v>9.7640132642263205E-2</v>
      </c>
      <c r="AP805" s="1"/>
    </row>
    <row r="806" spans="1:42" x14ac:dyDescent="0.25">
      <c r="A806" s="34">
        <v>42776</v>
      </c>
      <c r="B806" t="s">
        <v>131</v>
      </c>
      <c r="C806" t="s">
        <v>113</v>
      </c>
      <c r="E806" s="21"/>
      <c r="G806" s="21"/>
      <c r="H806" s="7"/>
      <c r="I806" s="21"/>
      <c r="K806"/>
      <c r="L806" s="21">
        <f>(Table2[[#This Row],[H/Pace]]/100)*(VLOOKUP(Table2[[#This Row],[Home/Neutral]],home_lookup,8,FALSE)+VLOOKUP(Table2[[#This Row],[Home/Neutral]],OFR_lookup,2,FALSE)+VLOOKUP(Table2[[#This Row],[Visitor/Neutral]],def_diff_lookup,6,FALSE))</f>
        <v>96.506179791197667</v>
      </c>
      <c r="M806" s="21"/>
      <c r="N806" s="21">
        <f>(Table2[[#This Row],[A/Pace]]/100)*(VLOOKUP(Table2[[#This Row],[Visitor/Neutral]],OFR_lookup,2,FALSE)+VLOOKUP(Table2[[#This Row],[Home/Neutral]],def_diff_lookup,6,FALSE))</f>
        <v>106.48885899999999</v>
      </c>
      <c r="O806" s="21"/>
      <c r="P806" s="21"/>
      <c r="Q806">
        <f>VLOOKUP(Table2[[#This Row],[Home/Neutral]],pace_lookup,7,FALSE)</f>
        <v>101.7</v>
      </c>
      <c r="R806" s="5">
        <f>VLOOKUP(Table2[[#This Row],[Visitor/Neutral]],pace_lookup,7,FALSE)</f>
        <v>95.1</v>
      </c>
      <c r="S806" s="7"/>
      <c r="U806" s="15"/>
      <c r="W806" s="2">
        <f>-home-VLOOKUP(Table2[[#This Row],[Home/Neutral]],rtg_vlookup,4,FALSE)+VLOOKUP(Table2[[#This Row],[Visitor/Neutral]],rtg_vlookup,4,FALSE)</f>
        <v>8.2513114754098353</v>
      </c>
      <c r="X806" s="15"/>
      <c r="Y806" s="2"/>
      <c r="Z806" s="2">
        <f>Table2[[#This Row],[A/EV]]-Table2[[#This Row],[H/EV]]</f>
        <v>9.982679208802324</v>
      </c>
      <c r="AA806" s="29"/>
      <c r="AB806" s="30"/>
      <c r="AC806" s="30"/>
      <c r="AD806" s="30"/>
      <c r="AE806" s="30"/>
      <c r="AF806" s="7" t="b">
        <f>IF(VLOOKUP(Table2[[#This Row],[Home/Neutral]],division_lookup,9,FALSE)=VLOOKUP(Table2[[#This Row],[Visitor/Neutral]],division_lookup,9,FALSE),TRUE,FALSE)</f>
        <v>0</v>
      </c>
      <c r="AG806" s="15" t="str">
        <f>VLOOKUP(Table2[[#This Row],[Home/Neutral]],division_lookup,9,FALSE)</f>
        <v>P</v>
      </c>
      <c r="AH806" s="15" t="str">
        <f>IF(Table2[[#This Row],[Total/EV]]&lt;Table2[[#This Row],[Total/V]],"UNDER","OVER")</f>
        <v>OVER</v>
      </c>
      <c r="AI806" s="26">
        <f>Table2[[#This Row],[SRS/Real]]-Table2[[#This Row],[Spread/V]]</f>
        <v>0</v>
      </c>
      <c r="AJ806" s="2">
        <f>Table2[[#This Row],[EV/Real]]-Table2[[#This Row],[Spread/V]]</f>
        <v>0</v>
      </c>
      <c r="AK806" s="2">
        <f>Table2[[#This Row],[SRS/Diff]]-Table2[[#This Row],[EV/Diff]]</f>
        <v>0</v>
      </c>
      <c r="AL806" s="18">
        <f>Table2[[#This Row],[SRS]]-Table2[[#This Row],[Spread]]</f>
        <v>8.2513114754098353</v>
      </c>
      <c r="AM806" s="21">
        <f>Table2[[#This Row],[(A) Err]]^2</f>
        <v>68.084141064230039</v>
      </c>
      <c r="AN806" s="6">
        <f>Table2[[#This Row],[EV]]-Table2[[#This Row],[Spread]]</f>
        <v>9.982679208802324</v>
      </c>
      <c r="AO806" s="1">
        <f>Table2[[#This Row],[EV Err]]^2</f>
        <v>99.653884185854196</v>
      </c>
      <c r="AP806" s="1"/>
    </row>
    <row r="807" spans="1:42" x14ac:dyDescent="0.25">
      <c r="A807" s="34">
        <v>42776</v>
      </c>
      <c r="B807" t="s">
        <v>133</v>
      </c>
      <c r="C807" t="s">
        <v>109</v>
      </c>
      <c r="E807" s="21"/>
      <c r="G807" s="21"/>
      <c r="H807" s="7"/>
      <c r="I807" s="21"/>
      <c r="K807"/>
      <c r="L807" s="21">
        <f>(Table2[[#This Row],[H/Pace]]/100)*(VLOOKUP(Table2[[#This Row],[Home/Neutral]],home_lookup,8,FALSE)+VLOOKUP(Table2[[#This Row],[Home/Neutral]],OFR_lookup,2,FALSE)+VLOOKUP(Table2[[#This Row],[Visitor/Neutral]],def_diff_lookup,6,FALSE))</f>
        <v>101.57044748279979</v>
      </c>
      <c r="M807" s="21"/>
      <c r="N807" s="21">
        <f>(Table2[[#This Row],[A/Pace]]/100)*(VLOOKUP(Table2[[#This Row],[Visitor/Neutral]],OFR_lookup,2,FALSE)+VLOOKUP(Table2[[#This Row],[Home/Neutral]],def_diff_lookup,6,FALSE))</f>
        <v>104.47314133333333</v>
      </c>
      <c r="O807" s="21"/>
      <c r="P807" s="21"/>
      <c r="Q807">
        <f>VLOOKUP(Table2[[#This Row],[Home/Neutral]],pace_lookup,7,FALSE)</f>
        <v>94.2</v>
      </c>
      <c r="R807" s="5">
        <f>VLOOKUP(Table2[[#This Row],[Visitor/Neutral]],pace_lookup,7,FALSE)</f>
        <v>99.2</v>
      </c>
      <c r="S807" s="7"/>
      <c r="U807" s="15"/>
      <c r="W807" s="2">
        <f>-home-VLOOKUP(Table2[[#This Row],[Home/Neutral]],rtg_vlookup,4,FALSE)+VLOOKUP(Table2[[#This Row],[Visitor/Neutral]],rtg_vlookup,4,FALSE)</f>
        <v>1.4213114754098344</v>
      </c>
      <c r="X807" s="15"/>
      <c r="Y807" s="2"/>
      <c r="Z807" s="2">
        <f>Table2[[#This Row],[A/EV]]-Table2[[#This Row],[H/EV]]</f>
        <v>2.902693850533538</v>
      </c>
      <c r="AA807" s="29"/>
      <c r="AB807" s="30"/>
      <c r="AC807" s="30"/>
      <c r="AD807" s="30"/>
      <c r="AE807" s="30"/>
      <c r="AF807" s="7" t="b">
        <f>IF(VLOOKUP(Table2[[#This Row],[Home/Neutral]],division_lookup,9,FALSE)=VLOOKUP(Table2[[#This Row],[Visitor/Neutral]],division_lookup,9,FALSE),TRUE,FALSE)</f>
        <v>0</v>
      </c>
      <c r="AG807" s="15" t="str">
        <f>VLOOKUP(Table2[[#This Row],[Home/Neutral]],division_lookup,9,FALSE)</f>
        <v>P</v>
      </c>
      <c r="AH807" s="15" t="str">
        <f>IF(Table2[[#This Row],[Total/EV]]&lt;Table2[[#This Row],[Total/V]],"UNDER","OVER")</f>
        <v>OVER</v>
      </c>
      <c r="AI807" s="26">
        <f>Table2[[#This Row],[SRS/Real]]-Table2[[#This Row],[Spread/V]]</f>
        <v>0</v>
      </c>
      <c r="AJ807" s="2">
        <f>Table2[[#This Row],[EV/Real]]-Table2[[#This Row],[Spread/V]]</f>
        <v>0</v>
      </c>
      <c r="AK807" s="2">
        <f>Table2[[#This Row],[SRS/Diff]]-Table2[[#This Row],[EV/Diff]]</f>
        <v>0</v>
      </c>
      <c r="AL807" s="18">
        <f>Table2[[#This Row],[SRS]]-Table2[[#This Row],[Spread]]</f>
        <v>1.4213114754098344</v>
      </c>
      <c r="AM807" s="21">
        <f>Table2[[#This Row],[(A) Err]]^2</f>
        <v>2.0201263101316802</v>
      </c>
      <c r="AN807" s="6">
        <f>Table2[[#This Row],[EV]]-Table2[[#This Row],[Spread]]</f>
        <v>2.902693850533538</v>
      </c>
      <c r="AO807" s="1">
        <f>Table2[[#This Row],[EV Err]]^2</f>
        <v>8.4256315899252172</v>
      </c>
      <c r="AP807" s="1"/>
    </row>
    <row r="808" spans="1:42" x14ac:dyDescent="0.25">
      <c r="A808" s="34">
        <v>42776</v>
      </c>
      <c r="B808" t="s">
        <v>137</v>
      </c>
      <c r="C808" t="s">
        <v>120</v>
      </c>
      <c r="E808" s="21"/>
      <c r="G808" s="21"/>
      <c r="H808" s="7"/>
      <c r="I808" s="21"/>
      <c r="K808"/>
      <c r="L808" s="21">
        <f>(Table2[[#This Row],[H/Pace]]/100)*(VLOOKUP(Table2[[#This Row],[Home/Neutral]],home_lookup,8,FALSE)+VLOOKUP(Table2[[#This Row],[Home/Neutral]],OFR_lookup,2,FALSE)+VLOOKUP(Table2[[#This Row],[Visitor/Neutral]],def_diff_lookup,6,FALSE))</f>
        <v>109.58653255421871</v>
      </c>
      <c r="M808" s="21"/>
      <c r="N808" s="21">
        <f>(Table2[[#This Row],[A/Pace]]/100)*(VLOOKUP(Table2[[#This Row],[Visitor/Neutral]],OFR_lookup,2,FALSE)+VLOOKUP(Table2[[#This Row],[Home/Neutral]],def_diff_lookup,6,FALSE))</f>
        <v>105.39300033333333</v>
      </c>
      <c r="O808" s="21"/>
      <c r="P808" s="21"/>
      <c r="Q808">
        <f>VLOOKUP(Table2[[#This Row],[Home/Neutral]],pace_lookup,7,FALSE)</f>
        <v>96</v>
      </c>
      <c r="R808" s="5">
        <f>VLOOKUP(Table2[[#This Row],[Visitor/Neutral]],pace_lookup,7,FALSE)</f>
        <v>98.3</v>
      </c>
      <c r="S808" s="7"/>
      <c r="U808" s="15"/>
      <c r="W808" s="2">
        <f>-home-VLOOKUP(Table2[[#This Row],[Home/Neutral]],rtg_vlookup,4,FALSE)+VLOOKUP(Table2[[#This Row],[Visitor/Neutral]],rtg_vlookup,4,FALSE)</f>
        <v>-4.4886885245901667</v>
      </c>
      <c r="X808" s="15"/>
      <c r="Y808" s="2"/>
      <c r="Z808" s="2">
        <f>Table2[[#This Row],[A/EV]]-Table2[[#This Row],[H/EV]]</f>
        <v>-4.1935322208853734</v>
      </c>
      <c r="AA808" s="29"/>
      <c r="AB808" s="30"/>
      <c r="AC808" s="30"/>
      <c r="AD808" s="30"/>
      <c r="AE808" s="30"/>
      <c r="AF808" s="7" t="b">
        <f>IF(VLOOKUP(Table2[[#This Row],[Home/Neutral]],division_lookup,9,FALSE)=VLOOKUP(Table2[[#This Row],[Visitor/Neutral]],division_lookup,9,FALSE),TRUE,FALSE)</f>
        <v>0</v>
      </c>
      <c r="AG808" s="15" t="str">
        <f>VLOOKUP(Table2[[#This Row],[Home/Neutral]],division_lookup,9,FALSE)</f>
        <v>SE</v>
      </c>
      <c r="AH808" s="15" t="str">
        <f>IF(Table2[[#This Row],[Total/EV]]&lt;Table2[[#This Row],[Total/V]],"UNDER","OVER")</f>
        <v>OVER</v>
      </c>
      <c r="AI808" s="26">
        <f>Table2[[#This Row],[SRS/Real]]-Table2[[#This Row],[Spread/V]]</f>
        <v>0</v>
      </c>
      <c r="AJ808" s="2">
        <f>Table2[[#This Row],[EV/Real]]-Table2[[#This Row],[Spread/V]]</f>
        <v>0</v>
      </c>
      <c r="AK808" s="2">
        <f>Table2[[#This Row],[SRS/Diff]]-Table2[[#This Row],[EV/Diff]]</f>
        <v>0</v>
      </c>
      <c r="AL808" s="18">
        <f>Table2[[#This Row],[SRS]]-Table2[[#This Row],[Spread]]</f>
        <v>-4.4886885245901667</v>
      </c>
      <c r="AM808" s="21">
        <f>Table2[[#This Row],[(A) Err]]^2</f>
        <v>20.148324670787446</v>
      </c>
      <c r="AN808" s="6">
        <f>Table2[[#This Row],[EV]]-Table2[[#This Row],[Spread]]</f>
        <v>-4.1935322208853734</v>
      </c>
      <c r="AO808" s="1">
        <f>Table2[[#This Row],[EV Err]]^2</f>
        <v>17.585712487603811</v>
      </c>
      <c r="AP808" s="1"/>
    </row>
    <row r="809" spans="1:42" x14ac:dyDescent="0.25">
      <c r="A809" s="34">
        <v>42777</v>
      </c>
      <c r="B809" t="s">
        <v>112</v>
      </c>
      <c r="C809" t="s">
        <v>121</v>
      </c>
      <c r="E809" s="21"/>
      <c r="G809" s="21"/>
      <c r="H809" s="7"/>
      <c r="I809" s="21"/>
      <c r="K809"/>
      <c r="L809" s="21">
        <f>(Table2[[#This Row],[H/Pace]]/100)*(VLOOKUP(Table2[[#This Row],[Home/Neutral]],home_lookup,8,FALSE)+VLOOKUP(Table2[[#This Row],[Home/Neutral]],OFR_lookup,2,FALSE)+VLOOKUP(Table2[[#This Row],[Visitor/Neutral]],def_diff_lookup,6,FALSE))</f>
        <v>100.01104195313485</v>
      </c>
      <c r="M809" s="21"/>
      <c r="N809" s="21">
        <f>(Table2[[#This Row],[A/Pace]]/100)*(VLOOKUP(Table2[[#This Row],[Visitor/Neutral]],OFR_lookup,2,FALSE)+VLOOKUP(Table2[[#This Row],[Home/Neutral]],def_diff_lookup,6,FALSE))</f>
        <v>110.06534266666667</v>
      </c>
      <c r="O809" s="21"/>
      <c r="P809" s="21"/>
      <c r="Q809">
        <f>VLOOKUP(Table2[[#This Row],[Home/Neutral]],pace_lookup,7,FALSE)</f>
        <v>97.4</v>
      </c>
      <c r="R809" s="5">
        <f>VLOOKUP(Table2[[#This Row],[Visitor/Neutral]],pace_lookup,7,FALSE)</f>
        <v>96.4</v>
      </c>
      <c r="S809" s="7"/>
      <c r="U809" s="15"/>
      <c r="W809" s="2">
        <f>-home-VLOOKUP(Table2[[#This Row],[Home/Neutral]],rtg_vlookup,4,FALSE)+VLOOKUP(Table2[[#This Row],[Visitor/Neutral]],rtg_vlookup,4,FALSE)</f>
        <v>7.9113114754098346</v>
      </c>
      <c r="X809" s="15"/>
      <c r="Y809" s="2"/>
      <c r="Z809" s="2">
        <f>Table2[[#This Row],[A/EV]]-Table2[[#This Row],[H/EV]]</f>
        <v>10.054300713531816</v>
      </c>
      <c r="AA809" s="29"/>
      <c r="AB809" s="30"/>
      <c r="AC809" s="30"/>
      <c r="AD809" s="30"/>
      <c r="AE809" s="30"/>
      <c r="AF809" s="7" t="b">
        <f>IF(VLOOKUP(Table2[[#This Row],[Home/Neutral]],division_lookup,9,FALSE)=VLOOKUP(Table2[[#This Row],[Visitor/Neutral]],division_lookup,9,FALSE),TRUE,FALSE)</f>
        <v>0</v>
      </c>
      <c r="AG809" s="15" t="str">
        <f>VLOOKUP(Table2[[#This Row],[Home/Neutral]],division_lookup,9,FALSE)</f>
        <v>SE</v>
      </c>
      <c r="AH809" s="15" t="str">
        <f>IF(Table2[[#This Row],[Total/EV]]&lt;Table2[[#This Row],[Total/V]],"UNDER","OVER")</f>
        <v>OVER</v>
      </c>
      <c r="AI809" s="26">
        <f>Table2[[#This Row],[SRS/Real]]-Table2[[#This Row],[Spread/V]]</f>
        <v>0</v>
      </c>
      <c r="AJ809" s="2">
        <f>Table2[[#This Row],[EV/Real]]-Table2[[#This Row],[Spread/V]]</f>
        <v>0</v>
      </c>
      <c r="AK809" s="2">
        <f>Table2[[#This Row],[SRS/Diff]]-Table2[[#This Row],[EV/Diff]]</f>
        <v>0</v>
      </c>
      <c r="AL809" s="18">
        <f>Table2[[#This Row],[SRS]]-Table2[[#This Row],[Spread]]</f>
        <v>7.9113114754098346</v>
      </c>
      <c r="AM809" s="21">
        <f>Table2[[#This Row],[(A) Err]]^2</f>
        <v>62.588849260951335</v>
      </c>
      <c r="AN809" s="6">
        <f>Table2[[#This Row],[EV]]-Table2[[#This Row],[Spread]]</f>
        <v>10.054300713531816</v>
      </c>
      <c r="AO809" s="1">
        <f>Table2[[#This Row],[EV Err]]^2</f>
        <v>101.08896283812639</v>
      </c>
      <c r="AP809" s="1"/>
    </row>
    <row r="810" spans="1:42" x14ac:dyDescent="0.25">
      <c r="A810" s="34">
        <v>42777</v>
      </c>
      <c r="B810" t="s">
        <v>114</v>
      </c>
      <c r="C810" t="s">
        <v>116</v>
      </c>
      <c r="E810" s="21"/>
      <c r="G810" s="21"/>
      <c r="H810" s="7"/>
      <c r="I810" s="21"/>
      <c r="K810"/>
      <c r="L810" s="21">
        <f>(Table2[[#This Row],[H/Pace]]/100)*(VLOOKUP(Table2[[#This Row],[Home/Neutral]],home_lookup,8,FALSE)+VLOOKUP(Table2[[#This Row],[Home/Neutral]],OFR_lookup,2,FALSE)+VLOOKUP(Table2[[#This Row],[Visitor/Neutral]],def_diff_lookup,6,FALSE))</f>
        <v>114.53359276756466</v>
      </c>
      <c r="M810" s="21"/>
      <c r="N810" s="21">
        <f>(Table2[[#This Row],[A/Pace]]/100)*(VLOOKUP(Table2[[#This Row],[Visitor/Neutral]],OFR_lookup,2,FALSE)+VLOOKUP(Table2[[#This Row],[Home/Neutral]],def_diff_lookup,6,FALSE))</f>
        <v>104.69485566666667</v>
      </c>
      <c r="O810" s="21"/>
      <c r="P810" s="21"/>
      <c r="Q810">
        <f>VLOOKUP(Table2[[#This Row],[Home/Neutral]],pace_lookup,7,FALSE)</f>
        <v>97.3</v>
      </c>
      <c r="R810" s="5">
        <f>VLOOKUP(Table2[[#This Row],[Visitor/Neutral]],pace_lookup,7,FALSE)</f>
        <v>99.1</v>
      </c>
      <c r="S810" s="7"/>
      <c r="U810" s="15"/>
      <c r="W810" s="2">
        <f>-home-VLOOKUP(Table2[[#This Row],[Home/Neutral]],rtg_vlookup,4,FALSE)+VLOOKUP(Table2[[#This Row],[Visitor/Neutral]],rtg_vlookup,4,FALSE)</f>
        <v>-12.168688524590166</v>
      </c>
      <c r="X810" s="15"/>
      <c r="Y810" s="2"/>
      <c r="Z810" s="2">
        <f>Table2[[#This Row],[A/EV]]-Table2[[#This Row],[H/EV]]</f>
        <v>-9.8387371008979869</v>
      </c>
      <c r="AA810" s="29"/>
      <c r="AB810" s="30"/>
      <c r="AC810" s="30"/>
      <c r="AD810" s="30"/>
      <c r="AE810" s="30"/>
      <c r="AF810" s="7" t="b">
        <f>IF(VLOOKUP(Table2[[#This Row],[Home/Neutral]],division_lookup,9,FALSE)=VLOOKUP(Table2[[#This Row],[Visitor/Neutral]],division_lookup,9,FALSE),TRUE,FALSE)</f>
        <v>0</v>
      </c>
      <c r="AG810" s="15" t="str">
        <f>VLOOKUP(Table2[[#This Row],[Home/Neutral]],division_lookup,9,FALSE)</f>
        <v>C</v>
      </c>
      <c r="AH810" s="15" t="str">
        <f>IF(Table2[[#This Row],[Total/EV]]&lt;Table2[[#This Row],[Total/V]],"UNDER","OVER")</f>
        <v>OVER</v>
      </c>
      <c r="AI810" s="26">
        <f>Table2[[#This Row],[SRS/Real]]-Table2[[#This Row],[Spread/V]]</f>
        <v>0</v>
      </c>
      <c r="AJ810" s="2">
        <f>Table2[[#This Row],[EV/Real]]-Table2[[#This Row],[Spread/V]]</f>
        <v>0</v>
      </c>
      <c r="AK810" s="2">
        <f>Table2[[#This Row],[SRS/Diff]]-Table2[[#This Row],[EV/Diff]]</f>
        <v>0</v>
      </c>
      <c r="AL810" s="18">
        <f>Table2[[#This Row],[SRS]]-Table2[[#This Row],[Spread]]</f>
        <v>-12.168688524590166</v>
      </c>
      <c r="AM810" s="21">
        <f>Table2[[#This Row],[(A) Err]]^2</f>
        <v>148.0769804084924</v>
      </c>
      <c r="AN810" s="6">
        <f>Table2[[#This Row],[EV]]-Table2[[#This Row],[Spread]]</f>
        <v>-9.8387371008979869</v>
      </c>
      <c r="AO810" s="1">
        <f>Table2[[#This Row],[EV Err]]^2</f>
        <v>96.80074774058653</v>
      </c>
      <c r="AP810" s="1"/>
    </row>
    <row r="811" spans="1:42" x14ac:dyDescent="0.25">
      <c r="A811" s="34">
        <v>42777</v>
      </c>
      <c r="B811" t="s">
        <v>115</v>
      </c>
      <c r="C811" t="s">
        <v>130</v>
      </c>
      <c r="E811" s="21"/>
      <c r="G811" s="21"/>
      <c r="H811" s="7"/>
      <c r="I811" s="21"/>
      <c r="K811"/>
      <c r="L811" s="21">
        <f>(Table2[[#This Row],[H/Pace]]/100)*(VLOOKUP(Table2[[#This Row],[Home/Neutral]],home_lookup,8,FALSE)+VLOOKUP(Table2[[#This Row],[Home/Neutral]],OFR_lookup,2,FALSE)+VLOOKUP(Table2[[#This Row],[Visitor/Neutral]],def_diff_lookup,6,FALSE))</f>
        <v>95.229163115967751</v>
      </c>
      <c r="M811" s="21"/>
      <c r="N811" s="21">
        <f>(Table2[[#This Row],[A/Pace]]/100)*(VLOOKUP(Table2[[#This Row],[Visitor/Neutral]],OFR_lookup,2,FALSE)+VLOOKUP(Table2[[#This Row],[Home/Neutral]],def_diff_lookup,6,FALSE))</f>
        <v>91.492378000000002</v>
      </c>
      <c r="O811" s="21"/>
      <c r="P811" s="21"/>
      <c r="Q811">
        <f>VLOOKUP(Table2[[#This Row],[Home/Neutral]],pace_lookup,7,FALSE)</f>
        <v>92.9</v>
      </c>
      <c r="R811" s="5">
        <f>VLOOKUP(Table2[[#This Row],[Visitor/Neutral]],pace_lookup,7,FALSE)</f>
        <v>94.2</v>
      </c>
      <c r="S811" s="7"/>
      <c r="U811" s="15"/>
      <c r="W811" s="2">
        <f>-home-VLOOKUP(Table2[[#This Row],[Home/Neutral]],rtg_vlookup,4,FALSE)+VLOOKUP(Table2[[#This Row],[Visitor/Neutral]],rtg_vlookup,4,FALSE)</f>
        <v>-2.5486885245901671</v>
      </c>
      <c r="X811" s="15"/>
      <c r="Y811" s="2"/>
      <c r="Z811" s="2">
        <f>Table2[[#This Row],[A/EV]]-Table2[[#This Row],[H/EV]]</f>
        <v>-3.7367851159677485</v>
      </c>
      <c r="AA811" s="29"/>
      <c r="AB811" s="30"/>
      <c r="AC811" s="30"/>
      <c r="AD811" s="30"/>
      <c r="AE811" s="30"/>
      <c r="AF811" s="7" t="b">
        <f>IF(VLOOKUP(Table2[[#This Row],[Home/Neutral]],division_lookup,9,FALSE)=VLOOKUP(Table2[[#This Row],[Visitor/Neutral]],division_lookup,9,FALSE),TRUE,FALSE)</f>
        <v>0</v>
      </c>
      <c r="AG811" s="15" t="str">
        <f>VLOOKUP(Table2[[#This Row],[Home/Neutral]],division_lookup,9,FALSE)</f>
        <v>SW</v>
      </c>
      <c r="AH811" s="15" t="str">
        <f>IF(Table2[[#This Row],[Total/EV]]&lt;Table2[[#This Row],[Total/V]],"UNDER","OVER")</f>
        <v>OVER</v>
      </c>
      <c r="AI811" s="26">
        <f>Table2[[#This Row],[SRS/Real]]-Table2[[#This Row],[Spread/V]]</f>
        <v>0</v>
      </c>
      <c r="AJ811" s="2">
        <f>Table2[[#This Row],[EV/Real]]-Table2[[#This Row],[Spread/V]]</f>
        <v>0</v>
      </c>
      <c r="AK811" s="2">
        <f>Table2[[#This Row],[SRS/Diff]]-Table2[[#This Row],[EV/Diff]]</f>
        <v>0</v>
      </c>
      <c r="AL811" s="18">
        <f>Table2[[#This Row],[SRS]]-Table2[[#This Row],[Spread]]</f>
        <v>-2.5486885245901671</v>
      </c>
      <c r="AM811" s="21">
        <f>Table2[[#This Row],[(A) Err]]^2</f>
        <v>6.495813195377603</v>
      </c>
      <c r="AN811" s="6">
        <f>Table2[[#This Row],[EV]]-Table2[[#This Row],[Spread]]</f>
        <v>-3.7367851159677485</v>
      </c>
      <c r="AO811" s="1">
        <f>Table2[[#This Row],[EV Err]]^2</f>
        <v>13.9635630029181</v>
      </c>
      <c r="AP811" s="1"/>
    </row>
    <row r="812" spans="1:42" x14ac:dyDescent="0.25">
      <c r="A812" s="34">
        <v>42777</v>
      </c>
      <c r="B812" t="s">
        <v>119</v>
      </c>
      <c r="C812" t="s">
        <v>131</v>
      </c>
      <c r="E812" s="21"/>
      <c r="G812" s="21"/>
      <c r="H812" s="7"/>
      <c r="I812" s="21"/>
      <c r="K812"/>
      <c r="L812" s="21">
        <f>(Table2[[#This Row],[H/Pace]]/100)*(VLOOKUP(Table2[[#This Row],[Home/Neutral]],home_lookup,8,FALSE)+VLOOKUP(Table2[[#This Row],[Home/Neutral]],OFR_lookup,2,FALSE)+VLOOKUP(Table2[[#This Row],[Visitor/Neutral]],def_diff_lookup,6,FALSE))</f>
        <v>110.00478376977628</v>
      </c>
      <c r="M812" s="21"/>
      <c r="N812" s="21">
        <f>(Table2[[#This Row],[A/Pace]]/100)*(VLOOKUP(Table2[[#This Row],[Visitor/Neutral]],OFR_lookup,2,FALSE)+VLOOKUP(Table2[[#This Row],[Home/Neutral]],def_diff_lookup,6,FALSE))</f>
        <v>105.895803</v>
      </c>
      <c r="O812" s="21"/>
      <c r="P812" s="21"/>
      <c r="Q812">
        <f>VLOOKUP(Table2[[#This Row],[Home/Neutral]],pace_lookup,7,FALSE)</f>
        <v>96.9</v>
      </c>
      <c r="R812" s="5">
        <f>VLOOKUP(Table2[[#This Row],[Visitor/Neutral]],pace_lookup,7,FALSE)</f>
        <v>101.7</v>
      </c>
      <c r="S812" s="7"/>
      <c r="U812" s="15"/>
      <c r="W812" s="2">
        <f>-home-VLOOKUP(Table2[[#This Row],[Home/Neutral]],rtg_vlookup,4,FALSE)+VLOOKUP(Table2[[#This Row],[Visitor/Neutral]],rtg_vlookup,4,FALSE)</f>
        <v>-12.838688524590165</v>
      </c>
      <c r="X812" s="15"/>
      <c r="Y812" s="2"/>
      <c r="Z812" s="2">
        <f>Table2[[#This Row],[A/EV]]-Table2[[#This Row],[H/EV]]</f>
        <v>-4.1089807697762808</v>
      </c>
      <c r="AA812" s="29"/>
      <c r="AB812" s="30"/>
      <c r="AC812" s="30"/>
      <c r="AD812" s="30"/>
      <c r="AE812" s="30"/>
      <c r="AF812" s="7" t="b">
        <f>IF(VLOOKUP(Table2[[#This Row],[Home/Neutral]],division_lookup,9,FALSE)=VLOOKUP(Table2[[#This Row],[Visitor/Neutral]],division_lookup,9,FALSE),TRUE,FALSE)</f>
        <v>0</v>
      </c>
      <c r="AG812" s="15" t="str">
        <f>VLOOKUP(Table2[[#This Row],[Home/Neutral]],division_lookup,9,FALSE)</f>
        <v>SW</v>
      </c>
      <c r="AH812" s="15" t="str">
        <f>IF(Table2[[#This Row],[Total/EV]]&lt;Table2[[#This Row],[Total/V]],"UNDER","OVER")</f>
        <v>OVER</v>
      </c>
      <c r="AI812" s="26">
        <f>Table2[[#This Row],[SRS/Real]]-Table2[[#This Row],[Spread/V]]</f>
        <v>0</v>
      </c>
      <c r="AJ812" s="2">
        <f>Table2[[#This Row],[EV/Real]]-Table2[[#This Row],[Spread/V]]</f>
        <v>0</v>
      </c>
      <c r="AK812" s="2">
        <f>Table2[[#This Row],[SRS/Diff]]-Table2[[#This Row],[EV/Diff]]</f>
        <v>0</v>
      </c>
      <c r="AL812" s="18">
        <f>Table2[[#This Row],[SRS]]-Table2[[#This Row],[Spread]]</f>
        <v>-12.838688524590165</v>
      </c>
      <c r="AM812" s="21">
        <f>Table2[[#This Row],[(A) Err]]^2</f>
        <v>164.83192303144318</v>
      </c>
      <c r="AN812" s="6">
        <f>Table2[[#This Row],[EV]]-Table2[[#This Row],[Spread]]</f>
        <v>-4.1089807697762808</v>
      </c>
      <c r="AO812" s="1">
        <f>Table2[[#This Row],[EV Err]]^2</f>
        <v>16.883722966391279</v>
      </c>
      <c r="AP812" s="1"/>
    </row>
    <row r="813" spans="1:42" x14ac:dyDescent="0.25">
      <c r="A813" s="34">
        <v>42777</v>
      </c>
      <c r="B813" t="s">
        <v>120</v>
      </c>
      <c r="C813" t="s">
        <v>125</v>
      </c>
      <c r="E813" s="21"/>
      <c r="G813" s="21"/>
      <c r="H813" s="7"/>
      <c r="I813" s="21"/>
      <c r="K813"/>
      <c r="L813" s="21">
        <f>(Table2[[#This Row],[H/Pace]]/100)*(VLOOKUP(Table2[[#This Row],[Home/Neutral]],home_lookup,8,FALSE)+VLOOKUP(Table2[[#This Row],[Home/Neutral]],OFR_lookup,2,FALSE)+VLOOKUP(Table2[[#This Row],[Visitor/Neutral]],def_diff_lookup,6,FALSE))</f>
        <v>108.02054542930861</v>
      </c>
      <c r="M813" s="21"/>
      <c r="N813" s="21">
        <f>(Table2[[#This Row],[A/Pace]]/100)*(VLOOKUP(Table2[[#This Row],[Visitor/Neutral]],OFR_lookup,2,FALSE)+VLOOKUP(Table2[[#This Row],[Home/Neutral]],def_diff_lookup,6,FALSE))</f>
        <v>103.79344566666666</v>
      </c>
      <c r="O813" s="21"/>
      <c r="P813" s="21"/>
      <c r="Q813">
        <f>VLOOKUP(Table2[[#This Row],[Home/Neutral]],pace_lookup,7,FALSE)</f>
        <v>98.3</v>
      </c>
      <c r="R813" s="5">
        <f>VLOOKUP(Table2[[#This Row],[Visitor/Neutral]],pace_lookup,7,FALSE)</f>
        <v>96.1</v>
      </c>
      <c r="S813" s="7"/>
      <c r="U813" s="15"/>
      <c r="W813" s="2">
        <f>-home-VLOOKUP(Table2[[#This Row],[Home/Neutral]],rtg_vlookup,4,FALSE)+VLOOKUP(Table2[[#This Row],[Visitor/Neutral]],rtg_vlookup,4,FALSE)</f>
        <v>-0.5586885245901656</v>
      </c>
      <c r="X813" s="15"/>
      <c r="Y813" s="2"/>
      <c r="Z813" s="2">
        <f>Table2[[#This Row],[A/EV]]-Table2[[#This Row],[H/EV]]</f>
        <v>-4.2270997626419557</v>
      </c>
      <c r="AA813" s="29"/>
      <c r="AB813" s="30"/>
      <c r="AC813" s="30"/>
      <c r="AD813" s="30"/>
      <c r="AE813" s="30"/>
      <c r="AF813" s="7" t="b">
        <f>IF(VLOOKUP(Table2[[#This Row],[Home/Neutral]],division_lookup,9,FALSE)=VLOOKUP(Table2[[#This Row],[Visitor/Neutral]],division_lookup,9,FALSE),TRUE,FALSE)</f>
        <v>1</v>
      </c>
      <c r="AG813" s="15" t="str">
        <f>VLOOKUP(Table2[[#This Row],[Home/Neutral]],division_lookup,9,FALSE)</f>
        <v>C</v>
      </c>
      <c r="AH813" s="15" t="str">
        <f>IF(Table2[[#This Row],[Total/EV]]&lt;Table2[[#This Row],[Total/V]],"UNDER","OVER")</f>
        <v>OVER</v>
      </c>
      <c r="AI813" s="26">
        <f>Table2[[#This Row],[SRS/Real]]-Table2[[#This Row],[Spread/V]]</f>
        <v>0</v>
      </c>
      <c r="AJ813" s="2">
        <f>Table2[[#This Row],[EV/Real]]-Table2[[#This Row],[Spread/V]]</f>
        <v>0</v>
      </c>
      <c r="AK813" s="2">
        <f>Table2[[#This Row],[SRS/Diff]]-Table2[[#This Row],[EV/Diff]]</f>
        <v>0</v>
      </c>
      <c r="AL813" s="18">
        <f>Table2[[#This Row],[SRS]]-Table2[[#This Row],[Spread]]</f>
        <v>-0.5586885245901656</v>
      </c>
      <c r="AM813" s="21">
        <f>Table2[[#This Row],[(A) Err]]^2</f>
        <v>0.31213286750873609</v>
      </c>
      <c r="AN813" s="6">
        <f>Table2[[#This Row],[EV]]-Table2[[#This Row],[Spread]]</f>
        <v>-4.2270997626419557</v>
      </c>
      <c r="AO813" s="1">
        <f>Table2[[#This Row],[EV Err]]^2</f>
        <v>17.86837240332768</v>
      </c>
      <c r="AP813" s="1"/>
    </row>
    <row r="814" spans="1:42" x14ac:dyDescent="0.25">
      <c r="A814" s="34">
        <v>42777</v>
      </c>
      <c r="B814" t="s">
        <v>129</v>
      </c>
      <c r="C814" t="s">
        <v>118</v>
      </c>
      <c r="E814" s="21"/>
      <c r="G814" s="21"/>
      <c r="H814" s="7"/>
      <c r="I814" s="21"/>
      <c r="K814"/>
      <c r="L814" s="21">
        <f>(Table2[[#This Row],[H/Pace]]/100)*(VLOOKUP(Table2[[#This Row],[Home/Neutral]],home_lookup,8,FALSE)+VLOOKUP(Table2[[#This Row],[Home/Neutral]],OFR_lookup,2,FALSE)+VLOOKUP(Table2[[#This Row],[Visitor/Neutral]],def_diff_lookup,6,FALSE))</f>
        <v>106.28270376890109</v>
      </c>
      <c r="M814" s="21"/>
      <c r="N814" s="21">
        <f>(Table2[[#This Row],[A/Pace]]/100)*(VLOOKUP(Table2[[#This Row],[Visitor/Neutral]],OFR_lookup,2,FALSE)+VLOOKUP(Table2[[#This Row],[Home/Neutral]],def_diff_lookup,6,FALSE))</f>
        <v>115.47572933333333</v>
      </c>
      <c r="O814" s="21"/>
      <c r="P814" s="21"/>
      <c r="Q814">
        <f>VLOOKUP(Table2[[#This Row],[Home/Neutral]],pace_lookup,7,FALSE)</f>
        <v>99</v>
      </c>
      <c r="R814" s="5">
        <f>VLOOKUP(Table2[[#This Row],[Visitor/Neutral]],pace_lookup,7,FALSE)</f>
        <v>100.4</v>
      </c>
      <c r="S814" s="7"/>
      <c r="U814" s="15"/>
      <c r="W814" s="2">
        <f>-home-VLOOKUP(Table2[[#This Row],[Home/Neutral]],rtg_vlookup,4,FALSE)+VLOOKUP(Table2[[#This Row],[Visitor/Neutral]],rtg_vlookup,4,FALSE)</f>
        <v>7.1313114754098343</v>
      </c>
      <c r="X814" s="15"/>
      <c r="Y814" s="2"/>
      <c r="Z814" s="2">
        <f>Table2[[#This Row],[A/EV]]-Table2[[#This Row],[H/EV]]</f>
        <v>9.1930255644322472</v>
      </c>
      <c r="AA814" s="29"/>
      <c r="AB814" s="30"/>
      <c r="AC814" s="30"/>
      <c r="AD814" s="30"/>
      <c r="AE814" s="30"/>
      <c r="AF814" s="7" t="b">
        <f>IF(VLOOKUP(Table2[[#This Row],[Home/Neutral]],division_lookup,9,FALSE)=VLOOKUP(Table2[[#This Row],[Visitor/Neutral]],division_lookup,9,FALSE),TRUE,FALSE)</f>
        <v>0</v>
      </c>
      <c r="AG814" s="15" t="str">
        <f>VLOOKUP(Table2[[#This Row],[Home/Neutral]],division_lookup,9,FALSE)</f>
        <v>NW</v>
      </c>
      <c r="AH814" s="15" t="str">
        <f>IF(Table2[[#This Row],[Total/EV]]&lt;Table2[[#This Row],[Total/V]],"UNDER","OVER")</f>
        <v>OVER</v>
      </c>
      <c r="AI814" s="26">
        <f>Table2[[#This Row],[SRS/Real]]-Table2[[#This Row],[Spread/V]]</f>
        <v>0</v>
      </c>
      <c r="AJ814" s="2">
        <f>Table2[[#This Row],[EV/Real]]-Table2[[#This Row],[Spread/V]]</f>
        <v>0</v>
      </c>
      <c r="AK814" s="2">
        <f>Table2[[#This Row],[SRS/Diff]]-Table2[[#This Row],[EV/Diff]]</f>
        <v>0</v>
      </c>
      <c r="AL814" s="18">
        <f>Table2[[#This Row],[SRS]]-Table2[[#This Row],[Spread]]</f>
        <v>7.1313114754098343</v>
      </c>
      <c r="AM814" s="21">
        <f>Table2[[#This Row],[(A) Err]]^2</f>
        <v>50.855603359311985</v>
      </c>
      <c r="AN814" s="6">
        <f>Table2[[#This Row],[EV]]-Table2[[#This Row],[Spread]]</f>
        <v>9.1930255644322472</v>
      </c>
      <c r="AO814" s="1">
        <f>Table2[[#This Row],[EV Err]]^2</f>
        <v>84.511719028304839</v>
      </c>
      <c r="AP814" s="1"/>
    </row>
    <row r="815" spans="1:42" x14ac:dyDescent="0.25">
      <c r="A815" s="34">
        <v>42777</v>
      </c>
      <c r="B815" t="s">
        <v>138</v>
      </c>
      <c r="C815" t="s">
        <v>124</v>
      </c>
      <c r="E815" s="21"/>
      <c r="G815" s="21"/>
      <c r="H815" s="7"/>
      <c r="I815" s="21"/>
      <c r="K815"/>
      <c r="L815" s="21">
        <f>(Table2[[#This Row],[H/Pace]]/100)*(VLOOKUP(Table2[[#This Row],[Home/Neutral]],home_lookup,8,FALSE)+VLOOKUP(Table2[[#This Row],[Home/Neutral]],OFR_lookup,2,FALSE)+VLOOKUP(Table2[[#This Row],[Visitor/Neutral]],def_diff_lookup,6,FALSE))</f>
        <v>96.950283531240103</v>
      </c>
      <c r="M815" s="21"/>
      <c r="N815" s="21">
        <f>(Table2[[#This Row],[A/Pace]]/100)*(VLOOKUP(Table2[[#This Row],[Visitor/Neutral]],OFR_lookup,2,FALSE)+VLOOKUP(Table2[[#This Row],[Home/Neutral]],def_diff_lookup,6,FALSE))</f>
        <v>98.352829666666665</v>
      </c>
      <c r="O815" s="21"/>
      <c r="P815" s="21"/>
      <c r="Q815">
        <f>VLOOKUP(Table2[[#This Row],[Home/Neutral]],pace_lookup,7,FALSE)</f>
        <v>97.5</v>
      </c>
      <c r="R815" s="5">
        <f>VLOOKUP(Table2[[#This Row],[Visitor/Neutral]],pace_lookup,7,FALSE)</f>
        <v>93.7</v>
      </c>
      <c r="S815" s="7"/>
      <c r="U815" s="15"/>
      <c r="W815" s="2">
        <f>-home-VLOOKUP(Table2[[#This Row],[Home/Neutral]],rtg_vlookup,4,FALSE)+VLOOKUP(Table2[[#This Row],[Visitor/Neutral]],rtg_vlookup,4,FALSE)</f>
        <v>5.6513114754098348</v>
      </c>
      <c r="X815" s="15"/>
      <c r="Y815" s="2"/>
      <c r="Z815" s="2">
        <f>Table2[[#This Row],[A/EV]]-Table2[[#This Row],[H/EV]]</f>
        <v>1.4025461354265616</v>
      </c>
      <c r="AA815" s="29"/>
      <c r="AB815" s="30"/>
      <c r="AC815" s="30"/>
      <c r="AD815" s="30"/>
      <c r="AE815" s="30"/>
      <c r="AF815" s="7" t="b">
        <f>IF(VLOOKUP(Table2[[#This Row],[Home/Neutral]],division_lookup,9,FALSE)=VLOOKUP(Table2[[#This Row],[Visitor/Neutral]],division_lookup,9,FALSE),TRUE,FALSE)</f>
        <v>0</v>
      </c>
      <c r="AG815" s="15" t="str">
        <f>VLOOKUP(Table2[[#This Row],[Home/Neutral]],division_lookup,9,FALSE)</f>
        <v>A</v>
      </c>
      <c r="AH815" s="15" t="str">
        <f>IF(Table2[[#This Row],[Total/EV]]&lt;Table2[[#This Row],[Total/V]],"UNDER","OVER")</f>
        <v>OVER</v>
      </c>
      <c r="AI815" s="26">
        <f>Table2[[#This Row],[SRS/Real]]-Table2[[#This Row],[Spread/V]]</f>
        <v>0</v>
      </c>
      <c r="AJ815" s="2">
        <f>Table2[[#This Row],[EV/Real]]-Table2[[#This Row],[Spread/V]]</f>
        <v>0</v>
      </c>
      <c r="AK815" s="2">
        <f>Table2[[#This Row],[SRS/Diff]]-Table2[[#This Row],[EV/Diff]]</f>
        <v>0</v>
      </c>
      <c r="AL815" s="18">
        <f>Table2[[#This Row],[SRS]]-Table2[[#This Row],[Spread]]</f>
        <v>5.6513114754098348</v>
      </c>
      <c r="AM815" s="21">
        <f>Table2[[#This Row],[(A) Err]]^2</f>
        <v>31.937321392098884</v>
      </c>
      <c r="AN815" s="6">
        <f>Table2[[#This Row],[EV]]-Table2[[#This Row],[Spread]]</f>
        <v>1.4025461354265616</v>
      </c>
      <c r="AO815" s="1">
        <f>Table2[[#This Row],[EV Err]]^2</f>
        <v>1.9671356619999829</v>
      </c>
      <c r="AP815" s="1"/>
    </row>
    <row r="816" spans="1:42" x14ac:dyDescent="0.25">
      <c r="A816" s="34">
        <v>42777</v>
      </c>
      <c r="B816" t="s">
        <v>136</v>
      </c>
      <c r="C816" t="s">
        <v>110</v>
      </c>
      <c r="E816" s="21"/>
      <c r="G816" s="21"/>
      <c r="H816" s="7"/>
      <c r="I816" s="21"/>
      <c r="K816"/>
      <c r="L816" s="21">
        <f>(Table2[[#This Row],[H/Pace]]/100)*(VLOOKUP(Table2[[#This Row],[Home/Neutral]],home_lookup,8,FALSE)+VLOOKUP(Table2[[#This Row],[Home/Neutral]],OFR_lookup,2,FALSE)+VLOOKUP(Table2[[#This Row],[Visitor/Neutral]],def_diff_lookup,6,FALSE))</f>
        <v>105.71593534991899</v>
      </c>
      <c r="M816" s="21"/>
      <c r="N816" s="21">
        <f>(Table2[[#This Row],[A/Pace]]/100)*(VLOOKUP(Table2[[#This Row],[Visitor/Neutral]],OFR_lookup,2,FALSE)+VLOOKUP(Table2[[#This Row],[Home/Neutral]],def_diff_lookup,6,FALSE))</f>
        <v>99.428151333333332</v>
      </c>
      <c r="O816" s="21"/>
      <c r="P816" s="21"/>
      <c r="Q816">
        <f>VLOOKUP(Table2[[#This Row],[Home/Neutral]],pace_lookup,7,FALSE)</f>
        <v>91.5</v>
      </c>
      <c r="R816" s="5">
        <f>VLOOKUP(Table2[[#This Row],[Visitor/Neutral]],pace_lookup,7,FALSE)</f>
        <v>96.2</v>
      </c>
      <c r="S816" s="7"/>
      <c r="U816" s="15"/>
      <c r="W816" s="2">
        <f>-home-VLOOKUP(Table2[[#This Row],[Home/Neutral]],rtg_vlookup,4,FALSE)+VLOOKUP(Table2[[#This Row],[Visitor/Neutral]],rtg_vlookup,4,FALSE)</f>
        <v>-6.5486885245901654</v>
      </c>
      <c r="X816" s="15"/>
      <c r="Y816" s="2"/>
      <c r="Z816" s="2">
        <f>Table2[[#This Row],[A/EV]]-Table2[[#This Row],[H/EV]]</f>
        <v>-6.2877840165856611</v>
      </c>
      <c r="AA816" s="29"/>
      <c r="AB816" s="30"/>
      <c r="AC816" s="30"/>
      <c r="AD816" s="30"/>
      <c r="AE816" s="30"/>
      <c r="AF816" s="7" t="b">
        <f>IF(VLOOKUP(Table2[[#This Row],[Home/Neutral]],division_lookup,9,FALSE)=VLOOKUP(Table2[[#This Row],[Visitor/Neutral]],division_lookup,9,FALSE),TRUE,FALSE)</f>
        <v>0</v>
      </c>
      <c r="AG816" s="15" t="str">
        <f>VLOOKUP(Table2[[#This Row],[Home/Neutral]],division_lookup,9,FALSE)</f>
        <v>NW</v>
      </c>
      <c r="AH816" s="15" t="str">
        <f>IF(Table2[[#This Row],[Total/EV]]&lt;Table2[[#This Row],[Total/V]],"UNDER","OVER")</f>
        <v>OVER</v>
      </c>
      <c r="AI816" s="26">
        <f>Table2[[#This Row],[SRS/Real]]-Table2[[#This Row],[Spread/V]]</f>
        <v>0</v>
      </c>
      <c r="AJ816" s="2">
        <f>Table2[[#This Row],[EV/Real]]-Table2[[#This Row],[Spread/V]]</f>
        <v>0</v>
      </c>
      <c r="AK816" s="2">
        <f>Table2[[#This Row],[SRS/Diff]]-Table2[[#This Row],[EV/Diff]]</f>
        <v>0</v>
      </c>
      <c r="AL816" s="18">
        <f>Table2[[#This Row],[SRS]]-Table2[[#This Row],[Spread]]</f>
        <v>-6.5486885245901654</v>
      </c>
      <c r="AM816" s="21">
        <f>Table2[[#This Row],[(A) Err]]^2</f>
        <v>42.885321392098916</v>
      </c>
      <c r="AN816" s="6">
        <f>Table2[[#This Row],[EV]]-Table2[[#This Row],[Spread]]</f>
        <v>-6.2877840165856611</v>
      </c>
      <c r="AO816" s="1">
        <f>Table2[[#This Row],[EV Err]]^2</f>
        <v>39.536227839230108</v>
      </c>
      <c r="AP816" s="1"/>
    </row>
    <row r="817" spans="1:42" x14ac:dyDescent="0.25">
      <c r="A817" s="34">
        <v>42778</v>
      </c>
      <c r="B817" t="s">
        <v>126</v>
      </c>
      <c r="C817" t="s">
        <v>113</v>
      </c>
      <c r="E817" s="21"/>
      <c r="G817" s="21"/>
      <c r="H817" s="7"/>
      <c r="I817" s="21"/>
      <c r="K817"/>
      <c r="L817" s="21">
        <f>(Table2[[#This Row],[H/Pace]]/100)*(VLOOKUP(Table2[[#This Row],[Home/Neutral]],home_lookup,8,FALSE)+VLOOKUP(Table2[[#This Row],[Home/Neutral]],OFR_lookup,2,FALSE)+VLOOKUP(Table2[[#This Row],[Visitor/Neutral]],def_diff_lookup,6,FALSE))</f>
        <v>114.47180777050787</v>
      </c>
      <c r="M817" s="21"/>
      <c r="N817" s="21">
        <f>(Table2[[#This Row],[A/Pace]]/100)*(VLOOKUP(Table2[[#This Row],[Visitor/Neutral]],OFR_lookup,2,FALSE)+VLOOKUP(Table2[[#This Row],[Home/Neutral]],def_diff_lookup,6,FALSE))</f>
        <v>108.466939</v>
      </c>
      <c r="O817" s="21"/>
      <c r="P817" s="21"/>
      <c r="Q817">
        <f>VLOOKUP(Table2[[#This Row],[Home/Neutral]],pace_lookup,7,FALSE)</f>
        <v>95.7</v>
      </c>
      <c r="R817" s="5">
        <f>VLOOKUP(Table2[[#This Row],[Visitor/Neutral]],pace_lookup,7,FALSE)</f>
        <v>95.1</v>
      </c>
      <c r="S817" s="7"/>
      <c r="U817" s="15"/>
      <c r="W817" s="2">
        <f>-home-VLOOKUP(Table2[[#This Row],[Home/Neutral]],rtg_vlookup,4,FALSE)+VLOOKUP(Table2[[#This Row],[Visitor/Neutral]],rtg_vlookup,4,FALSE)</f>
        <v>3.0513114754098343</v>
      </c>
      <c r="X817" s="15"/>
      <c r="Y817" s="2"/>
      <c r="Z817" s="2">
        <f>Table2[[#This Row],[A/EV]]-Table2[[#This Row],[H/EV]]</f>
        <v>-6.0048687705078692</v>
      </c>
      <c r="AA817" s="29"/>
      <c r="AB817" s="30"/>
      <c r="AC817" s="30"/>
      <c r="AD817" s="30"/>
      <c r="AE817" s="30"/>
      <c r="AF817" s="7" t="b">
        <f>IF(VLOOKUP(Table2[[#This Row],[Home/Neutral]],division_lookup,9,FALSE)=VLOOKUP(Table2[[#This Row],[Visitor/Neutral]],division_lookup,9,FALSE),TRUE,FALSE)</f>
        <v>0</v>
      </c>
      <c r="AG817" s="15" t="str">
        <f>VLOOKUP(Table2[[#This Row],[Home/Neutral]],division_lookup,9,FALSE)</f>
        <v>NW</v>
      </c>
      <c r="AH817" s="15" t="str">
        <f>IF(Table2[[#This Row],[Total/EV]]&lt;Table2[[#This Row],[Total/V]],"UNDER","OVER")</f>
        <v>OVER</v>
      </c>
      <c r="AI817" s="26">
        <f>Table2[[#This Row],[SRS/Real]]-Table2[[#This Row],[Spread/V]]</f>
        <v>0</v>
      </c>
      <c r="AJ817" s="2">
        <f>Table2[[#This Row],[EV/Real]]-Table2[[#This Row],[Spread/V]]</f>
        <v>0</v>
      </c>
      <c r="AK817" s="2">
        <f>Table2[[#This Row],[SRS/Diff]]-Table2[[#This Row],[EV/Diff]]</f>
        <v>0</v>
      </c>
      <c r="AL817" s="18">
        <f>Table2[[#This Row],[SRS]]-Table2[[#This Row],[Spread]]</f>
        <v>3.0513114754098343</v>
      </c>
      <c r="AM817" s="21">
        <f>Table2[[#This Row],[(A) Err]]^2</f>
        <v>9.3105017199677391</v>
      </c>
      <c r="AN817" s="6">
        <f>Table2[[#This Row],[EV]]-Table2[[#This Row],[Spread]]</f>
        <v>-6.0048687705078692</v>
      </c>
      <c r="AO817" s="1">
        <f>Table2[[#This Row],[EV Err]]^2</f>
        <v>36.058448951020686</v>
      </c>
      <c r="AP817" s="1"/>
    </row>
    <row r="818" spans="1:42" x14ac:dyDescent="0.25">
      <c r="A818" s="34">
        <v>42778</v>
      </c>
      <c r="B818" t="s">
        <v>128</v>
      </c>
      <c r="C818" t="s">
        <v>134</v>
      </c>
      <c r="E818" s="21"/>
      <c r="G818" s="21"/>
      <c r="H818" s="7"/>
      <c r="I818" s="21"/>
      <c r="K818"/>
      <c r="L818" s="21">
        <f>(Table2[[#This Row],[H/Pace]]/100)*(VLOOKUP(Table2[[#This Row],[Home/Neutral]],home_lookup,8,FALSE)+VLOOKUP(Table2[[#This Row],[Home/Neutral]],OFR_lookup,2,FALSE)+VLOOKUP(Table2[[#This Row],[Visitor/Neutral]],def_diff_lookup,6,FALSE))</f>
        <v>107.08423987783021</v>
      </c>
      <c r="M818" s="21"/>
      <c r="N818" s="21">
        <f>(Table2[[#This Row],[A/Pace]]/100)*(VLOOKUP(Table2[[#This Row],[Visitor/Neutral]],OFR_lookup,2,FALSE)+VLOOKUP(Table2[[#This Row],[Home/Neutral]],def_diff_lookup,6,FALSE))</f>
        <v>108.18117266666667</v>
      </c>
      <c r="O818" s="21"/>
      <c r="P818" s="21"/>
      <c r="Q818">
        <f>VLOOKUP(Table2[[#This Row],[Home/Neutral]],pace_lookup,7,FALSE)</f>
        <v>96.3</v>
      </c>
      <c r="R818" s="5">
        <f>VLOOKUP(Table2[[#This Row],[Visitor/Neutral]],pace_lookup,7,FALSE)</f>
        <v>93.4</v>
      </c>
      <c r="S818" s="7"/>
      <c r="U818" s="15"/>
      <c r="W818" s="2">
        <f>-home-VLOOKUP(Table2[[#This Row],[Home/Neutral]],rtg_vlookup,4,FALSE)+VLOOKUP(Table2[[#This Row],[Visitor/Neutral]],rtg_vlookup,4,FALSE)</f>
        <v>6.4713114754098342</v>
      </c>
      <c r="X818" s="15"/>
      <c r="Y818" s="2"/>
      <c r="Z818" s="2">
        <f>Table2[[#This Row],[A/EV]]-Table2[[#This Row],[H/EV]]</f>
        <v>1.0969327888364546</v>
      </c>
      <c r="AA818" s="29"/>
      <c r="AB818" s="30"/>
      <c r="AC818" s="30"/>
      <c r="AD818" s="30"/>
      <c r="AE818" s="30"/>
      <c r="AF818" s="7" t="b">
        <f>IF(VLOOKUP(Table2[[#This Row],[Home/Neutral]],division_lookup,9,FALSE)=VLOOKUP(Table2[[#This Row],[Visitor/Neutral]],division_lookup,9,FALSE),TRUE,FALSE)</f>
        <v>0</v>
      </c>
      <c r="AG818" s="15" t="str">
        <f>VLOOKUP(Table2[[#This Row],[Home/Neutral]],division_lookup,9,FALSE)</f>
        <v>A</v>
      </c>
      <c r="AH818" s="15" t="str">
        <f>IF(Table2[[#This Row],[Total/EV]]&lt;Table2[[#This Row],[Total/V]],"UNDER","OVER")</f>
        <v>OVER</v>
      </c>
      <c r="AI818" s="26">
        <f>Table2[[#This Row],[SRS/Real]]-Table2[[#This Row],[Spread/V]]</f>
        <v>0</v>
      </c>
      <c r="AJ818" s="2">
        <f>Table2[[#This Row],[EV/Real]]-Table2[[#This Row],[Spread/V]]</f>
        <v>0</v>
      </c>
      <c r="AK818" s="2">
        <f>Table2[[#This Row],[SRS/Diff]]-Table2[[#This Row],[EV/Diff]]</f>
        <v>0</v>
      </c>
      <c r="AL818" s="18">
        <f>Table2[[#This Row],[SRS]]-Table2[[#This Row],[Spread]]</f>
        <v>6.4713114754098342</v>
      </c>
      <c r="AM818" s="21">
        <f>Table2[[#This Row],[(A) Err]]^2</f>
        <v>41.877872211771006</v>
      </c>
      <c r="AN818" s="6">
        <f>Table2[[#This Row],[EV]]-Table2[[#This Row],[Spread]]</f>
        <v>1.0969327888364546</v>
      </c>
      <c r="AO818" s="1">
        <f>Table2[[#This Row],[EV Err]]^2</f>
        <v>1.2032615432245219</v>
      </c>
      <c r="AP818" s="1"/>
    </row>
    <row r="819" spans="1:42" x14ac:dyDescent="0.25">
      <c r="A819" s="34">
        <v>42778</v>
      </c>
      <c r="B819" t="s">
        <v>133</v>
      </c>
      <c r="C819" t="s">
        <v>127</v>
      </c>
      <c r="E819" s="21"/>
      <c r="G819" s="21"/>
      <c r="H819" s="7"/>
      <c r="I819" s="21"/>
      <c r="K819"/>
      <c r="L819" s="21">
        <f>(Table2[[#This Row],[H/Pace]]/100)*(VLOOKUP(Table2[[#This Row],[Home/Neutral]],home_lookup,8,FALSE)+VLOOKUP(Table2[[#This Row],[Home/Neutral]],OFR_lookup,2,FALSE)+VLOOKUP(Table2[[#This Row],[Visitor/Neutral]],def_diff_lookup,6,FALSE))</f>
        <v>106.81738748279979</v>
      </c>
      <c r="M819" s="21"/>
      <c r="N819" s="21">
        <f>(Table2[[#This Row],[A/Pace]]/100)*(VLOOKUP(Table2[[#This Row],[Visitor/Neutral]],OFR_lookup,2,FALSE)+VLOOKUP(Table2[[#This Row],[Home/Neutral]],def_diff_lookup,6,FALSE))</f>
        <v>105.19411699999999</v>
      </c>
      <c r="O819" s="21"/>
      <c r="P819" s="21"/>
      <c r="Q819">
        <f>VLOOKUP(Table2[[#This Row],[Home/Neutral]],pace_lookup,7,FALSE)</f>
        <v>94.2</v>
      </c>
      <c r="R819" s="5">
        <f>VLOOKUP(Table2[[#This Row],[Visitor/Neutral]],pace_lookup,7,FALSE)</f>
        <v>99.3</v>
      </c>
      <c r="S819" s="7"/>
      <c r="U819" s="15"/>
      <c r="W819" s="2">
        <f>-home-VLOOKUP(Table2[[#This Row],[Home/Neutral]],rtg_vlookup,4,FALSE)+VLOOKUP(Table2[[#This Row],[Visitor/Neutral]],rtg_vlookup,4,FALSE)</f>
        <v>-3.518688524590166</v>
      </c>
      <c r="X819" s="15"/>
      <c r="Y819" s="2"/>
      <c r="Z819" s="2">
        <f>Table2[[#This Row],[A/EV]]-Table2[[#This Row],[H/EV]]</f>
        <v>-1.6232704827997964</v>
      </c>
      <c r="AA819" s="29"/>
      <c r="AB819" s="30"/>
      <c r="AC819" s="30"/>
      <c r="AD819" s="30"/>
      <c r="AE819" s="30"/>
      <c r="AF819" s="7" t="b">
        <f>IF(VLOOKUP(Table2[[#This Row],[Home/Neutral]],division_lookup,9,FALSE)=VLOOKUP(Table2[[#This Row],[Visitor/Neutral]],division_lookup,9,FALSE),TRUE,FALSE)</f>
        <v>0</v>
      </c>
      <c r="AG819" s="15" t="str">
        <f>VLOOKUP(Table2[[#This Row],[Home/Neutral]],division_lookup,9,FALSE)</f>
        <v>P</v>
      </c>
      <c r="AH819" s="15" t="str">
        <f>IF(Table2[[#This Row],[Total/EV]]&lt;Table2[[#This Row],[Total/V]],"UNDER","OVER")</f>
        <v>OVER</v>
      </c>
      <c r="AI819" s="26">
        <f>Table2[[#This Row],[SRS/Real]]-Table2[[#This Row],[Spread/V]]</f>
        <v>0</v>
      </c>
      <c r="AJ819" s="2">
        <f>Table2[[#This Row],[EV/Real]]-Table2[[#This Row],[Spread/V]]</f>
        <v>0</v>
      </c>
      <c r="AK819" s="2">
        <f>Table2[[#This Row],[SRS/Diff]]-Table2[[#This Row],[EV/Diff]]</f>
        <v>0</v>
      </c>
      <c r="AL819" s="18">
        <f>Table2[[#This Row],[SRS]]-Table2[[#This Row],[Spread]]</f>
        <v>-3.518688524590166</v>
      </c>
      <c r="AM819" s="21">
        <f>Table2[[#This Row],[(A) Err]]^2</f>
        <v>12.381168933082519</v>
      </c>
      <c r="AN819" s="6">
        <f>Table2[[#This Row],[EV]]-Table2[[#This Row],[Spread]]</f>
        <v>-1.6232704827997964</v>
      </c>
      <c r="AO819" s="1">
        <f>Table2[[#This Row],[EV Err]]^2</f>
        <v>2.6350070603290838</v>
      </c>
      <c r="AP819" s="1"/>
    </row>
    <row r="820" spans="1:42" x14ac:dyDescent="0.25">
      <c r="A820" s="34">
        <v>42778</v>
      </c>
      <c r="B820" t="s">
        <v>135</v>
      </c>
      <c r="C820" t="s">
        <v>117</v>
      </c>
      <c r="E820" s="21"/>
      <c r="G820" s="21"/>
      <c r="H820" s="7"/>
      <c r="I820" s="21"/>
      <c r="K820"/>
      <c r="L820" s="21">
        <f>(Table2[[#This Row],[H/Pace]]/100)*(VLOOKUP(Table2[[#This Row],[Home/Neutral]],home_lookup,8,FALSE)+VLOOKUP(Table2[[#This Row],[Home/Neutral]],OFR_lookup,2,FALSE)+VLOOKUP(Table2[[#This Row],[Visitor/Neutral]],def_diff_lookup,6,FALSE))</f>
        <v>105.93840035324614</v>
      </c>
      <c r="M820" s="21"/>
      <c r="N820" s="21">
        <f>(Table2[[#This Row],[A/Pace]]/100)*(VLOOKUP(Table2[[#This Row],[Visitor/Neutral]],OFR_lookup,2,FALSE)+VLOOKUP(Table2[[#This Row],[Home/Neutral]],def_diff_lookup,6,FALSE))</f>
        <v>98.912126666666651</v>
      </c>
      <c r="O820" s="21"/>
      <c r="P820" s="21"/>
      <c r="Q820">
        <f>VLOOKUP(Table2[[#This Row],[Home/Neutral]],pace_lookup,7,FALSE)</f>
        <v>95.4</v>
      </c>
      <c r="R820" s="5">
        <f>VLOOKUP(Table2[[#This Row],[Visitor/Neutral]],pace_lookup,7,FALSE)</f>
        <v>94</v>
      </c>
      <c r="S820" s="7"/>
      <c r="U820" s="15"/>
      <c r="W820" s="2">
        <f>-home-VLOOKUP(Table2[[#This Row],[Home/Neutral]],rtg_vlookup,4,FALSE)+VLOOKUP(Table2[[#This Row],[Visitor/Neutral]],rtg_vlookup,4,FALSE)</f>
        <v>-7.148688524590165</v>
      </c>
      <c r="X820" s="15"/>
      <c r="Y820" s="2"/>
      <c r="Z820" s="2">
        <f>Table2[[#This Row],[A/EV]]-Table2[[#This Row],[H/EV]]</f>
        <v>-7.0262736865794864</v>
      </c>
      <c r="AA820" s="29"/>
      <c r="AB820" s="30"/>
      <c r="AC820" s="30"/>
      <c r="AD820" s="30"/>
      <c r="AE820" s="30"/>
      <c r="AF820" s="7" t="b">
        <f>IF(VLOOKUP(Table2[[#This Row],[Home/Neutral]],division_lookup,9,FALSE)=VLOOKUP(Table2[[#This Row],[Visitor/Neutral]],division_lookup,9,FALSE),TRUE,FALSE)</f>
        <v>0</v>
      </c>
      <c r="AG820" s="15" t="str">
        <f>VLOOKUP(Table2[[#This Row],[Home/Neutral]],division_lookup,9,FALSE)</f>
        <v>A</v>
      </c>
      <c r="AH820" s="15" t="str">
        <f>IF(Table2[[#This Row],[Total/EV]]&lt;Table2[[#This Row],[Total/V]],"UNDER","OVER")</f>
        <v>OVER</v>
      </c>
      <c r="AI820" s="26">
        <f>Table2[[#This Row],[SRS/Real]]-Table2[[#This Row],[Spread/V]]</f>
        <v>0</v>
      </c>
      <c r="AJ820" s="2">
        <f>Table2[[#This Row],[EV/Real]]-Table2[[#This Row],[Spread/V]]</f>
        <v>0</v>
      </c>
      <c r="AK820" s="2">
        <f>Table2[[#This Row],[SRS/Diff]]-Table2[[#This Row],[EV/Diff]]</f>
        <v>0</v>
      </c>
      <c r="AL820" s="18">
        <f>Table2[[#This Row],[SRS]]-Table2[[#This Row],[Spread]]</f>
        <v>-7.148688524590165</v>
      </c>
      <c r="AM820" s="21">
        <f>Table2[[#This Row],[(A) Err]]^2</f>
        <v>51.103747621607113</v>
      </c>
      <c r="AN820" s="6">
        <f>Table2[[#This Row],[EV]]-Table2[[#This Row],[Spread]]</f>
        <v>-7.0262736865794864</v>
      </c>
      <c r="AO820" s="1">
        <f>Table2[[#This Row],[EV Err]]^2</f>
        <v>49.368521918719289</v>
      </c>
      <c r="AP820" s="1"/>
    </row>
    <row r="821" spans="1:42" x14ac:dyDescent="0.25">
      <c r="A821" s="34">
        <v>42779</v>
      </c>
      <c r="B821" t="s">
        <v>111</v>
      </c>
      <c r="C821" t="s">
        <v>123</v>
      </c>
      <c r="E821" s="21"/>
      <c r="G821" s="21"/>
      <c r="H821" s="7"/>
      <c r="I821" s="21"/>
      <c r="K821"/>
      <c r="L821" s="21">
        <f>(Table2[[#This Row],[H/Pace]]/100)*(VLOOKUP(Table2[[#This Row],[Home/Neutral]],home_lookup,8,FALSE)+VLOOKUP(Table2[[#This Row],[Home/Neutral]],OFR_lookup,2,FALSE)+VLOOKUP(Table2[[#This Row],[Visitor/Neutral]],def_diff_lookup,6,FALSE))</f>
        <v>96.560218327716342</v>
      </c>
      <c r="M821" s="21"/>
      <c r="N821" s="21">
        <f>(Table2[[#This Row],[A/Pace]]/100)*(VLOOKUP(Table2[[#This Row],[Visitor/Neutral]],OFR_lookup,2,FALSE)+VLOOKUP(Table2[[#This Row],[Home/Neutral]],def_diff_lookup,6,FALSE))</f>
        <v>99.979241666666667</v>
      </c>
      <c r="O821" s="21"/>
      <c r="P821" s="21"/>
      <c r="Q821">
        <f>VLOOKUP(Table2[[#This Row],[Home/Neutral]],pace_lookup,7,FALSE)</f>
        <v>102</v>
      </c>
      <c r="R821" s="5">
        <f>VLOOKUP(Table2[[#This Row],[Visitor/Neutral]],pace_lookup,7,FALSE)</f>
        <v>92.5</v>
      </c>
      <c r="S821" s="7"/>
      <c r="U821" s="15"/>
      <c r="W821" s="2">
        <f>-home-VLOOKUP(Table2[[#This Row],[Home/Neutral]],rtg_vlookup,4,FALSE)+VLOOKUP(Table2[[#This Row],[Visitor/Neutral]],rtg_vlookup,4,FALSE)</f>
        <v>6.6813114754098333</v>
      </c>
      <c r="X821" s="15"/>
      <c r="Y821" s="2"/>
      <c r="Z821" s="2">
        <f>Table2[[#This Row],[A/EV]]-Table2[[#This Row],[H/EV]]</f>
        <v>3.4190233389503248</v>
      </c>
      <c r="AA821" s="29"/>
      <c r="AB821" s="30"/>
      <c r="AC821" s="30"/>
      <c r="AD821" s="30"/>
      <c r="AE821" s="30"/>
      <c r="AF821" s="7" t="b">
        <f>IF(VLOOKUP(Table2[[#This Row],[Home/Neutral]],division_lookup,9,FALSE)=VLOOKUP(Table2[[#This Row],[Visitor/Neutral]],division_lookup,9,FALSE),TRUE,FALSE)</f>
        <v>0</v>
      </c>
      <c r="AG821" s="15" t="str">
        <f>VLOOKUP(Table2[[#This Row],[Home/Neutral]],division_lookup,9,FALSE)</f>
        <v>A</v>
      </c>
      <c r="AH821" s="15" t="str">
        <f>IF(Table2[[#This Row],[Total/EV]]&lt;Table2[[#This Row],[Total/V]],"UNDER","OVER")</f>
        <v>OVER</v>
      </c>
      <c r="AI821" s="26">
        <f>Table2[[#This Row],[SRS/Real]]-Table2[[#This Row],[Spread/V]]</f>
        <v>0</v>
      </c>
      <c r="AJ821" s="2">
        <f>Table2[[#This Row],[EV/Real]]-Table2[[#This Row],[Spread/V]]</f>
        <v>0</v>
      </c>
      <c r="AK821" s="2">
        <f>Table2[[#This Row],[SRS/Diff]]-Table2[[#This Row],[EV/Diff]]</f>
        <v>0</v>
      </c>
      <c r="AL821" s="18">
        <f>Table2[[#This Row],[SRS]]-Table2[[#This Row],[Spread]]</f>
        <v>6.6813114754098333</v>
      </c>
      <c r="AM821" s="21">
        <f>Table2[[#This Row],[(A) Err]]^2</f>
        <v>44.639923031443125</v>
      </c>
      <c r="AN821" s="6">
        <f>Table2[[#This Row],[EV]]-Table2[[#This Row],[Spread]]</f>
        <v>3.4190233389503248</v>
      </c>
      <c r="AO821" s="1">
        <f>Table2[[#This Row],[EV Err]]^2</f>
        <v>11.689720592287028</v>
      </c>
      <c r="AP821" s="1"/>
    </row>
    <row r="822" spans="1:42" x14ac:dyDescent="0.25">
      <c r="A822" s="34">
        <v>42779</v>
      </c>
      <c r="B822" t="s">
        <v>112</v>
      </c>
      <c r="C822" t="s">
        <v>138</v>
      </c>
      <c r="E822" s="21"/>
      <c r="G822" s="21"/>
      <c r="H822" s="7"/>
      <c r="I822" s="21"/>
      <c r="K822"/>
      <c r="L822" s="21">
        <f>(Table2[[#This Row],[H/Pace]]/100)*(VLOOKUP(Table2[[#This Row],[Home/Neutral]],home_lookup,8,FALSE)+VLOOKUP(Table2[[#This Row],[Home/Neutral]],OFR_lookup,2,FALSE)+VLOOKUP(Table2[[#This Row],[Visitor/Neutral]],def_diff_lookup,6,FALSE))</f>
        <v>105.85504195313484</v>
      </c>
      <c r="M822" s="21"/>
      <c r="N822" s="21">
        <f>(Table2[[#This Row],[A/Pace]]/100)*(VLOOKUP(Table2[[#This Row],[Visitor/Neutral]],OFR_lookup,2,FALSE)+VLOOKUP(Table2[[#This Row],[Home/Neutral]],def_diff_lookup,6,FALSE))</f>
        <v>95.380024999999989</v>
      </c>
      <c r="O822" s="21"/>
      <c r="P822" s="21"/>
      <c r="Q822">
        <f>VLOOKUP(Table2[[#This Row],[Home/Neutral]],pace_lookup,7,FALSE)</f>
        <v>97.4</v>
      </c>
      <c r="R822" s="5">
        <f>VLOOKUP(Table2[[#This Row],[Visitor/Neutral]],pace_lookup,7,FALSE)</f>
        <v>97.5</v>
      </c>
      <c r="S822" s="7"/>
      <c r="U822" s="15"/>
      <c r="W822" s="2">
        <f>-home-VLOOKUP(Table2[[#This Row],[Home/Neutral]],rtg_vlookup,4,FALSE)+VLOOKUP(Table2[[#This Row],[Visitor/Neutral]],rtg_vlookup,4,FALSE)</f>
        <v>-14.448688524590168</v>
      </c>
      <c r="X822" s="15"/>
      <c r="Y822" s="2"/>
      <c r="Z822" s="2">
        <f>Table2[[#This Row],[A/EV]]-Table2[[#This Row],[H/EV]]</f>
        <v>-10.475016953134855</v>
      </c>
      <c r="AA822" s="29"/>
      <c r="AB822" s="30"/>
      <c r="AC822" s="30"/>
      <c r="AD822" s="30"/>
      <c r="AE822" s="30"/>
      <c r="AF822" s="7" t="b">
        <f>IF(VLOOKUP(Table2[[#This Row],[Home/Neutral]],division_lookup,9,FALSE)=VLOOKUP(Table2[[#This Row],[Visitor/Neutral]],division_lookup,9,FALSE),TRUE,FALSE)</f>
        <v>0</v>
      </c>
      <c r="AG822" s="15" t="str">
        <f>VLOOKUP(Table2[[#This Row],[Home/Neutral]],division_lookup,9,FALSE)</f>
        <v>SE</v>
      </c>
      <c r="AH822" s="15" t="str">
        <f>IF(Table2[[#This Row],[Total/EV]]&lt;Table2[[#This Row],[Total/V]],"UNDER","OVER")</f>
        <v>OVER</v>
      </c>
      <c r="AI822" s="26">
        <f>Table2[[#This Row],[SRS/Real]]-Table2[[#This Row],[Spread/V]]</f>
        <v>0</v>
      </c>
      <c r="AJ822" s="2">
        <f>Table2[[#This Row],[EV/Real]]-Table2[[#This Row],[Spread/V]]</f>
        <v>0</v>
      </c>
      <c r="AK822" s="2">
        <f>Table2[[#This Row],[SRS/Diff]]-Table2[[#This Row],[EV/Diff]]</f>
        <v>0</v>
      </c>
      <c r="AL822" s="18">
        <f>Table2[[#This Row],[SRS]]-Table2[[#This Row],[Spread]]</f>
        <v>-14.448688524590168</v>
      </c>
      <c r="AM822" s="21">
        <f>Table2[[#This Row],[(A) Err]]^2</f>
        <v>208.76460008062358</v>
      </c>
      <c r="AN822" s="6">
        <f>Table2[[#This Row],[EV]]-Table2[[#This Row],[Spread]]</f>
        <v>-10.475016953134855</v>
      </c>
      <c r="AO822" s="1">
        <f>Table2[[#This Row],[EV Err]]^2</f>
        <v>109.72598016846261</v>
      </c>
      <c r="AP822" s="1"/>
    </row>
    <row r="823" spans="1:42" x14ac:dyDescent="0.25">
      <c r="A823" s="34">
        <v>42779</v>
      </c>
      <c r="B823" t="s">
        <v>115</v>
      </c>
      <c r="C823" t="s">
        <v>110</v>
      </c>
      <c r="E823" s="21"/>
      <c r="G823" s="21"/>
      <c r="H823" s="7"/>
      <c r="I823" s="21"/>
      <c r="K823"/>
      <c r="L823" s="21">
        <f>(Table2[[#This Row],[H/Pace]]/100)*(VLOOKUP(Table2[[#This Row],[Home/Neutral]],home_lookup,8,FALSE)+VLOOKUP(Table2[[#This Row],[Home/Neutral]],OFR_lookup,2,FALSE)+VLOOKUP(Table2[[#This Row],[Visitor/Neutral]],def_diff_lookup,6,FALSE))</f>
        <v>96.07455311596776</v>
      </c>
      <c r="M823" s="21"/>
      <c r="N823" s="21">
        <f>(Table2[[#This Row],[A/Pace]]/100)*(VLOOKUP(Table2[[#This Row],[Visitor/Neutral]],OFR_lookup,2,FALSE)+VLOOKUP(Table2[[#This Row],[Home/Neutral]],def_diff_lookup,6,FALSE))</f>
        <v>103.07413133333334</v>
      </c>
      <c r="O823" s="21"/>
      <c r="P823" s="21"/>
      <c r="Q823">
        <f>VLOOKUP(Table2[[#This Row],[Home/Neutral]],pace_lookup,7,FALSE)</f>
        <v>92.9</v>
      </c>
      <c r="R823" s="5">
        <f>VLOOKUP(Table2[[#This Row],[Visitor/Neutral]],pace_lookup,7,FALSE)</f>
        <v>96.2</v>
      </c>
      <c r="S823" s="7"/>
      <c r="U823" s="15"/>
      <c r="W823" s="2">
        <f>-home-VLOOKUP(Table2[[#This Row],[Home/Neutral]],rtg_vlookup,4,FALSE)+VLOOKUP(Table2[[#This Row],[Visitor/Neutral]],rtg_vlookup,4,FALSE)</f>
        <v>6.5613114754098341</v>
      </c>
      <c r="X823" s="15"/>
      <c r="Y823" s="2"/>
      <c r="Z823" s="2">
        <f>Table2[[#This Row],[A/EV]]-Table2[[#This Row],[H/EV]]</f>
        <v>6.9995782173655812</v>
      </c>
      <c r="AA823" s="29"/>
      <c r="AB823" s="30"/>
      <c r="AC823" s="30"/>
      <c r="AD823" s="30"/>
      <c r="AE823" s="30"/>
      <c r="AF823" s="7" t="b">
        <f>IF(VLOOKUP(Table2[[#This Row],[Home/Neutral]],division_lookup,9,FALSE)=VLOOKUP(Table2[[#This Row],[Visitor/Neutral]],division_lookup,9,FALSE),TRUE,FALSE)</f>
        <v>0</v>
      </c>
      <c r="AG823" s="15" t="str">
        <f>VLOOKUP(Table2[[#This Row],[Home/Neutral]],division_lookup,9,FALSE)</f>
        <v>SW</v>
      </c>
      <c r="AH823" s="15" t="str">
        <f>IF(Table2[[#This Row],[Total/EV]]&lt;Table2[[#This Row],[Total/V]],"UNDER","OVER")</f>
        <v>OVER</v>
      </c>
      <c r="AI823" s="26">
        <f>Table2[[#This Row],[SRS/Real]]-Table2[[#This Row],[Spread/V]]</f>
        <v>0</v>
      </c>
      <c r="AJ823" s="2">
        <f>Table2[[#This Row],[EV/Real]]-Table2[[#This Row],[Spread/V]]</f>
        <v>0</v>
      </c>
      <c r="AK823" s="2">
        <f>Table2[[#This Row],[SRS/Diff]]-Table2[[#This Row],[EV/Diff]]</f>
        <v>0</v>
      </c>
      <c r="AL823" s="18">
        <f>Table2[[#This Row],[SRS]]-Table2[[#This Row],[Spread]]</f>
        <v>6.5613114754098341</v>
      </c>
      <c r="AM823" s="21">
        <f>Table2[[#This Row],[(A) Err]]^2</f>
        <v>43.050808277344771</v>
      </c>
      <c r="AN823" s="6">
        <f>Table2[[#This Row],[EV]]-Table2[[#This Row],[Spread]]</f>
        <v>6.9995782173655812</v>
      </c>
      <c r="AO823" s="1">
        <f>Table2[[#This Row],[EV Err]]^2</f>
        <v>48.994095221018725</v>
      </c>
      <c r="AP823" s="1"/>
    </row>
    <row r="824" spans="1:42" x14ac:dyDescent="0.25">
      <c r="A824" s="34">
        <v>42779</v>
      </c>
      <c r="B824" t="s">
        <v>116</v>
      </c>
      <c r="C824" t="s">
        <v>118</v>
      </c>
      <c r="E824" s="21"/>
      <c r="G824" s="21"/>
      <c r="H824" s="7"/>
      <c r="I824" s="21"/>
      <c r="K824"/>
      <c r="L824" s="21">
        <f>(Table2[[#This Row],[H/Pace]]/100)*(VLOOKUP(Table2[[#This Row],[Home/Neutral]],home_lookup,8,FALSE)+VLOOKUP(Table2[[#This Row],[Home/Neutral]],OFR_lookup,2,FALSE)+VLOOKUP(Table2[[#This Row],[Visitor/Neutral]],def_diff_lookup,6,FALSE))</f>
        <v>103.78595470161864</v>
      </c>
      <c r="M824" s="21"/>
      <c r="N824" s="21">
        <f>(Table2[[#This Row],[A/Pace]]/100)*(VLOOKUP(Table2[[#This Row],[Visitor/Neutral]],OFR_lookup,2,FALSE)+VLOOKUP(Table2[[#This Row],[Home/Neutral]],def_diff_lookup,6,FALSE))</f>
        <v>117.66444933333332</v>
      </c>
      <c r="O824" s="21"/>
      <c r="P824" s="21"/>
      <c r="Q824">
        <f>VLOOKUP(Table2[[#This Row],[Home/Neutral]],pace_lookup,7,FALSE)</f>
        <v>99.1</v>
      </c>
      <c r="R824" s="5">
        <f>VLOOKUP(Table2[[#This Row],[Visitor/Neutral]],pace_lookup,7,FALSE)</f>
        <v>100.4</v>
      </c>
      <c r="S824" s="7"/>
      <c r="U824" s="15"/>
      <c r="W824" s="2">
        <f>-home-VLOOKUP(Table2[[#This Row],[Home/Neutral]],rtg_vlookup,4,FALSE)+VLOOKUP(Table2[[#This Row],[Visitor/Neutral]],rtg_vlookup,4,FALSE)</f>
        <v>9.3813114754098343</v>
      </c>
      <c r="X824" s="15"/>
      <c r="Y824" s="2"/>
      <c r="Z824" s="2">
        <f>Table2[[#This Row],[A/EV]]-Table2[[#This Row],[H/EV]]</f>
        <v>13.878494631714688</v>
      </c>
      <c r="AA824" s="29"/>
      <c r="AB824" s="30"/>
      <c r="AC824" s="30"/>
      <c r="AD824" s="30"/>
      <c r="AE824" s="30"/>
      <c r="AF824" s="7" t="b">
        <f>IF(VLOOKUP(Table2[[#This Row],[Home/Neutral]],division_lookup,9,FALSE)=VLOOKUP(Table2[[#This Row],[Visitor/Neutral]],division_lookup,9,FALSE),TRUE,FALSE)</f>
        <v>0</v>
      </c>
      <c r="AG824" s="15" t="str">
        <f>VLOOKUP(Table2[[#This Row],[Home/Neutral]],division_lookup,9,FALSE)</f>
        <v>NW</v>
      </c>
      <c r="AH824" s="15" t="str">
        <f>IF(Table2[[#This Row],[Total/EV]]&lt;Table2[[#This Row],[Total/V]],"UNDER","OVER")</f>
        <v>OVER</v>
      </c>
      <c r="AI824" s="26">
        <f>Table2[[#This Row],[SRS/Real]]-Table2[[#This Row],[Spread/V]]</f>
        <v>0</v>
      </c>
      <c r="AJ824" s="2">
        <f>Table2[[#This Row],[EV/Real]]-Table2[[#This Row],[Spread/V]]</f>
        <v>0</v>
      </c>
      <c r="AK824" s="2">
        <f>Table2[[#This Row],[SRS/Diff]]-Table2[[#This Row],[EV/Diff]]</f>
        <v>0</v>
      </c>
      <c r="AL824" s="18">
        <f>Table2[[#This Row],[SRS]]-Table2[[#This Row],[Spread]]</f>
        <v>9.3813114754098343</v>
      </c>
      <c r="AM824" s="21">
        <f>Table2[[#This Row],[(A) Err]]^2</f>
        <v>88.009004998656238</v>
      </c>
      <c r="AN824" s="6">
        <f>Table2[[#This Row],[EV]]-Table2[[#This Row],[Spread]]</f>
        <v>13.878494631714688</v>
      </c>
      <c r="AO824" s="1">
        <f>Table2[[#This Row],[EV Err]]^2</f>
        <v>192.6126132425334</v>
      </c>
      <c r="AP824" s="1"/>
    </row>
    <row r="825" spans="1:42" x14ac:dyDescent="0.25">
      <c r="A825" s="34">
        <v>42779</v>
      </c>
      <c r="B825" t="s">
        <v>120</v>
      </c>
      <c r="C825" t="s">
        <v>134</v>
      </c>
      <c r="E825" s="21"/>
      <c r="G825" s="21"/>
      <c r="H825" s="7"/>
      <c r="I825" s="21"/>
      <c r="K825"/>
      <c r="L825" s="21">
        <f>(Table2[[#This Row],[H/Pace]]/100)*(VLOOKUP(Table2[[#This Row],[Home/Neutral]],home_lookup,8,FALSE)+VLOOKUP(Table2[[#This Row],[Home/Neutral]],OFR_lookup,2,FALSE)+VLOOKUP(Table2[[#This Row],[Visitor/Neutral]],def_diff_lookup,6,FALSE))</f>
        <v>104.64885542930861</v>
      </c>
      <c r="M825" s="21"/>
      <c r="N825" s="21">
        <f>(Table2[[#This Row],[A/Pace]]/100)*(VLOOKUP(Table2[[#This Row],[Visitor/Neutral]],OFR_lookup,2,FALSE)+VLOOKUP(Table2[[#This Row],[Home/Neutral]],def_diff_lookup,6,FALSE))</f>
        <v>106.89225266666666</v>
      </c>
      <c r="O825" s="21"/>
      <c r="P825" s="21"/>
      <c r="Q825">
        <f>VLOOKUP(Table2[[#This Row],[Home/Neutral]],pace_lookup,7,FALSE)</f>
        <v>98.3</v>
      </c>
      <c r="R825" s="5">
        <f>VLOOKUP(Table2[[#This Row],[Visitor/Neutral]],pace_lookup,7,FALSE)</f>
        <v>93.4</v>
      </c>
      <c r="S825" s="7"/>
      <c r="U825" s="15"/>
      <c r="W825" s="2">
        <f>-home-VLOOKUP(Table2[[#This Row],[Home/Neutral]],rtg_vlookup,4,FALSE)+VLOOKUP(Table2[[#This Row],[Visitor/Neutral]],rtg_vlookup,4,FALSE)</f>
        <v>9.3113114754098341</v>
      </c>
      <c r="X825" s="15"/>
      <c r="Y825" s="2"/>
      <c r="Z825" s="2">
        <f>Table2[[#This Row],[A/EV]]-Table2[[#This Row],[H/EV]]</f>
        <v>2.2433972373580531</v>
      </c>
      <c r="AA825" s="29"/>
      <c r="AB825" s="30"/>
      <c r="AC825" s="30"/>
      <c r="AD825" s="30"/>
      <c r="AE825" s="30"/>
      <c r="AF825" s="7" t="b">
        <f>IF(VLOOKUP(Table2[[#This Row],[Home/Neutral]],division_lookup,9,FALSE)=VLOOKUP(Table2[[#This Row],[Visitor/Neutral]],division_lookup,9,FALSE),TRUE,FALSE)</f>
        <v>0</v>
      </c>
      <c r="AG825" s="15" t="str">
        <f>VLOOKUP(Table2[[#This Row],[Home/Neutral]],division_lookup,9,FALSE)</f>
        <v>C</v>
      </c>
      <c r="AH825" s="15" t="str">
        <f>IF(Table2[[#This Row],[Total/EV]]&lt;Table2[[#This Row],[Total/V]],"UNDER","OVER")</f>
        <v>OVER</v>
      </c>
      <c r="AI825" s="26">
        <f>Table2[[#This Row],[SRS/Real]]-Table2[[#This Row],[Spread/V]]</f>
        <v>0</v>
      </c>
      <c r="AJ825" s="2">
        <f>Table2[[#This Row],[EV/Real]]-Table2[[#This Row],[Spread/V]]</f>
        <v>0</v>
      </c>
      <c r="AK825" s="2">
        <f>Table2[[#This Row],[SRS/Diff]]-Table2[[#This Row],[EV/Diff]]</f>
        <v>0</v>
      </c>
      <c r="AL825" s="18">
        <f>Table2[[#This Row],[SRS]]-Table2[[#This Row],[Spread]]</f>
        <v>9.3113114754098341</v>
      </c>
      <c r="AM825" s="21">
        <f>Table2[[#This Row],[(A) Err]]^2</f>
        <v>86.700521392098864</v>
      </c>
      <c r="AN825" s="6">
        <f>Table2[[#This Row],[EV]]-Table2[[#This Row],[Spread]]</f>
        <v>2.2433972373580531</v>
      </c>
      <c r="AO825" s="1">
        <f>Table2[[#This Row],[EV Err]]^2</f>
        <v>5.0328311645857449</v>
      </c>
      <c r="AP825" s="1"/>
    </row>
    <row r="826" spans="1:42" x14ac:dyDescent="0.25">
      <c r="A826" s="34">
        <v>42779</v>
      </c>
      <c r="B826" t="s">
        <v>124</v>
      </c>
      <c r="C826" t="s">
        <v>130</v>
      </c>
      <c r="E826" s="21"/>
      <c r="G826" s="21"/>
      <c r="H826" s="7"/>
      <c r="I826" s="21"/>
      <c r="K826"/>
      <c r="L826" s="21">
        <f>(Table2[[#This Row],[H/Pace]]/100)*(VLOOKUP(Table2[[#This Row],[Home/Neutral]],home_lookup,8,FALSE)+VLOOKUP(Table2[[#This Row],[Home/Neutral]],OFR_lookup,2,FALSE)+VLOOKUP(Table2[[#This Row],[Visitor/Neutral]],def_diff_lookup,6,FALSE))</f>
        <v>101.01390517723556</v>
      </c>
      <c r="M826" s="21"/>
      <c r="N826" s="21">
        <f>(Table2[[#This Row],[A/Pace]]/100)*(VLOOKUP(Table2[[#This Row],[Visitor/Neutral]],OFR_lookup,2,FALSE)+VLOOKUP(Table2[[#This Row],[Home/Neutral]],def_diff_lookup,6,FALSE))</f>
        <v>90.069958</v>
      </c>
      <c r="O826" s="21"/>
      <c r="P826" s="21"/>
      <c r="Q826">
        <f>VLOOKUP(Table2[[#This Row],[Home/Neutral]],pace_lookup,7,FALSE)</f>
        <v>93.7</v>
      </c>
      <c r="R826" s="5">
        <f>VLOOKUP(Table2[[#This Row],[Visitor/Neutral]],pace_lookup,7,FALSE)</f>
        <v>94.2</v>
      </c>
      <c r="S826" s="7"/>
      <c r="U826" s="15"/>
      <c r="W826" s="2">
        <f>-home-VLOOKUP(Table2[[#This Row],[Home/Neutral]],rtg_vlookup,4,FALSE)+VLOOKUP(Table2[[#This Row],[Visitor/Neutral]],rtg_vlookup,4,FALSE)</f>
        <v>-10.208688524590167</v>
      </c>
      <c r="X826" s="15"/>
      <c r="Y826" s="2"/>
      <c r="Z826" s="2">
        <f>Table2[[#This Row],[A/EV]]-Table2[[#This Row],[H/EV]]</f>
        <v>-10.943947177235557</v>
      </c>
      <c r="AA826" s="29"/>
      <c r="AB826" s="30"/>
      <c r="AC826" s="30"/>
      <c r="AD826" s="30"/>
      <c r="AE826" s="30"/>
      <c r="AF826" s="7" t="b">
        <f>IF(VLOOKUP(Table2[[#This Row],[Home/Neutral]],division_lookup,9,FALSE)=VLOOKUP(Table2[[#This Row],[Visitor/Neutral]],division_lookup,9,FALSE),TRUE,FALSE)</f>
        <v>1</v>
      </c>
      <c r="AG826" s="15" t="str">
        <f>VLOOKUP(Table2[[#This Row],[Home/Neutral]],division_lookup,9,FALSE)</f>
        <v>SE</v>
      </c>
      <c r="AH826" s="15" t="str">
        <f>IF(Table2[[#This Row],[Total/EV]]&lt;Table2[[#This Row],[Total/V]],"UNDER","OVER")</f>
        <v>OVER</v>
      </c>
      <c r="AI826" s="26">
        <f>Table2[[#This Row],[SRS/Real]]-Table2[[#This Row],[Spread/V]]</f>
        <v>0</v>
      </c>
      <c r="AJ826" s="2">
        <f>Table2[[#This Row],[EV/Real]]-Table2[[#This Row],[Spread/V]]</f>
        <v>0</v>
      </c>
      <c r="AK826" s="2">
        <f>Table2[[#This Row],[SRS/Diff]]-Table2[[#This Row],[EV/Diff]]</f>
        <v>0</v>
      </c>
      <c r="AL826" s="18">
        <f>Table2[[#This Row],[SRS]]-Table2[[#This Row],[Spread]]</f>
        <v>-10.208688524590167</v>
      </c>
      <c r="AM826" s="21">
        <f>Table2[[#This Row],[(A) Err]]^2</f>
        <v>104.21732139209897</v>
      </c>
      <c r="AN826" s="6">
        <f>Table2[[#This Row],[EV]]-Table2[[#This Row],[Spread]]</f>
        <v>-10.943947177235557</v>
      </c>
      <c r="AO826" s="1">
        <f>Table2[[#This Row],[EV Err]]^2</f>
        <v>119.76997981812212</v>
      </c>
      <c r="AP826" s="1"/>
    </row>
    <row r="827" spans="1:42" x14ac:dyDescent="0.25">
      <c r="A827" s="34">
        <v>42779</v>
      </c>
      <c r="B827" t="s">
        <v>125</v>
      </c>
      <c r="C827" t="s">
        <v>117</v>
      </c>
      <c r="E827" s="21"/>
      <c r="G827" s="21"/>
      <c r="H827" s="7"/>
      <c r="I827" s="21"/>
      <c r="K827"/>
      <c r="L827" s="21">
        <f>(Table2[[#This Row],[H/Pace]]/100)*(VLOOKUP(Table2[[#This Row],[Home/Neutral]],home_lookup,8,FALSE)+VLOOKUP(Table2[[#This Row],[Home/Neutral]],OFR_lookup,2,FALSE)+VLOOKUP(Table2[[#This Row],[Visitor/Neutral]],def_diff_lookup,6,FALSE))</f>
        <v>104.74977550061908</v>
      </c>
      <c r="M827" s="21"/>
      <c r="N827" s="21">
        <f>(Table2[[#This Row],[A/Pace]]/100)*(VLOOKUP(Table2[[#This Row],[Visitor/Neutral]],OFR_lookup,2,FALSE)+VLOOKUP(Table2[[#This Row],[Home/Neutral]],def_diff_lookup,6,FALSE))</f>
        <v>100.01192666666665</v>
      </c>
      <c r="O827" s="21"/>
      <c r="P827" s="21"/>
      <c r="Q827">
        <f>VLOOKUP(Table2[[#This Row],[Home/Neutral]],pace_lookup,7,FALSE)</f>
        <v>96.1</v>
      </c>
      <c r="R827" s="5">
        <f>VLOOKUP(Table2[[#This Row],[Visitor/Neutral]],pace_lookup,7,FALSE)</f>
        <v>94</v>
      </c>
      <c r="S827" s="7"/>
      <c r="U827" s="15"/>
      <c r="W827" s="2">
        <f>-home-VLOOKUP(Table2[[#This Row],[Home/Neutral]],rtg_vlookup,4,FALSE)+VLOOKUP(Table2[[#This Row],[Visitor/Neutral]],rtg_vlookup,4,FALSE)</f>
        <v>1.2713114754098342</v>
      </c>
      <c r="X827" s="15"/>
      <c r="Y827" s="2"/>
      <c r="Z827" s="2">
        <f>Table2[[#This Row],[A/EV]]-Table2[[#This Row],[H/EV]]</f>
        <v>-4.7378488339524267</v>
      </c>
      <c r="AA827" s="29"/>
      <c r="AB827" s="30"/>
      <c r="AC827" s="30"/>
      <c r="AD827" s="30"/>
      <c r="AE827" s="30"/>
      <c r="AF827" s="7" t="b">
        <f>IF(VLOOKUP(Table2[[#This Row],[Home/Neutral]],division_lookup,9,FALSE)=VLOOKUP(Table2[[#This Row],[Visitor/Neutral]],division_lookup,9,FALSE),TRUE,FALSE)</f>
        <v>1</v>
      </c>
      <c r="AG827" s="15" t="str">
        <f>VLOOKUP(Table2[[#This Row],[Home/Neutral]],division_lookup,9,FALSE)</f>
        <v>C</v>
      </c>
      <c r="AH827" s="15" t="str">
        <f>IF(Table2[[#This Row],[Total/EV]]&lt;Table2[[#This Row],[Total/V]],"UNDER","OVER")</f>
        <v>OVER</v>
      </c>
      <c r="AI827" s="26">
        <f>Table2[[#This Row],[SRS/Real]]-Table2[[#This Row],[Spread/V]]</f>
        <v>0</v>
      </c>
      <c r="AJ827" s="2">
        <f>Table2[[#This Row],[EV/Real]]-Table2[[#This Row],[Spread/V]]</f>
        <v>0</v>
      </c>
      <c r="AK827" s="2">
        <f>Table2[[#This Row],[SRS/Diff]]-Table2[[#This Row],[EV/Diff]]</f>
        <v>0</v>
      </c>
      <c r="AL827" s="18">
        <f>Table2[[#This Row],[SRS]]-Table2[[#This Row],[Spread]]</f>
        <v>1.2713114754098342</v>
      </c>
      <c r="AM827" s="21">
        <f>Table2[[#This Row],[(A) Err]]^2</f>
        <v>1.6162328675087296</v>
      </c>
      <c r="AN827" s="6">
        <f>Table2[[#This Row],[EV]]-Table2[[#This Row],[Spread]]</f>
        <v>-4.7378488339524267</v>
      </c>
      <c r="AO827" s="1">
        <f>Table2[[#This Row],[EV Err]]^2</f>
        <v>22.447211573384369</v>
      </c>
      <c r="AP827" s="1"/>
    </row>
    <row r="828" spans="1:42" x14ac:dyDescent="0.25">
      <c r="A828" s="34">
        <v>42779</v>
      </c>
      <c r="B828" t="s">
        <v>131</v>
      </c>
      <c r="C828" t="s">
        <v>127</v>
      </c>
      <c r="E828" s="21"/>
      <c r="G828" s="21"/>
      <c r="H828" s="7"/>
      <c r="I828" s="21"/>
      <c r="K828"/>
      <c r="L828" s="21">
        <f>(Table2[[#This Row],[H/Pace]]/100)*(VLOOKUP(Table2[[#This Row],[Home/Neutral]],home_lookup,8,FALSE)+VLOOKUP(Table2[[#This Row],[Home/Neutral]],OFR_lookup,2,FALSE)+VLOOKUP(Table2[[#This Row],[Visitor/Neutral]],def_diff_lookup,6,FALSE))</f>
        <v>95.641729791197648</v>
      </c>
      <c r="M828" s="21"/>
      <c r="N828" s="21">
        <f>(Table2[[#This Row],[A/Pace]]/100)*(VLOOKUP(Table2[[#This Row],[Visitor/Neutral]],OFR_lookup,2,FALSE)+VLOOKUP(Table2[[#This Row],[Home/Neutral]],def_diff_lookup,6,FALSE))</f>
        <v>103.09888699999999</v>
      </c>
      <c r="O828" s="21"/>
      <c r="P828" s="21"/>
      <c r="Q828">
        <f>VLOOKUP(Table2[[#This Row],[Home/Neutral]],pace_lookup,7,FALSE)</f>
        <v>101.7</v>
      </c>
      <c r="R828" s="5">
        <f>VLOOKUP(Table2[[#This Row],[Visitor/Neutral]],pace_lookup,7,FALSE)</f>
        <v>99.3</v>
      </c>
      <c r="S828" s="7"/>
      <c r="U828" s="15"/>
      <c r="W828" s="2">
        <f>-home-VLOOKUP(Table2[[#This Row],[Home/Neutral]],rtg_vlookup,4,FALSE)+VLOOKUP(Table2[[#This Row],[Visitor/Neutral]],rtg_vlookup,4,FALSE)</f>
        <v>0.94131147540983395</v>
      </c>
      <c r="X828" s="15"/>
      <c r="Y828" s="2"/>
      <c r="Z828" s="2">
        <f>Table2[[#This Row],[A/EV]]-Table2[[#This Row],[H/EV]]</f>
        <v>7.457157208802343</v>
      </c>
      <c r="AA828" s="29"/>
      <c r="AB828" s="30"/>
      <c r="AC828" s="30"/>
      <c r="AD828" s="30"/>
      <c r="AE828" s="30"/>
      <c r="AF828" s="7" t="b">
        <f>IF(VLOOKUP(Table2[[#This Row],[Home/Neutral]],division_lookup,9,FALSE)=VLOOKUP(Table2[[#This Row],[Visitor/Neutral]],division_lookup,9,FALSE),TRUE,FALSE)</f>
        <v>0</v>
      </c>
      <c r="AG828" s="15" t="str">
        <f>VLOOKUP(Table2[[#This Row],[Home/Neutral]],division_lookup,9,FALSE)</f>
        <v>P</v>
      </c>
      <c r="AH828" s="15" t="str">
        <f>IF(Table2[[#This Row],[Total/EV]]&lt;Table2[[#This Row],[Total/V]],"UNDER","OVER")</f>
        <v>OVER</v>
      </c>
      <c r="AI828" s="26">
        <f>Table2[[#This Row],[SRS/Real]]-Table2[[#This Row],[Spread/V]]</f>
        <v>0</v>
      </c>
      <c r="AJ828" s="2">
        <f>Table2[[#This Row],[EV/Real]]-Table2[[#This Row],[Spread/V]]</f>
        <v>0</v>
      </c>
      <c r="AK828" s="2">
        <f>Table2[[#This Row],[SRS/Diff]]-Table2[[#This Row],[EV/Diff]]</f>
        <v>0</v>
      </c>
      <c r="AL828" s="18">
        <f>Table2[[#This Row],[SRS]]-Table2[[#This Row],[Spread]]</f>
        <v>0.94131147540983395</v>
      </c>
      <c r="AM828" s="21">
        <f>Table2[[#This Row],[(A) Err]]^2</f>
        <v>0.88606729373823845</v>
      </c>
      <c r="AN828" s="6">
        <f>Table2[[#This Row],[EV]]-Table2[[#This Row],[Spread]]</f>
        <v>7.457157208802343</v>
      </c>
      <c r="AO828" s="1">
        <f>Table2[[#This Row],[EV Err]]^2</f>
        <v>55.609193636792753</v>
      </c>
      <c r="AP828" s="1"/>
    </row>
    <row r="829" spans="1:42" x14ac:dyDescent="0.25">
      <c r="A829" s="34">
        <v>42779</v>
      </c>
      <c r="B829" t="s">
        <v>132</v>
      </c>
      <c r="C829" t="s">
        <v>109</v>
      </c>
      <c r="E829" s="21"/>
      <c r="G829" s="21"/>
      <c r="H829" s="7"/>
      <c r="I829" s="21"/>
      <c r="K829"/>
      <c r="L829" s="21">
        <f>(Table2[[#This Row],[H/Pace]]/100)*(VLOOKUP(Table2[[#This Row],[Home/Neutral]],home_lookup,8,FALSE)+VLOOKUP(Table2[[#This Row],[Home/Neutral]],OFR_lookup,2,FALSE)+VLOOKUP(Table2[[#This Row],[Visitor/Neutral]],def_diff_lookup,6,FALSE))</f>
        <v>102.18706144606979</v>
      </c>
      <c r="M829" s="21"/>
      <c r="N829" s="21">
        <f>(Table2[[#This Row],[A/Pace]]/100)*(VLOOKUP(Table2[[#This Row],[Visitor/Neutral]],OFR_lookup,2,FALSE)+VLOOKUP(Table2[[#This Row],[Home/Neutral]],def_diff_lookup,6,FALSE))</f>
        <v>106.73490133333333</v>
      </c>
      <c r="O829" s="21"/>
      <c r="P829" s="21"/>
      <c r="Q829">
        <f>VLOOKUP(Table2[[#This Row],[Home/Neutral]],pace_lookup,7,FALSE)</f>
        <v>98.8</v>
      </c>
      <c r="R829" s="5">
        <f>VLOOKUP(Table2[[#This Row],[Visitor/Neutral]],pace_lookup,7,FALSE)</f>
        <v>99.2</v>
      </c>
      <c r="S829" s="7"/>
      <c r="U829" s="15"/>
      <c r="W829" s="2">
        <f>-home-VLOOKUP(Table2[[#This Row],[Home/Neutral]],rtg_vlookup,4,FALSE)+VLOOKUP(Table2[[#This Row],[Visitor/Neutral]],rtg_vlookup,4,FALSE)</f>
        <v>1.9413114754098344</v>
      </c>
      <c r="X829" s="15"/>
      <c r="Y829" s="2"/>
      <c r="Z829" s="2">
        <f>Table2[[#This Row],[A/EV]]-Table2[[#This Row],[H/EV]]</f>
        <v>4.5478398872635353</v>
      </c>
      <c r="AA829" s="29"/>
      <c r="AB829" s="30"/>
      <c r="AC829" s="30"/>
      <c r="AD829" s="30"/>
      <c r="AE829" s="30"/>
      <c r="AF829" s="7" t="b">
        <f>IF(VLOOKUP(Table2[[#This Row],[Home/Neutral]],division_lookup,9,FALSE)=VLOOKUP(Table2[[#This Row],[Visitor/Neutral]],division_lookup,9,FALSE),TRUE,FALSE)</f>
        <v>0</v>
      </c>
      <c r="AG829" s="15" t="str">
        <f>VLOOKUP(Table2[[#This Row],[Home/Neutral]],division_lookup,9,FALSE)</f>
        <v>NW</v>
      </c>
      <c r="AH829" s="15" t="str">
        <f>IF(Table2[[#This Row],[Total/EV]]&lt;Table2[[#This Row],[Total/V]],"UNDER","OVER")</f>
        <v>OVER</v>
      </c>
      <c r="AI829" s="26">
        <f>Table2[[#This Row],[SRS/Real]]-Table2[[#This Row],[Spread/V]]</f>
        <v>0</v>
      </c>
      <c r="AJ829" s="2">
        <f>Table2[[#This Row],[EV/Real]]-Table2[[#This Row],[Spread/V]]</f>
        <v>0</v>
      </c>
      <c r="AK829" s="2">
        <f>Table2[[#This Row],[SRS/Diff]]-Table2[[#This Row],[EV/Diff]]</f>
        <v>0</v>
      </c>
      <c r="AL829" s="18">
        <f>Table2[[#This Row],[SRS]]-Table2[[#This Row],[Spread]]</f>
        <v>1.9413114754098344</v>
      </c>
      <c r="AM829" s="21">
        <f>Table2[[#This Row],[(A) Err]]^2</f>
        <v>3.768690244557908</v>
      </c>
      <c r="AN829" s="6">
        <f>Table2[[#This Row],[EV]]-Table2[[#This Row],[Spread]]</f>
        <v>4.5478398872635353</v>
      </c>
      <c r="AO829" s="1">
        <f>Table2[[#This Row],[EV Err]]^2</f>
        <v>20.682847640185205</v>
      </c>
      <c r="AP829" s="1"/>
    </row>
    <row r="830" spans="1:42" x14ac:dyDescent="0.25">
      <c r="A830" s="34">
        <v>42779</v>
      </c>
      <c r="B830" t="s">
        <v>136</v>
      </c>
      <c r="C830" t="s">
        <v>121</v>
      </c>
      <c r="E830" s="21"/>
      <c r="G830" s="21"/>
      <c r="H830" s="7"/>
      <c r="I830" s="21"/>
      <c r="K830"/>
      <c r="L830" s="21">
        <f>(Table2[[#This Row],[H/Pace]]/100)*(VLOOKUP(Table2[[#This Row],[Home/Neutral]],home_lookup,8,FALSE)+VLOOKUP(Table2[[#This Row],[Home/Neutral]],OFR_lookup,2,FALSE)+VLOOKUP(Table2[[#This Row],[Visitor/Neutral]],def_diff_lookup,6,FALSE))</f>
        <v>101.14093534991899</v>
      </c>
      <c r="M830" s="21"/>
      <c r="N830" s="21">
        <f>(Table2[[#This Row],[A/Pace]]/100)*(VLOOKUP(Table2[[#This Row],[Visitor/Neutral]],OFR_lookup,2,FALSE)+VLOOKUP(Table2[[#This Row],[Home/Neutral]],def_diff_lookup,6,FALSE))</f>
        <v>106.63350266666666</v>
      </c>
      <c r="O830" s="21"/>
      <c r="P830" s="21"/>
      <c r="Q830">
        <f>VLOOKUP(Table2[[#This Row],[Home/Neutral]],pace_lookup,7,FALSE)</f>
        <v>91.5</v>
      </c>
      <c r="R830" s="5">
        <f>VLOOKUP(Table2[[#This Row],[Visitor/Neutral]],pace_lookup,7,FALSE)</f>
        <v>96.4</v>
      </c>
      <c r="S830" s="7"/>
      <c r="U830" s="15"/>
      <c r="W830" s="2">
        <f>-home-VLOOKUP(Table2[[#This Row],[Home/Neutral]],rtg_vlookup,4,FALSE)+VLOOKUP(Table2[[#This Row],[Visitor/Neutral]],rtg_vlookup,4,FALSE)</f>
        <v>5.7013114754098346</v>
      </c>
      <c r="X830" s="15"/>
      <c r="Y830" s="2"/>
      <c r="Z830" s="2">
        <f>Table2[[#This Row],[A/EV]]-Table2[[#This Row],[H/EV]]</f>
        <v>5.4925673167476674</v>
      </c>
      <c r="AA830" s="29"/>
      <c r="AB830" s="30"/>
      <c r="AC830" s="30"/>
      <c r="AD830" s="30"/>
      <c r="AE830" s="30"/>
      <c r="AF830" s="7" t="b">
        <f>IF(VLOOKUP(Table2[[#This Row],[Home/Neutral]],division_lookup,9,FALSE)=VLOOKUP(Table2[[#This Row],[Visitor/Neutral]],division_lookup,9,FALSE),TRUE,FALSE)</f>
        <v>0</v>
      </c>
      <c r="AG830" s="15" t="str">
        <f>VLOOKUP(Table2[[#This Row],[Home/Neutral]],division_lookup,9,FALSE)</f>
        <v>NW</v>
      </c>
      <c r="AH830" s="15" t="str">
        <f>IF(Table2[[#This Row],[Total/EV]]&lt;Table2[[#This Row],[Total/V]],"UNDER","OVER")</f>
        <v>OVER</v>
      </c>
      <c r="AI830" s="26">
        <f>Table2[[#This Row],[SRS/Real]]-Table2[[#This Row],[Spread/V]]</f>
        <v>0</v>
      </c>
      <c r="AJ830" s="2">
        <f>Table2[[#This Row],[EV/Real]]-Table2[[#This Row],[Spread/V]]</f>
        <v>0</v>
      </c>
      <c r="AK830" s="2">
        <f>Table2[[#This Row],[SRS/Diff]]-Table2[[#This Row],[EV/Diff]]</f>
        <v>0</v>
      </c>
      <c r="AL830" s="18">
        <f>Table2[[#This Row],[SRS]]-Table2[[#This Row],[Spread]]</f>
        <v>5.7013114754098346</v>
      </c>
      <c r="AM830" s="21">
        <f>Table2[[#This Row],[(A) Err]]^2</f>
        <v>32.504952539639866</v>
      </c>
      <c r="AN830" s="6">
        <f>Table2[[#This Row],[EV]]-Table2[[#This Row],[Spread]]</f>
        <v>5.4925673167476674</v>
      </c>
      <c r="AO830" s="1">
        <f>Table2[[#This Row],[EV Err]]^2</f>
        <v>30.168295729004672</v>
      </c>
      <c r="AP830" s="1"/>
    </row>
    <row r="831" spans="1:42" x14ac:dyDescent="0.25">
      <c r="A831" s="34">
        <v>42779</v>
      </c>
      <c r="B831" t="s">
        <v>137</v>
      </c>
      <c r="C831" t="s">
        <v>129</v>
      </c>
      <c r="E831" s="21"/>
      <c r="G831" s="21"/>
      <c r="H831" s="7"/>
      <c r="I831" s="21"/>
      <c r="K831"/>
      <c r="L831" s="21">
        <f>(Table2[[#This Row],[H/Pace]]/100)*(VLOOKUP(Table2[[#This Row],[Home/Neutral]],home_lookup,8,FALSE)+VLOOKUP(Table2[[#This Row],[Home/Neutral]],OFR_lookup,2,FALSE)+VLOOKUP(Table2[[#This Row],[Visitor/Neutral]],def_diff_lookup,6,FALSE))</f>
        <v>106.05373255421871</v>
      </c>
      <c r="M831" s="21"/>
      <c r="N831" s="21">
        <f>(Table2[[#This Row],[A/Pace]]/100)*(VLOOKUP(Table2[[#This Row],[Visitor/Neutral]],OFR_lookup,2,FALSE)+VLOOKUP(Table2[[#This Row],[Home/Neutral]],def_diff_lookup,6,FALSE))</f>
        <v>108.65810999999999</v>
      </c>
      <c r="O831" s="21"/>
      <c r="P831" s="21"/>
      <c r="Q831">
        <f>VLOOKUP(Table2[[#This Row],[Home/Neutral]],pace_lookup,7,FALSE)</f>
        <v>96</v>
      </c>
      <c r="R831" s="5">
        <f>VLOOKUP(Table2[[#This Row],[Visitor/Neutral]],pace_lookup,7,FALSE)</f>
        <v>99</v>
      </c>
      <c r="S831" s="7"/>
      <c r="U831" s="15"/>
      <c r="W831" s="2">
        <f>-home-VLOOKUP(Table2[[#This Row],[Home/Neutral]],rtg_vlookup,4,FALSE)+VLOOKUP(Table2[[#This Row],[Visitor/Neutral]],rtg_vlookup,4,FALSE)</f>
        <v>1.721311475409834</v>
      </c>
      <c r="X831" s="15"/>
      <c r="Y831" s="2"/>
      <c r="Z831" s="2">
        <f>Table2[[#This Row],[A/EV]]-Table2[[#This Row],[H/EV]]</f>
        <v>2.6043774457812816</v>
      </c>
      <c r="AA831" s="29"/>
      <c r="AB831" s="30"/>
      <c r="AC831" s="30"/>
      <c r="AD831" s="30"/>
      <c r="AE831" s="30"/>
      <c r="AF831" s="7" t="b">
        <f>IF(VLOOKUP(Table2[[#This Row],[Home/Neutral]],division_lookup,9,FALSE)=VLOOKUP(Table2[[#This Row],[Visitor/Neutral]],division_lookup,9,FALSE),TRUE,FALSE)</f>
        <v>0</v>
      </c>
      <c r="AG831" s="15" t="str">
        <f>VLOOKUP(Table2[[#This Row],[Home/Neutral]],division_lookup,9,FALSE)</f>
        <v>SE</v>
      </c>
      <c r="AH831" s="15" t="str">
        <f>IF(Table2[[#This Row],[Total/EV]]&lt;Table2[[#This Row],[Total/V]],"UNDER","OVER")</f>
        <v>OVER</v>
      </c>
      <c r="AI831" s="26">
        <f>Table2[[#This Row],[SRS/Real]]-Table2[[#This Row],[Spread/V]]</f>
        <v>0</v>
      </c>
      <c r="AJ831" s="2">
        <f>Table2[[#This Row],[EV/Real]]-Table2[[#This Row],[Spread/V]]</f>
        <v>0</v>
      </c>
      <c r="AK831" s="2">
        <f>Table2[[#This Row],[SRS/Diff]]-Table2[[#This Row],[EV/Diff]]</f>
        <v>0</v>
      </c>
      <c r="AL831" s="18">
        <f>Table2[[#This Row],[SRS]]-Table2[[#This Row],[Spread]]</f>
        <v>1.721311475409834</v>
      </c>
      <c r="AM831" s="21">
        <f>Table2[[#This Row],[(A) Err]]^2</f>
        <v>2.9629131953775794</v>
      </c>
      <c r="AN831" s="6">
        <f>Table2[[#This Row],[EV]]-Table2[[#This Row],[Spread]]</f>
        <v>2.6043774457812816</v>
      </c>
      <c r="AO831" s="1">
        <f>Table2[[#This Row],[EV Err]]^2</f>
        <v>6.7827818800942321</v>
      </c>
      <c r="AP831" s="1"/>
    </row>
    <row r="832" spans="1:42" x14ac:dyDescent="0.25">
      <c r="A832" s="34">
        <v>42780</v>
      </c>
      <c r="B832" t="s">
        <v>113</v>
      </c>
      <c r="C832" t="s">
        <v>135</v>
      </c>
      <c r="E832" s="21"/>
      <c r="G832" s="21"/>
      <c r="H832" s="7"/>
      <c r="I832" s="21"/>
      <c r="K832"/>
      <c r="L832" s="21">
        <f>(Table2[[#This Row],[H/Pace]]/100)*(VLOOKUP(Table2[[#This Row],[Home/Neutral]],home_lookup,8,FALSE)+VLOOKUP(Table2[[#This Row],[Home/Neutral]],OFR_lookup,2,FALSE)+VLOOKUP(Table2[[#This Row],[Visitor/Neutral]],def_diff_lookup,6,FALSE))</f>
        <v>109.99387388016279</v>
      </c>
      <c r="M832" s="21"/>
      <c r="N832" s="21">
        <f>(Table2[[#This Row],[A/Pace]]/100)*(VLOOKUP(Table2[[#This Row],[Visitor/Neutral]],OFR_lookup,2,FALSE)+VLOOKUP(Table2[[#This Row],[Home/Neutral]],def_diff_lookup,6,FALSE))</f>
        <v>107.84556600000001</v>
      </c>
      <c r="O832" s="21"/>
      <c r="P832" s="21"/>
      <c r="Q832">
        <f>VLOOKUP(Table2[[#This Row],[Home/Neutral]],pace_lookup,7,FALSE)</f>
        <v>95.1</v>
      </c>
      <c r="R832" s="5">
        <f>VLOOKUP(Table2[[#This Row],[Visitor/Neutral]],pace_lookup,7,FALSE)</f>
        <v>95.4</v>
      </c>
      <c r="S832" s="7"/>
      <c r="U832" s="15"/>
      <c r="W832" s="2">
        <f>-home-VLOOKUP(Table2[[#This Row],[Home/Neutral]],rtg_vlookup,4,FALSE)+VLOOKUP(Table2[[#This Row],[Visitor/Neutral]],rtg_vlookup,4,FALSE)</f>
        <v>-1.4886885245901658</v>
      </c>
      <c r="X832" s="15"/>
      <c r="Y832" s="2"/>
      <c r="Z832" s="2">
        <f>Table2[[#This Row],[A/EV]]-Table2[[#This Row],[H/EV]]</f>
        <v>-2.1483078801627897</v>
      </c>
      <c r="AA832" s="29"/>
      <c r="AB832" s="30"/>
      <c r="AC832" s="30"/>
      <c r="AD832" s="30"/>
      <c r="AE832" s="30"/>
      <c r="AF832" s="7" t="b">
        <f>IF(VLOOKUP(Table2[[#This Row],[Home/Neutral]],division_lookup,9,FALSE)=VLOOKUP(Table2[[#This Row],[Visitor/Neutral]],division_lookup,9,FALSE),TRUE,FALSE)</f>
        <v>0</v>
      </c>
      <c r="AG832" s="15" t="str">
        <f>VLOOKUP(Table2[[#This Row],[Home/Neutral]],division_lookup,9,FALSE)</f>
        <v>C</v>
      </c>
      <c r="AH832" s="15" t="str">
        <f>IF(Table2[[#This Row],[Total/EV]]&lt;Table2[[#This Row],[Total/V]],"UNDER","OVER")</f>
        <v>OVER</v>
      </c>
      <c r="AI832" s="26">
        <f>Table2[[#This Row],[SRS/Real]]-Table2[[#This Row],[Spread/V]]</f>
        <v>0</v>
      </c>
      <c r="AJ832" s="2">
        <f>Table2[[#This Row],[EV/Real]]-Table2[[#This Row],[Spread/V]]</f>
        <v>0</v>
      </c>
      <c r="AK832" s="2">
        <f>Table2[[#This Row],[SRS/Diff]]-Table2[[#This Row],[EV/Diff]]</f>
        <v>0</v>
      </c>
      <c r="AL832" s="18">
        <f>Table2[[#This Row],[SRS]]-Table2[[#This Row],[Spread]]</f>
        <v>-1.4886885245901658</v>
      </c>
      <c r="AM832" s="21">
        <f>Table2[[#This Row],[(A) Err]]^2</f>
        <v>2.2161935232464445</v>
      </c>
      <c r="AN832" s="6">
        <f>Table2[[#This Row],[EV]]-Table2[[#This Row],[Spread]]</f>
        <v>-2.1483078801627897</v>
      </c>
      <c r="AO832" s="1">
        <f>Table2[[#This Row],[EV Err]]^2</f>
        <v>4.6152267479695395</v>
      </c>
      <c r="AP832" s="1"/>
    </row>
    <row r="833" spans="1:42" x14ac:dyDescent="0.25">
      <c r="A833" s="34">
        <v>42780</v>
      </c>
      <c r="B833" t="s">
        <v>122</v>
      </c>
      <c r="C833" t="s">
        <v>133</v>
      </c>
      <c r="E833" s="21"/>
      <c r="G833" s="21"/>
      <c r="H833" s="7"/>
      <c r="I833" s="21"/>
      <c r="K833"/>
      <c r="L833" s="21">
        <f>(Table2[[#This Row],[H/Pace]]/100)*(VLOOKUP(Table2[[#This Row],[Home/Neutral]],home_lookup,8,FALSE)+VLOOKUP(Table2[[#This Row],[Home/Neutral]],OFR_lookup,2,FALSE)+VLOOKUP(Table2[[#This Row],[Visitor/Neutral]],def_diff_lookup,6,FALSE))</f>
        <v>113.05446832744731</v>
      </c>
      <c r="M833" s="21"/>
      <c r="N833" s="21">
        <f>(Table2[[#This Row],[A/Pace]]/100)*(VLOOKUP(Table2[[#This Row],[Visitor/Neutral]],OFR_lookup,2,FALSE)+VLOOKUP(Table2[[#This Row],[Home/Neutral]],def_diff_lookup,6,FALSE))</f>
        <v>106.00859799999999</v>
      </c>
      <c r="O833" s="21"/>
      <c r="P833" s="21"/>
      <c r="Q833">
        <f>VLOOKUP(Table2[[#This Row],[Home/Neutral]],pace_lookup,7,FALSE)</f>
        <v>100.2</v>
      </c>
      <c r="R833" s="5">
        <f>VLOOKUP(Table2[[#This Row],[Visitor/Neutral]],pace_lookup,7,FALSE)</f>
        <v>94.2</v>
      </c>
      <c r="S833" s="7"/>
      <c r="U833" s="15"/>
      <c r="W833" s="2">
        <f>-home-VLOOKUP(Table2[[#This Row],[Home/Neutral]],rtg_vlookup,4,FALSE)+VLOOKUP(Table2[[#This Row],[Visitor/Neutral]],rtg_vlookup,4,FALSE)</f>
        <v>-2.4486885245901657</v>
      </c>
      <c r="X833" s="15"/>
      <c r="Y833" s="2"/>
      <c r="Z833" s="2">
        <f>Table2[[#This Row],[A/EV]]-Table2[[#This Row],[H/EV]]</f>
        <v>-7.045870327447318</v>
      </c>
      <c r="AA833" s="29"/>
      <c r="AB833" s="30"/>
      <c r="AC833" s="30"/>
      <c r="AD833" s="30"/>
      <c r="AE833" s="30"/>
      <c r="AF833" s="7" t="b">
        <f>IF(VLOOKUP(Table2[[#This Row],[Home/Neutral]],division_lookup,9,FALSE)=VLOOKUP(Table2[[#This Row],[Visitor/Neutral]],division_lookup,9,FALSE),TRUE,FALSE)</f>
        <v>1</v>
      </c>
      <c r="AG833" s="15" t="str">
        <f>VLOOKUP(Table2[[#This Row],[Home/Neutral]],division_lookup,9,FALSE)</f>
        <v>P</v>
      </c>
      <c r="AH833" s="15" t="str">
        <f>IF(Table2[[#This Row],[Total/EV]]&lt;Table2[[#This Row],[Total/V]],"UNDER","OVER")</f>
        <v>OVER</v>
      </c>
      <c r="AI833" s="26">
        <f>Table2[[#This Row],[SRS/Real]]-Table2[[#This Row],[Spread/V]]</f>
        <v>0</v>
      </c>
      <c r="AJ833" s="2">
        <f>Table2[[#This Row],[EV/Real]]-Table2[[#This Row],[Spread/V]]</f>
        <v>0</v>
      </c>
      <c r="AK833" s="2">
        <f>Table2[[#This Row],[SRS/Diff]]-Table2[[#This Row],[EV/Diff]]</f>
        <v>0</v>
      </c>
      <c r="AL833" s="18">
        <f>Table2[[#This Row],[SRS]]-Table2[[#This Row],[Spread]]</f>
        <v>-2.4486885245901657</v>
      </c>
      <c r="AM833" s="21">
        <f>Table2[[#This Row],[(A) Err]]^2</f>
        <v>5.996075490459563</v>
      </c>
      <c r="AN833" s="6">
        <f>Table2[[#This Row],[EV]]-Table2[[#This Row],[Spread]]</f>
        <v>-7.045870327447318</v>
      </c>
      <c r="AO833" s="1">
        <f>Table2[[#This Row],[EV Err]]^2</f>
        <v>49.644288671202574</v>
      </c>
      <c r="AP833" s="1"/>
    </row>
    <row r="834" spans="1:42" x14ac:dyDescent="0.25">
      <c r="A834" s="34">
        <v>42780</v>
      </c>
      <c r="B834" t="s">
        <v>126</v>
      </c>
      <c r="C834" t="s">
        <v>114</v>
      </c>
      <c r="E834" s="21"/>
      <c r="G834" s="21"/>
      <c r="H834" s="7"/>
      <c r="I834" s="21"/>
      <c r="K834"/>
      <c r="L834" s="21">
        <f>(Table2[[#This Row],[H/Pace]]/100)*(VLOOKUP(Table2[[#This Row],[Home/Neutral]],home_lookup,8,FALSE)+VLOOKUP(Table2[[#This Row],[Home/Neutral]],OFR_lookup,2,FALSE)+VLOOKUP(Table2[[#This Row],[Visitor/Neutral]],def_diff_lookup,6,FALSE))</f>
        <v>114.39524777050786</v>
      </c>
      <c r="M834" s="21"/>
      <c r="N834" s="21">
        <f>(Table2[[#This Row],[A/Pace]]/100)*(VLOOKUP(Table2[[#This Row],[Visitor/Neutral]],OFR_lookup,2,FALSE)+VLOOKUP(Table2[[#This Row],[Home/Neutral]],def_diff_lookup,6,FALSE))</f>
        <v>114.80005366666666</v>
      </c>
      <c r="O834" s="21"/>
      <c r="P834" s="21"/>
      <c r="Q834">
        <f>VLOOKUP(Table2[[#This Row],[Home/Neutral]],pace_lookup,7,FALSE)</f>
        <v>95.7</v>
      </c>
      <c r="R834" s="5">
        <f>VLOOKUP(Table2[[#This Row],[Visitor/Neutral]],pace_lookup,7,FALSE)</f>
        <v>97.3</v>
      </c>
      <c r="S834" s="7"/>
      <c r="U834" s="15"/>
      <c r="W834" s="2">
        <f>-home-VLOOKUP(Table2[[#This Row],[Home/Neutral]],rtg_vlookup,4,FALSE)+VLOOKUP(Table2[[#This Row],[Visitor/Neutral]],rtg_vlookup,4,FALSE)</f>
        <v>7.0513114754098343</v>
      </c>
      <c r="X834" s="15"/>
      <c r="Y834" s="2"/>
      <c r="Z834" s="2">
        <f>Table2[[#This Row],[A/EV]]-Table2[[#This Row],[H/EV]]</f>
        <v>0.40480589615879126</v>
      </c>
      <c r="AA834" s="29"/>
      <c r="AB834" s="30"/>
      <c r="AC834" s="30"/>
      <c r="AD834" s="30"/>
      <c r="AE834" s="30"/>
      <c r="AF834" s="7" t="b">
        <f>IF(VLOOKUP(Table2[[#This Row],[Home/Neutral]],division_lookup,9,FALSE)=VLOOKUP(Table2[[#This Row],[Visitor/Neutral]],division_lookup,9,FALSE),TRUE,FALSE)</f>
        <v>0</v>
      </c>
      <c r="AG834" s="15" t="str">
        <f>VLOOKUP(Table2[[#This Row],[Home/Neutral]],division_lookup,9,FALSE)</f>
        <v>NW</v>
      </c>
      <c r="AH834" s="15" t="str">
        <f>IF(Table2[[#This Row],[Total/EV]]&lt;Table2[[#This Row],[Total/V]],"UNDER","OVER")</f>
        <v>OVER</v>
      </c>
      <c r="AI834" s="26">
        <f>Table2[[#This Row],[SRS/Real]]-Table2[[#This Row],[Spread/V]]</f>
        <v>0</v>
      </c>
      <c r="AJ834" s="2">
        <f>Table2[[#This Row],[EV/Real]]-Table2[[#This Row],[Spread/V]]</f>
        <v>0</v>
      </c>
      <c r="AK834" s="2">
        <f>Table2[[#This Row],[SRS/Diff]]-Table2[[#This Row],[EV/Diff]]</f>
        <v>0</v>
      </c>
      <c r="AL834" s="18">
        <f>Table2[[#This Row],[SRS]]-Table2[[#This Row],[Spread]]</f>
        <v>7.0513114754098343</v>
      </c>
      <c r="AM834" s="21">
        <f>Table2[[#This Row],[(A) Err]]^2</f>
        <v>49.720993523246413</v>
      </c>
      <c r="AN834" s="6">
        <f>Table2[[#This Row],[EV]]-Table2[[#This Row],[Spread]]</f>
        <v>0.40480589615879126</v>
      </c>
      <c r="AO834" s="1">
        <f>Table2[[#This Row],[EV Err]]^2</f>
        <v>0.16386781356492208</v>
      </c>
      <c r="AP834" s="1"/>
    </row>
    <row r="835" spans="1:42" x14ac:dyDescent="0.25">
      <c r="A835" s="34">
        <v>42781</v>
      </c>
      <c r="B835" t="s">
        <v>110</v>
      </c>
      <c r="C835" t="s">
        <v>138</v>
      </c>
      <c r="E835" s="21"/>
      <c r="G835" s="21"/>
      <c r="H835" s="7"/>
      <c r="I835" s="21"/>
      <c r="K835"/>
      <c r="L835" s="21">
        <f>(Table2[[#This Row],[H/Pace]]/100)*(VLOOKUP(Table2[[#This Row],[Home/Neutral]],home_lookup,8,FALSE)+VLOOKUP(Table2[[#This Row],[Home/Neutral]],OFR_lookup,2,FALSE)+VLOOKUP(Table2[[#This Row],[Visitor/Neutral]],def_diff_lookup,6,FALSE))</f>
        <v>107.4177111890094</v>
      </c>
      <c r="M835" s="21"/>
      <c r="N835" s="21">
        <f>(Table2[[#This Row],[A/Pace]]/100)*(VLOOKUP(Table2[[#This Row],[Visitor/Neutral]],OFR_lookup,2,FALSE)+VLOOKUP(Table2[[#This Row],[Home/Neutral]],def_diff_lookup,6,FALSE))</f>
        <v>96.988775000000004</v>
      </c>
      <c r="O835" s="21"/>
      <c r="P835" s="21"/>
      <c r="Q835">
        <f>VLOOKUP(Table2[[#This Row],[Home/Neutral]],pace_lookup,7,FALSE)</f>
        <v>96.2</v>
      </c>
      <c r="R835" s="5">
        <f>VLOOKUP(Table2[[#This Row],[Visitor/Neutral]],pace_lookup,7,FALSE)</f>
        <v>97.5</v>
      </c>
      <c r="S835" s="7"/>
      <c r="U835" s="15"/>
      <c r="W835" s="2">
        <f>-home-VLOOKUP(Table2[[#This Row],[Home/Neutral]],rtg_vlookup,4,FALSE)+VLOOKUP(Table2[[#This Row],[Visitor/Neutral]],rtg_vlookup,4,FALSE)</f>
        <v>-12.888688524590167</v>
      </c>
      <c r="X835" s="15"/>
      <c r="Y835" s="2"/>
      <c r="Z835" s="2">
        <f>Table2[[#This Row],[A/EV]]-Table2[[#This Row],[H/EV]]</f>
        <v>-10.428936189009391</v>
      </c>
      <c r="AA835" s="29"/>
      <c r="AB835" s="30"/>
      <c r="AC835" s="30"/>
      <c r="AD835" s="30"/>
      <c r="AE835" s="30"/>
      <c r="AF835" s="7" t="b">
        <f>IF(VLOOKUP(Table2[[#This Row],[Home/Neutral]],division_lookup,9,FALSE)=VLOOKUP(Table2[[#This Row],[Visitor/Neutral]],division_lookup,9,FALSE),TRUE,FALSE)</f>
        <v>1</v>
      </c>
      <c r="AG835" s="15" t="str">
        <f>VLOOKUP(Table2[[#This Row],[Home/Neutral]],division_lookup,9,FALSE)</f>
        <v>A</v>
      </c>
      <c r="AH835" s="15" t="str">
        <f>IF(Table2[[#This Row],[Total/EV]]&lt;Table2[[#This Row],[Total/V]],"UNDER","OVER")</f>
        <v>OVER</v>
      </c>
      <c r="AI835" s="26">
        <f>Table2[[#This Row],[SRS/Real]]-Table2[[#This Row],[Spread/V]]</f>
        <v>0</v>
      </c>
      <c r="AJ835" s="2">
        <f>Table2[[#This Row],[EV/Real]]-Table2[[#This Row],[Spread/V]]</f>
        <v>0</v>
      </c>
      <c r="AK835" s="2">
        <f>Table2[[#This Row],[SRS/Diff]]-Table2[[#This Row],[EV/Diff]]</f>
        <v>0</v>
      </c>
      <c r="AL835" s="18">
        <f>Table2[[#This Row],[SRS]]-Table2[[#This Row],[Spread]]</f>
        <v>-12.888688524590167</v>
      </c>
      <c r="AM835" s="21">
        <f>Table2[[#This Row],[(A) Err]]^2</f>
        <v>166.11829188390226</v>
      </c>
      <c r="AN835" s="6">
        <f>Table2[[#This Row],[EV]]-Table2[[#This Row],[Spread]]</f>
        <v>-10.428936189009391</v>
      </c>
      <c r="AO835" s="1">
        <f>Table2[[#This Row],[EV Err]]^2</f>
        <v>108.76271003442973</v>
      </c>
      <c r="AP835" s="1"/>
    </row>
    <row r="836" spans="1:42" x14ac:dyDescent="0.25">
      <c r="A836" s="34">
        <v>42781</v>
      </c>
      <c r="B836" t="s">
        <v>111</v>
      </c>
      <c r="C836" t="s">
        <v>125</v>
      </c>
      <c r="E836" s="21"/>
      <c r="G836" s="21"/>
      <c r="H836" s="7"/>
      <c r="I836" s="21"/>
      <c r="K836"/>
      <c r="L836" s="21">
        <f>(Table2[[#This Row],[H/Pace]]/100)*(VLOOKUP(Table2[[#This Row],[Home/Neutral]],home_lookup,8,FALSE)+VLOOKUP(Table2[[#This Row],[Home/Neutral]],OFR_lookup,2,FALSE)+VLOOKUP(Table2[[#This Row],[Visitor/Neutral]],def_diff_lookup,6,FALSE))</f>
        <v>102.29261832771635</v>
      </c>
      <c r="M836" s="21"/>
      <c r="N836" s="21">
        <f>(Table2[[#This Row],[A/Pace]]/100)*(VLOOKUP(Table2[[#This Row],[Visitor/Neutral]],OFR_lookup,2,FALSE)+VLOOKUP(Table2[[#This Row],[Home/Neutral]],def_diff_lookup,6,FALSE))</f>
        <v>106.22477566666666</v>
      </c>
      <c r="O836" s="21"/>
      <c r="P836" s="21"/>
      <c r="Q836">
        <f>VLOOKUP(Table2[[#This Row],[Home/Neutral]],pace_lookup,7,FALSE)</f>
        <v>102</v>
      </c>
      <c r="R836" s="5">
        <f>VLOOKUP(Table2[[#This Row],[Visitor/Neutral]],pace_lookup,7,FALSE)</f>
        <v>96.1</v>
      </c>
      <c r="S836" s="7"/>
      <c r="U836" s="15"/>
      <c r="W836" s="2">
        <f>-home-VLOOKUP(Table2[[#This Row],[Home/Neutral]],rtg_vlookup,4,FALSE)+VLOOKUP(Table2[[#This Row],[Visitor/Neutral]],rtg_vlookup,4,FALSE)</f>
        <v>3.5213114754098336</v>
      </c>
      <c r="X836" s="15"/>
      <c r="Y836" s="2"/>
      <c r="Z836" s="2">
        <f>Table2[[#This Row],[A/EV]]-Table2[[#This Row],[H/EV]]</f>
        <v>3.9321573389503044</v>
      </c>
      <c r="AA836" s="29"/>
      <c r="AB836" s="30"/>
      <c r="AC836" s="30"/>
      <c r="AD836" s="30"/>
      <c r="AE836" s="30"/>
      <c r="AF836" s="7" t="b">
        <f>IF(VLOOKUP(Table2[[#This Row],[Home/Neutral]],division_lookup,9,FALSE)=VLOOKUP(Table2[[#This Row],[Visitor/Neutral]],division_lookup,9,FALSE),TRUE,FALSE)</f>
        <v>0</v>
      </c>
      <c r="AG836" s="15" t="str">
        <f>VLOOKUP(Table2[[#This Row],[Home/Neutral]],division_lookup,9,FALSE)</f>
        <v>A</v>
      </c>
      <c r="AH836" s="15" t="str">
        <f>IF(Table2[[#This Row],[Total/EV]]&lt;Table2[[#This Row],[Total/V]],"UNDER","OVER")</f>
        <v>OVER</v>
      </c>
      <c r="AI836" s="26">
        <f>Table2[[#This Row],[SRS/Real]]-Table2[[#This Row],[Spread/V]]</f>
        <v>0</v>
      </c>
      <c r="AJ836" s="2">
        <f>Table2[[#This Row],[EV/Real]]-Table2[[#This Row],[Spread/V]]</f>
        <v>0</v>
      </c>
      <c r="AK836" s="2">
        <f>Table2[[#This Row],[SRS/Diff]]-Table2[[#This Row],[EV/Diff]]</f>
        <v>0</v>
      </c>
      <c r="AL836" s="18">
        <f>Table2[[#This Row],[SRS]]-Table2[[#This Row],[Spread]]</f>
        <v>3.5213114754098336</v>
      </c>
      <c r="AM836" s="21">
        <f>Table2[[#This Row],[(A) Err]]^2</f>
        <v>12.39963450685298</v>
      </c>
      <c r="AN836" s="6">
        <f>Table2[[#This Row],[EV]]-Table2[[#This Row],[Spread]]</f>
        <v>3.9321573389503044</v>
      </c>
      <c r="AO836" s="1">
        <f>Table2[[#This Row],[EV Err]]^2</f>
        <v>15.461861338260739</v>
      </c>
      <c r="AP836" s="1"/>
    </row>
    <row r="837" spans="1:42" x14ac:dyDescent="0.25">
      <c r="A837" s="34">
        <v>42781</v>
      </c>
      <c r="B837" t="s">
        <v>114</v>
      </c>
      <c r="C837" t="s">
        <v>120</v>
      </c>
      <c r="E837" s="21"/>
      <c r="G837" s="21"/>
      <c r="H837" s="7"/>
      <c r="I837" s="21"/>
      <c r="K837"/>
      <c r="L837" s="21">
        <f>(Table2[[#This Row],[H/Pace]]/100)*(VLOOKUP(Table2[[#This Row],[Home/Neutral]],home_lookup,8,FALSE)+VLOOKUP(Table2[[#This Row],[Home/Neutral]],OFR_lookup,2,FALSE)+VLOOKUP(Table2[[#This Row],[Visitor/Neutral]],def_diff_lookup,6,FALSE))</f>
        <v>115.99309276756466</v>
      </c>
      <c r="M837" s="21"/>
      <c r="N837" s="21">
        <f>(Table2[[#This Row],[A/Pace]]/100)*(VLOOKUP(Table2[[#This Row],[Visitor/Neutral]],OFR_lookup,2,FALSE)+VLOOKUP(Table2[[#This Row],[Home/Neutral]],def_diff_lookup,6,FALSE))</f>
        <v>101.42168033333334</v>
      </c>
      <c r="O837" s="21"/>
      <c r="P837" s="21"/>
      <c r="Q837">
        <f>VLOOKUP(Table2[[#This Row],[Home/Neutral]],pace_lookup,7,FALSE)</f>
        <v>97.3</v>
      </c>
      <c r="R837" s="5">
        <f>VLOOKUP(Table2[[#This Row],[Visitor/Neutral]],pace_lookup,7,FALSE)</f>
        <v>98.3</v>
      </c>
      <c r="S837" s="7"/>
      <c r="U837" s="15"/>
      <c r="W837" s="2">
        <f>-home-VLOOKUP(Table2[[#This Row],[Home/Neutral]],rtg_vlookup,4,FALSE)+VLOOKUP(Table2[[#This Row],[Visitor/Neutral]],rtg_vlookup,4,FALSE)</f>
        <v>-16.128688524590167</v>
      </c>
      <c r="X837" s="15"/>
      <c r="Y837" s="2"/>
      <c r="Z837" s="2">
        <f>Table2[[#This Row],[A/EV]]-Table2[[#This Row],[H/EV]]</f>
        <v>-14.57141243423132</v>
      </c>
      <c r="AA837" s="29"/>
      <c r="AB837" s="30"/>
      <c r="AC837" s="30"/>
      <c r="AD837" s="30"/>
      <c r="AE837" s="30"/>
      <c r="AF837" s="7" t="b">
        <f>IF(VLOOKUP(Table2[[#This Row],[Home/Neutral]],division_lookup,9,FALSE)=VLOOKUP(Table2[[#This Row],[Visitor/Neutral]],division_lookup,9,FALSE),TRUE,FALSE)</f>
        <v>1</v>
      </c>
      <c r="AG837" s="15" t="str">
        <f>VLOOKUP(Table2[[#This Row],[Home/Neutral]],division_lookup,9,FALSE)</f>
        <v>C</v>
      </c>
      <c r="AH837" s="15" t="str">
        <f>IF(Table2[[#This Row],[Total/EV]]&lt;Table2[[#This Row],[Total/V]],"UNDER","OVER")</f>
        <v>OVER</v>
      </c>
      <c r="AI837" s="26">
        <f>Table2[[#This Row],[SRS/Real]]-Table2[[#This Row],[Spread/V]]</f>
        <v>0</v>
      </c>
      <c r="AJ837" s="2">
        <f>Table2[[#This Row],[EV/Real]]-Table2[[#This Row],[Spread/V]]</f>
        <v>0</v>
      </c>
      <c r="AK837" s="2">
        <f>Table2[[#This Row],[SRS/Diff]]-Table2[[#This Row],[EV/Diff]]</f>
        <v>0</v>
      </c>
      <c r="AL837" s="18">
        <f>Table2[[#This Row],[SRS]]-Table2[[#This Row],[Spread]]</f>
        <v>-16.128688524590167</v>
      </c>
      <c r="AM837" s="21">
        <f>Table2[[#This Row],[(A) Err]]^2</f>
        <v>260.13459352324656</v>
      </c>
      <c r="AN837" s="6">
        <f>Table2[[#This Row],[EV]]-Table2[[#This Row],[Spread]]</f>
        <v>-14.57141243423132</v>
      </c>
      <c r="AO837" s="1">
        <f>Table2[[#This Row],[EV Err]]^2</f>
        <v>212.32606032847113</v>
      </c>
      <c r="AP837" s="1"/>
    </row>
    <row r="838" spans="1:42" x14ac:dyDescent="0.25">
      <c r="A838" s="34">
        <v>42781</v>
      </c>
      <c r="B838" t="s">
        <v>116</v>
      </c>
      <c r="C838" t="s">
        <v>126</v>
      </c>
      <c r="E838" s="21"/>
      <c r="G838" s="21"/>
      <c r="H838" s="7"/>
      <c r="I838" s="21"/>
      <c r="K838"/>
      <c r="L838" s="21">
        <f>(Table2[[#This Row],[H/Pace]]/100)*(VLOOKUP(Table2[[#This Row],[Home/Neutral]],home_lookup,8,FALSE)+VLOOKUP(Table2[[#This Row],[Home/Neutral]],OFR_lookup,2,FALSE)+VLOOKUP(Table2[[#This Row],[Visitor/Neutral]],def_diff_lookup,6,FALSE))</f>
        <v>108.09680470161864</v>
      </c>
      <c r="M838" s="21"/>
      <c r="N838" s="21">
        <f>(Table2[[#This Row],[A/Pace]]/100)*(VLOOKUP(Table2[[#This Row],[Visitor/Neutral]],OFR_lookup,2,FALSE)+VLOOKUP(Table2[[#This Row],[Home/Neutral]],def_diff_lookup,6,FALSE))</f>
        <v>104.25143300000001</v>
      </c>
      <c r="O838" s="21"/>
      <c r="P838" s="21"/>
      <c r="Q838">
        <f>VLOOKUP(Table2[[#This Row],[Home/Neutral]],pace_lookup,7,FALSE)</f>
        <v>99.1</v>
      </c>
      <c r="R838" s="5">
        <f>VLOOKUP(Table2[[#This Row],[Visitor/Neutral]],pace_lookup,7,FALSE)</f>
        <v>95.7</v>
      </c>
      <c r="S838" s="7"/>
      <c r="U838" s="15"/>
      <c r="W838" s="2">
        <f>-home-VLOOKUP(Table2[[#This Row],[Home/Neutral]],rtg_vlookup,4,FALSE)+VLOOKUP(Table2[[#This Row],[Visitor/Neutral]],rtg_vlookup,4,FALSE)</f>
        <v>-3.2186885245901662</v>
      </c>
      <c r="X838" s="15"/>
      <c r="Y838" s="2"/>
      <c r="Z838" s="2">
        <f>Table2[[#This Row],[A/EV]]-Table2[[#This Row],[H/EV]]</f>
        <v>-3.8453717016186317</v>
      </c>
      <c r="AA838" s="29"/>
      <c r="AB838" s="30"/>
      <c r="AC838" s="30"/>
      <c r="AD838" s="30"/>
      <c r="AE838" s="30"/>
      <c r="AF838" s="7" t="b">
        <f>IF(VLOOKUP(Table2[[#This Row],[Home/Neutral]],division_lookup,9,FALSE)=VLOOKUP(Table2[[#This Row],[Visitor/Neutral]],division_lookup,9,FALSE),TRUE,FALSE)</f>
        <v>1</v>
      </c>
      <c r="AG838" s="15" t="str">
        <f>VLOOKUP(Table2[[#This Row],[Home/Neutral]],division_lookup,9,FALSE)</f>
        <v>NW</v>
      </c>
      <c r="AH838" s="15" t="str">
        <f>IF(Table2[[#This Row],[Total/EV]]&lt;Table2[[#This Row],[Total/V]],"UNDER","OVER")</f>
        <v>OVER</v>
      </c>
      <c r="AI838" s="26">
        <f>Table2[[#This Row],[SRS/Real]]-Table2[[#This Row],[Spread/V]]</f>
        <v>0</v>
      </c>
      <c r="AJ838" s="2">
        <f>Table2[[#This Row],[EV/Real]]-Table2[[#This Row],[Spread/V]]</f>
        <v>0</v>
      </c>
      <c r="AK838" s="2">
        <f>Table2[[#This Row],[SRS/Diff]]-Table2[[#This Row],[EV/Diff]]</f>
        <v>0</v>
      </c>
      <c r="AL838" s="18">
        <f>Table2[[#This Row],[SRS]]-Table2[[#This Row],[Spread]]</f>
        <v>-3.2186885245901662</v>
      </c>
      <c r="AM838" s="21">
        <f>Table2[[#This Row],[(A) Err]]^2</f>
        <v>10.359955818328421</v>
      </c>
      <c r="AN838" s="6">
        <f>Table2[[#This Row],[EV]]-Table2[[#This Row],[Spread]]</f>
        <v>-3.8453717016186317</v>
      </c>
      <c r="AO838" s="1">
        <f>Table2[[#This Row],[EV Err]]^2</f>
        <v>14.786883523609371</v>
      </c>
      <c r="AP838" s="1"/>
    </row>
    <row r="839" spans="1:42" x14ac:dyDescent="0.25">
      <c r="A839" s="34">
        <v>42781</v>
      </c>
      <c r="B839" t="s">
        <v>117</v>
      </c>
      <c r="C839" t="s">
        <v>115</v>
      </c>
      <c r="E839" s="21"/>
      <c r="G839" s="21"/>
      <c r="H839" s="7"/>
      <c r="I839" s="21"/>
      <c r="K839"/>
      <c r="L839" s="21">
        <f>(Table2[[#This Row],[H/Pace]]/100)*(VLOOKUP(Table2[[#This Row],[Home/Neutral]],home_lookup,8,FALSE)+VLOOKUP(Table2[[#This Row],[Home/Neutral]],OFR_lookup,2,FALSE)+VLOOKUP(Table2[[#This Row],[Visitor/Neutral]],def_diff_lookup,6,FALSE))</f>
        <v>111.57859591446429</v>
      </c>
      <c r="M839" s="21"/>
      <c r="N839" s="21">
        <f>(Table2[[#This Row],[A/Pace]]/100)*(VLOOKUP(Table2[[#This Row],[Visitor/Neutral]],OFR_lookup,2,FALSE)+VLOOKUP(Table2[[#This Row],[Home/Neutral]],def_diff_lookup,6,FALSE))</f>
        <v>86.578774333333342</v>
      </c>
      <c r="O839" s="21"/>
      <c r="P839" s="21"/>
      <c r="Q839">
        <f>VLOOKUP(Table2[[#This Row],[Home/Neutral]],pace_lookup,7,FALSE)</f>
        <v>94</v>
      </c>
      <c r="R839" s="5">
        <f>VLOOKUP(Table2[[#This Row],[Visitor/Neutral]],pace_lookup,7,FALSE)</f>
        <v>92.9</v>
      </c>
      <c r="S839" s="7"/>
      <c r="U839" s="15"/>
      <c r="W839" s="2">
        <f>-home-VLOOKUP(Table2[[#This Row],[Home/Neutral]],rtg_vlookup,4,FALSE)+VLOOKUP(Table2[[#This Row],[Visitor/Neutral]],rtg_vlookup,4,FALSE)</f>
        <v>-13.208688524590166</v>
      </c>
      <c r="X839" s="15"/>
      <c r="Y839" s="2"/>
      <c r="Z839" s="2">
        <f>Table2[[#This Row],[A/EV]]-Table2[[#This Row],[H/EV]]</f>
        <v>-24.999821581130945</v>
      </c>
      <c r="AA839" s="29"/>
      <c r="AB839" s="30"/>
      <c r="AC839" s="30"/>
      <c r="AD839" s="30"/>
      <c r="AE839" s="30"/>
      <c r="AF839" s="7" t="b">
        <f>IF(VLOOKUP(Table2[[#This Row],[Home/Neutral]],division_lookup,9,FALSE)=VLOOKUP(Table2[[#This Row],[Visitor/Neutral]],division_lookup,9,FALSE),TRUE,FALSE)</f>
        <v>0</v>
      </c>
      <c r="AG839" s="15" t="str">
        <f>VLOOKUP(Table2[[#This Row],[Home/Neutral]],division_lookup,9,FALSE)</f>
        <v>C</v>
      </c>
      <c r="AH839" s="15" t="str">
        <f>IF(Table2[[#This Row],[Total/EV]]&lt;Table2[[#This Row],[Total/V]],"UNDER","OVER")</f>
        <v>OVER</v>
      </c>
      <c r="AI839" s="26">
        <f>Table2[[#This Row],[SRS/Real]]-Table2[[#This Row],[Spread/V]]</f>
        <v>0</v>
      </c>
      <c r="AJ839" s="2">
        <f>Table2[[#This Row],[EV/Real]]-Table2[[#This Row],[Spread/V]]</f>
        <v>0</v>
      </c>
      <c r="AK839" s="2">
        <f>Table2[[#This Row],[SRS/Diff]]-Table2[[#This Row],[EV/Diff]]</f>
        <v>0</v>
      </c>
      <c r="AL839" s="18">
        <f>Table2[[#This Row],[SRS]]-Table2[[#This Row],[Spread]]</f>
        <v>-13.208688524590166</v>
      </c>
      <c r="AM839" s="21">
        <f>Table2[[#This Row],[(A) Err]]^2</f>
        <v>174.46945253963992</v>
      </c>
      <c r="AN839" s="6">
        <f>Table2[[#This Row],[EV]]-Table2[[#This Row],[Spread]]</f>
        <v>-24.999821581130945</v>
      </c>
      <c r="AO839" s="1">
        <f>Table2[[#This Row],[EV Err]]^2</f>
        <v>624.9910790883805</v>
      </c>
      <c r="AP839" s="1"/>
    </row>
    <row r="840" spans="1:42" x14ac:dyDescent="0.25">
      <c r="A840" s="34">
        <v>42781</v>
      </c>
      <c r="B840" t="s">
        <v>118</v>
      </c>
      <c r="C840" t="s">
        <v>133</v>
      </c>
      <c r="E840" s="21"/>
      <c r="G840" s="21"/>
      <c r="H840" s="7"/>
      <c r="I840" s="21"/>
      <c r="K840"/>
      <c r="L840" s="21">
        <f>(Table2[[#This Row],[H/Pace]]/100)*(VLOOKUP(Table2[[#This Row],[Home/Neutral]],home_lookup,8,FALSE)+VLOOKUP(Table2[[#This Row],[Home/Neutral]],OFR_lookup,2,FALSE)+VLOOKUP(Table2[[#This Row],[Visitor/Neutral]],def_diff_lookup,6,FALSE))</f>
        <v>118.00547838078238</v>
      </c>
      <c r="M840" s="21"/>
      <c r="N840" s="21">
        <f>(Table2[[#This Row],[A/Pace]]/100)*(VLOOKUP(Table2[[#This Row],[Visitor/Neutral]],OFR_lookup,2,FALSE)+VLOOKUP(Table2[[#This Row],[Home/Neutral]],def_diff_lookup,6,FALSE))</f>
        <v>100.63919800000001</v>
      </c>
      <c r="O840" s="21"/>
      <c r="P840" s="21"/>
      <c r="Q840">
        <f>VLOOKUP(Table2[[#This Row],[Home/Neutral]],pace_lookup,7,FALSE)</f>
        <v>100.4</v>
      </c>
      <c r="R840" s="5">
        <f>VLOOKUP(Table2[[#This Row],[Visitor/Neutral]],pace_lookup,7,FALSE)</f>
        <v>94.2</v>
      </c>
      <c r="S840" s="7"/>
      <c r="U840" s="15"/>
      <c r="W840" s="2">
        <f>-home-VLOOKUP(Table2[[#This Row],[Home/Neutral]],rtg_vlookup,4,FALSE)+VLOOKUP(Table2[[#This Row],[Visitor/Neutral]],rtg_vlookup,4,FALSE)</f>
        <v>-16.118688524590166</v>
      </c>
      <c r="X840" s="15"/>
      <c r="Y840" s="2"/>
      <c r="Z840" s="2">
        <f>Table2[[#This Row],[A/EV]]-Table2[[#This Row],[H/EV]]</f>
        <v>-17.366280380782371</v>
      </c>
      <c r="AA840" s="29"/>
      <c r="AB840" s="30"/>
      <c r="AC840" s="30"/>
      <c r="AD840" s="30"/>
      <c r="AE840" s="30"/>
      <c r="AF840" s="7" t="b">
        <f>IF(VLOOKUP(Table2[[#This Row],[Home/Neutral]],division_lookup,9,FALSE)=VLOOKUP(Table2[[#This Row],[Visitor/Neutral]],division_lookup,9,FALSE),TRUE,FALSE)</f>
        <v>1</v>
      </c>
      <c r="AG840" s="15" t="str">
        <f>VLOOKUP(Table2[[#This Row],[Home/Neutral]],division_lookup,9,FALSE)</f>
        <v>P</v>
      </c>
      <c r="AH840" s="15" t="str">
        <f>IF(Table2[[#This Row],[Total/EV]]&lt;Table2[[#This Row],[Total/V]],"UNDER","OVER")</f>
        <v>OVER</v>
      </c>
      <c r="AI840" s="26">
        <f>Table2[[#This Row],[SRS/Real]]-Table2[[#This Row],[Spread/V]]</f>
        <v>0</v>
      </c>
      <c r="AJ840" s="2">
        <f>Table2[[#This Row],[EV/Real]]-Table2[[#This Row],[Spread/V]]</f>
        <v>0</v>
      </c>
      <c r="AK840" s="2">
        <f>Table2[[#This Row],[SRS/Diff]]-Table2[[#This Row],[EV/Diff]]</f>
        <v>0</v>
      </c>
      <c r="AL840" s="18">
        <f>Table2[[#This Row],[SRS]]-Table2[[#This Row],[Spread]]</f>
        <v>-16.118688524590166</v>
      </c>
      <c r="AM840" s="21">
        <f>Table2[[#This Row],[(A) Err]]^2</f>
        <v>259.81211975275471</v>
      </c>
      <c r="AN840" s="6">
        <f>Table2[[#This Row],[EV]]-Table2[[#This Row],[Spread]]</f>
        <v>-17.366280380782371</v>
      </c>
      <c r="AO840" s="1">
        <f>Table2[[#This Row],[EV Err]]^2</f>
        <v>301.58769426394667</v>
      </c>
      <c r="AP840" s="1"/>
    </row>
    <row r="841" spans="1:42" x14ac:dyDescent="0.25">
      <c r="A841" s="34">
        <v>42781</v>
      </c>
      <c r="B841" t="s">
        <v>119</v>
      </c>
      <c r="C841" t="s">
        <v>124</v>
      </c>
      <c r="E841" s="21"/>
      <c r="G841" s="21"/>
      <c r="H841" s="7"/>
      <c r="I841" s="21"/>
      <c r="K841"/>
      <c r="L841" s="21">
        <f>(Table2[[#This Row],[H/Pace]]/100)*(VLOOKUP(Table2[[#This Row],[Home/Neutral]],home_lookup,8,FALSE)+VLOOKUP(Table2[[#This Row],[Home/Neutral]],OFR_lookup,2,FALSE)+VLOOKUP(Table2[[#This Row],[Visitor/Neutral]],def_diff_lookup,6,FALSE))</f>
        <v>106.76832376977627</v>
      </c>
      <c r="M841" s="21"/>
      <c r="N841" s="21">
        <f>(Table2[[#This Row],[A/Pace]]/100)*(VLOOKUP(Table2[[#This Row],[Visitor/Neutral]],OFR_lookup,2,FALSE)+VLOOKUP(Table2[[#This Row],[Home/Neutral]],def_diff_lookup,6,FALSE))</f>
        <v>99.289829666666677</v>
      </c>
      <c r="O841" s="21"/>
      <c r="P841" s="21"/>
      <c r="Q841">
        <f>VLOOKUP(Table2[[#This Row],[Home/Neutral]],pace_lookup,7,FALSE)</f>
        <v>96.9</v>
      </c>
      <c r="R841" s="5">
        <f>VLOOKUP(Table2[[#This Row],[Visitor/Neutral]],pace_lookup,7,FALSE)</f>
        <v>93.7</v>
      </c>
      <c r="S841" s="7"/>
      <c r="U841" s="15"/>
      <c r="W841" s="2">
        <f>-home-VLOOKUP(Table2[[#This Row],[Home/Neutral]],rtg_vlookup,4,FALSE)+VLOOKUP(Table2[[#This Row],[Visitor/Neutral]],rtg_vlookup,4,FALSE)</f>
        <v>-7.6586885245901657</v>
      </c>
      <c r="X841" s="15"/>
      <c r="Y841" s="2"/>
      <c r="Z841" s="2">
        <f>Table2[[#This Row],[A/EV]]-Table2[[#This Row],[H/EV]]</f>
        <v>-7.4784941031095968</v>
      </c>
      <c r="AA841" s="29"/>
      <c r="AB841" s="30"/>
      <c r="AC841" s="30"/>
      <c r="AD841" s="30"/>
      <c r="AE841" s="30"/>
      <c r="AF841" s="7" t="b">
        <f>IF(VLOOKUP(Table2[[#This Row],[Home/Neutral]],division_lookup,9,FALSE)=VLOOKUP(Table2[[#This Row],[Visitor/Neutral]],division_lookup,9,FALSE),TRUE,FALSE)</f>
        <v>0</v>
      </c>
      <c r="AG841" s="15" t="str">
        <f>VLOOKUP(Table2[[#This Row],[Home/Neutral]],division_lookup,9,FALSE)</f>
        <v>SW</v>
      </c>
      <c r="AH841" s="15" t="str">
        <f>IF(Table2[[#This Row],[Total/EV]]&lt;Table2[[#This Row],[Total/V]],"UNDER","OVER")</f>
        <v>OVER</v>
      </c>
      <c r="AI841" s="26">
        <f>Table2[[#This Row],[SRS/Real]]-Table2[[#This Row],[Spread/V]]</f>
        <v>0</v>
      </c>
      <c r="AJ841" s="2">
        <f>Table2[[#This Row],[EV/Real]]-Table2[[#This Row],[Spread/V]]</f>
        <v>0</v>
      </c>
      <c r="AK841" s="2">
        <f>Table2[[#This Row],[SRS/Diff]]-Table2[[#This Row],[EV/Diff]]</f>
        <v>0</v>
      </c>
      <c r="AL841" s="18">
        <f>Table2[[#This Row],[SRS]]-Table2[[#This Row],[Spread]]</f>
        <v>-7.6586885245901657</v>
      </c>
      <c r="AM841" s="21">
        <f>Table2[[#This Row],[(A) Err]]^2</f>
        <v>58.655509916689091</v>
      </c>
      <c r="AN841" s="6">
        <f>Table2[[#This Row],[EV]]-Table2[[#This Row],[Spread]]</f>
        <v>-7.4784941031095968</v>
      </c>
      <c r="AO841" s="1">
        <f>Table2[[#This Row],[EV Err]]^2</f>
        <v>55.927874050245016</v>
      </c>
      <c r="AP841" s="1"/>
    </row>
    <row r="842" spans="1:42" x14ac:dyDescent="0.25">
      <c r="A842" s="34">
        <v>42781</v>
      </c>
      <c r="B842" t="s">
        <v>121</v>
      </c>
      <c r="C842" t="s">
        <v>109</v>
      </c>
      <c r="E842" s="21"/>
      <c r="G842" s="21"/>
      <c r="H842" s="7"/>
      <c r="I842" s="21"/>
      <c r="K842"/>
      <c r="L842" s="21">
        <f>(Table2[[#This Row],[H/Pace]]/100)*(VLOOKUP(Table2[[#This Row],[Home/Neutral]],home_lookup,8,FALSE)+VLOOKUP(Table2[[#This Row],[Home/Neutral]],OFR_lookup,2,FALSE)+VLOOKUP(Table2[[#This Row],[Visitor/Neutral]],def_diff_lookup,6,FALSE))</f>
        <v>107.25772060751252</v>
      </c>
      <c r="M842" s="21"/>
      <c r="N842" s="21">
        <f>(Table2[[#This Row],[A/Pace]]/100)*(VLOOKUP(Table2[[#This Row],[Visitor/Neutral]],OFR_lookup,2,FALSE)+VLOOKUP(Table2[[#This Row],[Home/Neutral]],def_diff_lookup,6,FALSE))</f>
        <v>97.013301333333331</v>
      </c>
      <c r="O842" s="21"/>
      <c r="P842" s="21"/>
      <c r="Q842">
        <f>VLOOKUP(Table2[[#This Row],[Home/Neutral]],pace_lookup,7,FALSE)</f>
        <v>96.4</v>
      </c>
      <c r="R842" s="5">
        <f>VLOOKUP(Table2[[#This Row],[Visitor/Neutral]],pace_lookup,7,FALSE)</f>
        <v>99.2</v>
      </c>
      <c r="S842" s="7"/>
      <c r="U842" s="15"/>
      <c r="W842" s="2">
        <f>-home-VLOOKUP(Table2[[#This Row],[Home/Neutral]],rtg_vlookup,4,FALSE)+VLOOKUP(Table2[[#This Row],[Visitor/Neutral]],rtg_vlookup,4,FALSE)</f>
        <v>-13.228688524590165</v>
      </c>
      <c r="X842" s="15"/>
      <c r="Y842" s="2"/>
      <c r="Z842" s="2">
        <f>Table2[[#This Row],[A/EV]]-Table2[[#This Row],[H/EV]]</f>
        <v>-10.244419274179194</v>
      </c>
      <c r="AA842" s="29"/>
      <c r="AB842" s="30"/>
      <c r="AC842" s="30"/>
      <c r="AD842" s="30"/>
      <c r="AE842" s="30"/>
      <c r="AF842" s="7" t="b">
        <f>IF(VLOOKUP(Table2[[#This Row],[Home/Neutral]],division_lookup,9,FALSE)=VLOOKUP(Table2[[#This Row],[Visitor/Neutral]],division_lookup,9,FALSE),TRUE,FALSE)</f>
        <v>0</v>
      </c>
      <c r="AG842" s="15" t="str">
        <f>VLOOKUP(Table2[[#This Row],[Home/Neutral]],division_lookup,9,FALSE)</f>
        <v>P</v>
      </c>
      <c r="AH842" s="15" t="str">
        <f>IF(Table2[[#This Row],[Total/EV]]&lt;Table2[[#This Row],[Total/V]],"UNDER","OVER")</f>
        <v>OVER</v>
      </c>
      <c r="AI842" s="26">
        <f>Table2[[#This Row],[SRS/Real]]-Table2[[#This Row],[Spread/V]]</f>
        <v>0</v>
      </c>
      <c r="AJ842" s="2">
        <f>Table2[[#This Row],[EV/Real]]-Table2[[#This Row],[Spread/V]]</f>
        <v>0</v>
      </c>
      <c r="AK842" s="2">
        <f>Table2[[#This Row],[SRS/Diff]]-Table2[[#This Row],[EV/Diff]]</f>
        <v>0</v>
      </c>
      <c r="AL842" s="18">
        <f>Table2[[#This Row],[SRS]]-Table2[[#This Row],[Spread]]</f>
        <v>-13.228688524590165</v>
      </c>
      <c r="AM842" s="21">
        <f>Table2[[#This Row],[(A) Err]]^2</f>
        <v>174.99820008062352</v>
      </c>
      <c r="AN842" s="6">
        <f>Table2[[#This Row],[EV]]-Table2[[#This Row],[Spread]]</f>
        <v>-10.244419274179194</v>
      </c>
      <c r="AO842" s="1">
        <f>Table2[[#This Row],[EV Err]]^2</f>
        <v>104.94812626517415</v>
      </c>
      <c r="AP842" s="1"/>
    </row>
    <row r="843" spans="1:42" x14ac:dyDescent="0.25">
      <c r="A843" s="34">
        <v>42781</v>
      </c>
      <c r="B843" t="s">
        <v>123</v>
      </c>
      <c r="C843" t="s">
        <v>127</v>
      </c>
      <c r="E843" s="21"/>
      <c r="G843" s="21"/>
      <c r="H843" s="7"/>
      <c r="I843" s="21"/>
      <c r="K843"/>
      <c r="L843" s="21">
        <f>(Table2[[#This Row],[H/Pace]]/100)*(VLOOKUP(Table2[[#This Row],[Home/Neutral]],home_lookup,8,FALSE)+VLOOKUP(Table2[[#This Row],[Home/Neutral]],OFR_lookup,2,FALSE)+VLOOKUP(Table2[[#This Row],[Visitor/Neutral]],def_diff_lookup,6,FALSE))</f>
        <v>100.55142709563917</v>
      </c>
      <c r="M843" s="21"/>
      <c r="N843" s="21">
        <f>(Table2[[#This Row],[A/Pace]]/100)*(VLOOKUP(Table2[[#This Row],[Visitor/Neutral]],OFR_lookup,2,FALSE)+VLOOKUP(Table2[[#This Row],[Home/Neutral]],def_diff_lookup,6,FALSE))</f>
        <v>98.451646999999994</v>
      </c>
      <c r="O843" s="21"/>
      <c r="P843" s="21"/>
      <c r="Q843">
        <f>VLOOKUP(Table2[[#This Row],[Home/Neutral]],pace_lookup,7,FALSE)</f>
        <v>92.5</v>
      </c>
      <c r="R843" s="5">
        <f>VLOOKUP(Table2[[#This Row],[Visitor/Neutral]],pace_lookup,7,FALSE)</f>
        <v>99.3</v>
      </c>
      <c r="S843" s="7"/>
      <c r="U843" s="15"/>
      <c r="W843" s="2">
        <f>-home-VLOOKUP(Table2[[#This Row],[Home/Neutral]],rtg_vlookup,4,FALSE)+VLOOKUP(Table2[[#This Row],[Visitor/Neutral]],rtg_vlookup,4,FALSE)</f>
        <v>-6.1186885245901657</v>
      </c>
      <c r="X843" s="15"/>
      <c r="Y843" s="2"/>
      <c r="Z843" s="2">
        <f>Table2[[#This Row],[A/EV]]-Table2[[#This Row],[H/EV]]</f>
        <v>-2.0997800956391757</v>
      </c>
      <c r="AA843" s="29"/>
      <c r="AB843" s="30"/>
      <c r="AC843" s="30"/>
      <c r="AD843" s="30"/>
      <c r="AE843" s="30"/>
      <c r="AF843" s="7" t="b">
        <f>IF(VLOOKUP(Table2[[#This Row],[Home/Neutral]],division_lookup,9,FALSE)=VLOOKUP(Table2[[#This Row],[Visitor/Neutral]],division_lookup,9,FALSE),TRUE,FALSE)</f>
        <v>1</v>
      </c>
      <c r="AG843" s="15" t="str">
        <f>VLOOKUP(Table2[[#This Row],[Home/Neutral]],division_lookup,9,FALSE)</f>
        <v>SW</v>
      </c>
      <c r="AH843" s="15" t="str">
        <f>IF(Table2[[#This Row],[Total/EV]]&lt;Table2[[#This Row],[Total/V]],"UNDER","OVER")</f>
        <v>OVER</v>
      </c>
      <c r="AI843" s="26">
        <f>Table2[[#This Row],[SRS/Real]]-Table2[[#This Row],[Spread/V]]</f>
        <v>0</v>
      </c>
      <c r="AJ843" s="2">
        <f>Table2[[#This Row],[EV/Real]]-Table2[[#This Row],[Spread/V]]</f>
        <v>0</v>
      </c>
      <c r="AK843" s="2">
        <f>Table2[[#This Row],[SRS/Diff]]-Table2[[#This Row],[EV/Diff]]</f>
        <v>0</v>
      </c>
      <c r="AL843" s="18">
        <f>Table2[[#This Row],[SRS]]-Table2[[#This Row],[Spread]]</f>
        <v>-6.1186885245901657</v>
      </c>
      <c r="AM843" s="21">
        <f>Table2[[#This Row],[(A) Err]]^2</f>
        <v>37.438349260951377</v>
      </c>
      <c r="AN843" s="6">
        <f>Table2[[#This Row],[EV]]-Table2[[#This Row],[Spread]]</f>
        <v>-2.0997800956391757</v>
      </c>
      <c r="AO843" s="1">
        <f>Table2[[#This Row],[EV Err]]^2</f>
        <v>4.4090764500424653</v>
      </c>
      <c r="AP843" s="1"/>
    </row>
    <row r="844" spans="1:42" x14ac:dyDescent="0.25">
      <c r="A844" s="34">
        <v>42781</v>
      </c>
      <c r="B844" t="s">
        <v>129</v>
      </c>
      <c r="C844" t="s">
        <v>128</v>
      </c>
      <c r="E844" s="21"/>
      <c r="G844" s="21"/>
      <c r="H844" s="7"/>
      <c r="I844" s="21"/>
      <c r="K844"/>
      <c r="L844" s="21">
        <f>(Table2[[#This Row],[H/Pace]]/100)*(VLOOKUP(Table2[[#This Row],[Home/Neutral]],home_lookup,8,FALSE)+VLOOKUP(Table2[[#This Row],[Home/Neutral]],OFR_lookup,2,FALSE)+VLOOKUP(Table2[[#This Row],[Visitor/Neutral]],def_diff_lookup,6,FALSE))</f>
        <v>110.51990376890109</v>
      </c>
      <c r="M844" s="21"/>
      <c r="N844" s="21">
        <f>(Table2[[#This Row],[A/Pace]]/100)*(VLOOKUP(Table2[[#This Row],[Visitor/Neutral]],OFR_lookup,2,FALSE)+VLOOKUP(Table2[[#This Row],[Home/Neutral]],def_diff_lookup,6,FALSE))</f>
        <v>102.093087</v>
      </c>
      <c r="O844" s="21"/>
      <c r="P844" s="21"/>
      <c r="Q844">
        <f>VLOOKUP(Table2[[#This Row],[Home/Neutral]],pace_lookup,7,FALSE)</f>
        <v>99</v>
      </c>
      <c r="R844" s="5">
        <f>VLOOKUP(Table2[[#This Row],[Visitor/Neutral]],pace_lookup,7,FALSE)</f>
        <v>96.3</v>
      </c>
      <c r="S844" s="7"/>
      <c r="U844" s="15"/>
      <c r="W844" s="2">
        <f>-home-VLOOKUP(Table2[[#This Row],[Home/Neutral]],rtg_vlookup,4,FALSE)+VLOOKUP(Table2[[#This Row],[Visitor/Neutral]],rtg_vlookup,4,FALSE)</f>
        <v>-6.148688524590165</v>
      </c>
      <c r="X844" s="15"/>
      <c r="Y844" s="2"/>
      <c r="Z844" s="2">
        <f>Table2[[#This Row],[A/EV]]-Table2[[#This Row],[H/EV]]</f>
        <v>-8.4268167689010909</v>
      </c>
      <c r="AA844" s="29"/>
      <c r="AB844" s="30"/>
      <c r="AC844" s="30"/>
      <c r="AD844" s="30"/>
      <c r="AE844" s="30"/>
      <c r="AF844" s="7" t="b">
        <f>IF(VLOOKUP(Table2[[#This Row],[Home/Neutral]],division_lookup,9,FALSE)=VLOOKUP(Table2[[#This Row],[Visitor/Neutral]],division_lookup,9,FALSE),TRUE,FALSE)</f>
        <v>0</v>
      </c>
      <c r="AG844" s="15" t="str">
        <f>VLOOKUP(Table2[[#This Row],[Home/Neutral]],division_lookup,9,FALSE)</f>
        <v>NW</v>
      </c>
      <c r="AH844" s="15" t="str">
        <f>IF(Table2[[#This Row],[Total/EV]]&lt;Table2[[#This Row],[Total/V]],"UNDER","OVER")</f>
        <v>OVER</v>
      </c>
      <c r="AI844" s="26">
        <f>Table2[[#This Row],[SRS/Real]]-Table2[[#This Row],[Spread/V]]</f>
        <v>0</v>
      </c>
      <c r="AJ844" s="2">
        <f>Table2[[#This Row],[EV/Real]]-Table2[[#This Row],[Spread/V]]</f>
        <v>0</v>
      </c>
      <c r="AK844" s="2">
        <f>Table2[[#This Row],[SRS/Diff]]-Table2[[#This Row],[EV/Diff]]</f>
        <v>0</v>
      </c>
      <c r="AL844" s="18">
        <f>Table2[[#This Row],[SRS]]-Table2[[#This Row],[Spread]]</f>
        <v>-6.148688524590165</v>
      </c>
      <c r="AM844" s="21">
        <f>Table2[[#This Row],[(A) Err]]^2</f>
        <v>37.806370572426779</v>
      </c>
      <c r="AN844" s="6">
        <f>Table2[[#This Row],[EV]]-Table2[[#This Row],[Spread]]</f>
        <v>-8.4268167689010909</v>
      </c>
      <c r="AO844" s="1">
        <f>Table2[[#This Row],[EV Err]]^2</f>
        <v>71.011240856632625</v>
      </c>
      <c r="AP844" s="1"/>
    </row>
    <row r="845" spans="1:42" x14ac:dyDescent="0.25">
      <c r="A845" s="34">
        <v>42781</v>
      </c>
      <c r="B845" t="s">
        <v>130</v>
      </c>
      <c r="C845" t="s">
        <v>134</v>
      </c>
      <c r="E845" s="21"/>
      <c r="G845" s="21"/>
      <c r="H845" s="7"/>
      <c r="I845" s="21"/>
      <c r="K845"/>
      <c r="L845" s="21">
        <f>(Table2[[#This Row],[H/Pace]]/100)*(VLOOKUP(Table2[[#This Row],[Home/Neutral]],home_lookup,8,FALSE)+VLOOKUP(Table2[[#This Row],[Home/Neutral]],OFR_lookup,2,FALSE)+VLOOKUP(Table2[[#This Row],[Visitor/Neutral]],def_diff_lookup,6,FALSE))</f>
        <v>95.206664967109404</v>
      </c>
      <c r="M845" s="21"/>
      <c r="N845" s="21">
        <f>(Table2[[#This Row],[A/Pace]]/100)*(VLOOKUP(Table2[[#This Row],[Visitor/Neutral]],OFR_lookup,2,FALSE)+VLOOKUP(Table2[[#This Row],[Home/Neutral]],def_diff_lookup,6,FALSE))</f>
        <v>105.07095266666666</v>
      </c>
      <c r="O845" s="21"/>
      <c r="P845" s="21"/>
      <c r="Q845">
        <f>VLOOKUP(Table2[[#This Row],[Home/Neutral]],pace_lookup,7,FALSE)</f>
        <v>94.2</v>
      </c>
      <c r="R845" s="5">
        <f>VLOOKUP(Table2[[#This Row],[Visitor/Neutral]],pace_lookup,7,FALSE)</f>
        <v>93.4</v>
      </c>
      <c r="S845" s="7"/>
      <c r="U845" s="15"/>
      <c r="W845" s="2">
        <f>-home-VLOOKUP(Table2[[#This Row],[Home/Neutral]],rtg_vlookup,4,FALSE)+VLOOKUP(Table2[[#This Row],[Visitor/Neutral]],rtg_vlookup,4,FALSE)</f>
        <v>13.241311475409834</v>
      </c>
      <c r="X845" s="15"/>
      <c r="Y845" s="2"/>
      <c r="Z845" s="2">
        <f>Table2[[#This Row],[A/EV]]-Table2[[#This Row],[H/EV]]</f>
        <v>9.8642876995572522</v>
      </c>
      <c r="AA845" s="29"/>
      <c r="AB845" s="30"/>
      <c r="AC845" s="30"/>
      <c r="AD845" s="30"/>
      <c r="AE845" s="30"/>
      <c r="AF845" s="7" t="b">
        <f>IF(VLOOKUP(Table2[[#This Row],[Home/Neutral]],division_lookup,9,FALSE)=VLOOKUP(Table2[[#This Row],[Visitor/Neutral]],division_lookup,9,FALSE),TRUE,FALSE)</f>
        <v>0</v>
      </c>
      <c r="AG845" s="15" t="str">
        <f>VLOOKUP(Table2[[#This Row],[Home/Neutral]],division_lookup,9,FALSE)</f>
        <v>SE</v>
      </c>
      <c r="AH845" s="15" t="str">
        <f>IF(Table2[[#This Row],[Total/EV]]&lt;Table2[[#This Row],[Total/V]],"UNDER","OVER")</f>
        <v>OVER</v>
      </c>
      <c r="AI845" s="26">
        <f>Table2[[#This Row],[SRS/Real]]-Table2[[#This Row],[Spread/V]]</f>
        <v>0</v>
      </c>
      <c r="AJ845" s="2">
        <f>Table2[[#This Row],[EV/Real]]-Table2[[#This Row],[Spread/V]]</f>
        <v>0</v>
      </c>
      <c r="AK845" s="2">
        <f>Table2[[#This Row],[SRS/Diff]]-Table2[[#This Row],[EV/Diff]]</f>
        <v>0</v>
      </c>
      <c r="AL845" s="18">
        <f>Table2[[#This Row],[SRS]]-Table2[[#This Row],[Spread]]</f>
        <v>13.241311475409834</v>
      </c>
      <c r="AM845" s="21">
        <f>Table2[[#This Row],[(A) Err]]^2</f>
        <v>175.33232958882016</v>
      </c>
      <c r="AN845" s="6">
        <f>Table2[[#This Row],[EV]]-Table2[[#This Row],[Spread]]</f>
        <v>9.8642876995572522</v>
      </c>
      <c r="AO845" s="1">
        <f>Table2[[#This Row],[EV Err]]^2</f>
        <v>97.304171819636508</v>
      </c>
      <c r="AP845" s="1"/>
    </row>
    <row r="846" spans="1:42" x14ac:dyDescent="0.25">
      <c r="A846" s="34">
        <v>42781</v>
      </c>
      <c r="B846" t="s">
        <v>131</v>
      </c>
      <c r="C846" t="s">
        <v>122</v>
      </c>
      <c r="E846" s="21"/>
      <c r="G846" s="21"/>
      <c r="H846" s="7"/>
      <c r="I846" s="21"/>
      <c r="K846"/>
      <c r="L846" s="21">
        <f>(Table2[[#This Row],[H/Pace]]/100)*(VLOOKUP(Table2[[#This Row],[Home/Neutral]],home_lookup,8,FALSE)+VLOOKUP(Table2[[#This Row],[Home/Neutral]],OFR_lookup,2,FALSE)+VLOOKUP(Table2[[#This Row],[Visitor/Neutral]],def_diff_lookup,6,FALSE))</f>
        <v>101.60134979119765</v>
      </c>
      <c r="M846" s="21"/>
      <c r="N846" s="21">
        <f>(Table2[[#This Row],[A/Pace]]/100)*(VLOOKUP(Table2[[#This Row],[Visitor/Neutral]],OFR_lookup,2,FALSE)+VLOOKUP(Table2[[#This Row],[Home/Neutral]],def_diff_lookup,6,FALSE))</f>
        <v>110.31585799999999</v>
      </c>
      <c r="O846" s="21"/>
      <c r="P846" s="21"/>
      <c r="Q846">
        <f>VLOOKUP(Table2[[#This Row],[Home/Neutral]],pace_lookup,7,FALSE)</f>
        <v>101.7</v>
      </c>
      <c r="R846" s="5">
        <f>VLOOKUP(Table2[[#This Row],[Visitor/Neutral]],pace_lookup,7,FALSE)</f>
        <v>100.2</v>
      </c>
      <c r="S846" s="7"/>
      <c r="U846" s="15"/>
      <c r="W846" s="2">
        <f>-home-VLOOKUP(Table2[[#This Row],[Home/Neutral]],rtg_vlookup,4,FALSE)+VLOOKUP(Table2[[#This Row],[Visitor/Neutral]],rtg_vlookup,4,FALSE)</f>
        <v>1.3513114754098341</v>
      </c>
      <c r="X846" s="15"/>
      <c r="Y846" s="2"/>
      <c r="Z846" s="2">
        <f>Table2[[#This Row],[A/EV]]-Table2[[#This Row],[H/EV]]</f>
        <v>8.7145082088023429</v>
      </c>
      <c r="AA846" s="29"/>
      <c r="AB846" s="30"/>
      <c r="AC846" s="30"/>
      <c r="AD846" s="30"/>
      <c r="AE846" s="30"/>
      <c r="AF846" s="7" t="b">
        <f>IF(VLOOKUP(Table2[[#This Row],[Home/Neutral]],division_lookup,9,FALSE)=VLOOKUP(Table2[[#This Row],[Visitor/Neutral]],division_lookup,9,FALSE),TRUE,FALSE)</f>
        <v>1</v>
      </c>
      <c r="AG846" s="15" t="str">
        <f>VLOOKUP(Table2[[#This Row],[Home/Neutral]],division_lookup,9,FALSE)</f>
        <v>P</v>
      </c>
      <c r="AH846" s="15" t="str">
        <f>IF(Table2[[#This Row],[Total/EV]]&lt;Table2[[#This Row],[Total/V]],"UNDER","OVER")</f>
        <v>OVER</v>
      </c>
      <c r="AI846" s="26">
        <f>Table2[[#This Row],[SRS/Real]]-Table2[[#This Row],[Spread/V]]</f>
        <v>0</v>
      </c>
      <c r="AJ846" s="2">
        <f>Table2[[#This Row],[EV/Real]]-Table2[[#This Row],[Spread/V]]</f>
        <v>0</v>
      </c>
      <c r="AK846" s="2">
        <f>Table2[[#This Row],[SRS/Diff]]-Table2[[#This Row],[EV/Diff]]</f>
        <v>0</v>
      </c>
      <c r="AL846" s="18">
        <f>Table2[[#This Row],[SRS]]-Table2[[#This Row],[Spread]]</f>
        <v>1.3513114754098341</v>
      </c>
      <c r="AM846" s="21">
        <f>Table2[[#This Row],[(A) Err]]^2</f>
        <v>1.8260427035743028</v>
      </c>
      <c r="AN846" s="6">
        <f>Table2[[#This Row],[EV]]-Table2[[#This Row],[Spread]]</f>
        <v>8.7145082088023429</v>
      </c>
      <c r="AO846" s="1">
        <f>Table2[[#This Row],[EV Err]]^2</f>
        <v>75.942653321283416</v>
      </c>
      <c r="AP846" s="1"/>
    </row>
    <row r="847" spans="1:42" x14ac:dyDescent="0.25">
      <c r="A847" s="34">
        <v>42781</v>
      </c>
      <c r="B847" t="s">
        <v>135</v>
      </c>
      <c r="C847" t="s">
        <v>112</v>
      </c>
      <c r="E847" s="21"/>
      <c r="G847" s="21"/>
      <c r="H847" s="7"/>
      <c r="I847" s="21"/>
      <c r="K847"/>
      <c r="L847" s="21">
        <f>(Table2[[#This Row],[H/Pace]]/100)*(VLOOKUP(Table2[[#This Row],[Home/Neutral]],home_lookup,8,FALSE)+VLOOKUP(Table2[[#This Row],[Home/Neutral]],OFR_lookup,2,FALSE)+VLOOKUP(Table2[[#This Row],[Visitor/Neutral]],def_diff_lookup,6,FALSE))</f>
        <v>108.77178035324614</v>
      </c>
      <c r="M847" s="21"/>
      <c r="N847" s="21">
        <f>(Table2[[#This Row],[A/Pace]]/100)*(VLOOKUP(Table2[[#This Row],[Visitor/Neutral]],OFR_lookup,2,FALSE)+VLOOKUP(Table2[[#This Row],[Home/Neutral]],def_diff_lookup,6,FALSE))</f>
        <v>105.85009933333333</v>
      </c>
      <c r="O847" s="21"/>
      <c r="P847" s="21"/>
      <c r="Q847">
        <f>VLOOKUP(Table2[[#This Row],[Home/Neutral]],pace_lookup,7,FALSE)</f>
        <v>95.4</v>
      </c>
      <c r="R847" s="5">
        <f>VLOOKUP(Table2[[#This Row],[Visitor/Neutral]],pace_lookup,7,FALSE)</f>
        <v>97.4</v>
      </c>
      <c r="S847" s="7"/>
      <c r="U847" s="15"/>
      <c r="W847" s="2">
        <f>-home-VLOOKUP(Table2[[#This Row],[Home/Neutral]],rtg_vlookup,4,FALSE)+VLOOKUP(Table2[[#This Row],[Visitor/Neutral]],rtg_vlookup,4,FALSE)</f>
        <v>-6.6786885245901653</v>
      </c>
      <c r="X847" s="15"/>
      <c r="Y847" s="2"/>
      <c r="Z847" s="2">
        <f>Table2[[#This Row],[A/EV]]-Table2[[#This Row],[H/EV]]</f>
        <v>-2.9216810199128105</v>
      </c>
      <c r="AA847" s="29"/>
      <c r="AB847" s="30"/>
      <c r="AC847" s="30"/>
      <c r="AD847" s="30"/>
      <c r="AE847" s="30"/>
      <c r="AF847" s="7" t="b">
        <f>IF(VLOOKUP(Table2[[#This Row],[Home/Neutral]],division_lookup,9,FALSE)=VLOOKUP(Table2[[#This Row],[Visitor/Neutral]],division_lookup,9,FALSE),TRUE,FALSE)</f>
        <v>0</v>
      </c>
      <c r="AG847" s="15" t="str">
        <f>VLOOKUP(Table2[[#This Row],[Home/Neutral]],division_lookup,9,FALSE)</f>
        <v>A</v>
      </c>
      <c r="AH847" s="15" t="str">
        <f>IF(Table2[[#This Row],[Total/EV]]&lt;Table2[[#This Row],[Total/V]],"UNDER","OVER")</f>
        <v>OVER</v>
      </c>
      <c r="AI847" s="26">
        <f>Table2[[#This Row],[SRS/Real]]-Table2[[#This Row],[Spread/V]]</f>
        <v>0</v>
      </c>
      <c r="AJ847" s="2">
        <f>Table2[[#This Row],[EV/Real]]-Table2[[#This Row],[Spread/V]]</f>
        <v>0</v>
      </c>
      <c r="AK847" s="2">
        <f>Table2[[#This Row],[SRS/Diff]]-Table2[[#This Row],[EV/Diff]]</f>
        <v>0</v>
      </c>
      <c r="AL847" s="18">
        <f>Table2[[#This Row],[SRS]]-Table2[[#This Row],[Spread]]</f>
        <v>-6.6786885245901653</v>
      </c>
      <c r="AM847" s="21">
        <f>Table2[[#This Row],[(A) Err]]^2</f>
        <v>44.604880408492356</v>
      </c>
      <c r="AN847" s="6">
        <f>Table2[[#This Row],[EV]]-Table2[[#This Row],[Spread]]</f>
        <v>-2.9216810199128105</v>
      </c>
      <c r="AO847" s="1">
        <f>Table2[[#This Row],[EV Err]]^2</f>
        <v>8.5362199821187605</v>
      </c>
      <c r="AP847" s="1"/>
    </row>
    <row r="848" spans="1:42" x14ac:dyDescent="0.25">
      <c r="A848" s="34">
        <v>42781</v>
      </c>
      <c r="B848" t="s">
        <v>136</v>
      </c>
      <c r="C848" t="s">
        <v>132</v>
      </c>
      <c r="E848" s="21"/>
      <c r="G848" s="21"/>
      <c r="H848" s="7"/>
      <c r="I848" s="21"/>
      <c r="K848"/>
      <c r="L848" s="21">
        <f>(Table2[[#This Row],[H/Pace]]/100)*(VLOOKUP(Table2[[#This Row],[Home/Neutral]],home_lookup,8,FALSE)+VLOOKUP(Table2[[#This Row],[Home/Neutral]],OFR_lookup,2,FALSE)+VLOOKUP(Table2[[#This Row],[Visitor/Neutral]],def_diff_lookup,6,FALSE))</f>
        <v>110.10793534991899</v>
      </c>
      <c r="M848" s="21"/>
      <c r="N848" s="21">
        <f>(Table2[[#This Row],[A/Pace]]/100)*(VLOOKUP(Table2[[#This Row],[Visitor/Neutral]],OFR_lookup,2,FALSE)+VLOOKUP(Table2[[#This Row],[Home/Neutral]],def_diff_lookup,6,FALSE))</f>
        <v>103.98271866666667</v>
      </c>
      <c r="O848" s="21"/>
      <c r="P848" s="21"/>
      <c r="Q848">
        <f>VLOOKUP(Table2[[#This Row],[Home/Neutral]],pace_lookup,7,FALSE)</f>
        <v>91.5</v>
      </c>
      <c r="R848" s="5">
        <f>VLOOKUP(Table2[[#This Row],[Visitor/Neutral]],pace_lookup,7,FALSE)</f>
        <v>98.8</v>
      </c>
      <c r="S848" s="7"/>
      <c r="U848" s="15"/>
      <c r="W848" s="2">
        <f>-home-VLOOKUP(Table2[[#This Row],[Home/Neutral]],rtg_vlookup,4,FALSE)+VLOOKUP(Table2[[#This Row],[Visitor/Neutral]],rtg_vlookup,4,FALSE)</f>
        <v>-9.4686885245901653</v>
      </c>
      <c r="X848" s="15"/>
      <c r="Y848" s="2"/>
      <c r="Z848" s="2">
        <f>Table2[[#This Row],[A/EV]]-Table2[[#This Row],[H/EV]]</f>
        <v>-6.1252166832523187</v>
      </c>
      <c r="AA848" s="29"/>
      <c r="AB848" s="30"/>
      <c r="AC848" s="30"/>
      <c r="AD848" s="30"/>
      <c r="AE848" s="30"/>
      <c r="AF848" s="7" t="b">
        <f>IF(VLOOKUP(Table2[[#This Row],[Home/Neutral]],division_lookup,9,FALSE)=VLOOKUP(Table2[[#This Row],[Visitor/Neutral]],division_lookup,9,FALSE),TRUE,FALSE)</f>
        <v>1</v>
      </c>
      <c r="AG848" s="15" t="str">
        <f>VLOOKUP(Table2[[#This Row],[Home/Neutral]],division_lookup,9,FALSE)</f>
        <v>NW</v>
      </c>
      <c r="AH848" s="15" t="str">
        <f>IF(Table2[[#This Row],[Total/EV]]&lt;Table2[[#This Row],[Total/V]],"UNDER","OVER")</f>
        <v>OVER</v>
      </c>
      <c r="AI848" s="26">
        <f>Table2[[#This Row],[SRS/Real]]-Table2[[#This Row],[Spread/V]]</f>
        <v>0</v>
      </c>
      <c r="AJ848" s="2">
        <f>Table2[[#This Row],[EV/Real]]-Table2[[#This Row],[Spread/V]]</f>
        <v>0</v>
      </c>
      <c r="AK848" s="2">
        <f>Table2[[#This Row],[SRS/Diff]]-Table2[[#This Row],[EV/Diff]]</f>
        <v>0</v>
      </c>
      <c r="AL848" s="18">
        <f>Table2[[#This Row],[SRS]]-Table2[[#This Row],[Spread]]</f>
        <v>-9.4686885245901653</v>
      </c>
      <c r="AM848" s="21">
        <f>Table2[[#This Row],[(A) Err]]^2</f>
        <v>89.656062375705488</v>
      </c>
      <c r="AN848" s="6">
        <f>Table2[[#This Row],[EV]]-Table2[[#This Row],[Spread]]</f>
        <v>-6.1252166832523187</v>
      </c>
      <c r="AO848" s="1">
        <f>Table2[[#This Row],[EV Err]]^2</f>
        <v>37.518279416792538</v>
      </c>
      <c r="AP848" s="1"/>
    </row>
    <row r="849" spans="1:42" x14ac:dyDescent="0.25">
      <c r="A849" s="34">
        <v>42782</v>
      </c>
      <c r="B849" t="s">
        <v>113</v>
      </c>
      <c r="C849" t="s">
        <v>110</v>
      </c>
      <c r="E849" s="21"/>
      <c r="G849" s="21"/>
      <c r="H849" s="7"/>
      <c r="I849" s="21"/>
      <c r="K849"/>
      <c r="L849" s="21">
        <f>(Table2[[#This Row],[H/Pace]]/100)*(VLOOKUP(Table2[[#This Row],[Home/Neutral]],home_lookup,8,FALSE)+VLOOKUP(Table2[[#This Row],[Home/Neutral]],OFR_lookup,2,FALSE)+VLOOKUP(Table2[[#This Row],[Visitor/Neutral]],def_diff_lookup,6,FALSE))</f>
        <v>109.8226938801628</v>
      </c>
      <c r="M849" s="21"/>
      <c r="N849" s="21">
        <f>(Table2[[#This Row],[A/Pace]]/100)*(VLOOKUP(Table2[[#This Row],[Visitor/Neutral]],OFR_lookup,2,FALSE)+VLOOKUP(Table2[[#This Row],[Home/Neutral]],def_diff_lookup,6,FALSE))</f>
        <v>103.31463133333335</v>
      </c>
      <c r="O849" s="21"/>
      <c r="P849" s="21"/>
      <c r="Q849">
        <f>VLOOKUP(Table2[[#This Row],[Home/Neutral]],pace_lookup,7,FALSE)</f>
        <v>95.1</v>
      </c>
      <c r="R849" s="5">
        <f>VLOOKUP(Table2[[#This Row],[Visitor/Neutral]],pace_lookup,7,FALSE)</f>
        <v>96.2</v>
      </c>
      <c r="S849" s="7"/>
      <c r="U849" s="15"/>
      <c r="W849" s="2">
        <f>-home-VLOOKUP(Table2[[#This Row],[Home/Neutral]],rtg_vlookup,4,FALSE)+VLOOKUP(Table2[[#This Row],[Visitor/Neutral]],rtg_vlookup,4,FALSE)</f>
        <v>-6.9486885245901657</v>
      </c>
      <c r="X849" s="15"/>
      <c r="Y849" s="2"/>
      <c r="Z849" s="2">
        <f>Table2[[#This Row],[A/EV]]-Table2[[#This Row],[H/EV]]</f>
        <v>-6.50806254682945</v>
      </c>
      <c r="AA849" s="29"/>
      <c r="AB849" s="30"/>
      <c r="AC849" s="30"/>
      <c r="AD849" s="30"/>
      <c r="AE849" s="30"/>
      <c r="AF849" s="7" t="b">
        <f>IF(VLOOKUP(Table2[[#This Row],[Home/Neutral]],division_lookup,9,FALSE)=VLOOKUP(Table2[[#This Row],[Visitor/Neutral]],division_lookup,9,FALSE),TRUE,FALSE)</f>
        <v>0</v>
      </c>
      <c r="AG849" s="15" t="str">
        <f>VLOOKUP(Table2[[#This Row],[Home/Neutral]],division_lookup,9,FALSE)</f>
        <v>C</v>
      </c>
      <c r="AH849" s="15" t="str">
        <f>IF(Table2[[#This Row],[Total/EV]]&lt;Table2[[#This Row],[Total/V]],"UNDER","OVER")</f>
        <v>OVER</v>
      </c>
      <c r="AI849" s="26">
        <f>Table2[[#This Row],[SRS/Real]]-Table2[[#This Row],[Spread/V]]</f>
        <v>0</v>
      </c>
      <c r="AJ849" s="2">
        <f>Table2[[#This Row],[EV/Real]]-Table2[[#This Row],[Spread/V]]</f>
        <v>0</v>
      </c>
      <c r="AK849" s="2">
        <f>Table2[[#This Row],[SRS/Diff]]-Table2[[#This Row],[EV/Diff]]</f>
        <v>0</v>
      </c>
      <c r="AL849" s="18">
        <f>Table2[[#This Row],[SRS]]-Table2[[#This Row],[Spread]]</f>
        <v>-6.9486885245901657</v>
      </c>
      <c r="AM849" s="21">
        <f>Table2[[#This Row],[(A) Err]]^2</f>
        <v>48.284272211771054</v>
      </c>
      <c r="AN849" s="6">
        <f>Table2[[#This Row],[EV]]-Table2[[#This Row],[Spread]]</f>
        <v>-6.50806254682945</v>
      </c>
      <c r="AO849" s="1">
        <f>Table2[[#This Row],[EV Err]]^2</f>
        <v>42.354878113444229</v>
      </c>
      <c r="AP849" s="1"/>
    </row>
    <row r="850" spans="1:42" x14ac:dyDescent="0.25">
      <c r="A850" s="34">
        <v>42782</v>
      </c>
      <c r="B850" t="s">
        <v>120</v>
      </c>
      <c r="C850" t="s">
        <v>137</v>
      </c>
      <c r="E850" s="21"/>
      <c r="G850" s="21"/>
      <c r="H850" s="7"/>
      <c r="I850" s="21"/>
      <c r="K850"/>
      <c r="L850" s="21">
        <f>(Table2[[#This Row],[H/Pace]]/100)*(VLOOKUP(Table2[[#This Row],[Home/Neutral]],home_lookup,8,FALSE)+VLOOKUP(Table2[[#This Row],[Home/Neutral]],OFR_lookup,2,FALSE)+VLOOKUP(Table2[[#This Row],[Visitor/Neutral]],def_diff_lookup,6,FALSE))</f>
        <v>109.4360654293086</v>
      </c>
      <c r="M850" s="21"/>
      <c r="N850" s="21">
        <f>(Table2[[#This Row],[A/Pace]]/100)*(VLOOKUP(Table2[[#This Row],[Visitor/Neutral]],OFR_lookup,2,FALSE)+VLOOKUP(Table2[[#This Row],[Home/Neutral]],def_diff_lookup,6,FALSE))</f>
        <v>104.57823999999999</v>
      </c>
      <c r="O850" s="21"/>
      <c r="P850" s="21"/>
      <c r="Q850">
        <f>VLOOKUP(Table2[[#This Row],[Home/Neutral]],pace_lookup,7,FALSE)</f>
        <v>98.3</v>
      </c>
      <c r="R850" s="5">
        <f>VLOOKUP(Table2[[#This Row],[Visitor/Neutral]],pace_lookup,7,FALSE)</f>
        <v>96</v>
      </c>
      <c r="S850" s="7"/>
      <c r="U850" s="15"/>
      <c r="W850" s="2">
        <f>-home-VLOOKUP(Table2[[#This Row],[Home/Neutral]],rtg_vlookup,4,FALSE)+VLOOKUP(Table2[[#This Row],[Visitor/Neutral]],rtg_vlookup,4,FALSE)</f>
        <v>-1.0686885245901654</v>
      </c>
      <c r="X850" s="15"/>
      <c r="Y850" s="2"/>
      <c r="Z850" s="2">
        <f>Table2[[#This Row],[A/EV]]-Table2[[#This Row],[H/EV]]</f>
        <v>-4.8578254293086047</v>
      </c>
      <c r="AA850" s="29"/>
      <c r="AB850" s="30"/>
      <c r="AC850" s="30"/>
      <c r="AD850" s="30"/>
      <c r="AE850" s="30"/>
      <c r="AF850" s="7" t="b">
        <f>IF(VLOOKUP(Table2[[#This Row],[Home/Neutral]],division_lookup,9,FALSE)=VLOOKUP(Table2[[#This Row],[Visitor/Neutral]],division_lookup,9,FALSE),TRUE,FALSE)</f>
        <v>0</v>
      </c>
      <c r="AG850" s="15" t="str">
        <f>VLOOKUP(Table2[[#This Row],[Home/Neutral]],division_lookup,9,FALSE)</f>
        <v>C</v>
      </c>
      <c r="AH850" s="15" t="str">
        <f>IF(Table2[[#This Row],[Total/EV]]&lt;Table2[[#This Row],[Total/V]],"UNDER","OVER")</f>
        <v>OVER</v>
      </c>
      <c r="AI850" s="26">
        <f>Table2[[#This Row],[SRS/Real]]-Table2[[#This Row],[Spread/V]]</f>
        <v>0</v>
      </c>
      <c r="AJ850" s="2">
        <f>Table2[[#This Row],[EV/Real]]-Table2[[#This Row],[Spread/V]]</f>
        <v>0</v>
      </c>
      <c r="AK850" s="2">
        <f>Table2[[#This Row],[SRS/Diff]]-Table2[[#This Row],[EV/Diff]]</f>
        <v>0</v>
      </c>
      <c r="AL850" s="18">
        <f>Table2[[#This Row],[SRS]]-Table2[[#This Row],[Spread]]</f>
        <v>-1.0686885245901654</v>
      </c>
      <c r="AM850" s="21">
        <f>Table2[[#This Row],[(A) Err]]^2</f>
        <v>1.1420951625907045</v>
      </c>
      <c r="AN850" s="6">
        <f>Table2[[#This Row],[EV]]-Table2[[#This Row],[Spread]]</f>
        <v>-4.8578254293086047</v>
      </c>
      <c r="AO850" s="1">
        <f>Table2[[#This Row],[EV Err]]^2</f>
        <v>23.598467901637331</v>
      </c>
      <c r="AP850" s="1"/>
    </row>
    <row r="851" spans="1:42" x14ac:dyDescent="0.25">
      <c r="A851" s="34">
        <v>42789</v>
      </c>
      <c r="B851" t="s">
        <v>114</v>
      </c>
      <c r="C851" t="s">
        <v>128</v>
      </c>
      <c r="E851" s="21"/>
      <c r="G851" s="21"/>
      <c r="H851" s="7"/>
      <c r="I851" s="21"/>
      <c r="K851"/>
      <c r="L851" s="21">
        <f>(Table2[[#This Row],[H/Pace]]/100)*(VLOOKUP(Table2[[#This Row],[Home/Neutral]],home_lookup,8,FALSE)+VLOOKUP(Table2[[#This Row],[Home/Neutral]],OFR_lookup,2,FALSE)+VLOOKUP(Table2[[#This Row],[Visitor/Neutral]],def_diff_lookup,6,FALSE))</f>
        <v>117.33583276756467</v>
      </c>
      <c r="M851" s="21"/>
      <c r="N851" s="21">
        <f>(Table2[[#This Row],[A/Pace]]/100)*(VLOOKUP(Table2[[#This Row],[Visitor/Neutral]],OFR_lookup,2,FALSE)+VLOOKUP(Table2[[#This Row],[Home/Neutral]],def_diff_lookup,6,FALSE))</f>
        <v>103.43165699999999</v>
      </c>
      <c r="O851" s="21"/>
      <c r="P851" s="21"/>
      <c r="Q851">
        <f>VLOOKUP(Table2[[#This Row],[Home/Neutral]],pace_lookup,7,FALSE)</f>
        <v>97.3</v>
      </c>
      <c r="R851" s="5">
        <f>VLOOKUP(Table2[[#This Row],[Visitor/Neutral]],pace_lookup,7,FALSE)</f>
        <v>96.3</v>
      </c>
      <c r="S851" s="7"/>
      <c r="U851" s="15"/>
      <c r="W851" s="2">
        <f>-home-VLOOKUP(Table2[[#This Row],[Home/Neutral]],rtg_vlookup,4,FALSE)+VLOOKUP(Table2[[#This Row],[Visitor/Neutral]],rtg_vlookup,4,FALSE)</f>
        <v>-13.288688524590166</v>
      </c>
      <c r="X851" s="15"/>
      <c r="Y851" s="2"/>
      <c r="Z851" s="2">
        <f>Table2[[#This Row],[A/EV]]-Table2[[#This Row],[H/EV]]</f>
        <v>-13.904175767564681</v>
      </c>
      <c r="AA851" s="29"/>
      <c r="AB851" s="30"/>
      <c r="AC851" s="30"/>
      <c r="AD851" s="30"/>
      <c r="AE851" s="30"/>
      <c r="AF851" s="7" t="b">
        <f>IF(VLOOKUP(Table2[[#This Row],[Home/Neutral]],division_lookup,9,FALSE)=VLOOKUP(Table2[[#This Row],[Visitor/Neutral]],division_lookup,9,FALSE),TRUE,FALSE)</f>
        <v>0</v>
      </c>
      <c r="AG851" s="15" t="str">
        <f>VLOOKUP(Table2[[#This Row],[Home/Neutral]],division_lookup,9,FALSE)</f>
        <v>C</v>
      </c>
      <c r="AH851" s="15" t="str">
        <f>IF(Table2[[#This Row],[Total/EV]]&lt;Table2[[#This Row],[Total/V]],"UNDER","OVER")</f>
        <v>OVER</v>
      </c>
      <c r="AI851" s="26">
        <f>Table2[[#This Row],[SRS/Real]]-Table2[[#This Row],[Spread/V]]</f>
        <v>0</v>
      </c>
      <c r="AJ851" s="2">
        <f>Table2[[#This Row],[EV/Real]]-Table2[[#This Row],[Spread/V]]</f>
        <v>0</v>
      </c>
      <c r="AK851" s="2">
        <f>Table2[[#This Row],[SRS/Diff]]-Table2[[#This Row],[EV/Diff]]</f>
        <v>0</v>
      </c>
      <c r="AL851" s="18">
        <f>Table2[[#This Row],[SRS]]-Table2[[#This Row],[Spread]]</f>
        <v>-13.288688524590166</v>
      </c>
      <c r="AM851" s="21">
        <f>Table2[[#This Row],[(A) Err]]^2</f>
        <v>176.58924270357434</v>
      </c>
      <c r="AN851" s="6">
        <f>Table2[[#This Row],[EV]]-Table2[[#This Row],[Spread]]</f>
        <v>-13.904175767564681</v>
      </c>
      <c r="AO851" s="1">
        <f>Table2[[#This Row],[EV Err]]^2</f>
        <v>193.32610377533288</v>
      </c>
      <c r="AP851" s="1"/>
    </row>
    <row r="852" spans="1:42" x14ac:dyDescent="0.25">
      <c r="A852" s="34">
        <v>42789</v>
      </c>
      <c r="B852" t="s">
        <v>117</v>
      </c>
      <c r="C852" t="s">
        <v>112</v>
      </c>
      <c r="E852" s="21"/>
      <c r="G852" s="21"/>
      <c r="H852" s="7"/>
      <c r="I852" s="21"/>
      <c r="K852"/>
      <c r="L852" s="21">
        <f>(Table2[[#This Row],[H/Pace]]/100)*(VLOOKUP(Table2[[#This Row],[Home/Neutral]],home_lookup,8,FALSE)+VLOOKUP(Table2[[#This Row],[Home/Neutral]],OFR_lookup,2,FALSE)+VLOOKUP(Table2[[#This Row],[Visitor/Neutral]],def_diff_lookup,6,FALSE))</f>
        <v>111.36239591446429</v>
      </c>
      <c r="M852" s="21"/>
      <c r="N852" s="21">
        <f>(Table2[[#This Row],[A/Pace]]/100)*(VLOOKUP(Table2[[#This Row],[Visitor/Neutral]],OFR_lookup,2,FALSE)+VLOOKUP(Table2[[#This Row],[Home/Neutral]],def_diff_lookup,6,FALSE))</f>
        <v>101.17489933333334</v>
      </c>
      <c r="O852" s="21"/>
      <c r="P852" s="21"/>
      <c r="Q852">
        <f>VLOOKUP(Table2[[#This Row],[Home/Neutral]],pace_lookup,7,FALSE)</f>
        <v>94</v>
      </c>
      <c r="R852" s="5">
        <f>VLOOKUP(Table2[[#This Row],[Visitor/Neutral]],pace_lookup,7,FALSE)</f>
        <v>97.4</v>
      </c>
      <c r="S852" s="7"/>
      <c r="U852" s="15"/>
      <c r="W852" s="2">
        <f>-home-VLOOKUP(Table2[[#This Row],[Home/Neutral]],rtg_vlookup,4,FALSE)+VLOOKUP(Table2[[#This Row],[Visitor/Neutral]],rtg_vlookup,4,FALSE)</f>
        <v>-2.308688524590166</v>
      </c>
      <c r="X852" s="15"/>
      <c r="Y852" s="2"/>
      <c r="Z852" s="2">
        <f>Table2[[#This Row],[A/EV]]-Table2[[#This Row],[H/EV]]</f>
        <v>-10.187496581130944</v>
      </c>
      <c r="AA852" s="29"/>
      <c r="AB852" s="30"/>
      <c r="AC852" s="30"/>
      <c r="AD852" s="30"/>
      <c r="AE852" s="30"/>
      <c r="AF852" s="7" t="b">
        <f>IF(VLOOKUP(Table2[[#This Row],[Home/Neutral]],division_lookup,9,FALSE)=VLOOKUP(Table2[[#This Row],[Visitor/Neutral]],division_lookup,9,FALSE),TRUE,FALSE)</f>
        <v>0</v>
      </c>
      <c r="AG852" s="15" t="str">
        <f>VLOOKUP(Table2[[#This Row],[Home/Neutral]],division_lookup,9,FALSE)</f>
        <v>C</v>
      </c>
      <c r="AH852" s="15" t="str">
        <f>IF(Table2[[#This Row],[Total/EV]]&lt;Table2[[#This Row],[Total/V]],"UNDER","OVER")</f>
        <v>OVER</v>
      </c>
      <c r="AI852" s="26">
        <f>Table2[[#This Row],[SRS/Real]]-Table2[[#This Row],[Spread/V]]</f>
        <v>0</v>
      </c>
      <c r="AJ852" s="2">
        <f>Table2[[#This Row],[EV/Real]]-Table2[[#This Row],[Spread/V]]</f>
        <v>0</v>
      </c>
      <c r="AK852" s="2">
        <f>Table2[[#This Row],[SRS/Diff]]-Table2[[#This Row],[EV/Diff]]</f>
        <v>0</v>
      </c>
      <c r="AL852" s="18">
        <f>Table2[[#This Row],[SRS]]-Table2[[#This Row],[Spread]]</f>
        <v>-2.308688524590166</v>
      </c>
      <c r="AM852" s="21">
        <f>Table2[[#This Row],[(A) Err]]^2</f>
        <v>5.3300427035743176</v>
      </c>
      <c r="AN852" s="6">
        <f>Table2[[#This Row],[EV]]-Table2[[#This Row],[Spread]]</f>
        <v>-10.187496581130944</v>
      </c>
      <c r="AO852" s="1">
        <f>Table2[[#This Row],[EV Err]]^2</f>
        <v>103.78508659055467</v>
      </c>
      <c r="AP852" s="1"/>
    </row>
    <row r="853" spans="1:42" x14ac:dyDescent="0.25">
      <c r="A853" s="34">
        <v>42789</v>
      </c>
      <c r="B853" t="s">
        <v>118</v>
      </c>
      <c r="C853" t="s">
        <v>121</v>
      </c>
      <c r="E853" s="21"/>
      <c r="G853" s="21"/>
      <c r="H853" s="7"/>
      <c r="I853" s="21"/>
      <c r="K853"/>
      <c r="L853" s="21">
        <f>(Table2[[#This Row],[H/Pace]]/100)*(VLOOKUP(Table2[[#This Row],[Home/Neutral]],home_lookup,8,FALSE)+VLOOKUP(Table2[[#This Row],[Home/Neutral]],OFR_lookup,2,FALSE)+VLOOKUP(Table2[[#This Row],[Visitor/Neutral]],def_diff_lookup,6,FALSE))</f>
        <v>110.45539838078238</v>
      </c>
      <c r="M853" s="21"/>
      <c r="N853" s="21">
        <f>(Table2[[#This Row],[A/Pace]]/100)*(VLOOKUP(Table2[[#This Row],[Visitor/Neutral]],OFR_lookup,2,FALSE)+VLOOKUP(Table2[[#This Row],[Home/Neutral]],def_diff_lookup,6,FALSE))</f>
        <v>109.86290266666667</v>
      </c>
      <c r="O853" s="21"/>
      <c r="P853" s="21"/>
      <c r="Q853">
        <f>VLOOKUP(Table2[[#This Row],[Home/Neutral]],pace_lookup,7,FALSE)</f>
        <v>100.4</v>
      </c>
      <c r="R853" s="5">
        <f>VLOOKUP(Table2[[#This Row],[Visitor/Neutral]],pace_lookup,7,FALSE)</f>
        <v>96.4</v>
      </c>
      <c r="S853" s="7"/>
      <c r="U853" s="15"/>
      <c r="W853" s="2">
        <f>-home-VLOOKUP(Table2[[#This Row],[Home/Neutral]],rtg_vlookup,4,FALSE)+VLOOKUP(Table2[[#This Row],[Visitor/Neutral]],rtg_vlookup,4,FALSE)</f>
        <v>-1.4686885245901653</v>
      </c>
      <c r="X853" s="15"/>
      <c r="Y853" s="2"/>
      <c r="Z853" s="2">
        <f>Table2[[#This Row],[A/EV]]-Table2[[#This Row],[H/EV]]</f>
        <v>-0.59249571411571367</v>
      </c>
      <c r="AA853" s="29"/>
      <c r="AB853" s="30"/>
      <c r="AC853" s="30"/>
      <c r="AD853" s="30"/>
      <c r="AE853" s="30"/>
      <c r="AF853" s="7" t="b">
        <f>IF(VLOOKUP(Table2[[#This Row],[Home/Neutral]],division_lookup,9,FALSE)=VLOOKUP(Table2[[#This Row],[Visitor/Neutral]],division_lookup,9,FALSE),TRUE,FALSE)</f>
        <v>1</v>
      </c>
      <c r="AG853" s="15" t="str">
        <f>VLOOKUP(Table2[[#This Row],[Home/Neutral]],division_lookup,9,FALSE)</f>
        <v>P</v>
      </c>
      <c r="AH853" s="15" t="str">
        <f>IF(Table2[[#This Row],[Total/EV]]&lt;Table2[[#This Row],[Total/V]],"UNDER","OVER")</f>
        <v>OVER</v>
      </c>
      <c r="AI853" s="26">
        <f>Table2[[#This Row],[SRS/Real]]-Table2[[#This Row],[Spread/V]]</f>
        <v>0</v>
      </c>
      <c r="AJ853" s="2">
        <f>Table2[[#This Row],[EV/Real]]-Table2[[#This Row],[Spread/V]]</f>
        <v>0</v>
      </c>
      <c r="AK853" s="2">
        <f>Table2[[#This Row],[SRS/Diff]]-Table2[[#This Row],[EV/Diff]]</f>
        <v>0</v>
      </c>
      <c r="AL853" s="18">
        <f>Table2[[#This Row],[SRS]]-Table2[[#This Row],[Spread]]</f>
        <v>-1.4686885245901653</v>
      </c>
      <c r="AM853" s="21">
        <f>Table2[[#This Row],[(A) Err]]^2</f>
        <v>2.1570459822628365</v>
      </c>
      <c r="AN853" s="6">
        <f>Table2[[#This Row],[EV]]-Table2[[#This Row],[Spread]]</f>
        <v>-0.59249571411571367</v>
      </c>
      <c r="AO853" s="1">
        <f>Table2[[#This Row],[EV Err]]^2</f>
        <v>0.35105117124548951</v>
      </c>
      <c r="AP853" s="1"/>
    </row>
    <row r="854" spans="1:42" x14ac:dyDescent="0.25">
      <c r="A854" s="34">
        <v>42789</v>
      </c>
      <c r="B854" t="s">
        <v>127</v>
      </c>
      <c r="C854" t="s">
        <v>119</v>
      </c>
      <c r="E854" s="21"/>
      <c r="G854" s="21"/>
      <c r="H854" s="7"/>
      <c r="I854" s="21"/>
      <c r="K854"/>
      <c r="L854" s="21">
        <f>(Table2[[#This Row],[H/Pace]]/100)*(VLOOKUP(Table2[[#This Row],[Home/Neutral]],home_lookup,8,FALSE)+VLOOKUP(Table2[[#This Row],[Home/Neutral]],OFR_lookup,2,FALSE)+VLOOKUP(Table2[[#This Row],[Visitor/Neutral]],def_diff_lookup,6,FALSE))</f>
        <v>105.38046493743049</v>
      </c>
      <c r="M854" s="21"/>
      <c r="N854" s="21">
        <f>(Table2[[#This Row],[A/Pace]]/100)*(VLOOKUP(Table2[[#This Row],[Visitor/Neutral]],OFR_lookup,2,FALSE)+VLOOKUP(Table2[[#This Row],[Home/Neutral]],def_diff_lookup,6,FALSE))</f>
        <v>108.291241</v>
      </c>
      <c r="O854" s="21"/>
      <c r="P854" s="21"/>
      <c r="Q854">
        <f>VLOOKUP(Table2[[#This Row],[Home/Neutral]],pace_lookup,7,FALSE)</f>
        <v>99.3</v>
      </c>
      <c r="R854" s="5">
        <f>VLOOKUP(Table2[[#This Row],[Visitor/Neutral]],pace_lookup,7,FALSE)</f>
        <v>96.9</v>
      </c>
      <c r="S854" s="7"/>
      <c r="U854" s="15"/>
      <c r="W854" s="2">
        <f>-home-VLOOKUP(Table2[[#This Row],[Home/Neutral]],rtg_vlookup,4,FALSE)+VLOOKUP(Table2[[#This Row],[Visitor/Neutral]],rtg_vlookup,4,FALSE)</f>
        <v>3.5613114754098345</v>
      </c>
      <c r="X854" s="15"/>
      <c r="Y854" s="2"/>
      <c r="Z854" s="2">
        <f>Table2[[#This Row],[A/EV]]-Table2[[#This Row],[H/EV]]</f>
        <v>2.9107760625695107</v>
      </c>
      <c r="AA854" s="29"/>
      <c r="AB854" s="30"/>
      <c r="AC854" s="30"/>
      <c r="AD854" s="30"/>
      <c r="AE854" s="30"/>
      <c r="AF854" s="7" t="b">
        <f>IF(VLOOKUP(Table2[[#This Row],[Home/Neutral]],division_lookup,9,FALSE)=VLOOKUP(Table2[[#This Row],[Visitor/Neutral]],division_lookup,9,FALSE),TRUE,FALSE)</f>
        <v>1</v>
      </c>
      <c r="AG854" s="15" t="str">
        <f>VLOOKUP(Table2[[#This Row],[Home/Neutral]],division_lookup,9,FALSE)</f>
        <v>SW</v>
      </c>
      <c r="AH854" s="15" t="str">
        <f>IF(Table2[[#This Row],[Total/EV]]&lt;Table2[[#This Row],[Total/V]],"UNDER","OVER")</f>
        <v>OVER</v>
      </c>
      <c r="AI854" s="26">
        <f>Table2[[#This Row],[SRS/Real]]-Table2[[#This Row],[Spread/V]]</f>
        <v>0</v>
      </c>
      <c r="AJ854" s="2">
        <f>Table2[[#This Row],[EV/Real]]-Table2[[#This Row],[Spread/V]]</f>
        <v>0</v>
      </c>
      <c r="AK854" s="2">
        <f>Table2[[#This Row],[SRS/Diff]]-Table2[[#This Row],[EV/Diff]]</f>
        <v>0</v>
      </c>
      <c r="AL854" s="18">
        <f>Table2[[#This Row],[SRS]]-Table2[[#This Row],[Spread]]</f>
        <v>3.5613114754098345</v>
      </c>
      <c r="AM854" s="21">
        <f>Table2[[#This Row],[(A) Err]]^2</f>
        <v>12.682939424885772</v>
      </c>
      <c r="AN854" s="6">
        <f>Table2[[#This Row],[EV]]-Table2[[#This Row],[Spread]]</f>
        <v>2.9107760625695107</v>
      </c>
      <c r="AO854" s="1">
        <f>Table2[[#This Row],[EV Err]]^2</f>
        <v>8.4726172864276634</v>
      </c>
      <c r="AP854" s="1"/>
    </row>
    <row r="855" spans="1:42" x14ac:dyDescent="0.25">
      <c r="A855" s="34">
        <v>42789</v>
      </c>
      <c r="B855" t="s">
        <v>130</v>
      </c>
      <c r="C855" t="s">
        <v>132</v>
      </c>
      <c r="E855" s="21"/>
      <c r="G855" s="21"/>
      <c r="H855" s="7"/>
      <c r="I855" s="21"/>
      <c r="K855"/>
      <c r="L855" s="21">
        <f>(Table2[[#This Row],[H/Pace]]/100)*(VLOOKUP(Table2[[#This Row],[Home/Neutral]],home_lookup,8,FALSE)+VLOOKUP(Table2[[#This Row],[Home/Neutral]],OFR_lookup,2,FALSE)+VLOOKUP(Table2[[#This Row],[Visitor/Neutral]],def_diff_lookup,6,FALSE))</f>
        <v>101.6876249671094</v>
      </c>
      <c r="M855" s="21"/>
      <c r="N855" s="21">
        <f>(Table2[[#This Row],[A/Pace]]/100)*(VLOOKUP(Table2[[#This Row],[Visitor/Neutral]],OFR_lookup,2,FALSE)+VLOOKUP(Table2[[#This Row],[Home/Neutral]],def_diff_lookup,6,FALSE))</f>
        <v>108.23111866666666</v>
      </c>
      <c r="O855" s="21"/>
      <c r="P855" s="21"/>
      <c r="Q855">
        <f>VLOOKUP(Table2[[#This Row],[Home/Neutral]],pace_lookup,7,FALSE)</f>
        <v>94.2</v>
      </c>
      <c r="R855" s="5">
        <f>VLOOKUP(Table2[[#This Row],[Visitor/Neutral]],pace_lookup,7,FALSE)</f>
        <v>98.8</v>
      </c>
      <c r="S855" s="7"/>
      <c r="U855" s="15"/>
      <c r="W855" s="2">
        <f>-home-VLOOKUP(Table2[[#This Row],[Home/Neutral]],rtg_vlookup,4,FALSE)+VLOOKUP(Table2[[#This Row],[Visitor/Neutral]],rtg_vlookup,4,FALSE)</f>
        <v>3.411311475409835</v>
      </c>
      <c r="X855" s="15"/>
      <c r="Y855" s="2"/>
      <c r="Z855" s="2">
        <f>Table2[[#This Row],[A/EV]]-Table2[[#This Row],[H/EV]]</f>
        <v>6.5434936995572599</v>
      </c>
      <c r="AA855" s="29"/>
      <c r="AB855" s="30"/>
      <c r="AC855" s="30"/>
      <c r="AD855" s="30"/>
      <c r="AE855" s="30"/>
      <c r="AF855" s="7" t="b">
        <f>IF(VLOOKUP(Table2[[#This Row],[Home/Neutral]],division_lookup,9,FALSE)=VLOOKUP(Table2[[#This Row],[Visitor/Neutral]],division_lookup,9,FALSE),TRUE,FALSE)</f>
        <v>0</v>
      </c>
      <c r="AG855" s="15" t="str">
        <f>VLOOKUP(Table2[[#This Row],[Home/Neutral]],division_lookup,9,FALSE)</f>
        <v>SE</v>
      </c>
      <c r="AH855" s="15" t="str">
        <f>IF(Table2[[#This Row],[Total/EV]]&lt;Table2[[#This Row],[Total/V]],"UNDER","OVER")</f>
        <v>OVER</v>
      </c>
      <c r="AI855" s="26">
        <f>Table2[[#This Row],[SRS/Real]]-Table2[[#This Row],[Spread/V]]</f>
        <v>0</v>
      </c>
      <c r="AJ855" s="2">
        <f>Table2[[#This Row],[EV/Real]]-Table2[[#This Row],[Spread/V]]</f>
        <v>0</v>
      </c>
      <c r="AK855" s="2">
        <f>Table2[[#This Row],[SRS/Diff]]-Table2[[#This Row],[EV/Diff]]</f>
        <v>0</v>
      </c>
      <c r="AL855" s="18">
        <f>Table2[[#This Row],[SRS]]-Table2[[#This Row],[Spread]]</f>
        <v>3.411311475409835</v>
      </c>
      <c r="AM855" s="21">
        <f>Table2[[#This Row],[(A) Err]]^2</f>
        <v>11.637045982262826</v>
      </c>
      <c r="AN855" s="6">
        <f>Table2[[#This Row],[EV]]-Table2[[#This Row],[Spread]]</f>
        <v>6.5434936995572599</v>
      </c>
      <c r="AO855" s="1">
        <f>Table2[[#This Row],[EV Err]]^2</f>
        <v>42.817309796145558</v>
      </c>
      <c r="AP855" s="1"/>
    </row>
    <row r="856" spans="1:42" x14ac:dyDescent="0.25">
      <c r="A856" s="34">
        <v>42789</v>
      </c>
      <c r="B856" t="s">
        <v>133</v>
      </c>
      <c r="C856" t="s">
        <v>116</v>
      </c>
      <c r="E856" s="21"/>
      <c r="G856" s="21"/>
      <c r="H856" s="7"/>
      <c r="I856" s="21"/>
      <c r="K856"/>
      <c r="L856" s="21">
        <f>(Table2[[#This Row],[H/Pace]]/100)*(VLOOKUP(Table2[[#This Row],[Home/Neutral]],home_lookup,8,FALSE)+VLOOKUP(Table2[[#This Row],[Home/Neutral]],OFR_lookup,2,FALSE)+VLOOKUP(Table2[[#This Row],[Visitor/Neutral]],def_diff_lookup,6,FALSE))</f>
        <v>108.28690748279979</v>
      </c>
      <c r="M856" s="21"/>
      <c r="N856" s="21">
        <f>(Table2[[#This Row],[A/Pace]]/100)*(VLOOKUP(Table2[[#This Row],[Visitor/Neutral]],OFR_lookup,2,FALSE)+VLOOKUP(Table2[[#This Row],[Home/Neutral]],def_diff_lookup,6,FALSE))</f>
        <v>108.43092566666667</v>
      </c>
      <c r="O856" s="21"/>
      <c r="P856" s="21"/>
      <c r="Q856">
        <f>VLOOKUP(Table2[[#This Row],[Home/Neutral]],pace_lookup,7,FALSE)</f>
        <v>94.2</v>
      </c>
      <c r="R856" s="5">
        <f>VLOOKUP(Table2[[#This Row],[Visitor/Neutral]],pace_lookup,7,FALSE)</f>
        <v>99.1</v>
      </c>
      <c r="S856" s="7"/>
      <c r="U856" s="15"/>
      <c r="W856" s="2">
        <f>-home-VLOOKUP(Table2[[#This Row],[Home/Neutral]],rtg_vlookup,4,FALSE)+VLOOKUP(Table2[[#This Row],[Visitor/Neutral]],rtg_vlookup,4,FALSE)</f>
        <v>-1.5986885245901656</v>
      </c>
      <c r="X856" s="15"/>
      <c r="Y856" s="2"/>
      <c r="Z856" s="2">
        <f>Table2[[#This Row],[A/EV]]-Table2[[#This Row],[H/EV]]</f>
        <v>0.14401818386687637</v>
      </c>
      <c r="AA856" s="29"/>
      <c r="AB856" s="30"/>
      <c r="AC856" s="30"/>
      <c r="AD856" s="30"/>
      <c r="AE856" s="30"/>
      <c r="AF856" s="7" t="b">
        <f>IF(VLOOKUP(Table2[[#This Row],[Home/Neutral]],division_lookup,9,FALSE)=VLOOKUP(Table2[[#This Row],[Visitor/Neutral]],division_lookup,9,FALSE),TRUE,FALSE)</f>
        <v>0</v>
      </c>
      <c r="AG856" s="15" t="str">
        <f>VLOOKUP(Table2[[#This Row],[Home/Neutral]],division_lookup,9,FALSE)</f>
        <v>P</v>
      </c>
      <c r="AH856" s="15" t="str">
        <f>IF(Table2[[#This Row],[Total/EV]]&lt;Table2[[#This Row],[Total/V]],"UNDER","OVER")</f>
        <v>OVER</v>
      </c>
      <c r="AI856" s="26">
        <f>Table2[[#This Row],[SRS/Real]]-Table2[[#This Row],[Spread/V]]</f>
        <v>0</v>
      </c>
      <c r="AJ856" s="2">
        <f>Table2[[#This Row],[EV/Real]]-Table2[[#This Row],[Spread/V]]</f>
        <v>0</v>
      </c>
      <c r="AK856" s="2">
        <f>Table2[[#This Row],[SRS/Diff]]-Table2[[#This Row],[EV/Diff]]</f>
        <v>0</v>
      </c>
      <c r="AL856" s="18">
        <f>Table2[[#This Row],[SRS]]-Table2[[#This Row],[Spread]]</f>
        <v>-1.5986885245901656</v>
      </c>
      <c r="AM856" s="21">
        <f>Table2[[#This Row],[(A) Err]]^2</f>
        <v>2.5558049986562805</v>
      </c>
      <c r="AN856" s="6">
        <f>Table2[[#This Row],[EV]]-Table2[[#This Row],[Spread]]</f>
        <v>0.14401818386687637</v>
      </c>
      <c r="AO856" s="1">
        <f>Table2[[#This Row],[EV Err]]^2</f>
        <v>2.0741237284313409E-2</v>
      </c>
      <c r="AP856" s="1"/>
    </row>
    <row r="857" spans="1:42" x14ac:dyDescent="0.25">
      <c r="A857" s="34">
        <v>42790</v>
      </c>
      <c r="B857" t="s">
        <v>109</v>
      </c>
      <c r="C857" t="s">
        <v>124</v>
      </c>
      <c r="E857" s="21"/>
      <c r="G857" s="21"/>
      <c r="H857" s="7"/>
      <c r="I857" s="21"/>
      <c r="K857"/>
      <c r="L857" s="21">
        <f>(Table2[[#This Row],[H/Pace]]/100)*(VLOOKUP(Table2[[#This Row],[Home/Neutral]],home_lookup,8,FALSE)+VLOOKUP(Table2[[#This Row],[Home/Neutral]],OFR_lookup,2,FALSE)+VLOOKUP(Table2[[#This Row],[Visitor/Neutral]],def_diff_lookup,6,FALSE))</f>
        <v>98.21312660728637</v>
      </c>
      <c r="M857" s="21"/>
      <c r="N857" s="21">
        <f>(Table2[[#This Row],[A/Pace]]/100)*(VLOOKUP(Table2[[#This Row],[Visitor/Neutral]],OFR_lookup,2,FALSE)+VLOOKUP(Table2[[#This Row],[Home/Neutral]],def_diff_lookup,6,FALSE))</f>
        <v>90.30399966666667</v>
      </c>
      <c r="O857" s="21"/>
      <c r="P857" s="21"/>
      <c r="Q857">
        <f>VLOOKUP(Table2[[#This Row],[Home/Neutral]],pace_lookup,7,FALSE)</f>
        <v>99.2</v>
      </c>
      <c r="R857" s="5">
        <f>VLOOKUP(Table2[[#This Row],[Visitor/Neutral]],pace_lookup,7,FALSE)</f>
        <v>93.7</v>
      </c>
      <c r="S857" s="7"/>
      <c r="U857" s="15"/>
      <c r="W857" s="2">
        <f>-home-VLOOKUP(Table2[[#This Row],[Home/Neutral]],rtg_vlookup,4,FALSE)+VLOOKUP(Table2[[#This Row],[Visitor/Neutral]],rtg_vlookup,4,FALSE)</f>
        <v>-6.2586885245901662</v>
      </c>
      <c r="X857" s="15"/>
      <c r="Y857" s="2"/>
      <c r="Z857" s="2">
        <f>Table2[[#This Row],[A/EV]]-Table2[[#This Row],[H/EV]]</f>
        <v>-7.9091269406197</v>
      </c>
      <c r="AA857" s="29"/>
      <c r="AB857" s="30"/>
      <c r="AC857" s="30"/>
      <c r="AD857" s="30"/>
      <c r="AE857" s="30"/>
      <c r="AF857" s="7" t="b">
        <f>IF(VLOOKUP(Table2[[#This Row],[Home/Neutral]],division_lookup,9,FALSE)=VLOOKUP(Table2[[#This Row],[Visitor/Neutral]],division_lookup,9,FALSE),TRUE,FALSE)</f>
        <v>1</v>
      </c>
      <c r="AG857" s="15" t="str">
        <f>VLOOKUP(Table2[[#This Row],[Home/Neutral]],division_lookup,9,FALSE)</f>
        <v>SE</v>
      </c>
      <c r="AH857" s="15" t="str">
        <f>IF(Table2[[#This Row],[Total/EV]]&lt;Table2[[#This Row],[Total/V]],"UNDER","OVER")</f>
        <v>OVER</v>
      </c>
      <c r="AI857" s="26">
        <f>Table2[[#This Row],[SRS/Real]]-Table2[[#This Row],[Spread/V]]</f>
        <v>0</v>
      </c>
      <c r="AJ857" s="2">
        <f>Table2[[#This Row],[EV/Real]]-Table2[[#This Row],[Spread/V]]</f>
        <v>0</v>
      </c>
      <c r="AK857" s="2">
        <f>Table2[[#This Row],[SRS/Diff]]-Table2[[#This Row],[EV/Diff]]</f>
        <v>0</v>
      </c>
      <c r="AL857" s="18">
        <f>Table2[[#This Row],[SRS]]-Table2[[#This Row],[Spread]]</f>
        <v>-6.2586885245901662</v>
      </c>
      <c r="AM857" s="21">
        <f>Table2[[#This Row],[(A) Err]]^2</f>
        <v>39.171182047836631</v>
      </c>
      <c r="AN857" s="6">
        <f>Table2[[#This Row],[EV]]-Table2[[#This Row],[Spread]]</f>
        <v>-7.9091269406197</v>
      </c>
      <c r="AO857" s="1">
        <f>Table2[[#This Row],[EV Err]]^2</f>
        <v>62.554288962836338</v>
      </c>
      <c r="AP857" s="1"/>
    </row>
    <row r="858" spans="1:42" x14ac:dyDescent="0.25">
      <c r="A858" s="34">
        <v>42790</v>
      </c>
      <c r="B858" t="s">
        <v>113</v>
      </c>
      <c r="C858" t="s">
        <v>131</v>
      </c>
      <c r="E858" s="21"/>
      <c r="G858" s="21"/>
      <c r="H858" s="7"/>
      <c r="I858" s="21"/>
      <c r="K858"/>
      <c r="L858" s="21">
        <f>(Table2[[#This Row],[H/Pace]]/100)*(VLOOKUP(Table2[[#This Row],[Home/Neutral]],home_lookup,8,FALSE)+VLOOKUP(Table2[[#This Row],[Home/Neutral]],OFR_lookup,2,FALSE)+VLOOKUP(Table2[[#This Row],[Visitor/Neutral]],def_diff_lookup,6,FALSE))</f>
        <v>110.21260388016279</v>
      </c>
      <c r="M858" s="21"/>
      <c r="N858" s="21">
        <f>(Table2[[#This Row],[A/Pace]]/100)*(VLOOKUP(Table2[[#This Row],[Visitor/Neutral]],OFR_lookup,2,FALSE)+VLOOKUP(Table2[[#This Row],[Home/Neutral]],def_diff_lookup,6,FALSE))</f>
        <v>102.671913</v>
      </c>
      <c r="O858" s="21"/>
      <c r="P858" s="21"/>
      <c r="Q858">
        <f>VLOOKUP(Table2[[#This Row],[Home/Neutral]],pace_lookup,7,FALSE)</f>
        <v>95.1</v>
      </c>
      <c r="R858" s="5">
        <f>VLOOKUP(Table2[[#This Row],[Visitor/Neutral]],pace_lookup,7,FALSE)</f>
        <v>101.7</v>
      </c>
      <c r="S858" s="7"/>
      <c r="U858" s="15"/>
      <c r="W858" s="2">
        <f>-home-VLOOKUP(Table2[[#This Row],[Home/Neutral]],rtg_vlookup,4,FALSE)+VLOOKUP(Table2[[#This Row],[Visitor/Neutral]],rtg_vlookup,4,FALSE)</f>
        <v>-13.808688524590167</v>
      </c>
      <c r="X858" s="15"/>
      <c r="Y858" s="2"/>
      <c r="Z858" s="2">
        <f>Table2[[#This Row],[A/EV]]-Table2[[#This Row],[H/EV]]</f>
        <v>-7.540690880162785</v>
      </c>
      <c r="AA858" s="29"/>
      <c r="AB858" s="30"/>
      <c r="AC858" s="30"/>
      <c r="AD858" s="30"/>
      <c r="AE858" s="30"/>
      <c r="AF858" s="7" t="b">
        <f>IF(VLOOKUP(Table2[[#This Row],[Home/Neutral]],division_lookup,9,FALSE)=VLOOKUP(Table2[[#This Row],[Visitor/Neutral]],division_lookup,9,FALSE),TRUE,FALSE)</f>
        <v>0</v>
      </c>
      <c r="AG858" s="15" t="str">
        <f>VLOOKUP(Table2[[#This Row],[Home/Neutral]],division_lookup,9,FALSE)</f>
        <v>C</v>
      </c>
      <c r="AH858" s="15" t="str">
        <f>IF(Table2[[#This Row],[Total/EV]]&lt;Table2[[#This Row],[Total/V]],"UNDER","OVER")</f>
        <v>OVER</v>
      </c>
      <c r="AI858" s="26">
        <f>Table2[[#This Row],[SRS/Real]]-Table2[[#This Row],[Spread/V]]</f>
        <v>0</v>
      </c>
      <c r="AJ858" s="2">
        <f>Table2[[#This Row],[EV/Real]]-Table2[[#This Row],[Spread/V]]</f>
        <v>0</v>
      </c>
      <c r="AK858" s="2">
        <f>Table2[[#This Row],[SRS/Diff]]-Table2[[#This Row],[EV/Diff]]</f>
        <v>0</v>
      </c>
      <c r="AL858" s="18">
        <f>Table2[[#This Row],[SRS]]-Table2[[#This Row],[Spread]]</f>
        <v>-13.808688524590167</v>
      </c>
      <c r="AM858" s="21">
        <f>Table2[[#This Row],[(A) Err]]^2</f>
        <v>190.67987876914816</v>
      </c>
      <c r="AN858" s="6">
        <f>Table2[[#This Row],[EV]]-Table2[[#This Row],[Spread]]</f>
        <v>-7.540690880162785</v>
      </c>
      <c r="AO858" s="1">
        <f>Table2[[#This Row],[EV Err]]^2</f>
        <v>56.862018950170196</v>
      </c>
      <c r="AP858" s="1"/>
    </row>
    <row r="859" spans="1:42" x14ac:dyDescent="0.25">
      <c r="A859" s="34">
        <v>42790</v>
      </c>
      <c r="B859" t="s">
        <v>116</v>
      </c>
      <c r="C859" t="s">
        <v>111</v>
      </c>
      <c r="E859" s="21"/>
      <c r="G859" s="21"/>
      <c r="H859" s="7"/>
      <c r="I859" s="21"/>
      <c r="K859"/>
      <c r="L859" s="21">
        <f>(Table2[[#This Row],[H/Pace]]/100)*(VLOOKUP(Table2[[#This Row],[Home/Neutral]],home_lookup,8,FALSE)+VLOOKUP(Table2[[#This Row],[Home/Neutral]],OFR_lookup,2,FALSE)+VLOOKUP(Table2[[#This Row],[Visitor/Neutral]],def_diff_lookup,6,FALSE))</f>
        <v>109.16708470161863</v>
      </c>
      <c r="M859" s="21"/>
      <c r="N859" s="21">
        <f>(Table2[[#This Row],[A/Pace]]/100)*(VLOOKUP(Table2[[#This Row],[Visitor/Neutral]],OFR_lookup,2,FALSE)+VLOOKUP(Table2[[#This Row],[Home/Neutral]],def_diff_lookup,6,FALSE))</f>
        <v>104.47417999999999</v>
      </c>
      <c r="O859" s="21"/>
      <c r="P859" s="21"/>
      <c r="Q859">
        <f>VLOOKUP(Table2[[#This Row],[Home/Neutral]],pace_lookup,7,FALSE)</f>
        <v>99.1</v>
      </c>
      <c r="R859" s="5">
        <f>VLOOKUP(Table2[[#This Row],[Visitor/Neutral]],pace_lookup,7,FALSE)</f>
        <v>102</v>
      </c>
      <c r="S859" s="7"/>
      <c r="U859" s="15"/>
      <c r="W859" s="2">
        <f>-home-VLOOKUP(Table2[[#This Row],[Home/Neutral]],rtg_vlookup,4,FALSE)+VLOOKUP(Table2[[#This Row],[Visitor/Neutral]],rtg_vlookup,4,FALSE)</f>
        <v>-10.818688524590165</v>
      </c>
      <c r="X859" s="15"/>
      <c r="Y859" s="2"/>
      <c r="Z859" s="2">
        <f>Table2[[#This Row],[A/EV]]-Table2[[#This Row],[H/EV]]</f>
        <v>-4.6929047016186445</v>
      </c>
      <c r="AA859" s="29"/>
      <c r="AB859" s="30"/>
      <c r="AC859" s="30"/>
      <c r="AD859" s="30"/>
      <c r="AE859" s="30"/>
      <c r="AF859" s="7" t="b">
        <f>IF(VLOOKUP(Table2[[#This Row],[Home/Neutral]],division_lookup,9,FALSE)=VLOOKUP(Table2[[#This Row],[Visitor/Neutral]],division_lookup,9,FALSE),TRUE,FALSE)</f>
        <v>0</v>
      </c>
      <c r="AG859" s="15" t="str">
        <f>VLOOKUP(Table2[[#This Row],[Home/Neutral]],division_lookup,9,FALSE)</f>
        <v>NW</v>
      </c>
      <c r="AH859" s="15" t="str">
        <f>IF(Table2[[#This Row],[Total/EV]]&lt;Table2[[#This Row],[Total/V]],"UNDER","OVER")</f>
        <v>OVER</v>
      </c>
      <c r="AI859" s="26">
        <f>Table2[[#This Row],[SRS/Real]]-Table2[[#This Row],[Spread/V]]</f>
        <v>0</v>
      </c>
      <c r="AJ859" s="2">
        <f>Table2[[#This Row],[EV/Real]]-Table2[[#This Row],[Spread/V]]</f>
        <v>0</v>
      </c>
      <c r="AK859" s="2">
        <f>Table2[[#This Row],[SRS/Diff]]-Table2[[#This Row],[EV/Diff]]</f>
        <v>0</v>
      </c>
      <c r="AL859" s="18">
        <f>Table2[[#This Row],[SRS]]-Table2[[#This Row],[Spread]]</f>
        <v>-10.818688524590165</v>
      </c>
      <c r="AM859" s="21">
        <f>Table2[[#This Row],[(A) Err]]^2</f>
        <v>117.04402139209893</v>
      </c>
      <c r="AN859" s="6">
        <f>Table2[[#This Row],[EV]]-Table2[[#This Row],[Spread]]</f>
        <v>-4.6929047016186445</v>
      </c>
      <c r="AO859" s="1">
        <f>Table2[[#This Row],[EV Err]]^2</f>
        <v>22.023354538474379</v>
      </c>
      <c r="AP859" s="1"/>
    </row>
    <row r="860" spans="1:42" x14ac:dyDescent="0.25">
      <c r="A860" s="34">
        <v>42790</v>
      </c>
      <c r="B860" t="s">
        <v>120</v>
      </c>
      <c r="C860" t="s">
        <v>123</v>
      </c>
      <c r="E860" s="21"/>
      <c r="G860" s="21"/>
      <c r="H860" s="7"/>
      <c r="I860" s="21"/>
      <c r="K860"/>
      <c r="L860" s="21">
        <f>(Table2[[#This Row],[H/Pace]]/100)*(VLOOKUP(Table2[[#This Row],[Home/Neutral]],home_lookup,8,FALSE)+VLOOKUP(Table2[[#This Row],[Home/Neutral]],OFR_lookup,2,FALSE)+VLOOKUP(Table2[[#This Row],[Visitor/Neutral]],def_diff_lookup,6,FALSE))</f>
        <v>102.49608542930861</v>
      </c>
      <c r="M860" s="21"/>
      <c r="N860" s="21">
        <f>(Table2[[#This Row],[A/Pace]]/100)*(VLOOKUP(Table2[[#This Row],[Visitor/Neutral]],OFR_lookup,2,FALSE)+VLOOKUP(Table2[[#This Row],[Home/Neutral]],def_diff_lookup,6,FALSE))</f>
        <v>97.638991666666655</v>
      </c>
      <c r="O860" s="21"/>
      <c r="P860" s="21"/>
      <c r="Q860">
        <f>VLOOKUP(Table2[[#This Row],[Home/Neutral]],pace_lookup,7,FALSE)</f>
        <v>98.3</v>
      </c>
      <c r="R860" s="5">
        <f>VLOOKUP(Table2[[#This Row],[Visitor/Neutral]],pace_lookup,7,FALSE)</f>
        <v>92.5</v>
      </c>
      <c r="S860" s="7"/>
      <c r="U860" s="15"/>
      <c r="W860" s="2">
        <f>-home-VLOOKUP(Table2[[#This Row],[Home/Neutral]],rtg_vlookup,4,FALSE)+VLOOKUP(Table2[[#This Row],[Visitor/Neutral]],rtg_vlookup,4,FALSE)</f>
        <v>2.6013114754098345</v>
      </c>
      <c r="X860" s="15"/>
      <c r="Y860" s="2"/>
      <c r="Z860" s="2">
        <f>Table2[[#This Row],[A/EV]]-Table2[[#This Row],[H/EV]]</f>
        <v>-4.8570937626419521</v>
      </c>
      <c r="AA860" s="29"/>
      <c r="AB860" s="30"/>
      <c r="AC860" s="30"/>
      <c r="AD860" s="30"/>
      <c r="AE860" s="30"/>
      <c r="AF860" s="7" t="b">
        <f>IF(VLOOKUP(Table2[[#This Row],[Home/Neutral]],division_lookup,9,FALSE)=VLOOKUP(Table2[[#This Row],[Visitor/Neutral]],division_lookup,9,FALSE),TRUE,FALSE)</f>
        <v>0</v>
      </c>
      <c r="AG860" s="15" t="str">
        <f>VLOOKUP(Table2[[#This Row],[Home/Neutral]],division_lookup,9,FALSE)</f>
        <v>C</v>
      </c>
      <c r="AH860" s="15" t="str">
        <f>IF(Table2[[#This Row],[Total/EV]]&lt;Table2[[#This Row],[Total/V]],"UNDER","OVER")</f>
        <v>OVER</v>
      </c>
      <c r="AI860" s="26">
        <f>Table2[[#This Row],[SRS/Real]]-Table2[[#This Row],[Spread/V]]</f>
        <v>0</v>
      </c>
      <c r="AJ860" s="2">
        <f>Table2[[#This Row],[EV/Real]]-Table2[[#This Row],[Spread/V]]</f>
        <v>0</v>
      </c>
      <c r="AK860" s="2">
        <f>Table2[[#This Row],[SRS/Diff]]-Table2[[#This Row],[EV/Diff]]</f>
        <v>0</v>
      </c>
      <c r="AL860" s="18">
        <f>Table2[[#This Row],[SRS]]-Table2[[#This Row],[Spread]]</f>
        <v>2.6013114754098345</v>
      </c>
      <c r="AM860" s="21">
        <f>Table2[[#This Row],[(A) Err]]^2</f>
        <v>6.7668213920988904</v>
      </c>
      <c r="AN860" s="6">
        <f>Table2[[#This Row],[EV]]-Table2[[#This Row],[Spread]]</f>
        <v>-4.8570937626419521</v>
      </c>
      <c r="AO860" s="1">
        <f>Table2[[#This Row],[EV Err]]^2</f>
        <v>23.591359819095356</v>
      </c>
      <c r="AP860" s="1"/>
    </row>
    <row r="861" spans="1:42" x14ac:dyDescent="0.25">
      <c r="A861" s="34">
        <v>42790</v>
      </c>
      <c r="B861" t="s">
        <v>121</v>
      </c>
      <c r="C861" t="s">
        <v>134</v>
      </c>
      <c r="E861" s="21"/>
      <c r="G861" s="21"/>
      <c r="H861" s="7"/>
      <c r="I861" s="21"/>
      <c r="K861"/>
      <c r="L861" s="21">
        <f>(Table2[[#This Row],[H/Pace]]/100)*(VLOOKUP(Table2[[#This Row],[Home/Neutral]],home_lookup,8,FALSE)+VLOOKUP(Table2[[#This Row],[Home/Neutral]],OFR_lookup,2,FALSE)+VLOOKUP(Table2[[#This Row],[Visitor/Neutral]],def_diff_lookup,6,FALSE))</f>
        <v>112.56936060751254</v>
      </c>
      <c r="M861" s="21"/>
      <c r="N861" s="21">
        <f>(Table2[[#This Row],[A/Pace]]/100)*(VLOOKUP(Table2[[#This Row],[Visitor/Neutral]],OFR_lookup,2,FALSE)+VLOOKUP(Table2[[#This Row],[Home/Neutral]],def_diff_lookup,6,FALSE))</f>
        <v>101.25089266666667</v>
      </c>
      <c r="O861" s="21"/>
      <c r="P861" s="21"/>
      <c r="Q861">
        <f>VLOOKUP(Table2[[#This Row],[Home/Neutral]],pace_lookup,7,FALSE)</f>
        <v>96.4</v>
      </c>
      <c r="R861" s="5">
        <f>VLOOKUP(Table2[[#This Row],[Visitor/Neutral]],pace_lookup,7,FALSE)</f>
        <v>93.4</v>
      </c>
      <c r="S861" s="7"/>
      <c r="U861" s="15"/>
      <c r="W861" s="2">
        <f>-home-VLOOKUP(Table2[[#This Row],[Home/Neutral]],rtg_vlookup,4,FALSE)+VLOOKUP(Table2[[#This Row],[Visitor/Neutral]],rtg_vlookup,4,FALSE)</f>
        <v>-8.1186885245901657</v>
      </c>
      <c r="X861" s="15"/>
      <c r="Y861" s="2"/>
      <c r="Z861" s="2">
        <f>Table2[[#This Row],[A/EV]]-Table2[[#This Row],[H/EV]]</f>
        <v>-11.318467940845863</v>
      </c>
      <c r="AA861" s="29"/>
      <c r="AB861" s="30"/>
      <c r="AC861" s="30"/>
      <c r="AD861" s="30"/>
      <c r="AE861" s="30"/>
      <c r="AF861" s="7" t="b">
        <f>IF(VLOOKUP(Table2[[#This Row],[Home/Neutral]],division_lookup,9,FALSE)=VLOOKUP(Table2[[#This Row],[Visitor/Neutral]],division_lookup,9,FALSE),TRUE,FALSE)</f>
        <v>0</v>
      </c>
      <c r="AG861" s="15" t="str">
        <f>VLOOKUP(Table2[[#This Row],[Home/Neutral]],division_lookup,9,FALSE)</f>
        <v>P</v>
      </c>
      <c r="AH861" s="15" t="str">
        <f>IF(Table2[[#This Row],[Total/EV]]&lt;Table2[[#This Row],[Total/V]],"UNDER","OVER")</f>
        <v>OVER</v>
      </c>
      <c r="AI861" s="26">
        <f>Table2[[#This Row],[SRS/Real]]-Table2[[#This Row],[Spread/V]]</f>
        <v>0</v>
      </c>
      <c r="AJ861" s="2">
        <f>Table2[[#This Row],[EV/Real]]-Table2[[#This Row],[Spread/V]]</f>
        <v>0</v>
      </c>
      <c r="AK861" s="2">
        <f>Table2[[#This Row],[SRS/Diff]]-Table2[[#This Row],[EV/Diff]]</f>
        <v>0</v>
      </c>
      <c r="AL861" s="18">
        <f>Table2[[#This Row],[SRS]]-Table2[[#This Row],[Spread]]</f>
        <v>-8.1186885245901657</v>
      </c>
      <c r="AM861" s="21">
        <f>Table2[[#This Row],[(A) Err]]^2</f>
        <v>65.913103359312046</v>
      </c>
      <c r="AN861" s="6">
        <f>Table2[[#This Row],[EV]]-Table2[[#This Row],[Spread]]</f>
        <v>-11.318467940845863</v>
      </c>
      <c r="AO861" s="1">
        <f>Table2[[#This Row],[EV Err]]^2</f>
        <v>128.1077165279556</v>
      </c>
      <c r="AP861" s="1"/>
    </row>
    <row r="862" spans="1:42" x14ac:dyDescent="0.25">
      <c r="A862" s="34">
        <v>42790</v>
      </c>
      <c r="B862" t="s">
        <v>125</v>
      </c>
      <c r="C862" t="s">
        <v>136</v>
      </c>
      <c r="E862" s="21"/>
      <c r="G862" s="21"/>
      <c r="H862" s="7"/>
      <c r="I862" s="21"/>
      <c r="K862"/>
      <c r="L862" s="21">
        <f>(Table2[[#This Row],[H/Pace]]/100)*(VLOOKUP(Table2[[#This Row],[Home/Neutral]],home_lookup,8,FALSE)+VLOOKUP(Table2[[#This Row],[Home/Neutral]],OFR_lookup,2,FALSE)+VLOOKUP(Table2[[#This Row],[Visitor/Neutral]],def_diff_lookup,6,FALSE))</f>
        <v>104.18278550061908</v>
      </c>
      <c r="M862" s="21"/>
      <c r="N862" s="21">
        <f>(Table2[[#This Row],[A/Pace]]/100)*(VLOOKUP(Table2[[#This Row],[Visitor/Neutral]],OFR_lookup,2,FALSE)+VLOOKUP(Table2[[#This Row],[Home/Neutral]],def_diff_lookup,6,FALSE))</f>
        <v>99.264385000000004</v>
      </c>
      <c r="O862" s="21"/>
      <c r="P862" s="21"/>
      <c r="Q862">
        <f>VLOOKUP(Table2[[#This Row],[Home/Neutral]],pace_lookup,7,FALSE)</f>
        <v>96.1</v>
      </c>
      <c r="R862" s="5">
        <f>VLOOKUP(Table2[[#This Row],[Visitor/Neutral]],pace_lookup,7,FALSE)</f>
        <v>91.5</v>
      </c>
      <c r="S862" s="7"/>
      <c r="U862" s="15"/>
      <c r="W862" s="2">
        <f>-home-VLOOKUP(Table2[[#This Row],[Home/Neutral]],rtg_vlookup,4,FALSE)+VLOOKUP(Table2[[#This Row],[Visitor/Neutral]],rtg_vlookup,4,FALSE)</f>
        <v>3.9513114754098342</v>
      </c>
      <c r="X862" s="15"/>
      <c r="Y862" s="2"/>
      <c r="Z862" s="2">
        <f>Table2[[#This Row],[A/EV]]-Table2[[#This Row],[H/EV]]</f>
        <v>-4.9184005006190716</v>
      </c>
      <c r="AA862" s="29"/>
      <c r="AB862" s="30"/>
      <c r="AC862" s="30"/>
      <c r="AD862" s="30"/>
      <c r="AE862" s="30"/>
      <c r="AF862" s="7" t="b">
        <f>IF(VLOOKUP(Table2[[#This Row],[Home/Neutral]],division_lookup,9,FALSE)=VLOOKUP(Table2[[#This Row],[Visitor/Neutral]],division_lookup,9,FALSE),TRUE,FALSE)</f>
        <v>0</v>
      </c>
      <c r="AG862" s="15" t="str">
        <f>VLOOKUP(Table2[[#This Row],[Home/Neutral]],division_lookup,9,FALSE)</f>
        <v>C</v>
      </c>
      <c r="AH862" s="15" t="str">
        <f>IF(Table2[[#This Row],[Total/EV]]&lt;Table2[[#This Row],[Total/V]],"UNDER","OVER")</f>
        <v>OVER</v>
      </c>
      <c r="AI862" s="26">
        <f>Table2[[#This Row],[SRS/Real]]-Table2[[#This Row],[Spread/V]]</f>
        <v>0</v>
      </c>
      <c r="AJ862" s="2">
        <f>Table2[[#This Row],[EV/Real]]-Table2[[#This Row],[Spread/V]]</f>
        <v>0</v>
      </c>
      <c r="AK862" s="2">
        <f>Table2[[#This Row],[SRS/Diff]]-Table2[[#This Row],[EV/Diff]]</f>
        <v>0</v>
      </c>
      <c r="AL862" s="18">
        <f>Table2[[#This Row],[SRS]]-Table2[[#This Row],[Spread]]</f>
        <v>3.9513114754098342</v>
      </c>
      <c r="AM862" s="21">
        <f>Table2[[#This Row],[(A) Err]]^2</f>
        <v>15.61286237570544</v>
      </c>
      <c r="AN862" s="6">
        <f>Table2[[#This Row],[EV]]-Table2[[#This Row],[Spread]]</f>
        <v>-4.9184005006190716</v>
      </c>
      <c r="AO862" s="1">
        <f>Table2[[#This Row],[EV Err]]^2</f>
        <v>24.190663484489935</v>
      </c>
      <c r="AP862" s="1"/>
    </row>
    <row r="863" spans="1:42" x14ac:dyDescent="0.25">
      <c r="A863" s="34">
        <v>42790</v>
      </c>
      <c r="B863" t="s">
        <v>126</v>
      </c>
      <c r="C863" t="s">
        <v>115</v>
      </c>
      <c r="E863" s="21"/>
      <c r="G863" s="21"/>
      <c r="H863" s="7"/>
      <c r="I863" s="21"/>
      <c r="K863"/>
      <c r="L863" s="21">
        <f>(Table2[[#This Row],[H/Pace]]/100)*(VLOOKUP(Table2[[#This Row],[Home/Neutral]],home_lookup,8,FALSE)+VLOOKUP(Table2[[#This Row],[Home/Neutral]],OFR_lookup,2,FALSE)+VLOOKUP(Table2[[#This Row],[Visitor/Neutral]],def_diff_lookup,6,FALSE))</f>
        <v>114.23255777050787</v>
      </c>
      <c r="M863" s="21"/>
      <c r="N863" s="21">
        <f>(Table2[[#This Row],[A/Pace]]/100)*(VLOOKUP(Table2[[#This Row],[Visitor/Neutral]],OFR_lookup,2,FALSE)+VLOOKUP(Table2[[#This Row],[Home/Neutral]],def_diff_lookup,6,FALSE))</f>
        <v>93.183964333333336</v>
      </c>
      <c r="O863" s="21"/>
      <c r="P863" s="21"/>
      <c r="Q863">
        <f>VLOOKUP(Table2[[#This Row],[Home/Neutral]],pace_lookup,7,FALSE)</f>
        <v>95.7</v>
      </c>
      <c r="R863" s="5">
        <f>VLOOKUP(Table2[[#This Row],[Visitor/Neutral]],pace_lookup,7,FALSE)</f>
        <v>92.9</v>
      </c>
      <c r="S863" s="7"/>
      <c r="U863" s="15"/>
      <c r="W863" s="2">
        <f>-home-VLOOKUP(Table2[[#This Row],[Home/Neutral]],rtg_vlookup,4,FALSE)+VLOOKUP(Table2[[#This Row],[Visitor/Neutral]],rtg_vlookup,4,FALSE)</f>
        <v>-10.458688524590166</v>
      </c>
      <c r="X863" s="15"/>
      <c r="Y863" s="2"/>
      <c r="Z863" s="2">
        <f>Table2[[#This Row],[A/EV]]-Table2[[#This Row],[H/EV]]</f>
        <v>-21.048593437174532</v>
      </c>
      <c r="AA863" s="29"/>
      <c r="AB863" s="30"/>
      <c r="AC863" s="30"/>
      <c r="AD863" s="30"/>
      <c r="AE863" s="30"/>
      <c r="AF863" s="7" t="b">
        <f>IF(VLOOKUP(Table2[[#This Row],[Home/Neutral]],division_lookup,9,FALSE)=VLOOKUP(Table2[[#This Row],[Visitor/Neutral]],division_lookup,9,FALSE),TRUE,FALSE)</f>
        <v>0</v>
      </c>
      <c r="AG863" s="15" t="str">
        <f>VLOOKUP(Table2[[#This Row],[Home/Neutral]],division_lookup,9,FALSE)</f>
        <v>NW</v>
      </c>
      <c r="AH863" s="15" t="str">
        <f>IF(Table2[[#This Row],[Total/EV]]&lt;Table2[[#This Row],[Total/V]],"UNDER","OVER")</f>
        <v>OVER</v>
      </c>
      <c r="AI863" s="26">
        <f>Table2[[#This Row],[SRS/Real]]-Table2[[#This Row],[Spread/V]]</f>
        <v>0</v>
      </c>
      <c r="AJ863" s="2">
        <f>Table2[[#This Row],[EV/Real]]-Table2[[#This Row],[Spread/V]]</f>
        <v>0</v>
      </c>
      <c r="AK863" s="2">
        <f>Table2[[#This Row],[SRS/Diff]]-Table2[[#This Row],[EV/Diff]]</f>
        <v>0</v>
      </c>
      <c r="AL863" s="18">
        <f>Table2[[#This Row],[SRS]]-Table2[[#This Row],[Spread]]</f>
        <v>-10.458688524590166</v>
      </c>
      <c r="AM863" s="21">
        <f>Table2[[#This Row],[(A) Err]]^2</f>
        <v>109.38416565439401</v>
      </c>
      <c r="AN863" s="6">
        <f>Table2[[#This Row],[EV]]-Table2[[#This Row],[Spread]]</f>
        <v>-21.048593437174532</v>
      </c>
      <c r="AO863" s="1">
        <f>Table2[[#This Row],[EV Err]]^2</f>
        <v>443.04328568346676</v>
      </c>
      <c r="AP863" s="1"/>
    </row>
    <row r="864" spans="1:42" x14ac:dyDescent="0.25">
      <c r="A864" s="34">
        <v>42790</v>
      </c>
      <c r="B864" t="s">
        <v>129</v>
      </c>
      <c r="C864" t="s">
        <v>122</v>
      </c>
      <c r="E864" s="21"/>
      <c r="G864" s="21"/>
      <c r="H864" s="7"/>
      <c r="I864" s="21"/>
      <c r="K864"/>
      <c r="L864" s="21">
        <f>(Table2[[#This Row],[H/Pace]]/100)*(VLOOKUP(Table2[[#This Row],[Home/Neutral]],home_lookup,8,FALSE)+VLOOKUP(Table2[[#This Row],[Home/Neutral]],OFR_lookup,2,FALSE)+VLOOKUP(Table2[[#This Row],[Visitor/Neutral]],def_diff_lookup,6,FALSE))</f>
        <v>111.92570376890107</v>
      </c>
      <c r="M864" s="21"/>
      <c r="N864" s="21">
        <f>(Table2[[#This Row],[A/Pace]]/100)*(VLOOKUP(Table2[[#This Row],[Visitor/Neutral]],OFR_lookup,2,FALSE)+VLOOKUP(Table2[[#This Row],[Home/Neutral]],def_diff_lookup,6,FALSE))</f>
        <v>107.25975799999999</v>
      </c>
      <c r="O864" s="21"/>
      <c r="P864" s="21"/>
      <c r="Q864">
        <f>VLOOKUP(Table2[[#This Row],[Home/Neutral]],pace_lookup,7,FALSE)</f>
        <v>99</v>
      </c>
      <c r="R864" s="5">
        <f>VLOOKUP(Table2[[#This Row],[Visitor/Neutral]],pace_lookup,7,FALSE)</f>
        <v>100.2</v>
      </c>
      <c r="S864" s="7"/>
      <c r="U864" s="15"/>
      <c r="W864" s="2">
        <f>-home-VLOOKUP(Table2[[#This Row],[Home/Neutral]],rtg_vlookup,4,FALSE)+VLOOKUP(Table2[[#This Row],[Visitor/Neutral]],rtg_vlookup,4,FALSE)</f>
        <v>-6.5386885245901656</v>
      </c>
      <c r="X864" s="15"/>
      <c r="Y864" s="2"/>
      <c r="Z864" s="2">
        <f>Table2[[#This Row],[A/EV]]-Table2[[#This Row],[H/EV]]</f>
        <v>-4.6659457689010821</v>
      </c>
      <c r="AA864" s="29"/>
      <c r="AB864" s="30"/>
      <c r="AC864" s="30"/>
      <c r="AD864" s="30"/>
      <c r="AE864" s="30"/>
      <c r="AF864" s="7" t="b">
        <f>IF(VLOOKUP(Table2[[#This Row],[Home/Neutral]],division_lookup,9,FALSE)=VLOOKUP(Table2[[#This Row],[Visitor/Neutral]],division_lookup,9,FALSE),TRUE,FALSE)</f>
        <v>0</v>
      </c>
      <c r="AG864" s="15" t="str">
        <f>VLOOKUP(Table2[[#This Row],[Home/Neutral]],division_lookup,9,FALSE)</f>
        <v>NW</v>
      </c>
      <c r="AH864" s="15" t="str">
        <f>IF(Table2[[#This Row],[Total/EV]]&lt;Table2[[#This Row],[Total/V]],"UNDER","OVER")</f>
        <v>OVER</v>
      </c>
      <c r="AI864" s="26">
        <f>Table2[[#This Row],[SRS/Real]]-Table2[[#This Row],[Spread/V]]</f>
        <v>0</v>
      </c>
      <c r="AJ864" s="2">
        <f>Table2[[#This Row],[EV/Real]]-Table2[[#This Row],[Spread/V]]</f>
        <v>0</v>
      </c>
      <c r="AK864" s="2">
        <f>Table2[[#This Row],[SRS/Diff]]-Table2[[#This Row],[EV/Diff]]</f>
        <v>0</v>
      </c>
      <c r="AL864" s="18">
        <f>Table2[[#This Row],[SRS]]-Table2[[#This Row],[Spread]]</f>
        <v>-6.5386885245901656</v>
      </c>
      <c r="AM864" s="21">
        <f>Table2[[#This Row],[(A) Err]]^2</f>
        <v>42.754447621607113</v>
      </c>
      <c r="AN864" s="6">
        <f>Table2[[#This Row],[EV]]-Table2[[#This Row],[Spread]]</f>
        <v>-4.6659457689010821</v>
      </c>
      <c r="AO864" s="1">
        <f>Table2[[#This Row],[EV Err]]^2</f>
        <v>21.771049918325911</v>
      </c>
      <c r="AP864" s="1"/>
    </row>
    <row r="865" spans="1:42" x14ac:dyDescent="0.25">
      <c r="A865" s="34">
        <v>42790</v>
      </c>
      <c r="B865" t="s">
        <v>138</v>
      </c>
      <c r="C865" t="s">
        <v>137</v>
      </c>
      <c r="E865" s="21"/>
      <c r="G865" s="21"/>
      <c r="H865" s="7"/>
      <c r="I865" s="21"/>
      <c r="K865"/>
      <c r="L865" s="21">
        <f>(Table2[[#This Row],[H/Pace]]/100)*(VLOOKUP(Table2[[#This Row],[Home/Neutral]],home_lookup,8,FALSE)+VLOOKUP(Table2[[#This Row],[Home/Neutral]],OFR_lookup,2,FALSE)+VLOOKUP(Table2[[#This Row],[Visitor/Neutral]],def_diff_lookup,6,FALSE))</f>
        <v>102.5272835312401</v>
      </c>
      <c r="M865" s="21"/>
      <c r="N865" s="21">
        <f>(Table2[[#This Row],[A/Pace]]/100)*(VLOOKUP(Table2[[#This Row],[Visitor/Neutral]],OFR_lookup,2,FALSE)+VLOOKUP(Table2[[#This Row],[Home/Neutral]],def_diff_lookup,6,FALSE))</f>
        <v>104.53984</v>
      </c>
      <c r="O865" s="21"/>
      <c r="P865" s="21"/>
      <c r="Q865">
        <f>VLOOKUP(Table2[[#This Row],[Home/Neutral]],pace_lookup,7,FALSE)</f>
        <v>97.5</v>
      </c>
      <c r="R865" s="5">
        <f>VLOOKUP(Table2[[#This Row],[Visitor/Neutral]],pace_lookup,7,FALSE)</f>
        <v>96</v>
      </c>
      <c r="S865" s="7"/>
      <c r="U865" s="15"/>
      <c r="W865" s="2">
        <f>-home-VLOOKUP(Table2[[#This Row],[Home/Neutral]],rtg_vlookup,4,FALSE)+VLOOKUP(Table2[[#This Row],[Visitor/Neutral]],rtg_vlookup,4,FALSE)</f>
        <v>3.8613114754098352</v>
      </c>
      <c r="X865" s="15"/>
      <c r="Y865" s="2"/>
      <c r="Z865" s="2">
        <f>Table2[[#This Row],[A/EV]]-Table2[[#This Row],[H/EV]]</f>
        <v>2.0125564687598967</v>
      </c>
      <c r="AA865" s="29"/>
      <c r="AB865" s="30"/>
      <c r="AC865" s="30"/>
      <c r="AD865" s="30"/>
      <c r="AE865" s="30"/>
      <c r="AF865" s="7" t="b">
        <f>IF(VLOOKUP(Table2[[#This Row],[Home/Neutral]],division_lookup,9,FALSE)=VLOOKUP(Table2[[#This Row],[Visitor/Neutral]],division_lookup,9,FALSE),TRUE,FALSE)</f>
        <v>0</v>
      </c>
      <c r="AG865" s="15" t="str">
        <f>VLOOKUP(Table2[[#This Row],[Home/Neutral]],division_lookup,9,FALSE)</f>
        <v>A</v>
      </c>
      <c r="AH865" s="15" t="str">
        <f>IF(Table2[[#This Row],[Total/EV]]&lt;Table2[[#This Row],[Total/V]],"UNDER","OVER")</f>
        <v>OVER</v>
      </c>
      <c r="AI865" s="26">
        <f>Table2[[#This Row],[SRS/Real]]-Table2[[#This Row],[Spread/V]]</f>
        <v>0</v>
      </c>
      <c r="AJ865" s="2">
        <f>Table2[[#This Row],[EV/Real]]-Table2[[#This Row],[Spread/V]]</f>
        <v>0</v>
      </c>
      <c r="AK865" s="2">
        <f>Table2[[#This Row],[SRS/Diff]]-Table2[[#This Row],[EV/Diff]]</f>
        <v>0</v>
      </c>
      <c r="AL865" s="18">
        <f>Table2[[#This Row],[SRS]]-Table2[[#This Row],[Spread]]</f>
        <v>3.8613114754098352</v>
      </c>
      <c r="AM865" s="21">
        <f>Table2[[#This Row],[(A) Err]]^2</f>
        <v>14.909726310131678</v>
      </c>
      <c r="AN865" s="6">
        <f>Table2[[#This Row],[EV]]-Table2[[#This Row],[Spread]]</f>
        <v>2.0125564687598967</v>
      </c>
      <c r="AO865" s="1">
        <f>Table2[[#This Row],[EV Err]]^2</f>
        <v>4.0503835399473047</v>
      </c>
      <c r="AP865" s="1"/>
    </row>
    <row r="866" spans="1:42" x14ac:dyDescent="0.25">
      <c r="A866" s="34">
        <v>42790</v>
      </c>
      <c r="B866" t="s">
        <v>135</v>
      </c>
      <c r="C866" t="s">
        <v>110</v>
      </c>
      <c r="E866" s="21"/>
      <c r="G866" s="21"/>
      <c r="H866" s="7"/>
      <c r="I866" s="21"/>
      <c r="K866"/>
      <c r="L866" s="21">
        <f>(Table2[[#This Row],[H/Pace]]/100)*(VLOOKUP(Table2[[#This Row],[Home/Neutral]],home_lookup,8,FALSE)+VLOOKUP(Table2[[#This Row],[Home/Neutral]],OFR_lookup,2,FALSE)+VLOOKUP(Table2[[#This Row],[Visitor/Neutral]],def_diff_lookup,6,FALSE))</f>
        <v>110.34588035324614</v>
      </c>
      <c r="M866" s="21"/>
      <c r="N866" s="21">
        <f>(Table2[[#This Row],[A/Pace]]/100)*(VLOOKUP(Table2[[#This Row],[Visitor/Neutral]],OFR_lookup,2,FALSE)+VLOOKUP(Table2[[#This Row],[Home/Neutral]],def_diff_lookup,6,FALSE))</f>
        <v>104.61333133333333</v>
      </c>
      <c r="O866" s="21"/>
      <c r="P866" s="21"/>
      <c r="Q866">
        <f>VLOOKUP(Table2[[#This Row],[Home/Neutral]],pace_lookup,7,FALSE)</f>
        <v>95.4</v>
      </c>
      <c r="R866" s="5">
        <f>VLOOKUP(Table2[[#This Row],[Visitor/Neutral]],pace_lookup,7,FALSE)</f>
        <v>96.2</v>
      </c>
      <c r="S866" s="7"/>
      <c r="U866" s="15"/>
      <c r="W866" s="2">
        <f>-home-VLOOKUP(Table2[[#This Row],[Home/Neutral]],rtg_vlookup,4,FALSE)+VLOOKUP(Table2[[#This Row],[Visitor/Neutral]],rtg_vlookup,4,FALSE)</f>
        <v>-8.2386885245901649</v>
      </c>
      <c r="X866" s="15"/>
      <c r="Y866" s="2"/>
      <c r="Z866" s="2">
        <f>Table2[[#This Row],[A/EV]]-Table2[[#This Row],[H/EV]]</f>
        <v>-5.7325490199128097</v>
      </c>
      <c r="AA866" s="29"/>
      <c r="AB866" s="30"/>
      <c r="AC866" s="30"/>
      <c r="AD866" s="30"/>
      <c r="AE866" s="30"/>
      <c r="AF866" s="7" t="b">
        <f>IF(VLOOKUP(Table2[[#This Row],[Home/Neutral]],division_lookup,9,FALSE)=VLOOKUP(Table2[[#This Row],[Visitor/Neutral]],division_lookup,9,FALSE),TRUE,FALSE)</f>
        <v>1</v>
      </c>
      <c r="AG866" s="15" t="str">
        <f>VLOOKUP(Table2[[#This Row],[Home/Neutral]],division_lookup,9,FALSE)</f>
        <v>A</v>
      </c>
      <c r="AH866" s="15" t="str">
        <f>IF(Table2[[#This Row],[Total/EV]]&lt;Table2[[#This Row],[Total/V]],"UNDER","OVER")</f>
        <v>OVER</v>
      </c>
      <c r="AI866" s="26">
        <f>Table2[[#This Row],[SRS/Real]]-Table2[[#This Row],[Spread/V]]</f>
        <v>0</v>
      </c>
      <c r="AJ866" s="2">
        <f>Table2[[#This Row],[EV/Real]]-Table2[[#This Row],[Spread/V]]</f>
        <v>0</v>
      </c>
      <c r="AK866" s="2">
        <f>Table2[[#This Row],[SRS/Diff]]-Table2[[#This Row],[EV/Diff]]</f>
        <v>0</v>
      </c>
      <c r="AL866" s="18">
        <f>Table2[[#This Row],[SRS]]-Table2[[#This Row],[Spread]]</f>
        <v>-8.2386885245901649</v>
      </c>
      <c r="AM866" s="21">
        <f>Table2[[#This Row],[(A) Err]]^2</f>
        <v>67.875988605213664</v>
      </c>
      <c r="AN866" s="6">
        <f>Table2[[#This Row],[EV]]-Table2[[#This Row],[Spread]]</f>
        <v>-5.7325490199128097</v>
      </c>
      <c r="AO866" s="1">
        <f>Table2[[#This Row],[EV Err]]^2</f>
        <v>32.862118265703316</v>
      </c>
      <c r="AP866" s="1"/>
    </row>
    <row r="867" spans="1:42" x14ac:dyDescent="0.25">
      <c r="A867" s="34">
        <v>42791</v>
      </c>
      <c r="B867" t="s">
        <v>114</v>
      </c>
      <c r="C867" t="s">
        <v>113</v>
      </c>
      <c r="E867" s="21"/>
      <c r="G867" s="21"/>
      <c r="H867" s="7"/>
      <c r="I867" s="21"/>
      <c r="K867"/>
      <c r="L867" s="21">
        <f>(Table2[[#This Row],[H/Pace]]/100)*(VLOOKUP(Table2[[#This Row],[Home/Neutral]],home_lookup,8,FALSE)+VLOOKUP(Table2[[#This Row],[Home/Neutral]],OFR_lookup,2,FALSE)+VLOOKUP(Table2[[#This Row],[Visitor/Neutral]],def_diff_lookup,6,FALSE))</f>
        <v>113.84276276756466</v>
      </c>
      <c r="M867" s="21"/>
      <c r="N867" s="21">
        <f>(Table2[[#This Row],[A/Pace]]/100)*(VLOOKUP(Table2[[#This Row],[Visitor/Neutral]],OFR_lookup,2,FALSE)+VLOOKUP(Table2[[#This Row],[Home/Neutral]],def_diff_lookup,6,FALSE))</f>
        <v>104.91019900000001</v>
      </c>
      <c r="O867" s="21"/>
      <c r="P867" s="21"/>
      <c r="Q867">
        <f>VLOOKUP(Table2[[#This Row],[Home/Neutral]],pace_lookup,7,FALSE)</f>
        <v>97.3</v>
      </c>
      <c r="R867" s="5">
        <f>VLOOKUP(Table2[[#This Row],[Visitor/Neutral]],pace_lookup,7,FALSE)</f>
        <v>95.1</v>
      </c>
      <c r="S867" s="7"/>
      <c r="U867" s="15"/>
      <c r="W867" s="2">
        <f>-home-VLOOKUP(Table2[[#This Row],[Home/Neutral]],rtg_vlookup,4,FALSE)+VLOOKUP(Table2[[#This Row],[Visitor/Neutral]],rtg_vlookup,4,FALSE)</f>
        <v>-6.7786885245901658</v>
      </c>
      <c r="X867" s="15"/>
      <c r="Y867" s="2"/>
      <c r="Z867" s="2">
        <f>Table2[[#This Row],[A/EV]]-Table2[[#This Row],[H/EV]]</f>
        <v>-8.932563767564659</v>
      </c>
      <c r="AA867" s="29"/>
      <c r="AB867" s="30"/>
      <c r="AC867" s="30"/>
      <c r="AD867" s="30"/>
      <c r="AE867" s="30"/>
      <c r="AF867" s="7" t="b">
        <f>IF(VLOOKUP(Table2[[#This Row],[Home/Neutral]],division_lookup,9,FALSE)=VLOOKUP(Table2[[#This Row],[Visitor/Neutral]],division_lookup,9,FALSE),TRUE,FALSE)</f>
        <v>1</v>
      </c>
      <c r="AG867" s="15" t="str">
        <f>VLOOKUP(Table2[[#This Row],[Home/Neutral]],division_lookup,9,FALSE)</f>
        <v>C</v>
      </c>
      <c r="AH867" s="15" t="str">
        <f>IF(Table2[[#This Row],[Total/EV]]&lt;Table2[[#This Row],[Total/V]],"UNDER","OVER")</f>
        <v>OVER</v>
      </c>
      <c r="AI867" s="26">
        <f>Table2[[#This Row],[SRS/Real]]-Table2[[#This Row],[Spread/V]]</f>
        <v>0</v>
      </c>
      <c r="AJ867" s="2">
        <f>Table2[[#This Row],[EV/Real]]-Table2[[#This Row],[Spread/V]]</f>
        <v>0</v>
      </c>
      <c r="AK867" s="2">
        <f>Table2[[#This Row],[SRS/Diff]]-Table2[[#This Row],[EV/Diff]]</f>
        <v>0</v>
      </c>
      <c r="AL867" s="18">
        <f>Table2[[#This Row],[SRS]]-Table2[[#This Row],[Spread]]</f>
        <v>-6.7786885245901658</v>
      </c>
      <c r="AM867" s="21">
        <f>Table2[[#This Row],[(A) Err]]^2</f>
        <v>45.9506181134104</v>
      </c>
      <c r="AN867" s="6">
        <f>Table2[[#This Row],[EV]]-Table2[[#This Row],[Spread]]</f>
        <v>-8.932563767564659</v>
      </c>
      <c r="AO867" s="1">
        <f>Table2[[#This Row],[EV Err]]^2</f>
        <v>79.790695461608934</v>
      </c>
      <c r="AP867" s="1"/>
    </row>
    <row r="868" spans="1:42" x14ac:dyDescent="0.25">
      <c r="A868" s="34">
        <v>42791</v>
      </c>
      <c r="B868" t="s">
        <v>115</v>
      </c>
      <c r="C868" t="s">
        <v>127</v>
      </c>
      <c r="E868" s="21"/>
      <c r="G868" s="21"/>
      <c r="H868" s="7"/>
      <c r="I868" s="21"/>
      <c r="K868"/>
      <c r="L868" s="21">
        <f>(Table2[[#This Row],[H/Pace]]/100)*(VLOOKUP(Table2[[#This Row],[Home/Neutral]],home_lookup,8,FALSE)+VLOOKUP(Table2[[#This Row],[Home/Neutral]],OFR_lookup,2,FALSE)+VLOOKUP(Table2[[#This Row],[Visitor/Neutral]],def_diff_lookup,6,FALSE))</f>
        <v>94.197973115967756</v>
      </c>
      <c r="M868" s="21"/>
      <c r="N868" s="21">
        <f>(Table2[[#This Row],[A/Pace]]/100)*(VLOOKUP(Table2[[#This Row],[Visitor/Neutral]],OFR_lookup,2,FALSE)+VLOOKUP(Table2[[#This Row],[Home/Neutral]],def_diff_lookup,6,FALSE))</f>
        <v>101.28169699999999</v>
      </c>
      <c r="O868" s="21"/>
      <c r="P868" s="21"/>
      <c r="Q868">
        <f>VLOOKUP(Table2[[#This Row],[Home/Neutral]],pace_lookup,7,FALSE)</f>
        <v>92.9</v>
      </c>
      <c r="R868" s="5">
        <f>VLOOKUP(Table2[[#This Row],[Visitor/Neutral]],pace_lookup,7,FALSE)</f>
        <v>99.3</v>
      </c>
      <c r="S868" s="7"/>
      <c r="U868" s="15"/>
      <c r="W868" s="2">
        <f>-home-VLOOKUP(Table2[[#This Row],[Home/Neutral]],rtg_vlookup,4,FALSE)+VLOOKUP(Table2[[#This Row],[Visitor/Neutral]],rtg_vlookup,4,FALSE)</f>
        <v>3.4213114754098335</v>
      </c>
      <c r="X868" s="15"/>
      <c r="Y868" s="2"/>
      <c r="Z868" s="2">
        <f>Table2[[#This Row],[A/EV]]-Table2[[#This Row],[H/EV]]</f>
        <v>7.0837238840322385</v>
      </c>
      <c r="AA868" s="29"/>
      <c r="AB868" s="30"/>
      <c r="AC868" s="30"/>
      <c r="AD868" s="30"/>
      <c r="AE868" s="30"/>
      <c r="AF868" s="7" t="b">
        <f>IF(VLOOKUP(Table2[[#This Row],[Home/Neutral]],division_lookup,9,FALSE)=VLOOKUP(Table2[[#This Row],[Visitor/Neutral]],division_lookup,9,FALSE),TRUE,FALSE)</f>
        <v>1</v>
      </c>
      <c r="AG868" s="15" t="str">
        <f>VLOOKUP(Table2[[#This Row],[Home/Neutral]],division_lookup,9,FALSE)</f>
        <v>SW</v>
      </c>
      <c r="AH868" s="15" t="str">
        <f>IF(Table2[[#This Row],[Total/EV]]&lt;Table2[[#This Row],[Total/V]],"UNDER","OVER")</f>
        <v>OVER</v>
      </c>
      <c r="AI868" s="26">
        <f>Table2[[#This Row],[SRS/Real]]-Table2[[#This Row],[Spread/V]]</f>
        <v>0</v>
      </c>
      <c r="AJ868" s="2">
        <f>Table2[[#This Row],[EV/Real]]-Table2[[#This Row],[Spread/V]]</f>
        <v>0</v>
      </c>
      <c r="AK868" s="2">
        <f>Table2[[#This Row],[SRS/Diff]]-Table2[[#This Row],[EV/Diff]]</f>
        <v>0</v>
      </c>
      <c r="AL868" s="18">
        <f>Table2[[#This Row],[SRS]]-Table2[[#This Row],[Spread]]</f>
        <v>3.4213114754098335</v>
      </c>
      <c r="AM868" s="21">
        <f>Table2[[#This Row],[(A) Err]]^2</f>
        <v>11.705372211771012</v>
      </c>
      <c r="AN868" s="6">
        <f>Table2[[#This Row],[EV]]-Table2[[#This Row],[Spread]]</f>
        <v>7.0837238840322385</v>
      </c>
      <c r="AO868" s="1">
        <f>Table2[[#This Row],[EV Err]]^2</f>
        <v>50.179144065208781</v>
      </c>
      <c r="AP868" s="1"/>
    </row>
    <row r="869" spans="1:42" x14ac:dyDescent="0.25">
      <c r="A869" s="34">
        <v>42791</v>
      </c>
      <c r="B869" t="s">
        <v>118</v>
      </c>
      <c r="C869" t="s">
        <v>111</v>
      </c>
      <c r="E869" s="21"/>
      <c r="G869" s="21"/>
      <c r="H869" s="7"/>
      <c r="I869" s="21"/>
      <c r="K869"/>
      <c r="L869" s="21">
        <f>(Table2[[#This Row],[H/Pace]]/100)*(VLOOKUP(Table2[[#This Row],[Home/Neutral]],home_lookup,8,FALSE)+VLOOKUP(Table2[[#This Row],[Home/Neutral]],OFR_lookup,2,FALSE)+VLOOKUP(Table2[[#This Row],[Visitor/Neutral]],def_diff_lookup,6,FALSE))</f>
        <v>119.05967838078237</v>
      </c>
      <c r="M869" s="21"/>
      <c r="N869" s="21">
        <f>(Table2[[#This Row],[A/Pace]]/100)*(VLOOKUP(Table2[[#This Row],[Visitor/Neutral]],OFR_lookup,2,FALSE)+VLOOKUP(Table2[[#This Row],[Home/Neutral]],def_diff_lookup,6,FALSE))</f>
        <v>103.04618000000001</v>
      </c>
      <c r="O869" s="21"/>
      <c r="P869" s="21"/>
      <c r="Q869">
        <f>VLOOKUP(Table2[[#This Row],[Home/Neutral]],pace_lookup,7,FALSE)</f>
        <v>100.4</v>
      </c>
      <c r="R869" s="5">
        <f>VLOOKUP(Table2[[#This Row],[Visitor/Neutral]],pace_lookup,7,FALSE)</f>
        <v>102</v>
      </c>
      <c r="S869" s="7"/>
      <c r="U869" s="15"/>
      <c r="W869" s="2">
        <f>-home-VLOOKUP(Table2[[#This Row],[Home/Neutral]],rtg_vlookup,4,FALSE)+VLOOKUP(Table2[[#This Row],[Visitor/Neutral]],rtg_vlookup,4,FALSE)</f>
        <v>-22.978688524590165</v>
      </c>
      <c r="X869" s="15"/>
      <c r="Y869" s="2"/>
      <c r="Z869" s="2">
        <f>Table2[[#This Row],[A/EV]]-Table2[[#This Row],[H/EV]]</f>
        <v>-16.013498380782366</v>
      </c>
      <c r="AA869" s="29"/>
      <c r="AB869" s="30"/>
      <c r="AC869" s="30"/>
      <c r="AD869" s="30"/>
      <c r="AE869" s="30"/>
      <c r="AF869" s="7" t="b">
        <f>IF(VLOOKUP(Table2[[#This Row],[Home/Neutral]],division_lookup,9,FALSE)=VLOOKUP(Table2[[#This Row],[Visitor/Neutral]],division_lookup,9,FALSE),TRUE,FALSE)</f>
        <v>0</v>
      </c>
      <c r="AG869" s="15" t="str">
        <f>VLOOKUP(Table2[[#This Row],[Home/Neutral]],division_lookup,9,FALSE)</f>
        <v>P</v>
      </c>
      <c r="AH869" s="15" t="str">
        <f>IF(Table2[[#This Row],[Total/EV]]&lt;Table2[[#This Row],[Total/V]],"UNDER","OVER")</f>
        <v>OVER</v>
      </c>
      <c r="AI869" s="26">
        <f>Table2[[#This Row],[SRS/Real]]-Table2[[#This Row],[Spread/V]]</f>
        <v>0</v>
      </c>
      <c r="AJ869" s="2">
        <f>Table2[[#This Row],[EV/Real]]-Table2[[#This Row],[Spread/V]]</f>
        <v>0</v>
      </c>
      <c r="AK869" s="2">
        <f>Table2[[#This Row],[SRS/Diff]]-Table2[[#This Row],[EV/Diff]]</f>
        <v>0</v>
      </c>
      <c r="AL869" s="18">
        <f>Table2[[#This Row],[SRS]]-Table2[[#This Row],[Spread]]</f>
        <v>-22.978688524590165</v>
      </c>
      <c r="AM869" s="21">
        <f>Table2[[#This Row],[(A) Err]]^2</f>
        <v>528.02012631013179</v>
      </c>
      <c r="AN869" s="6">
        <f>Table2[[#This Row],[EV]]-Table2[[#This Row],[Spread]]</f>
        <v>-16.013498380782366</v>
      </c>
      <c r="AO869" s="1">
        <f>Table2[[#This Row],[EV Err]]^2</f>
        <v>256.43213039131945</v>
      </c>
      <c r="AP869" s="1"/>
    </row>
    <row r="870" spans="1:42" x14ac:dyDescent="0.25">
      <c r="A870" s="34">
        <v>42791</v>
      </c>
      <c r="B870" t="s">
        <v>119</v>
      </c>
      <c r="C870" t="s">
        <v>126</v>
      </c>
      <c r="E870" s="21"/>
      <c r="G870" s="21"/>
      <c r="H870" s="7"/>
      <c r="I870" s="21"/>
      <c r="K870"/>
      <c r="L870" s="21">
        <f>(Table2[[#This Row],[H/Pace]]/100)*(VLOOKUP(Table2[[#This Row],[Home/Neutral]],home_lookup,8,FALSE)+VLOOKUP(Table2[[#This Row],[Home/Neutral]],OFR_lookup,2,FALSE)+VLOOKUP(Table2[[#This Row],[Visitor/Neutral]],def_diff_lookup,6,FALSE))</f>
        <v>112.02030376977628</v>
      </c>
      <c r="M870" s="21"/>
      <c r="N870" s="21">
        <f>(Table2[[#This Row],[A/Pace]]/100)*(VLOOKUP(Table2[[#This Row],[Visitor/Neutral]],OFR_lookup,2,FALSE)+VLOOKUP(Table2[[#This Row],[Home/Neutral]],def_diff_lookup,6,FALSE))</f>
        <v>106.60565300000002</v>
      </c>
      <c r="O870" s="21"/>
      <c r="P870" s="21"/>
      <c r="Q870">
        <f>VLOOKUP(Table2[[#This Row],[Home/Neutral]],pace_lookup,7,FALSE)</f>
        <v>96.9</v>
      </c>
      <c r="R870" s="5">
        <f>VLOOKUP(Table2[[#This Row],[Visitor/Neutral]],pace_lookup,7,FALSE)</f>
        <v>95.7</v>
      </c>
      <c r="S870" s="7"/>
      <c r="U870" s="15"/>
      <c r="W870" s="2">
        <f>-home-VLOOKUP(Table2[[#This Row],[Home/Neutral]],rtg_vlookup,4,FALSE)+VLOOKUP(Table2[[#This Row],[Visitor/Neutral]],rtg_vlookup,4,FALSE)</f>
        <v>-7.6386885245901652</v>
      </c>
      <c r="X870" s="15"/>
      <c r="Y870" s="2"/>
      <c r="Z870" s="2">
        <f>Table2[[#This Row],[A/EV]]-Table2[[#This Row],[H/EV]]</f>
        <v>-5.4146507697762587</v>
      </c>
      <c r="AA870" s="29"/>
      <c r="AB870" s="30"/>
      <c r="AC870" s="30"/>
      <c r="AD870" s="30"/>
      <c r="AE870" s="30"/>
      <c r="AF870" s="7" t="b">
        <f>IF(VLOOKUP(Table2[[#This Row],[Home/Neutral]],division_lookup,9,FALSE)=VLOOKUP(Table2[[#This Row],[Visitor/Neutral]],division_lookup,9,FALSE),TRUE,FALSE)</f>
        <v>0</v>
      </c>
      <c r="AG870" s="15" t="str">
        <f>VLOOKUP(Table2[[#This Row],[Home/Neutral]],division_lookup,9,FALSE)</f>
        <v>SW</v>
      </c>
      <c r="AH870" s="15" t="str">
        <f>IF(Table2[[#This Row],[Total/EV]]&lt;Table2[[#This Row],[Total/V]],"UNDER","OVER")</f>
        <v>OVER</v>
      </c>
      <c r="AI870" s="26">
        <f>Table2[[#This Row],[SRS/Real]]-Table2[[#This Row],[Spread/V]]</f>
        <v>0</v>
      </c>
      <c r="AJ870" s="2">
        <f>Table2[[#This Row],[EV/Real]]-Table2[[#This Row],[Spread/V]]</f>
        <v>0</v>
      </c>
      <c r="AK870" s="2">
        <f>Table2[[#This Row],[SRS/Diff]]-Table2[[#This Row],[EV/Diff]]</f>
        <v>0</v>
      </c>
      <c r="AL870" s="18">
        <f>Table2[[#This Row],[SRS]]-Table2[[#This Row],[Spread]]</f>
        <v>-7.6386885245901652</v>
      </c>
      <c r="AM870" s="21">
        <f>Table2[[#This Row],[(A) Err]]^2</f>
        <v>58.349562375705474</v>
      </c>
      <c r="AN870" s="6">
        <f>Table2[[#This Row],[EV]]-Table2[[#This Row],[Spread]]</f>
        <v>-5.4146507697762587</v>
      </c>
      <c r="AO870" s="1">
        <f>Table2[[#This Row],[EV Err]]^2</f>
        <v>29.318442958638631</v>
      </c>
      <c r="AP870" s="1"/>
    </row>
    <row r="871" spans="1:42" x14ac:dyDescent="0.25">
      <c r="A871" s="34">
        <v>42791</v>
      </c>
      <c r="B871" t="s">
        <v>124</v>
      </c>
      <c r="C871" t="s">
        <v>120</v>
      </c>
      <c r="E871" s="21"/>
      <c r="G871" s="21"/>
      <c r="H871" s="7"/>
      <c r="I871" s="21"/>
      <c r="K871"/>
      <c r="L871" s="21">
        <f>(Table2[[#This Row],[H/Pace]]/100)*(VLOOKUP(Table2[[#This Row],[Home/Neutral]],home_lookup,8,FALSE)+VLOOKUP(Table2[[#This Row],[Home/Neutral]],OFR_lookup,2,FALSE)+VLOOKUP(Table2[[#This Row],[Visitor/Neutral]],def_diff_lookup,6,FALSE))</f>
        <v>102.84105517723556</v>
      </c>
      <c r="M871" s="21"/>
      <c r="N871" s="21">
        <f>(Table2[[#This Row],[A/Pace]]/100)*(VLOOKUP(Table2[[#This Row],[Visitor/Neutral]],OFR_lookup,2,FALSE)+VLOOKUP(Table2[[#This Row],[Home/Neutral]],def_diff_lookup,6,FALSE))</f>
        <v>99.770240333333334</v>
      </c>
      <c r="O871" s="21"/>
      <c r="P871" s="21"/>
      <c r="Q871">
        <f>VLOOKUP(Table2[[#This Row],[Home/Neutral]],pace_lookup,7,FALSE)</f>
        <v>93.7</v>
      </c>
      <c r="R871" s="5">
        <f>VLOOKUP(Table2[[#This Row],[Visitor/Neutral]],pace_lookup,7,FALSE)</f>
        <v>98.3</v>
      </c>
      <c r="S871" s="7"/>
      <c r="U871" s="15"/>
      <c r="W871" s="2">
        <f>-home-VLOOKUP(Table2[[#This Row],[Home/Neutral]],rtg_vlookup,4,FALSE)+VLOOKUP(Table2[[#This Row],[Visitor/Neutral]],rtg_vlookup,4,FALSE)</f>
        <v>-6.2786885245901658</v>
      </c>
      <c r="X871" s="15"/>
      <c r="Y871" s="2"/>
      <c r="Z871" s="2">
        <f>Table2[[#This Row],[A/EV]]-Table2[[#This Row],[H/EV]]</f>
        <v>-3.0708148439022267</v>
      </c>
      <c r="AA871" s="29"/>
      <c r="AB871" s="30"/>
      <c r="AC871" s="30"/>
      <c r="AD871" s="30"/>
      <c r="AE871" s="30"/>
      <c r="AF871" s="7" t="b">
        <f>IF(VLOOKUP(Table2[[#This Row],[Home/Neutral]],division_lookup,9,FALSE)=VLOOKUP(Table2[[#This Row],[Visitor/Neutral]],division_lookup,9,FALSE),TRUE,FALSE)</f>
        <v>0</v>
      </c>
      <c r="AG871" s="15" t="str">
        <f>VLOOKUP(Table2[[#This Row],[Home/Neutral]],division_lookup,9,FALSE)</f>
        <v>SE</v>
      </c>
      <c r="AH871" s="15" t="str">
        <f>IF(Table2[[#This Row],[Total/EV]]&lt;Table2[[#This Row],[Total/V]],"UNDER","OVER")</f>
        <v>OVER</v>
      </c>
      <c r="AI871" s="26">
        <f>Table2[[#This Row],[SRS/Real]]-Table2[[#This Row],[Spread/V]]</f>
        <v>0</v>
      </c>
      <c r="AJ871" s="2">
        <f>Table2[[#This Row],[EV/Real]]-Table2[[#This Row],[Spread/V]]</f>
        <v>0</v>
      </c>
      <c r="AK871" s="2">
        <f>Table2[[#This Row],[SRS/Diff]]-Table2[[#This Row],[EV/Diff]]</f>
        <v>0</v>
      </c>
      <c r="AL871" s="18">
        <f>Table2[[#This Row],[SRS]]-Table2[[#This Row],[Spread]]</f>
        <v>-6.2786885245901658</v>
      </c>
      <c r="AM871" s="21">
        <f>Table2[[#This Row],[(A) Err]]^2</f>
        <v>39.421929588820234</v>
      </c>
      <c r="AN871" s="6">
        <f>Table2[[#This Row],[EV]]-Table2[[#This Row],[Spread]]</f>
        <v>-3.0708148439022267</v>
      </c>
      <c r="AO871" s="1">
        <f>Table2[[#This Row],[EV Err]]^2</f>
        <v>9.4299038055302571</v>
      </c>
      <c r="AP871" s="1"/>
    </row>
    <row r="872" spans="1:42" x14ac:dyDescent="0.25">
      <c r="A872" s="34">
        <v>42791</v>
      </c>
      <c r="B872" t="s">
        <v>128</v>
      </c>
      <c r="C872" t="s">
        <v>138</v>
      </c>
      <c r="E872" s="21"/>
      <c r="G872" s="21"/>
      <c r="H872" s="7"/>
      <c r="I872" s="21"/>
      <c r="K872"/>
      <c r="L872" s="21">
        <f>(Table2[[#This Row],[H/Pace]]/100)*(VLOOKUP(Table2[[#This Row],[Home/Neutral]],home_lookup,8,FALSE)+VLOOKUP(Table2[[#This Row],[Home/Neutral]],OFR_lookup,2,FALSE)+VLOOKUP(Table2[[#This Row],[Visitor/Neutral]],def_diff_lookup,6,FALSE))</f>
        <v>110.05027987783021</v>
      </c>
      <c r="M872" s="21"/>
      <c r="N872" s="21">
        <f>(Table2[[#This Row],[A/Pace]]/100)*(VLOOKUP(Table2[[#This Row],[Visitor/Neutral]],OFR_lookup,2,FALSE)+VLOOKUP(Table2[[#This Row],[Home/Neutral]],def_diff_lookup,6,FALSE))</f>
        <v>99.348275000000001</v>
      </c>
      <c r="O872" s="21"/>
      <c r="P872" s="21"/>
      <c r="Q872">
        <f>VLOOKUP(Table2[[#This Row],[Home/Neutral]],pace_lookup,7,FALSE)</f>
        <v>96.3</v>
      </c>
      <c r="R872" s="5">
        <f>VLOOKUP(Table2[[#This Row],[Visitor/Neutral]],pace_lookup,7,FALSE)</f>
        <v>97.5</v>
      </c>
      <c r="S872" s="7"/>
      <c r="U872" s="15"/>
      <c r="W872" s="2">
        <f>-home-VLOOKUP(Table2[[#This Row],[Home/Neutral]],rtg_vlookup,4,FALSE)+VLOOKUP(Table2[[#This Row],[Visitor/Neutral]],rtg_vlookup,4,FALSE)</f>
        <v>-10.548688524590167</v>
      </c>
      <c r="X872" s="15"/>
      <c r="Y872" s="2"/>
      <c r="Z872" s="2">
        <f>Table2[[#This Row],[A/EV]]-Table2[[#This Row],[H/EV]]</f>
        <v>-10.702004877830205</v>
      </c>
      <c r="AA872" s="29"/>
      <c r="AB872" s="30"/>
      <c r="AC872" s="30"/>
      <c r="AD872" s="30"/>
      <c r="AE872" s="30"/>
      <c r="AF872" s="7" t="b">
        <f>IF(VLOOKUP(Table2[[#This Row],[Home/Neutral]],division_lookup,9,FALSE)=VLOOKUP(Table2[[#This Row],[Visitor/Neutral]],division_lookup,9,FALSE),TRUE,FALSE)</f>
        <v>1</v>
      </c>
      <c r="AG872" s="15" t="str">
        <f>VLOOKUP(Table2[[#This Row],[Home/Neutral]],division_lookup,9,FALSE)</f>
        <v>A</v>
      </c>
      <c r="AH872" s="15" t="str">
        <f>IF(Table2[[#This Row],[Total/EV]]&lt;Table2[[#This Row],[Total/V]],"UNDER","OVER")</f>
        <v>OVER</v>
      </c>
      <c r="AI872" s="26">
        <f>Table2[[#This Row],[SRS/Real]]-Table2[[#This Row],[Spread/V]]</f>
        <v>0</v>
      </c>
      <c r="AJ872" s="2">
        <f>Table2[[#This Row],[EV/Real]]-Table2[[#This Row],[Spread/V]]</f>
        <v>0</v>
      </c>
      <c r="AK872" s="2">
        <f>Table2[[#This Row],[SRS/Diff]]-Table2[[#This Row],[EV/Diff]]</f>
        <v>0</v>
      </c>
      <c r="AL872" s="18">
        <f>Table2[[#This Row],[SRS]]-Table2[[#This Row],[Spread]]</f>
        <v>-10.548688524590167</v>
      </c>
      <c r="AM872" s="21">
        <f>Table2[[#This Row],[(A) Err]]^2</f>
        <v>111.27482958882028</v>
      </c>
      <c r="AN872" s="6">
        <f>Table2[[#This Row],[EV]]-Table2[[#This Row],[Spread]]</f>
        <v>-10.702004877830205</v>
      </c>
      <c r="AO872" s="1">
        <f>Table2[[#This Row],[EV Err]]^2</f>
        <v>114.53290840510151</v>
      </c>
      <c r="AP872" s="1"/>
    </row>
    <row r="873" spans="1:42" x14ac:dyDescent="0.25">
      <c r="A873" s="34">
        <v>42791</v>
      </c>
      <c r="B873" t="s">
        <v>130</v>
      </c>
      <c r="C873" t="s">
        <v>109</v>
      </c>
      <c r="E873" s="21"/>
      <c r="G873" s="21"/>
      <c r="H873" s="7"/>
      <c r="I873" s="21"/>
      <c r="K873"/>
      <c r="L873" s="21">
        <f>(Table2[[#This Row],[H/Pace]]/100)*(VLOOKUP(Table2[[#This Row],[Home/Neutral]],home_lookup,8,FALSE)+VLOOKUP(Table2[[#This Row],[Home/Neutral]],OFR_lookup,2,FALSE)+VLOOKUP(Table2[[#This Row],[Visitor/Neutral]],def_diff_lookup,6,FALSE))</f>
        <v>90.016244967109401</v>
      </c>
      <c r="M873" s="21"/>
      <c r="N873" s="21">
        <f>(Table2[[#This Row],[A/Pace]]/100)*(VLOOKUP(Table2[[#This Row],[Visitor/Neutral]],OFR_lookup,2,FALSE)+VLOOKUP(Table2[[#This Row],[Home/Neutral]],def_diff_lookup,6,FALSE))</f>
        <v>101.07058133333332</v>
      </c>
      <c r="O873" s="21"/>
      <c r="P873" s="21"/>
      <c r="Q873">
        <f>VLOOKUP(Table2[[#This Row],[Home/Neutral]],pace_lookup,7,FALSE)</f>
        <v>94.2</v>
      </c>
      <c r="R873" s="5">
        <f>VLOOKUP(Table2[[#This Row],[Visitor/Neutral]],pace_lookup,7,FALSE)</f>
        <v>99.2</v>
      </c>
      <c r="S873" s="7"/>
      <c r="U873" s="15"/>
      <c r="W873" s="2">
        <f>-home-VLOOKUP(Table2[[#This Row],[Home/Neutral]],rtg_vlookup,4,FALSE)+VLOOKUP(Table2[[#This Row],[Visitor/Neutral]],rtg_vlookup,4,FALSE)</f>
        <v>8.1313114754098343</v>
      </c>
      <c r="X873" s="15"/>
      <c r="Y873" s="2"/>
      <c r="Z873" s="2">
        <f>Table2[[#This Row],[A/EV]]-Table2[[#This Row],[H/EV]]</f>
        <v>11.054336366223922</v>
      </c>
      <c r="AA873" s="29"/>
      <c r="AB873" s="30"/>
      <c r="AC873" s="30"/>
      <c r="AD873" s="30"/>
      <c r="AE873" s="30"/>
      <c r="AF873" s="7" t="b">
        <f>IF(VLOOKUP(Table2[[#This Row],[Home/Neutral]],division_lookup,9,FALSE)=VLOOKUP(Table2[[#This Row],[Visitor/Neutral]],division_lookup,9,FALSE),TRUE,FALSE)</f>
        <v>1</v>
      </c>
      <c r="AG873" s="15" t="str">
        <f>VLOOKUP(Table2[[#This Row],[Home/Neutral]],division_lookup,9,FALSE)</f>
        <v>SE</v>
      </c>
      <c r="AH873" s="15" t="str">
        <f>IF(Table2[[#This Row],[Total/EV]]&lt;Table2[[#This Row],[Total/V]],"UNDER","OVER")</f>
        <v>OVER</v>
      </c>
      <c r="AI873" s="26">
        <f>Table2[[#This Row],[SRS/Real]]-Table2[[#This Row],[Spread/V]]</f>
        <v>0</v>
      </c>
      <c r="AJ873" s="2">
        <f>Table2[[#This Row],[EV/Real]]-Table2[[#This Row],[Spread/V]]</f>
        <v>0</v>
      </c>
      <c r="AK873" s="2">
        <f>Table2[[#This Row],[SRS/Diff]]-Table2[[#This Row],[EV/Diff]]</f>
        <v>0</v>
      </c>
      <c r="AL873" s="18">
        <f>Table2[[#This Row],[SRS]]-Table2[[#This Row],[Spread]]</f>
        <v>8.1313114754098343</v>
      </c>
      <c r="AM873" s="21">
        <f>Table2[[#This Row],[(A) Err]]^2</f>
        <v>66.118226310131661</v>
      </c>
      <c r="AN873" s="6">
        <f>Table2[[#This Row],[EV]]-Table2[[#This Row],[Spread]]</f>
        <v>11.054336366223922</v>
      </c>
      <c r="AO873" s="1">
        <f>Table2[[#This Row],[EV Err]]^2</f>
        <v>122.19835249762069</v>
      </c>
      <c r="AP873" s="1"/>
    </row>
    <row r="874" spans="1:42" x14ac:dyDescent="0.25">
      <c r="A874" s="34">
        <v>42791</v>
      </c>
      <c r="B874" t="s">
        <v>133</v>
      </c>
      <c r="C874" t="s">
        <v>112</v>
      </c>
      <c r="E874" s="21"/>
      <c r="G874" s="21"/>
      <c r="H874" s="7"/>
      <c r="I874" s="21"/>
      <c r="K874"/>
      <c r="L874" s="21">
        <f>(Table2[[#This Row],[H/Pace]]/100)*(VLOOKUP(Table2[[#This Row],[Home/Neutral]],home_lookup,8,FALSE)+VLOOKUP(Table2[[#This Row],[Home/Neutral]],OFR_lookup,2,FALSE)+VLOOKUP(Table2[[#This Row],[Visitor/Neutral]],def_diff_lookup,6,FALSE))</f>
        <v>107.16592748279979</v>
      </c>
      <c r="M874" s="21"/>
      <c r="N874" s="21">
        <f>(Table2[[#This Row],[A/Pace]]/100)*(VLOOKUP(Table2[[#This Row],[Visitor/Neutral]],OFR_lookup,2,FALSE)+VLOOKUP(Table2[[#This Row],[Home/Neutral]],def_diff_lookup,6,FALSE))</f>
        <v>108.12925933333334</v>
      </c>
      <c r="O874" s="21"/>
      <c r="P874" s="21"/>
      <c r="Q874">
        <f>VLOOKUP(Table2[[#This Row],[Home/Neutral]],pace_lookup,7,FALSE)</f>
        <v>94.2</v>
      </c>
      <c r="R874" s="5">
        <f>VLOOKUP(Table2[[#This Row],[Visitor/Neutral]],pace_lookup,7,FALSE)</f>
        <v>97.4</v>
      </c>
      <c r="S874" s="7"/>
      <c r="U874" s="15"/>
      <c r="W874" s="2">
        <f>-home-VLOOKUP(Table2[[#This Row],[Home/Neutral]],rtg_vlookup,4,FALSE)+VLOOKUP(Table2[[#This Row],[Visitor/Neutral]],rtg_vlookup,4,FALSE)</f>
        <v>1.1813114754098342</v>
      </c>
      <c r="X874" s="15"/>
      <c r="Y874" s="2"/>
      <c r="Z874" s="2">
        <f>Table2[[#This Row],[A/EV]]-Table2[[#This Row],[H/EV]]</f>
        <v>0.96333185053354953</v>
      </c>
      <c r="AA874" s="29"/>
      <c r="AB874" s="30"/>
      <c r="AC874" s="30"/>
      <c r="AD874" s="30"/>
      <c r="AE874" s="30"/>
      <c r="AF874" s="7" t="b">
        <f>IF(VLOOKUP(Table2[[#This Row],[Home/Neutral]],division_lookup,9,FALSE)=VLOOKUP(Table2[[#This Row],[Visitor/Neutral]],division_lookup,9,FALSE),TRUE,FALSE)</f>
        <v>0</v>
      </c>
      <c r="AG874" s="15" t="str">
        <f>VLOOKUP(Table2[[#This Row],[Home/Neutral]],division_lookup,9,FALSE)</f>
        <v>P</v>
      </c>
      <c r="AH874" s="15" t="str">
        <f>IF(Table2[[#This Row],[Total/EV]]&lt;Table2[[#This Row],[Total/V]],"UNDER","OVER")</f>
        <v>OVER</v>
      </c>
      <c r="AI874" s="26">
        <f>Table2[[#This Row],[SRS/Real]]-Table2[[#This Row],[Spread/V]]</f>
        <v>0</v>
      </c>
      <c r="AJ874" s="2">
        <f>Table2[[#This Row],[EV/Real]]-Table2[[#This Row],[Spread/V]]</f>
        <v>0</v>
      </c>
      <c r="AK874" s="2">
        <f>Table2[[#This Row],[SRS/Diff]]-Table2[[#This Row],[EV/Diff]]</f>
        <v>0</v>
      </c>
      <c r="AL874" s="18">
        <f>Table2[[#This Row],[SRS]]-Table2[[#This Row],[Spread]]</f>
        <v>1.1813114754098342</v>
      </c>
      <c r="AM874" s="21">
        <f>Table2[[#This Row],[(A) Err]]^2</f>
        <v>1.3954968019349592</v>
      </c>
      <c r="AN874" s="6">
        <f>Table2[[#This Row],[EV]]-Table2[[#This Row],[Spread]]</f>
        <v>0.96333185053354953</v>
      </c>
      <c r="AO874" s="1">
        <f>Table2[[#This Row],[EV Err]]^2</f>
        <v>0.92800825425239297</v>
      </c>
      <c r="AP874" s="1"/>
    </row>
    <row r="875" spans="1:42" x14ac:dyDescent="0.25">
      <c r="A875" s="34">
        <v>42792</v>
      </c>
      <c r="B875" t="s">
        <v>116</v>
      </c>
      <c r="C875" t="s">
        <v>123</v>
      </c>
      <c r="E875" s="21"/>
      <c r="G875" s="21"/>
      <c r="H875" s="7"/>
      <c r="I875" s="21"/>
      <c r="K875"/>
      <c r="L875" s="21">
        <f>(Table2[[#This Row],[H/Pace]]/100)*(VLOOKUP(Table2[[#This Row],[Home/Neutral]],home_lookup,8,FALSE)+VLOOKUP(Table2[[#This Row],[Home/Neutral]],OFR_lookup,2,FALSE)+VLOOKUP(Table2[[#This Row],[Visitor/Neutral]],def_diff_lookup,6,FALSE))</f>
        <v>101.39764470161863</v>
      </c>
      <c r="M875" s="21"/>
      <c r="N875" s="21">
        <f>(Table2[[#This Row],[A/Pace]]/100)*(VLOOKUP(Table2[[#This Row],[Visitor/Neutral]],OFR_lookup,2,FALSE)+VLOOKUP(Table2[[#This Row],[Home/Neutral]],def_diff_lookup,6,FALSE))</f>
        <v>96.251491666666652</v>
      </c>
      <c r="O875" s="21"/>
      <c r="P875" s="21"/>
      <c r="Q875">
        <f>VLOOKUP(Table2[[#This Row],[Home/Neutral]],pace_lookup,7,FALSE)</f>
        <v>99.1</v>
      </c>
      <c r="R875" s="5">
        <f>VLOOKUP(Table2[[#This Row],[Visitor/Neutral]],pace_lookup,7,FALSE)</f>
        <v>92.5</v>
      </c>
      <c r="S875" s="7"/>
      <c r="U875" s="15"/>
      <c r="W875" s="2">
        <f>-home-VLOOKUP(Table2[[#This Row],[Home/Neutral]],rtg_vlookup,4,FALSE)+VLOOKUP(Table2[[#This Row],[Visitor/Neutral]],rtg_vlookup,4,FALSE)</f>
        <v>-1.3586885245901659</v>
      </c>
      <c r="X875" s="15"/>
      <c r="Y875" s="2"/>
      <c r="Z875" s="2">
        <f>Table2[[#This Row],[A/EV]]-Table2[[#This Row],[H/EV]]</f>
        <v>-5.1461530349519791</v>
      </c>
      <c r="AA875" s="29"/>
      <c r="AB875" s="30"/>
      <c r="AC875" s="30"/>
      <c r="AD875" s="30"/>
      <c r="AE875" s="30"/>
      <c r="AF875" s="7" t="b">
        <f>IF(VLOOKUP(Table2[[#This Row],[Home/Neutral]],division_lookup,9,FALSE)=VLOOKUP(Table2[[#This Row],[Visitor/Neutral]],division_lookup,9,FALSE),TRUE,FALSE)</f>
        <v>0</v>
      </c>
      <c r="AG875" s="15" t="str">
        <f>VLOOKUP(Table2[[#This Row],[Home/Neutral]],division_lookup,9,FALSE)</f>
        <v>NW</v>
      </c>
      <c r="AH875" s="15" t="str">
        <f>IF(Table2[[#This Row],[Total/EV]]&lt;Table2[[#This Row],[Total/V]],"UNDER","OVER")</f>
        <v>OVER</v>
      </c>
      <c r="AI875" s="26">
        <f>Table2[[#This Row],[SRS/Real]]-Table2[[#This Row],[Spread/V]]</f>
        <v>0</v>
      </c>
      <c r="AJ875" s="2">
        <f>Table2[[#This Row],[EV/Real]]-Table2[[#This Row],[Spread/V]]</f>
        <v>0</v>
      </c>
      <c r="AK875" s="2">
        <f>Table2[[#This Row],[SRS/Diff]]-Table2[[#This Row],[EV/Diff]]</f>
        <v>0</v>
      </c>
      <c r="AL875" s="18">
        <f>Table2[[#This Row],[SRS]]-Table2[[#This Row],[Spread]]</f>
        <v>-1.3586885245901659</v>
      </c>
      <c r="AM875" s="21">
        <f>Table2[[#This Row],[(A) Err]]^2</f>
        <v>1.8460345068530017</v>
      </c>
      <c r="AN875" s="6">
        <f>Table2[[#This Row],[EV]]-Table2[[#This Row],[Spread]]</f>
        <v>-5.1461530349519791</v>
      </c>
      <c r="AO875" s="1">
        <f>Table2[[#This Row],[EV Err]]^2</f>
        <v>26.482891059145466</v>
      </c>
      <c r="AP875" s="1"/>
    </row>
    <row r="876" spans="1:42" x14ac:dyDescent="0.25">
      <c r="A876" s="34">
        <v>42792</v>
      </c>
      <c r="B876" t="s">
        <v>117</v>
      </c>
      <c r="C876" t="s">
        <v>110</v>
      </c>
      <c r="E876" s="21"/>
      <c r="G876" s="21"/>
      <c r="H876" s="7"/>
      <c r="I876" s="21"/>
      <c r="K876"/>
      <c r="L876" s="21">
        <f>(Table2[[#This Row],[H/Pace]]/100)*(VLOOKUP(Table2[[#This Row],[Home/Neutral]],home_lookup,8,FALSE)+VLOOKUP(Table2[[#This Row],[Home/Neutral]],OFR_lookup,2,FALSE)+VLOOKUP(Table2[[#This Row],[Visitor/Neutral]],def_diff_lookup,6,FALSE))</f>
        <v>112.91339591446429</v>
      </c>
      <c r="M876" s="21"/>
      <c r="N876" s="21">
        <f>(Table2[[#This Row],[A/Pace]]/100)*(VLOOKUP(Table2[[#This Row],[Visitor/Neutral]],OFR_lookup,2,FALSE)+VLOOKUP(Table2[[#This Row],[Home/Neutral]],def_diff_lookup,6,FALSE))</f>
        <v>99.995731333333339</v>
      </c>
      <c r="O876" s="21"/>
      <c r="P876" s="21"/>
      <c r="Q876">
        <f>VLOOKUP(Table2[[#This Row],[Home/Neutral]],pace_lookup,7,FALSE)</f>
        <v>94</v>
      </c>
      <c r="R876" s="5">
        <f>VLOOKUP(Table2[[#This Row],[Visitor/Neutral]],pace_lookup,7,FALSE)</f>
        <v>96.2</v>
      </c>
      <c r="S876" s="7"/>
      <c r="U876" s="15"/>
      <c r="W876" s="2">
        <f>-home-VLOOKUP(Table2[[#This Row],[Home/Neutral]],rtg_vlookup,4,FALSE)+VLOOKUP(Table2[[#This Row],[Visitor/Neutral]],rtg_vlookup,4,FALSE)</f>
        <v>-3.8686885245901661</v>
      </c>
      <c r="X876" s="15"/>
      <c r="Y876" s="2"/>
      <c r="Z876" s="2">
        <f>Table2[[#This Row],[A/EV]]-Table2[[#This Row],[H/EV]]</f>
        <v>-12.91766458113095</v>
      </c>
      <c r="AA876" s="29"/>
      <c r="AB876" s="30"/>
      <c r="AC876" s="30"/>
      <c r="AD876" s="30"/>
      <c r="AE876" s="30"/>
      <c r="AF876" s="7" t="b">
        <f>IF(VLOOKUP(Table2[[#This Row],[Home/Neutral]],division_lookup,9,FALSE)=VLOOKUP(Table2[[#This Row],[Visitor/Neutral]],division_lookup,9,FALSE),TRUE,FALSE)</f>
        <v>0</v>
      </c>
      <c r="AG876" s="15" t="str">
        <f>VLOOKUP(Table2[[#This Row],[Home/Neutral]],division_lookup,9,FALSE)</f>
        <v>C</v>
      </c>
      <c r="AH876" s="15" t="str">
        <f>IF(Table2[[#This Row],[Total/EV]]&lt;Table2[[#This Row],[Total/V]],"UNDER","OVER")</f>
        <v>OVER</v>
      </c>
      <c r="AI876" s="26">
        <f>Table2[[#This Row],[SRS/Real]]-Table2[[#This Row],[Spread/V]]</f>
        <v>0</v>
      </c>
      <c r="AJ876" s="2">
        <f>Table2[[#This Row],[EV/Real]]-Table2[[#This Row],[Spread/V]]</f>
        <v>0</v>
      </c>
      <c r="AK876" s="2">
        <f>Table2[[#This Row],[SRS/Diff]]-Table2[[#This Row],[EV/Diff]]</f>
        <v>0</v>
      </c>
      <c r="AL876" s="18">
        <f>Table2[[#This Row],[SRS]]-Table2[[#This Row],[Spread]]</f>
        <v>-3.8686885245901661</v>
      </c>
      <c r="AM876" s="21">
        <f>Table2[[#This Row],[(A) Err]]^2</f>
        <v>14.966750900295636</v>
      </c>
      <c r="AN876" s="6">
        <f>Table2[[#This Row],[EV]]-Table2[[#This Row],[Spread]]</f>
        <v>-12.91766458113095</v>
      </c>
      <c r="AO876" s="1">
        <f>Table2[[#This Row],[EV Err]]^2</f>
        <v>166.86605823060503</v>
      </c>
      <c r="AP876" s="1"/>
    </row>
    <row r="877" spans="1:42" x14ac:dyDescent="0.25">
      <c r="A877" s="34">
        <v>42792</v>
      </c>
      <c r="B877" t="s">
        <v>121</v>
      </c>
      <c r="C877" t="s">
        <v>112</v>
      </c>
      <c r="E877" s="21"/>
      <c r="G877" s="21"/>
      <c r="H877" s="7"/>
      <c r="I877" s="21"/>
      <c r="K877"/>
      <c r="L877" s="21">
        <f>(Table2[[#This Row],[H/Pace]]/100)*(VLOOKUP(Table2[[#This Row],[Home/Neutral]],home_lookup,8,FALSE)+VLOOKUP(Table2[[#This Row],[Home/Neutral]],OFR_lookup,2,FALSE)+VLOOKUP(Table2[[#This Row],[Visitor/Neutral]],def_diff_lookup,6,FALSE))</f>
        <v>112.98388060751253</v>
      </c>
      <c r="M877" s="21"/>
      <c r="N877" s="21">
        <f>(Table2[[#This Row],[A/Pace]]/100)*(VLOOKUP(Table2[[#This Row],[Visitor/Neutral]],OFR_lookup,2,FALSE)+VLOOKUP(Table2[[#This Row],[Home/Neutral]],def_diff_lookup,6,FALSE))</f>
        <v>100.80477933333334</v>
      </c>
      <c r="O877" s="21"/>
      <c r="P877" s="21"/>
      <c r="Q877">
        <f>VLOOKUP(Table2[[#This Row],[Home/Neutral]],pace_lookup,7,FALSE)</f>
        <v>96.4</v>
      </c>
      <c r="R877" s="5">
        <f>VLOOKUP(Table2[[#This Row],[Visitor/Neutral]],pace_lookup,7,FALSE)</f>
        <v>97.4</v>
      </c>
      <c r="S877" s="7"/>
      <c r="U877" s="15"/>
      <c r="W877" s="2">
        <f>-home-VLOOKUP(Table2[[#This Row],[Home/Neutral]],rtg_vlookup,4,FALSE)+VLOOKUP(Table2[[#This Row],[Visitor/Neutral]],rtg_vlookup,4,FALSE)</f>
        <v>-13.468688524590167</v>
      </c>
      <c r="X877" s="15"/>
      <c r="Y877" s="2"/>
      <c r="Z877" s="2">
        <f>Table2[[#This Row],[A/EV]]-Table2[[#This Row],[H/EV]]</f>
        <v>-12.179101274179189</v>
      </c>
      <c r="AA877" s="29"/>
      <c r="AB877" s="30"/>
      <c r="AC877" s="30"/>
      <c r="AD877" s="30"/>
      <c r="AE877" s="30"/>
      <c r="AF877" s="7" t="b">
        <f>IF(VLOOKUP(Table2[[#This Row],[Home/Neutral]],division_lookup,9,FALSE)=VLOOKUP(Table2[[#This Row],[Visitor/Neutral]],division_lookup,9,FALSE),TRUE,FALSE)</f>
        <v>0</v>
      </c>
      <c r="AG877" s="15" t="str">
        <f>VLOOKUP(Table2[[#This Row],[Home/Neutral]],division_lookup,9,FALSE)</f>
        <v>P</v>
      </c>
      <c r="AH877" s="15" t="str">
        <f>IF(Table2[[#This Row],[Total/EV]]&lt;Table2[[#This Row],[Total/V]],"UNDER","OVER")</f>
        <v>OVER</v>
      </c>
      <c r="AI877" s="26">
        <f>Table2[[#This Row],[SRS/Real]]-Table2[[#This Row],[Spread/V]]</f>
        <v>0</v>
      </c>
      <c r="AJ877" s="2">
        <f>Table2[[#This Row],[EV/Real]]-Table2[[#This Row],[Spread/V]]</f>
        <v>0</v>
      </c>
      <c r="AK877" s="2">
        <f>Table2[[#This Row],[SRS/Diff]]-Table2[[#This Row],[EV/Diff]]</f>
        <v>0</v>
      </c>
      <c r="AL877" s="18">
        <f>Table2[[#This Row],[SRS]]-Table2[[#This Row],[Spread]]</f>
        <v>-13.468688524590167</v>
      </c>
      <c r="AM877" s="21">
        <f>Table2[[#This Row],[(A) Err]]^2</f>
        <v>181.40557057242685</v>
      </c>
      <c r="AN877" s="6">
        <f>Table2[[#This Row],[EV]]-Table2[[#This Row],[Spread]]</f>
        <v>-12.179101274179189</v>
      </c>
      <c r="AO877" s="1">
        <f>Table2[[#This Row],[EV Err]]^2</f>
        <v>148.33050784671315</v>
      </c>
      <c r="AP877" s="1"/>
    </row>
    <row r="878" spans="1:42" x14ac:dyDescent="0.25">
      <c r="A878" s="34">
        <v>42792</v>
      </c>
      <c r="B878" t="s">
        <v>122</v>
      </c>
      <c r="C878" t="s">
        <v>134</v>
      </c>
      <c r="E878" s="21"/>
      <c r="G878" s="21"/>
      <c r="H878" s="7"/>
      <c r="I878" s="21"/>
      <c r="K878"/>
      <c r="L878" s="21">
        <f>(Table2[[#This Row],[H/Pace]]/100)*(VLOOKUP(Table2[[#This Row],[Home/Neutral]],home_lookup,8,FALSE)+VLOOKUP(Table2[[#This Row],[Home/Neutral]],OFR_lookup,2,FALSE)+VLOOKUP(Table2[[#This Row],[Visitor/Neutral]],def_diff_lookup,6,FALSE))</f>
        <v>108.44526832744732</v>
      </c>
      <c r="M878" s="21"/>
      <c r="N878" s="21">
        <f>(Table2[[#This Row],[A/Pace]]/100)*(VLOOKUP(Table2[[#This Row],[Visitor/Neutral]],OFR_lookup,2,FALSE)+VLOOKUP(Table2[[#This Row],[Home/Neutral]],def_diff_lookup,6,FALSE))</f>
        <v>109.50745266666665</v>
      </c>
      <c r="O878" s="21"/>
      <c r="P878" s="21"/>
      <c r="Q878">
        <f>VLOOKUP(Table2[[#This Row],[Home/Neutral]],pace_lookup,7,FALSE)</f>
        <v>100.2</v>
      </c>
      <c r="R878" s="5">
        <f>VLOOKUP(Table2[[#This Row],[Visitor/Neutral]],pace_lookup,7,FALSE)</f>
        <v>93.4</v>
      </c>
      <c r="S878" s="7"/>
      <c r="U878" s="15"/>
      <c r="W878" s="2">
        <f>-home-VLOOKUP(Table2[[#This Row],[Home/Neutral]],rtg_vlookup,4,FALSE)+VLOOKUP(Table2[[#This Row],[Visitor/Neutral]],rtg_vlookup,4,FALSE)</f>
        <v>6.8613114754098339</v>
      </c>
      <c r="X878" s="15"/>
      <c r="Y878" s="2"/>
      <c r="Z878" s="2">
        <f>Table2[[#This Row],[A/EV]]-Table2[[#This Row],[H/EV]]</f>
        <v>1.0621843392193284</v>
      </c>
      <c r="AA878" s="29"/>
      <c r="AB878" s="30"/>
      <c r="AC878" s="30"/>
      <c r="AD878" s="30"/>
      <c r="AE878" s="30"/>
      <c r="AF878" s="7" t="b">
        <f>IF(VLOOKUP(Table2[[#This Row],[Home/Neutral]],division_lookup,9,FALSE)=VLOOKUP(Table2[[#This Row],[Visitor/Neutral]],division_lookup,9,FALSE),TRUE,FALSE)</f>
        <v>0</v>
      </c>
      <c r="AG878" s="15" t="str">
        <f>VLOOKUP(Table2[[#This Row],[Home/Neutral]],division_lookup,9,FALSE)</f>
        <v>P</v>
      </c>
      <c r="AH878" s="15" t="str">
        <f>IF(Table2[[#This Row],[Total/EV]]&lt;Table2[[#This Row],[Total/V]],"UNDER","OVER")</f>
        <v>OVER</v>
      </c>
      <c r="AI878" s="26">
        <f>Table2[[#This Row],[SRS/Real]]-Table2[[#This Row],[Spread/V]]</f>
        <v>0</v>
      </c>
      <c r="AJ878" s="2">
        <f>Table2[[#This Row],[EV/Real]]-Table2[[#This Row],[Spread/V]]</f>
        <v>0</v>
      </c>
      <c r="AK878" s="2">
        <f>Table2[[#This Row],[SRS/Diff]]-Table2[[#This Row],[EV/Diff]]</f>
        <v>0</v>
      </c>
      <c r="AL878" s="18">
        <f>Table2[[#This Row],[SRS]]-Table2[[#This Row],[Spread]]</f>
        <v>6.8613114754098339</v>
      </c>
      <c r="AM878" s="21">
        <f>Table2[[#This Row],[(A) Err]]^2</f>
        <v>47.077595162590669</v>
      </c>
      <c r="AN878" s="6">
        <f>Table2[[#This Row],[EV]]-Table2[[#This Row],[Spread]]</f>
        <v>1.0621843392193284</v>
      </c>
      <c r="AO878" s="1">
        <f>Table2[[#This Row],[EV Err]]^2</f>
        <v>1.1282355704828013</v>
      </c>
      <c r="AP878" s="1"/>
    </row>
    <row r="879" spans="1:42" x14ac:dyDescent="0.25">
      <c r="A879" s="34">
        <v>42792</v>
      </c>
      <c r="B879" t="s">
        <v>125</v>
      </c>
      <c r="C879" t="s">
        <v>131</v>
      </c>
      <c r="E879" s="21"/>
      <c r="G879" s="21"/>
      <c r="H879" s="7"/>
      <c r="I879" s="21"/>
      <c r="K879"/>
      <c r="L879" s="21">
        <f>(Table2[[#This Row],[H/Pace]]/100)*(VLOOKUP(Table2[[#This Row],[Home/Neutral]],home_lookup,8,FALSE)+VLOOKUP(Table2[[#This Row],[Home/Neutral]],OFR_lookup,2,FALSE)+VLOOKUP(Table2[[#This Row],[Visitor/Neutral]],def_diff_lookup,6,FALSE))</f>
        <v>109.58360550061909</v>
      </c>
      <c r="M879" s="21"/>
      <c r="N879" s="21">
        <f>(Table2[[#This Row],[A/Pace]]/100)*(VLOOKUP(Table2[[#This Row],[Visitor/Neutral]],OFR_lookup,2,FALSE)+VLOOKUP(Table2[[#This Row],[Home/Neutral]],def_diff_lookup,6,FALSE))</f>
        <v>105.234753</v>
      </c>
      <c r="O879" s="21"/>
      <c r="P879" s="21"/>
      <c r="Q879">
        <f>VLOOKUP(Table2[[#This Row],[Home/Neutral]],pace_lookup,7,FALSE)</f>
        <v>96.1</v>
      </c>
      <c r="R879" s="5">
        <f>VLOOKUP(Table2[[#This Row],[Visitor/Neutral]],pace_lookup,7,FALSE)</f>
        <v>101.7</v>
      </c>
      <c r="S879" s="7"/>
      <c r="U879" s="15"/>
      <c r="W879" s="2">
        <f>-home-VLOOKUP(Table2[[#This Row],[Home/Neutral]],rtg_vlookup,4,FALSE)+VLOOKUP(Table2[[#This Row],[Visitor/Neutral]],rtg_vlookup,4,FALSE)</f>
        <v>-6.6786885245901662</v>
      </c>
      <c r="X879" s="15"/>
      <c r="Y879" s="2"/>
      <c r="Z879" s="2">
        <f>Table2[[#This Row],[A/EV]]-Table2[[#This Row],[H/EV]]</f>
        <v>-4.3488525006190883</v>
      </c>
      <c r="AA879" s="29"/>
      <c r="AB879" s="30"/>
      <c r="AC879" s="30"/>
      <c r="AD879" s="30"/>
      <c r="AE879" s="30"/>
      <c r="AF879" s="7" t="b">
        <f>IF(VLOOKUP(Table2[[#This Row],[Home/Neutral]],division_lookup,9,FALSE)=VLOOKUP(Table2[[#This Row],[Visitor/Neutral]],division_lookup,9,FALSE),TRUE,FALSE)</f>
        <v>0</v>
      </c>
      <c r="AG879" s="15" t="str">
        <f>VLOOKUP(Table2[[#This Row],[Home/Neutral]],division_lookup,9,FALSE)</f>
        <v>C</v>
      </c>
      <c r="AH879" s="15" t="str">
        <f>IF(Table2[[#This Row],[Total/EV]]&lt;Table2[[#This Row],[Total/V]],"UNDER","OVER")</f>
        <v>OVER</v>
      </c>
      <c r="AI879" s="26">
        <f>Table2[[#This Row],[SRS/Real]]-Table2[[#This Row],[Spread/V]]</f>
        <v>0</v>
      </c>
      <c r="AJ879" s="2">
        <f>Table2[[#This Row],[EV/Real]]-Table2[[#This Row],[Spread/V]]</f>
        <v>0</v>
      </c>
      <c r="AK879" s="2">
        <f>Table2[[#This Row],[SRS/Diff]]-Table2[[#This Row],[EV/Diff]]</f>
        <v>0</v>
      </c>
      <c r="AL879" s="18">
        <f>Table2[[#This Row],[SRS]]-Table2[[#This Row],[Spread]]</f>
        <v>-6.6786885245901662</v>
      </c>
      <c r="AM879" s="21">
        <f>Table2[[#This Row],[(A) Err]]^2</f>
        <v>44.60488040849237</v>
      </c>
      <c r="AN879" s="6">
        <f>Table2[[#This Row],[EV]]-Table2[[#This Row],[Spread]]</f>
        <v>-4.3488525006190883</v>
      </c>
      <c r="AO879" s="1">
        <f>Table2[[#This Row],[EV Err]]^2</f>
        <v>18.912518072140898</v>
      </c>
      <c r="AP879" s="1"/>
    </row>
    <row r="880" spans="1:42" x14ac:dyDescent="0.25">
      <c r="A880" s="34">
        <v>42792</v>
      </c>
      <c r="B880" t="s">
        <v>129</v>
      </c>
      <c r="C880" t="s">
        <v>127</v>
      </c>
      <c r="E880" s="21"/>
      <c r="G880" s="21"/>
      <c r="H880" s="7"/>
      <c r="I880" s="21"/>
      <c r="K880"/>
      <c r="L880" s="21">
        <f>(Table2[[#This Row],[H/Pace]]/100)*(VLOOKUP(Table2[[#This Row],[Home/Neutral]],home_lookup,8,FALSE)+VLOOKUP(Table2[[#This Row],[Home/Neutral]],OFR_lookup,2,FALSE)+VLOOKUP(Table2[[#This Row],[Visitor/Neutral]],def_diff_lookup,6,FALSE))</f>
        <v>106.12430376890107</v>
      </c>
      <c r="M880" s="21"/>
      <c r="N880" s="21">
        <f>(Table2[[#This Row],[A/Pace]]/100)*(VLOOKUP(Table2[[#This Row],[Visitor/Neutral]],OFR_lookup,2,FALSE)+VLOOKUP(Table2[[#This Row],[Home/Neutral]],def_diff_lookup,6,FALSE))</f>
        <v>100.07023699999999</v>
      </c>
      <c r="O880" s="21"/>
      <c r="P880" s="21"/>
      <c r="Q880">
        <f>VLOOKUP(Table2[[#This Row],[Home/Neutral]],pace_lookup,7,FALSE)</f>
        <v>99</v>
      </c>
      <c r="R880" s="5">
        <f>VLOOKUP(Table2[[#This Row],[Visitor/Neutral]],pace_lookup,7,FALSE)</f>
        <v>99.3</v>
      </c>
      <c r="S880" s="7"/>
      <c r="U880" s="15"/>
      <c r="W880" s="2">
        <f>-home-VLOOKUP(Table2[[#This Row],[Home/Neutral]],rtg_vlookup,4,FALSE)+VLOOKUP(Table2[[#This Row],[Visitor/Neutral]],rtg_vlookup,4,FALSE)</f>
        <v>-6.9486885245901657</v>
      </c>
      <c r="X880" s="15"/>
      <c r="Y880" s="2"/>
      <c r="Z880" s="2">
        <f>Table2[[#This Row],[A/EV]]-Table2[[#This Row],[H/EV]]</f>
        <v>-6.0540667689010803</v>
      </c>
      <c r="AA880" s="29"/>
      <c r="AB880" s="30"/>
      <c r="AC880" s="30"/>
      <c r="AD880" s="30"/>
      <c r="AE880" s="30"/>
      <c r="AF880" s="7" t="b">
        <f>IF(VLOOKUP(Table2[[#This Row],[Home/Neutral]],division_lookup,9,FALSE)=VLOOKUP(Table2[[#This Row],[Visitor/Neutral]],division_lookup,9,FALSE),TRUE,FALSE)</f>
        <v>0</v>
      </c>
      <c r="AG880" s="15" t="str">
        <f>VLOOKUP(Table2[[#This Row],[Home/Neutral]],division_lookup,9,FALSE)</f>
        <v>NW</v>
      </c>
      <c r="AH880" s="15" t="str">
        <f>IF(Table2[[#This Row],[Total/EV]]&lt;Table2[[#This Row],[Total/V]],"UNDER","OVER")</f>
        <v>OVER</v>
      </c>
      <c r="AI880" s="26">
        <f>Table2[[#This Row],[SRS/Real]]-Table2[[#This Row],[Spread/V]]</f>
        <v>0</v>
      </c>
      <c r="AJ880" s="2">
        <f>Table2[[#This Row],[EV/Real]]-Table2[[#This Row],[Spread/V]]</f>
        <v>0</v>
      </c>
      <c r="AK880" s="2">
        <f>Table2[[#This Row],[SRS/Diff]]-Table2[[#This Row],[EV/Diff]]</f>
        <v>0</v>
      </c>
      <c r="AL880" s="18">
        <f>Table2[[#This Row],[SRS]]-Table2[[#This Row],[Spread]]</f>
        <v>-6.9486885245901657</v>
      </c>
      <c r="AM880" s="21">
        <f>Table2[[#This Row],[(A) Err]]^2</f>
        <v>48.284272211771054</v>
      </c>
      <c r="AN880" s="6">
        <f>Table2[[#This Row],[EV]]-Table2[[#This Row],[Spread]]</f>
        <v>-6.0540667689010803</v>
      </c>
      <c r="AO880" s="1">
        <f>Table2[[#This Row],[EV Err]]^2</f>
        <v>36.651724442312364</v>
      </c>
      <c r="AP880" s="1"/>
    </row>
    <row r="881" spans="1:42" x14ac:dyDescent="0.25">
      <c r="A881" s="34">
        <v>42792</v>
      </c>
      <c r="B881" t="s">
        <v>135</v>
      </c>
      <c r="C881" t="s">
        <v>132</v>
      </c>
      <c r="E881" s="21"/>
      <c r="G881" s="21"/>
      <c r="H881" s="7"/>
      <c r="I881" s="21"/>
      <c r="K881"/>
      <c r="L881" s="21">
        <f>(Table2[[#This Row],[H/Pace]]/100)*(VLOOKUP(Table2[[#This Row],[Home/Neutral]],home_lookup,8,FALSE)+VLOOKUP(Table2[[#This Row],[Home/Neutral]],OFR_lookup,2,FALSE)+VLOOKUP(Table2[[#This Row],[Visitor/Neutral]],def_diff_lookup,6,FALSE))</f>
        <v>114.92508035324614</v>
      </c>
      <c r="M881" s="21"/>
      <c r="N881" s="21">
        <f>(Table2[[#This Row],[A/Pace]]/100)*(VLOOKUP(Table2[[#This Row],[Visitor/Neutral]],OFR_lookup,2,FALSE)+VLOOKUP(Table2[[#This Row],[Home/Neutral]],def_diff_lookup,6,FALSE))</f>
        <v>109.30803866666666</v>
      </c>
      <c r="O881" s="21"/>
      <c r="P881" s="21"/>
      <c r="Q881">
        <f>VLOOKUP(Table2[[#This Row],[Home/Neutral]],pace_lookup,7,FALSE)</f>
        <v>95.4</v>
      </c>
      <c r="R881" s="5">
        <f>VLOOKUP(Table2[[#This Row],[Visitor/Neutral]],pace_lookup,7,FALSE)</f>
        <v>98.8</v>
      </c>
      <c r="S881" s="7"/>
      <c r="U881" s="15"/>
      <c r="W881" s="2">
        <f>-home-VLOOKUP(Table2[[#This Row],[Home/Neutral]],rtg_vlookup,4,FALSE)+VLOOKUP(Table2[[#This Row],[Visitor/Neutral]],rtg_vlookup,4,FALSE)</f>
        <v>-11.158688524590165</v>
      </c>
      <c r="X881" s="15"/>
      <c r="Y881" s="2"/>
      <c r="Z881" s="2">
        <f>Table2[[#This Row],[A/EV]]-Table2[[#This Row],[H/EV]]</f>
        <v>-5.6170416865794834</v>
      </c>
      <c r="AA881" s="29"/>
      <c r="AB881" s="30"/>
      <c r="AC881" s="30"/>
      <c r="AD881" s="30"/>
      <c r="AE881" s="30"/>
      <c r="AF881" s="7" t="b">
        <f>IF(VLOOKUP(Table2[[#This Row],[Home/Neutral]],division_lookup,9,FALSE)=VLOOKUP(Table2[[#This Row],[Visitor/Neutral]],division_lookup,9,FALSE),TRUE,FALSE)</f>
        <v>0</v>
      </c>
      <c r="AG881" s="15" t="str">
        <f>VLOOKUP(Table2[[#This Row],[Home/Neutral]],division_lookup,9,FALSE)</f>
        <v>A</v>
      </c>
      <c r="AH881" s="15" t="str">
        <f>IF(Table2[[#This Row],[Total/EV]]&lt;Table2[[#This Row],[Total/V]],"UNDER","OVER")</f>
        <v>OVER</v>
      </c>
      <c r="AI881" s="26">
        <f>Table2[[#This Row],[SRS/Real]]-Table2[[#This Row],[Spread/V]]</f>
        <v>0</v>
      </c>
      <c r="AJ881" s="2">
        <f>Table2[[#This Row],[EV/Real]]-Table2[[#This Row],[Spread/V]]</f>
        <v>0</v>
      </c>
      <c r="AK881" s="2">
        <f>Table2[[#This Row],[SRS/Diff]]-Table2[[#This Row],[EV/Diff]]</f>
        <v>0</v>
      </c>
      <c r="AL881" s="18">
        <f>Table2[[#This Row],[SRS]]-Table2[[#This Row],[Spread]]</f>
        <v>-11.158688524590165</v>
      </c>
      <c r="AM881" s="21">
        <f>Table2[[#This Row],[(A) Err]]^2</f>
        <v>124.51632958882023</v>
      </c>
      <c r="AN881" s="6">
        <f>Table2[[#This Row],[EV]]-Table2[[#This Row],[Spread]]</f>
        <v>-5.6170416865794834</v>
      </c>
      <c r="AO881" s="1">
        <f>Table2[[#This Row],[EV Err]]^2</f>
        <v>31.551157308771689</v>
      </c>
      <c r="AP881" s="1"/>
    </row>
    <row r="882" spans="1:42" x14ac:dyDescent="0.25">
      <c r="A882" s="34">
        <v>42792</v>
      </c>
      <c r="B882" t="s">
        <v>137</v>
      </c>
      <c r="C882" t="s">
        <v>136</v>
      </c>
      <c r="E882" s="21"/>
      <c r="G882" s="21"/>
      <c r="H882" s="7"/>
      <c r="I882" s="21"/>
      <c r="K882"/>
      <c r="L882" s="21">
        <f>(Table2[[#This Row],[H/Pace]]/100)*(VLOOKUP(Table2[[#This Row],[Home/Neutral]],home_lookup,8,FALSE)+VLOOKUP(Table2[[#This Row],[Home/Neutral]],OFR_lookup,2,FALSE)+VLOOKUP(Table2[[#This Row],[Visitor/Neutral]],def_diff_lookup,6,FALSE))</f>
        <v>103.58653255421871</v>
      </c>
      <c r="M882" s="21"/>
      <c r="N882" s="21">
        <f>(Table2[[#This Row],[A/Pace]]/100)*(VLOOKUP(Table2[[#This Row],[Visitor/Neutral]],OFR_lookup,2,FALSE)+VLOOKUP(Table2[[#This Row],[Home/Neutral]],def_diff_lookup,6,FALSE))</f>
        <v>100.58198499999999</v>
      </c>
      <c r="O882" s="21"/>
      <c r="P882" s="21"/>
      <c r="Q882">
        <f>VLOOKUP(Table2[[#This Row],[Home/Neutral]],pace_lookup,7,FALSE)</f>
        <v>96</v>
      </c>
      <c r="R882" s="5">
        <f>VLOOKUP(Table2[[#This Row],[Visitor/Neutral]],pace_lookup,7,FALSE)</f>
        <v>91.5</v>
      </c>
      <c r="S882" s="7"/>
      <c r="U882" s="15"/>
      <c r="W882" s="2">
        <f>-home-VLOOKUP(Table2[[#This Row],[Home/Neutral]],rtg_vlookup,4,FALSE)+VLOOKUP(Table2[[#This Row],[Visitor/Neutral]],rtg_vlookup,4,FALSE)</f>
        <v>4.4613114754098344</v>
      </c>
      <c r="X882" s="15"/>
      <c r="Y882" s="2"/>
      <c r="Z882" s="2">
        <f>Table2[[#This Row],[A/EV]]-Table2[[#This Row],[H/EV]]</f>
        <v>-3.0045475542187177</v>
      </c>
      <c r="AA882" s="29"/>
      <c r="AB882" s="30"/>
      <c r="AC882" s="30"/>
      <c r="AD882" s="30"/>
      <c r="AE882" s="30"/>
      <c r="AF882" s="7" t="b">
        <f>IF(VLOOKUP(Table2[[#This Row],[Home/Neutral]],division_lookup,9,FALSE)=VLOOKUP(Table2[[#This Row],[Visitor/Neutral]],division_lookup,9,FALSE),TRUE,FALSE)</f>
        <v>0</v>
      </c>
      <c r="AG882" s="15" t="str">
        <f>VLOOKUP(Table2[[#This Row],[Home/Neutral]],division_lookup,9,FALSE)</f>
        <v>SE</v>
      </c>
      <c r="AH882" s="15" t="str">
        <f>IF(Table2[[#This Row],[Total/EV]]&lt;Table2[[#This Row],[Total/V]],"UNDER","OVER")</f>
        <v>OVER</v>
      </c>
      <c r="AI882" s="26">
        <f>Table2[[#This Row],[SRS/Real]]-Table2[[#This Row],[Spread/V]]</f>
        <v>0</v>
      </c>
      <c r="AJ882" s="2">
        <f>Table2[[#This Row],[EV/Real]]-Table2[[#This Row],[Spread/V]]</f>
        <v>0</v>
      </c>
      <c r="AK882" s="2">
        <f>Table2[[#This Row],[SRS/Diff]]-Table2[[#This Row],[EV/Diff]]</f>
        <v>0</v>
      </c>
      <c r="AL882" s="18">
        <f>Table2[[#This Row],[SRS]]-Table2[[#This Row],[Spread]]</f>
        <v>4.4613114754098344</v>
      </c>
      <c r="AM882" s="21">
        <f>Table2[[#This Row],[(A) Err]]^2</f>
        <v>19.903300080623474</v>
      </c>
      <c r="AN882" s="6">
        <f>Table2[[#This Row],[EV]]-Table2[[#This Row],[Spread]]</f>
        <v>-3.0045475542187177</v>
      </c>
      <c r="AO882" s="1">
        <f>Table2[[#This Row],[EV Err]]^2</f>
        <v>9.0273060055616785</v>
      </c>
      <c r="AP882" s="1"/>
    </row>
    <row r="883" spans="1:42" x14ac:dyDescent="0.25">
      <c r="A883" s="34">
        <v>42793</v>
      </c>
      <c r="B883" t="s">
        <v>110</v>
      </c>
      <c r="C883" t="s">
        <v>109</v>
      </c>
      <c r="E883" s="21"/>
      <c r="G883" s="21"/>
      <c r="H883" s="7"/>
      <c r="I883" s="21"/>
      <c r="K883"/>
      <c r="L883" s="21">
        <f>(Table2[[#This Row],[H/Pace]]/100)*(VLOOKUP(Table2[[#This Row],[Home/Neutral]],home_lookup,8,FALSE)+VLOOKUP(Table2[[#This Row],[Home/Neutral]],OFR_lookup,2,FALSE)+VLOOKUP(Table2[[#This Row],[Visitor/Neutral]],def_diff_lookup,6,FALSE))</f>
        <v>99.154131189009391</v>
      </c>
      <c r="M883" s="21"/>
      <c r="N883" s="21">
        <f>(Table2[[#This Row],[A/Pace]]/100)*(VLOOKUP(Table2[[#This Row],[Visitor/Neutral]],OFR_lookup,2,FALSE)+VLOOKUP(Table2[[#This Row],[Home/Neutral]],def_diff_lookup,6,FALSE))</f>
        <v>101.97330133333332</v>
      </c>
      <c r="O883" s="21"/>
      <c r="P883" s="21"/>
      <c r="Q883">
        <f>VLOOKUP(Table2[[#This Row],[Home/Neutral]],pace_lookup,7,FALSE)</f>
        <v>96.2</v>
      </c>
      <c r="R883" s="5">
        <f>VLOOKUP(Table2[[#This Row],[Visitor/Neutral]],pace_lookup,7,FALSE)</f>
        <v>99.2</v>
      </c>
      <c r="S883" s="7"/>
      <c r="U883" s="15"/>
      <c r="W883" s="2">
        <f>-home-VLOOKUP(Table2[[#This Row],[Home/Neutral]],rtg_vlookup,4,FALSE)+VLOOKUP(Table2[[#This Row],[Visitor/Neutral]],rtg_vlookup,4,FALSE)</f>
        <v>-0.97868852459016553</v>
      </c>
      <c r="X883" s="15"/>
      <c r="Y883" s="2"/>
      <c r="Z883" s="2">
        <f>Table2[[#This Row],[A/EV]]-Table2[[#This Row],[H/EV]]</f>
        <v>2.8191701443239339</v>
      </c>
      <c r="AA883" s="29"/>
      <c r="AB883" s="30"/>
      <c r="AC883" s="30"/>
      <c r="AD883" s="30"/>
      <c r="AE883" s="30"/>
      <c r="AF883" s="7" t="b">
        <f>IF(VLOOKUP(Table2[[#This Row],[Home/Neutral]],division_lookup,9,FALSE)=VLOOKUP(Table2[[#This Row],[Visitor/Neutral]],division_lookup,9,FALSE),TRUE,FALSE)</f>
        <v>0</v>
      </c>
      <c r="AG883" s="15" t="str">
        <f>VLOOKUP(Table2[[#This Row],[Home/Neutral]],division_lookup,9,FALSE)</f>
        <v>A</v>
      </c>
      <c r="AH883" s="15" t="str">
        <f>IF(Table2[[#This Row],[Total/EV]]&lt;Table2[[#This Row],[Total/V]],"UNDER","OVER")</f>
        <v>OVER</v>
      </c>
      <c r="AI883" s="26">
        <f>Table2[[#This Row],[SRS/Real]]-Table2[[#This Row],[Spread/V]]</f>
        <v>0</v>
      </c>
      <c r="AJ883" s="2">
        <f>Table2[[#This Row],[EV/Real]]-Table2[[#This Row],[Spread/V]]</f>
        <v>0</v>
      </c>
      <c r="AK883" s="2">
        <f>Table2[[#This Row],[SRS/Diff]]-Table2[[#This Row],[EV/Diff]]</f>
        <v>0</v>
      </c>
      <c r="AL883" s="18">
        <f>Table2[[#This Row],[SRS]]-Table2[[#This Row],[Spread]]</f>
        <v>-0.97868852459016553</v>
      </c>
      <c r="AM883" s="21">
        <f>Table2[[#This Row],[(A) Err]]^2</f>
        <v>0.95783122816447508</v>
      </c>
      <c r="AN883" s="6">
        <f>Table2[[#This Row],[EV]]-Table2[[#This Row],[Spread]]</f>
        <v>2.8191701443239339</v>
      </c>
      <c r="AO883" s="1">
        <f>Table2[[#This Row],[EV Err]]^2</f>
        <v>7.9477203026474301</v>
      </c>
      <c r="AP883" s="1"/>
    </row>
    <row r="884" spans="1:42" x14ac:dyDescent="0.25">
      <c r="A884" s="34">
        <v>42793</v>
      </c>
      <c r="B884" t="s">
        <v>114</v>
      </c>
      <c r="C884" t="s">
        <v>125</v>
      </c>
      <c r="E884" s="21"/>
      <c r="G884" s="21"/>
      <c r="H884" s="7"/>
      <c r="I884" s="21"/>
      <c r="K884"/>
      <c r="L884" s="21">
        <f>(Table2[[#This Row],[H/Pace]]/100)*(VLOOKUP(Table2[[#This Row],[Home/Neutral]],home_lookup,8,FALSE)+VLOOKUP(Table2[[#This Row],[Home/Neutral]],OFR_lookup,2,FALSE)+VLOOKUP(Table2[[#This Row],[Visitor/Neutral]],def_diff_lookup,6,FALSE))</f>
        <v>116.29472276756466</v>
      </c>
      <c r="M884" s="21"/>
      <c r="N884" s="21">
        <f>(Table2[[#This Row],[A/Pace]]/100)*(VLOOKUP(Table2[[#This Row],[Visitor/Neutral]],OFR_lookup,2,FALSE)+VLOOKUP(Table2[[#This Row],[Home/Neutral]],def_diff_lookup,6,FALSE))</f>
        <v>101.59275566666666</v>
      </c>
      <c r="O884" s="21"/>
      <c r="P884" s="21"/>
      <c r="Q884">
        <f>VLOOKUP(Table2[[#This Row],[Home/Neutral]],pace_lookup,7,FALSE)</f>
        <v>97.3</v>
      </c>
      <c r="R884" s="5">
        <f>VLOOKUP(Table2[[#This Row],[Visitor/Neutral]],pace_lookup,7,FALSE)</f>
        <v>96.1</v>
      </c>
      <c r="S884" s="7"/>
      <c r="U884" s="15"/>
      <c r="W884" s="2">
        <f>-home-VLOOKUP(Table2[[#This Row],[Home/Neutral]],rtg_vlookup,4,FALSE)+VLOOKUP(Table2[[#This Row],[Visitor/Neutral]],rtg_vlookup,4,FALSE)</f>
        <v>-13.908688524590167</v>
      </c>
      <c r="X884" s="15"/>
      <c r="Y884" s="2"/>
      <c r="Z884" s="2">
        <f>Table2[[#This Row],[A/EV]]-Table2[[#This Row],[H/EV]]</f>
        <v>-14.701967100898003</v>
      </c>
      <c r="AA884" s="29"/>
      <c r="AB884" s="30"/>
      <c r="AC884" s="30"/>
      <c r="AD884" s="30"/>
      <c r="AE884" s="30"/>
      <c r="AF884" s="7" t="b">
        <f>IF(VLOOKUP(Table2[[#This Row],[Home/Neutral]],division_lookup,9,FALSE)=VLOOKUP(Table2[[#This Row],[Visitor/Neutral]],division_lookup,9,FALSE),TRUE,FALSE)</f>
        <v>1</v>
      </c>
      <c r="AG884" s="15" t="str">
        <f>VLOOKUP(Table2[[#This Row],[Home/Neutral]],division_lookup,9,FALSE)</f>
        <v>C</v>
      </c>
      <c r="AH884" s="15" t="str">
        <f>IF(Table2[[#This Row],[Total/EV]]&lt;Table2[[#This Row],[Total/V]],"UNDER","OVER")</f>
        <v>OVER</v>
      </c>
      <c r="AI884" s="26">
        <f>Table2[[#This Row],[SRS/Real]]-Table2[[#This Row],[Spread/V]]</f>
        <v>0</v>
      </c>
      <c r="AJ884" s="2">
        <f>Table2[[#This Row],[EV/Real]]-Table2[[#This Row],[Spread/V]]</f>
        <v>0</v>
      </c>
      <c r="AK884" s="2">
        <f>Table2[[#This Row],[SRS/Diff]]-Table2[[#This Row],[EV/Diff]]</f>
        <v>0</v>
      </c>
      <c r="AL884" s="18">
        <f>Table2[[#This Row],[SRS]]-Table2[[#This Row],[Spread]]</f>
        <v>-13.908688524590167</v>
      </c>
      <c r="AM884" s="21">
        <f>Table2[[#This Row],[(A) Err]]^2</f>
        <v>193.45161647406618</v>
      </c>
      <c r="AN884" s="6">
        <f>Table2[[#This Row],[EV]]-Table2[[#This Row],[Spread]]</f>
        <v>-14.701967100898003</v>
      </c>
      <c r="AO884" s="1">
        <f>Table2[[#This Row],[EV Err]]^2</f>
        <v>216.14783663588722</v>
      </c>
      <c r="AP884" s="1"/>
    </row>
    <row r="885" spans="1:42" x14ac:dyDescent="0.25">
      <c r="A885" s="34">
        <v>42793</v>
      </c>
      <c r="B885" t="s">
        <v>115</v>
      </c>
      <c r="C885" t="s">
        <v>124</v>
      </c>
      <c r="E885" s="21"/>
      <c r="G885" s="21"/>
      <c r="H885" s="7"/>
      <c r="I885" s="21"/>
      <c r="K885"/>
      <c r="L885" s="21">
        <f>(Table2[[#This Row],[H/Pace]]/100)*(VLOOKUP(Table2[[#This Row],[Home/Neutral]],home_lookup,8,FALSE)+VLOOKUP(Table2[[#This Row],[Home/Neutral]],OFR_lookup,2,FALSE)+VLOOKUP(Table2[[#This Row],[Visitor/Neutral]],def_diff_lookup,6,FALSE))</f>
        <v>93.352583115967761</v>
      </c>
      <c r="M885" s="21"/>
      <c r="N885" s="21">
        <f>(Table2[[#This Row],[A/Pace]]/100)*(VLOOKUP(Table2[[#This Row],[Visitor/Neutral]],OFR_lookup,2,FALSE)+VLOOKUP(Table2[[#This Row],[Home/Neutral]],def_diff_lookup,6,FALSE))</f>
        <v>96.085289666666668</v>
      </c>
      <c r="O885" s="21"/>
      <c r="P885" s="21"/>
      <c r="Q885">
        <f>VLOOKUP(Table2[[#This Row],[Home/Neutral]],pace_lookup,7,FALSE)</f>
        <v>92.9</v>
      </c>
      <c r="R885" s="5">
        <f>VLOOKUP(Table2[[#This Row],[Visitor/Neutral]],pace_lookup,7,FALSE)</f>
        <v>93.7</v>
      </c>
      <c r="S885" s="7"/>
      <c r="U885" s="15"/>
      <c r="W885" s="2">
        <f>-home-VLOOKUP(Table2[[#This Row],[Home/Neutral]],rtg_vlookup,4,FALSE)+VLOOKUP(Table2[[#This Row],[Visitor/Neutral]],rtg_vlookup,4,FALSE)</f>
        <v>4.8813114754098335</v>
      </c>
      <c r="X885" s="15"/>
      <c r="Y885" s="2"/>
      <c r="Z885" s="2">
        <f>Table2[[#This Row],[A/EV]]-Table2[[#This Row],[H/EV]]</f>
        <v>2.7327065506989072</v>
      </c>
      <c r="AA885" s="29"/>
      <c r="AB885" s="30"/>
      <c r="AC885" s="30"/>
      <c r="AD885" s="30"/>
      <c r="AE885" s="30"/>
      <c r="AF885" s="7" t="b">
        <f>IF(VLOOKUP(Table2[[#This Row],[Home/Neutral]],division_lookup,9,FALSE)=VLOOKUP(Table2[[#This Row],[Visitor/Neutral]],division_lookup,9,FALSE),TRUE,FALSE)</f>
        <v>0</v>
      </c>
      <c r="AG885" s="15" t="str">
        <f>VLOOKUP(Table2[[#This Row],[Home/Neutral]],division_lookup,9,FALSE)</f>
        <v>SW</v>
      </c>
      <c r="AH885" s="15" t="str">
        <f>IF(Table2[[#This Row],[Total/EV]]&lt;Table2[[#This Row],[Total/V]],"UNDER","OVER")</f>
        <v>OVER</v>
      </c>
      <c r="AI885" s="26">
        <f>Table2[[#This Row],[SRS/Real]]-Table2[[#This Row],[Spread/V]]</f>
        <v>0</v>
      </c>
      <c r="AJ885" s="2">
        <f>Table2[[#This Row],[EV/Real]]-Table2[[#This Row],[Spread/V]]</f>
        <v>0</v>
      </c>
      <c r="AK885" s="2">
        <f>Table2[[#This Row],[SRS/Diff]]-Table2[[#This Row],[EV/Diff]]</f>
        <v>0</v>
      </c>
      <c r="AL885" s="18">
        <f>Table2[[#This Row],[SRS]]-Table2[[#This Row],[Spread]]</f>
        <v>4.8813114754098335</v>
      </c>
      <c r="AM885" s="21">
        <f>Table2[[#This Row],[(A) Err]]^2</f>
        <v>23.827201719967725</v>
      </c>
      <c r="AN885" s="6">
        <f>Table2[[#This Row],[EV]]-Table2[[#This Row],[Spread]]</f>
        <v>2.7327065506989072</v>
      </c>
      <c r="AO885" s="1">
        <f>Table2[[#This Row],[EV Err]]^2</f>
        <v>7.4676850922327196</v>
      </c>
      <c r="AP885" s="1"/>
    </row>
    <row r="886" spans="1:42" x14ac:dyDescent="0.25">
      <c r="A886" s="34">
        <v>42793</v>
      </c>
      <c r="B886" t="s">
        <v>119</v>
      </c>
      <c r="C886" t="s">
        <v>120</v>
      </c>
      <c r="E886" s="21"/>
      <c r="G886" s="21"/>
      <c r="H886" s="7"/>
      <c r="I886" s="21"/>
      <c r="K886"/>
      <c r="L886" s="21">
        <f>(Table2[[#This Row],[H/Pace]]/100)*(VLOOKUP(Table2[[#This Row],[Home/Neutral]],home_lookup,8,FALSE)+VLOOKUP(Table2[[#This Row],[Home/Neutral]],OFR_lookup,2,FALSE)+VLOOKUP(Table2[[#This Row],[Visitor/Neutral]],def_diff_lookup,6,FALSE))</f>
        <v>110.61525376977627</v>
      </c>
      <c r="M886" s="21"/>
      <c r="N886" s="21">
        <f>(Table2[[#This Row],[A/Pace]]/100)*(VLOOKUP(Table2[[#This Row],[Visitor/Neutral]],OFR_lookup,2,FALSE)+VLOOKUP(Table2[[#This Row],[Home/Neutral]],def_diff_lookup,6,FALSE))</f>
        <v>104.61643033333334</v>
      </c>
      <c r="O886" s="21"/>
      <c r="P886" s="21"/>
      <c r="Q886">
        <f>VLOOKUP(Table2[[#This Row],[Home/Neutral]],pace_lookup,7,FALSE)</f>
        <v>96.9</v>
      </c>
      <c r="R886" s="5">
        <f>VLOOKUP(Table2[[#This Row],[Visitor/Neutral]],pace_lookup,7,FALSE)</f>
        <v>98.3</v>
      </c>
      <c r="S886" s="7"/>
      <c r="U886" s="15"/>
      <c r="W886" s="2">
        <f>-home-VLOOKUP(Table2[[#This Row],[Home/Neutral]],rtg_vlookup,4,FALSE)+VLOOKUP(Table2[[#This Row],[Visitor/Neutral]],rtg_vlookup,4,FALSE)</f>
        <v>-11.158688524590165</v>
      </c>
      <c r="X886" s="15"/>
      <c r="Y886" s="2"/>
      <c r="Z886" s="2">
        <f>Table2[[#This Row],[A/EV]]-Table2[[#This Row],[H/EV]]</f>
        <v>-5.9988234364429331</v>
      </c>
      <c r="AA886" s="29"/>
      <c r="AB886" s="30"/>
      <c r="AC886" s="30"/>
      <c r="AD886" s="30"/>
      <c r="AE886" s="30"/>
      <c r="AF886" s="7" t="b">
        <f>IF(VLOOKUP(Table2[[#This Row],[Home/Neutral]],division_lookup,9,FALSE)=VLOOKUP(Table2[[#This Row],[Visitor/Neutral]],division_lookup,9,FALSE),TRUE,FALSE)</f>
        <v>0</v>
      </c>
      <c r="AG886" s="15" t="str">
        <f>VLOOKUP(Table2[[#This Row],[Home/Neutral]],division_lookup,9,FALSE)</f>
        <v>SW</v>
      </c>
      <c r="AH886" s="15" t="str">
        <f>IF(Table2[[#This Row],[Total/EV]]&lt;Table2[[#This Row],[Total/V]],"UNDER","OVER")</f>
        <v>OVER</v>
      </c>
      <c r="AI886" s="26">
        <f>Table2[[#This Row],[SRS/Real]]-Table2[[#This Row],[Spread/V]]</f>
        <v>0</v>
      </c>
      <c r="AJ886" s="2">
        <f>Table2[[#This Row],[EV/Real]]-Table2[[#This Row],[Spread/V]]</f>
        <v>0</v>
      </c>
      <c r="AK886" s="2">
        <f>Table2[[#This Row],[SRS/Diff]]-Table2[[#This Row],[EV/Diff]]</f>
        <v>0</v>
      </c>
      <c r="AL886" s="18">
        <f>Table2[[#This Row],[SRS]]-Table2[[#This Row],[Spread]]</f>
        <v>-11.158688524590165</v>
      </c>
      <c r="AM886" s="21">
        <f>Table2[[#This Row],[(A) Err]]^2</f>
        <v>124.51632958882023</v>
      </c>
      <c r="AN886" s="6">
        <f>Table2[[#This Row],[EV]]-Table2[[#This Row],[Spread]]</f>
        <v>-5.9988234364429331</v>
      </c>
      <c r="AO886" s="1">
        <f>Table2[[#This Row],[EV Err]]^2</f>
        <v>35.985882621617002</v>
      </c>
      <c r="AP886" s="1"/>
    </row>
    <row r="887" spans="1:42" x14ac:dyDescent="0.25">
      <c r="A887" s="34">
        <v>42793</v>
      </c>
      <c r="B887" t="s">
        <v>128</v>
      </c>
      <c r="C887" t="s">
        <v>135</v>
      </c>
      <c r="E887" s="21"/>
      <c r="G887" s="21"/>
      <c r="H887" s="7"/>
      <c r="I887" s="21"/>
      <c r="K887"/>
      <c r="L887" s="21">
        <f>(Table2[[#This Row],[H/Pace]]/100)*(VLOOKUP(Table2[[#This Row],[Home/Neutral]],home_lookup,8,FALSE)+VLOOKUP(Table2[[#This Row],[Home/Neutral]],OFR_lookup,2,FALSE)+VLOOKUP(Table2[[#This Row],[Visitor/Neutral]],def_diff_lookup,6,FALSE))</f>
        <v>109.26061987783019</v>
      </c>
      <c r="M887" s="21"/>
      <c r="N887" s="21">
        <f>(Table2[[#This Row],[A/Pace]]/100)*(VLOOKUP(Table2[[#This Row],[Visitor/Neutral]],OFR_lookup,2,FALSE)+VLOOKUP(Table2[[#This Row],[Home/Neutral]],def_diff_lookup,6,FALSE))</f>
        <v>111.270426</v>
      </c>
      <c r="O887" s="21"/>
      <c r="P887" s="21"/>
      <c r="Q887">
        <f>VLOOKUP(Table2[[#This Row],[Home/Neutral]],pace_lookup,7,FALSE)</f>
        <v>96.3</v>
      </c>
      <c r="R887" s="5">
        <f>VLOOKUP(Table2[[#This Row],[Visitor/Neutral]],pace_lookup,7,FALSE)</f>
        <v>95.4</v>
      </c>
      <c r="S887" s="7"/>
      <c r="U887" s="15"/>
      <c r="W887" s="2">
        <f>-home-VLOOKUP(Table2[[#This Row],[Home/Neutral]],rtg_vlookup,4,FALSE)+VLOOKUP(Table2[[#This Row],[Visitor/Neutral]],rtg_vlookup,4,FALSE)</f>
        <v>5.0213114754098349</v>
      </c>
      <c r="X887" s="15"/>
      <c r="Y887" s="2"/>
      <c r="Z887" s="2">
        <f>Table2[[#This Row],[A/EV]]-Table2[[#This Row],[H/EV]]</f>
        <v>2.009806122169806</v>
      </c>
      <c r="AA887" s="29"/>
      <c r="AB887" s="30"/>
      <c r="AC887" s="30"/>
      <c r="AD887" s="30"/>
      <c r="AE887" s="30"/>
      <c r="AF887" s="7" t="b">
        <f>IF(VLOOKUP(Table2[[#This Row],[Home/Neutral]],division_lookup,9,FALSE)=VLOOKUP(Table2[[#This Row],[Visitor/Neutral]],division_lookup,9,FALSE),TRUE,FALSE)</f>
        <v>1</v>
      </c>
      <c r="AG887" s="15" t="str">
        <f>VLOOKUP(Table2[[#This Row],[Home/Neutral]],division_lookup,9,FALSE)</f>
        <v>A</v>
      </c>
      <c r="AH887" s="15" t="str">
        <f>IF(Table2[[#This Row],[Total/EV]]&lt;Table2[[#This Row],[Total/V]],"UNDER","OVER")</f>
        <v>OVER</v>
      </c>
      <c r="AI887" s="26">
        <f>Table2[[#This Row],[SRS/Real]]-Table2[[#This Row],[Spread/V]]</f>
        <v>0</v>
      </c>
      <c r="AJ887" s="2">
        <f>Table2[[#This Row],[EV/Real]]-Table2[[#This Row],[Spread/V]]</f>
        <v>0</v>
      </c>
      <c r="AK887" s="2">
        <f>Table2[[#This Row],[SRS/Diff]]-Table2[[#This Row],[EV/Diff]]</f>
        <v>0</v>
      </c>
      <c r="AL887" s="18">
        <f>Table2[[#This Row],[SRS]]-Table2[[#This Row],[Spread]]</f>
        <v>5.0213114754098349</v>
      </c>
      <c r="AM887" s="21">
        <f>Table2[[#This Row],[(A) Err]]^2</f>
        <v>25.213568933082492</v>
      </c>
      <c r="AN887" s="6">
        <f>Table2[[#This Row],[EV]]-Table2[[#This Row],[Spread]]</f>
        <v>2.009806122169806</v>
      </c>
      <c r="AO887" s="1">
        <f>Table2[[#This Row],[EV Err]]^2</f>
        <v>4.0393206487112332</v>
      </c>
      <c r="AP887" s="1"/>
    </row>
    <row r="888" spans="1:42" x14ac:dyDescent="0.25">
      <c r="A888" s="34">
        <v>42793</v>
      </c>
      <c r="B888" t="s">
        <v>138</v>
      </c>
      <c r="C888" t="s">
        <v>118</v>
      </c>
      <c r="E888" s="21"/>
      <c r="G888" s="21"/>
      <c r="H888" s="7"/>
      <c r="I888" s="21"/>
      <c r="K888"/>
      <c r="L888" s="21">
        <f>(Table2[[#This Row],[H/Pace]]/100)*(VLOOKUP(Table2[[#This Row],[Home/Neutral]],home_lookup,8,FALSE)+VLOOKUP(Table2[[#This Row],[Home/Neutral]],OFR_lookup,2,FALSE)+VLOOKUP(Table2[[#This Row],[Visitor/Neutral]],def_diff_lookup,6,FALSE))</f>
        <v>97.993533531240104</v>
      </c>
      <c r="M888" s="21"/>
      <c r="N888" s="21">
        <f>(Table2[[#This Row],[A/Pace]]/100)*(VLOOKUP(Table2[[#This Row],[Visitor/Neutral]],OFR_lookup,2,FALSE)+VLOOKUP(Table2[[#This Row],[Home/Neutral]],def_diff_lookup,6,FALSE))</f>
        <v>119.13028933333332</v>
      </c>
      <c r="O888" s="21"/>
      <c r="P888" s="21"/>
      <c r="Q888">
        <f>VLOOKUP(Table2[[#This Row],[Home/Neutral]],pace_lookup,7,FALSE)</f>
        <v>97.5</v>
      </c>
      <c r="R888" s="5">
        <f>VLOOKUP(Table2[[#This Row],[Visitor/Neutral]],pace_lookup,7,FALSE)</f>
        <v>100.4</v>
      </c>
      <c r="S888" s="7"/>
      <c r="U888" s="15"/>
      <c r="W888" s="2">
        <f>-home-VLOOKUP(Table2[[#This Row],[Home/Neutral]],rtg_vlookup,4,FALSE)+VLOOKUP(Table2[[#This Row],[Visitor/Neutral]],rtg_vlookup,4,FALSE)</f>
        <v>18.271311475409835</v>
      </c>
      <c r="X888" s="15"/>
      <c r="Y888" s="2"/>
      <c r="Z888" s="2">
        <f>Table2[[#This Row],[A/EV]]-Table2[[#This Row],[H/EV]]</f>
        <v>21.136755802093219</v>
      </c>
      <c r="AA888" s="29"/>
      <c r="AB888" s="30"/>
      <c r="AC888" s="30"/>
      <c r="AD888" s="30"/>
      <c r="AE888" s="30"/>
      <c r="AF888" s="7" t="b">
        <f>IF(VLOOKUP(Table2[[#This Row],[Home/Neutral]],division_lookup,9,FALSE)=VLOOKUP(Table2[[#This Row],[Visitor/Neutral]],division_lookup,9,FALSE),TRUE,FALSE)</f>
        <v>0</v>
      </c>
      <c r="AG888" s="15" t="str">
        <f>VLOOKUP(Table2[[#This Row],[Home/Neutral]],division_lookup,9,FALSE)</f>
        <v>A</v>
      </c>
      <c r="AH888" s="15" t="str">
        <f>IF(Table2[[#This Row],[Total/EV]]&lt;Table2[[#This Row],[Total/V]],"UNDER","OVER")</f>
        <v>OVER</v>
      </c>
      <c r="AI888" s="26">
        <f>Table2[[#This Row],[SRS/Real]]-Table2[[#This Row],[Spread/V]]</f>
        <v>0</v>
      </c>
      <c r="AJ888" s="2">
        <f>Table2[[#This Row],[EV/Real]]-Table2[[#This Row],[Spread/V]]</f>
        <v>0</v>
      </c>
      <c r="AK888" s="2">
        <f>Table2[[#This Row],[SRS/Diff]]-Table2[[#This Row],[EV/Diff]]</f>
        <v>0</v>
      </c>
      <c r="AL888" s="18">
        <f>Table2[[#This Row],[SRS]]-Table2[[#This Row],[Spread]]</f>
        <v>18.271311475409835</v>
      </c>
      <c r="AM888" s="21">
        <f>Table2[[#This Row],[(A) Err]]^2</f>
        <v>333.84082303144311</v>
      </c>
      <c r="AN888" s="6">
        <f>Table2[[#This Row],[EV]]-Table2[[#This Row],[Spread]]</f>
        <v>21.136755802093219</v>
      </c>
      <c r="AO888" s="1">
        <f>Table2[[#This Row],[EV Err]]^2</f>
        <v>446.76244583732137</v>
      </c>
      <c r="AP888" s="1"/>
    </row>
    <row r="889" spans="1:42" x14ac:dyDescent="0.25">
      <c r="A889" s="34">
        <v>42793</v>
      </c>
      <c r="B889" t="s">
        <v>133</v>
      </c>
      <c r="C889" t="s">
        <v>126</v>
      </c>
      <c r="E889" s="21"/>
      <c r="G889" s="21"/>
      <c r="H889" s="7"/>
      <c r="I889" s="21"/>
      <c r="K889"/>
      <c r="L889" s="21">
        <f>(Table2[[#This Row],[H/Pace]]/100)*(VLOOKUP(Table2[[#This Row],[Home/Neutral]],home_lookup,8,FALSE)+VLOOKUP(Table2[[#This Row],[Home/Neutral]],OFR_lookup,2,FALSE)+VLOOKUP(Table2[[#This Row],[Visitor/Neutral]],def_diff_lookup,6,FALSE))</f>
        <v>111.0658074827998</v>
      </c>
      <c r="M889" s="21"/>
      <c r="N889" s="21">
        <f>(Table2[[#This Row],[A/Pace]]/100)*(VLOOKUP(Table2[[#This Row],[Visitor/Neutral]],OFR_lookup,2,FALSE)+VLOOKUP(Table2[[#This Row],[Home/Neutral]],def_diff_lookup,6,FALSE))</f>
        <v>107.10329300000001</v>
      </c>
      <c r="O889" s="21"/>
      <c r="P889" s="21"/>
      <c r="Q889">
        <f>VLOOKUP(Table2[[#This Row],[Home/Neutral]],pace_lookup,7,FALSE)</f>
        <v>94.2</v>
      </c>
      <c r="R889" s="5">
        <f>VLOOKUP(Table2[[#This Row],[Visitor/Neutral]],pace_lookup,7,FALSE)</f>
        <v>95.7</v>
      </c>
      <c r="S889" s="7"/>
      <c r="U889" s="15"/>
      <c r="W889" s="2">
        <f>-home-VLOOKUP(Table2[[#This Row],[Home/Neutral]],rtg_vlookup,4,FALSE)+VLOOKUP(Table2[[#This Row],[Visitor/Neutral]],rtg_vlookup,4,FALSE)</f>
        <v>-2.0386885245901656</v>
      </c>
      <c r="X889" s="15"/>
      <c r="Y889" s="2"/>
      <c r="Z889" s="2">
        <f>Table2[[#This Row],[A/EV]]-Table2[[#This Row],[H/EV]]</f>
        <v>-3.96251448279979</v>
      </c>
      <c r="AA889" s="29"/>
      <c r="AB889" s="30"/>
      <c r="AC889" s="30"/>
      <c r="AD889" s="30"/>
      <c r="AE889" s="30"/>
      <c r="AF889" s="7" t="b">
        <f>IF(VLOOKUP(Table2[[#This Row],[Home/Neutral]],division_lookup,9,FALSE)=VLOOKUP(Table2[[#This Row],[Visitor/Neutral]],division_lookup,9,FALSE),TRUE,FALSE)</f>
        <v>0</v>
      </c>
      <c r="AG889" s="15" t="str">
        <f>VLOOKUP(Table2[[#This Row],[Home/Neutral]],division_lookup,9,FALSE)</f>
        <v>P</v>
      </c>
      <c r="AH889" s="15" t="str">
        <f>IF(Table2[[#This Row],[Total/EV]]&lt;Table2[[#This Row],[Total/V]],"UNDER","OVER")</f>
        <v>OVER</v>
      </c>
      <c r="AI889" s="26">
        <f>Table2[[#This Row],[SRS/Real]]-Table2[[#This Row],[Spread/V]]</f>
        <v>0</v>
      </c>
      <c r="AJ889" s="2">
        <f>Table2[[#This Row],[EV/Real]]-Table2[[#This Row],[Spread/V]]</f>
        <v>0</v>
      </c>
      <c r="AK889" s="2">
        <f>Table2[[#This Row],[SRS/Diff]]-Table2[[#This Row],[EV/Diff]]</f>
        <v>0</v>
      </c>
      <c r="AL889" s="18">
        <f>Table2[[#This Row],[SRS]]-Table2[[#This Row],[Spread]]</f>
        <v>-2.0386885245901656</v>
      </c>
      <c r="AM889" s="21">
        <f>Table2[[#This Row],[(A) Err]]^2</f>
        <v>4.1562509002956265</v>
      </c>
      <c r="AN889" s="6">
        <f>Table2[[#This Row],[EV]]-Table2[[#This Row],[Spread]]</f>
        <v>-3.96251448279979</v>
      </c>
      <c r="AO889" s="1">
        <f>Table2[[#This Row],[EV Err]]^2</f>
        <v>15.701521026398087</v>
      </c>
      <c r="AP889" s="1"/>
    </row>
    <row r="890" spans="1:42" x14ac:dyDescent="0.25">
      <c r="A890" s="34">
        <v>42794</v>
      </c>
      <c r="B890" t="s">
        <v>113</v>
      </c>
      <c r="C890" t="s">
        <v>116</v>
      </c>
      <c r="E890" s="21"/>
      <c r="G890" s="21"/>
      <c r="H890" s="7"/>
      <c r="I890" s="21"/>
      <c r="K890"/>
      <c r="L890" s="21">
        <f>(Table2[[#This Row],[H/Pace]]/100)*(VLOOKUP(Table2[[#This Row],[Home/Neutral]],home_lookup,8,FALSE)+VLOOKUP(Table2[[#This Row],[Home/Neutral]],OFR_lookup,2,FALSE)+VLOOKUP(Table2[[#This Row],[Visitor/Neutral]],def_diff_lookup,6,FALSE))</f>
        <v>109.38523388016279</v>
      </c>
      <c r="M890" s="21"/>
      <c r="N890" s="21">
        <f>(Table2[[#This Row],[A/Pace]]/100)*(VLOOKUP(Table2[[#This Row],[Visitor/Neutral]],OFR_lookup,2,FALSE)+VLOOKUP(Table2[[#This Row],[Home/Neutral]],def_diff_lookup,6,FALSE))</f>
        <v>104.77413566666667</v>
      </c>
      <c r="O890" s="21"/>
      <c r="P890" s="21"/>
      <c r="Q890">
        <f>VLOOKUP(Table2[[#This Row],[Home/Neutral]],pace_lookup,7,FALSE)</f>
        <v>95.1</v>
      </c>
      <c r="R890" s="5">
        <f>VLOOKUP(Table2[[#This Row],[Visitor/Neutral]],pace_lookup,7,FALSE)</f>
        <v>99.1</v>
      </c>
      <c r="S890" s="7"/>
      <c r="U890" s="15"/>
      <c r="W890" s="2">
        <f>-home-VLOOKUP(Table2[[#This Row],[Home/Neutral]],rtg_vlookup,4,FALSE)+VLOOKUP(Table2[[#This Row],[Visitor/Neutral]],rtg_vlookup,4,FALSE)</f>
        <v>-8.1686885245901664</v>
      </c>
      <c r="X890" s="15"/>
      <c r="Y890" s="2"/>
      <c r="Z890" s="2">
        <f>Table2[[#This Row],[A/EV]]-Table2[[#This Row],[H/EV]]</f>
        <v>-4.6110982134961205</v>
      </c>
      <c r="AA890" s="29"/>
      <c r="AB890" s="30"/>
      <c r="AC890" s="30"/>
      <c r="AD890" s="30"/>
      <c r="AE890" s="30"/>
      <c r="AF890" s="7" t="b">
        <f>IF(VLOOKUP(Table2[[#This Row],[Home/Neutral]],division_lookup,9,FALSE)=VLOOKUP(Table2[[#This Row],[Visitor/Neutral]],division_lookup,9,FALSE),TRUE,FALSE)</f>
        <v>0</v>
      </c>
      <c r="AG890" s="15" t="str">
        <f>VLOOKUP(Table2[[#This Row],[Home/Neutral]],division_lookup,9,FALSE)</f>
        <v>C</v>
      </c>
      <c r="AH890" s="15" t="str">
        <f>IF(Table2[[#This Row],[Total/EV]]&lt;Table2[[#This Row],[Total/V]],"UNDER","OVER")</f>
        <v>OVER</v>
      </c>
      <c r="AI890" s="26">
        <f>Table2[[#This Row],[SRS/Real]]-Table2[[#This Row],[Spread/V]]</f>
        <v>0</v>
      </c>
      <c r="AJ890" s="2">
        <f>Table2[[#This Row],[EV/Real]]-Table2[[#This Row],[Spread/V]]</f>
        <v>0</v>
      </c>
      <c r="AK890" s="2">
        <f>Table2[[#This Row],[SRS/Diff]]-Table2[[#This Row],[EV/Diff]]</f>
        <v>0</v>
      </c>
      <c r="AL890" s="18">
        <f>Table2[[#This Row],[SRS]]-Table2[[#This Row],[Spread]]</f>
        <v>-8.1686885245901664</v>
      </c>
      <c r="AM890" s="21">
        <f>Table2[[#This Row],[(A) Err]]^2</f>
        <v>66.727472211771072</v>
      </c>
      <c r="AN890" s="6">
        <f>Table2[[#This Row],[EV]]-Table2[[#This Row],[Spread]]</f>
        <v>-4.6110982134961205</v>
      </c>
      <c r="AO890" s="1">
        <f>Table2[[#This Row],[EV Err]]^2</f>
        <v>21.262226734507113</v>
      </c>
      <c r="AP890" s="1"/>
    </row>
    <row r="891" spans="1:42" x14ac:dyDescent="0.25">
      <c r="A891" s="34">
        <v>42794</v>
      </c>
      <c r="B891" t="s">
        <v>117</v>
      </c>
      <c r="C891" t="s">
        <v>132</v>
      </c>
      <c r="E891" s="21"/>
      <c r="G891" s="21"/>
      <c r="H891" s="7"/>
      <c r="I891" s="21"/>
      <c r="K891"/>
      <c r="L891" s="21">
        <f>(Table2[[#This Row],[H/Pace]]/100)*(VLOOKUP(Table2[[#This Row],[Home/Neutral]],home_lookup,8,FALSE)+VLOOKUP(Table2[[#This Row],[Home/Neutral]],OFR_lookup,2,FALSE)+VLOOKUP(Table2[[#This Row],[Visitor/Neutral]],def_diff_lookup,6,FALSE))</f>
        <v>117.42539591446429</v>
      </c>
      <c r="M891" s="21"/>
      <c r="N891" s="21">
        <f>(Table2[[#This Row],[A/Pace]]/100)*(VLOOKUP(Table2[[#This Row],[Visitor/Neutral]],OFR_lookup,2,FALSE)+VLOOKUP(Table2[[#This Row],[Home/Neutral]],def_diff_lookup,6,FALSE))</f>
        <v>104.56563866666667</v>
      </c>
      <c r="O891" s="21"/>
      <c r="P891" s="21"/>
      <c r="Q891">
        <f>VLOOKUP(Table2[[#This Row],[Home/Neutral]],pace_lookup,7,FALSE)</f>
        <v>94</v>
      </c>
      <c r="R891" s="5">
        <f>VLOOKUP(Table2[[#This Row],[Visitor/Neutral]],pace_lookup,7,FALSE)</f>
        <v>98.8</v>
      </c>
      <c r="S891" s="7"/>
      <c r="U891" s="15"/>
      <c r="W891" s="2">
        <f>-home-VLOOKUP(Table2[[#This Row],[Home/Neutral]],rtg_vlookup,4,FALSE)+VLOOKUP(Table2[[#This Row],[Visitor/Neutral]],rtg_vlookup,4,FALSE)</f>
        <v>-6.7886885245901656</v>
      </c>
      <c r="X891" s="15"/>
      <c r="Y891" s="2"/>
      <c r="Z891" s="2">
        <f>Table2[[#This Row],[A/EV]]-Table2[[#This Row],[H/EV]]</f>
        <v>-12.859757247797617</v>
      </c>
      <c r="AA891" s="29"/>
      <c r="AB891" s="30"/>
      <c r="AC891" s="30"/>
      <c r="AD891" s="30"/>
      <c r="AE891" s="30"/>
      <c r="AF891" s="7" t="b">
        <f>IF(VLOOKUP(Table2[[#This Row],[Home/Neutral]],division_lookup,9,FALSE)=VLOOKUP(Table2[[#This Row],[Visitor/Neutral]],division_lookup,9,FALSE),TRUE,FALSE)</f>
        <v>0</v>
      </c>
      <c r="AG891" s="15" t="str">
        <f>VLOOKUP(Table2[[#This Row],[Home/Neutral]],division_lookup,9,FALSE)</f>
        <v>C</v>
      </c>
      <c r="AH891" s="15" t="str">
        <f>IF(Table2[[#This Row],[Total/EV]]&lt;Table2[[#This Row],[Total/V]],"UNDER","OVER")</f>
        <v>OVER</v>
      </c>
      <c r="AI891" s="26">
        <f>Table2[[#This Row],[SRS/Real]]-Table2[[#This Row],[Spread/V]]</f>
        <v>0</v>
      </c>
      <c r="AJ891" s="2">
        <f>Table2[[#This Row],[EV/Real]]-Table2[[#This Row],[Spread/V]]</f>
        <v>0</v>
      </c>
      <c r="AK891" s="2">
        <f>Table2[[#This Row],[SRS/Diff]]-Table2[[#This Row],[EV/Diff]]</f>
        <v>0</v>
      </c>
      <c r="AL891" s="18">
        <f>Table2[[#This Row],[SRS]]-Table2[[#This Row],[Spread]]</f>
        <v>-6.7886885245901656</v>
      </c>
      <c r="AM891" s="21">
        <f>Table2[[#This Row],[(A) Err]]^2</f>
        <v>46.086291883902199</v>
      </c>
      <c r="AN891" s="6">
        <f>Table2[[#This Row],[EV]]-Table2[[#This Row],[Spread]]</f>
        <v>-12.859757247797617</v>
      </c>
      <c r="AO891" s="1">
        <f>Table2[[#This Row],[EV Err]]^2</f>
        <v>165.37335647228335</v>
      </c>
      <c r="AP891" s="1"/>
    </row>
    <row r="892" spans="1:42" x14ac:dyDescent="0.25">
      <c r="A892" s="34">
        <v>42794</v>
      </c>
      <c r="B892" t="s">
        <v>122</v>
      </c>
      <c r="C892" t="s">
        <v>112</v>
      </c>
      <c r="E892" s="21"/>
      <c r="G892" s="21"/>
      <c r="H892" s="7"/>
      <c r="I892" s="21"/>
      <c r="K892"/>
      <c r="L892" s="21">
        <f>(Table2[[#This Row],[H/Pace]]/100)*(VLOOKUP(Table2[[#This Row],[Home/Neutral]],home_lookup,8,FALSE)+VLOOKUP(Table2[[#This Row],[Home/Neutral]],OFR_lookup,2,FALSE)+VLOOKUP(Table2[[#This Row],[Visitor/Neutral]],def_diff_lookup,6,FALSE))</f>
        <v>108.8761283274473</v>
      </c>
      <c r="M892" s="21"/>
      <c r="N892" s="21">
        <f>(Table2[[#This Row],[A/Pace]]/100)*(VLOOKUP(Table2[[#This Row],[Visitor/Neutral]],OFR_lookup,2,FALSE)+VLOOKUP(Table2[[#This Row],[Home/Neutral]],def_diff_lookup,6,FALSE))</f>
        <v>109.41493933333334</v>
      </c>
      <c r="O892" s="21"/>
      <c r="P892" s="21"/>
      <c r="Q892">
        <f>VLOOKUP(Table2[[#This Row],[Home/Neutral]],pace_lookup,7,FALSE)</f>
        <v>100.2</v>
      </c>
      <c r="R892" s="5">
        <f>VLOOKUP(Table2[[#This Row],[Visitor/Neutral]],pace_lookup,7,FALSE)</f>
        <v>97.4</v>
      </c>
      <c r="S892" s="7"/>
      <c r="U892" s="15"/>
      <c r="W892" s="2">
        <f>-home-VLOOKUP(Table2[[#This Row],[Home/Neutral]],rtg_vlookup,4,FALSE)+VLOOKUP(Table2[[#This Row],[Visitor/Neutral]],rtg_vlookup,4,FALSE)</f>
        <v>1.5113114754098342</v>
      </c>
      <c r="X892" s="15"/>
      <c r="Y892" s="2"/>
      <c r="Z892" s="2">
        <f>Table2[[#This Row],[A/EV]]-Table2[[#This Row],[H/EV]]</f>
        <v>0.53881100588603204</v>
      </c>
      <c r="AA892" s="29"/>
      <c r="AB892" s="30"/>
      <c r="AC892" s="30"/>
      <c r="AD892" s="30"/>
      <c r="AE892" s="30"/>
      <c r="AF892" s="7" t="b">
        <f>IF(VLOOKUP(Table2[[#This Row],[Home/Neutral]],division_lookup,9,FALSE)=VLOOKUP(Table2[[#This Row],[Visitor/Neutral]],division_lookup,9,FALSE),TRUE,FALSE)</f>
        <v>0</v>
      </c>
      <c r="AG892" s="15" t="str">
        <f>VLOOKUP(Table2[[#This Row],[Home/Neutral]],division_lookup,9,FALSE)</f>
        <v>P</v>
      </c>
      <c r="AH892" s="15" t="str">
        <f>IF(Table2[[#This Row],[Total/EV]]&lt;Table2[[#This Row],[Total/V]],"UNDER","OVER")</f>
        <v>OVER</v>
      </c>
      <c r="AI892" s="26">
        <f>Table2[[#This Row],[SRS/Real]]-Table2[[#This Row],[Spread/V]]</f>
        <v>0</v>
      </c>
      <c r="AJ892" s="2">
        <f>Table2[[#This Row],[EV/Real]]-Table2[[#This Row],[Spread/V]]</f>
        <v>0</v>
      </c>
      <c r="AK892" s="2">
        <f>Table2[[#This Row],[SRS/Diff]]-Table2[[#This Row],[EV/Diff]]</f>
        <v>0</v>
      </c>
      <c r="AL892" s="18">
        <f>Table2[[#This Row],[SRS]]-Table2[[#This Row],[Spread]]</f>
        <v>1.5113114754098342</v>
      </c>
      <c r="AM892" s="21">
        <f>Table2[[#This Row],[(A) Err]]^2</f>
        <v>2.2840623757054499</v>
      </c>
      <c r="AN892" s="6">
        <f>Table2[[#This Row],[EV]]-Table2[[#This Row],[Spread]]</f>
        <v>0.53881100588603204</v>
      </c>
      <c r="AO892" s="1">
        <f>Table2[[#This Row],[EV Err]]^2</f>
        <v>0.29031730006391765</v>
      </c>
      <c r="AP892" s="1"/>
    </row>
    <row r="893" spans="1:42" x14ac:dyDescent="0.25">
      <c r="A893" s="34">
        <v>42794</v>
      </c>
      <c r="B893" t="s">
        <v>123</v>
      </c>
      <c r="C893" t="s">
        <v>131</v>
      </c>
      <c r="E893" s="21"/>
      <c r="G893" s="21"/>
      <c r="H893" s="7"/>
      <c r="I893" s="21"/>
      <c r="K893"/>
      <c r="L893" s="21">
        <f>(Table2[[#This Row],[H/Pace]]/100)*(VLOOKUP(Table2[[#This Row],[Home/Neutral]],home_lookup,8,FALSE)+VLOOKUP(Table2[[#This Row],[Home/Neutral]],OFR_lookup,2,FALSE)+VLOOKUP(Table2[[#This Row],[Visitor/Neutral]],def_diff_lookup,6,FALSE))</f>
        <v>102.79917709563918</v>
      </c>
      <c r="M893" s="21"/>
      <c r="N893" s="21">
        <f>(Table2[[#This Row],[A/Pace]]/100)*(VLOOKUP(Table2[[#This Row],[Visitor/Neutral]],OFR_lookup,2,FALSE)+VLOOKUP(Table2[[#This Row],[Home/Neutral]],def_diff_lookup,6,FALSE))</f>
        <v>99.519212999999993</v>
      </c>
      <c r="O893" s="21"/>
      <c r="P893" s="21"/>
      <c r="Q893">
        <f>VLOOKUP(Table2[[#This Row],[Home/Neutral]],pace_lookup,7,FALSE)</f>
        <v>92.5</v>
      </c>
      <c r="R893" s="5">
        <f>VLOOKUP(Table2[[#This Row],[Visitor/Neutral]],pace_lookup,7,FALSE)</f>
        <v>101.7</v>
      </c>
      <c r="S893" s="7"/>
      <c r="U893" s="15"/>
      <c r="W893" s="2">
        <f>-home-VLOOKUP(Table2[[#This Row],[Home/Neutral]],rtg_vlookup,4,FALSE)+VLOOKUP(Table2[[#This Row],[Visitor/Neutral]],rtg_vlookup,4,FALSE)</f>
        <v>-9.8386885245901663</v>
      </c>
      <c r="X893" s="15"/>
      <c r="Y893" s="2"/>
      <c r="Z893" s="2">
        <f>Table2[[#This Row],[A/EV]]-Table2[[#This Row],[H/EV]]</f>
        <v>-3.2799640956391869</v>
      </c>
      <c r="AA893" s="29"/>
      <c r="AB893" s="30"/>
      <c r="AC893" s="30"/>
      <c r="AD893" s="30"/>
      <c r="AE893" s="30"/>
      <c r="AF893" s="7" t="b">
        <f>IF(VLOOKUP(Table2[[#This Row],[Home/Neutral]],division_lookup,9,FALSE)=VLOOKUP(Table2[[#This Row],[Visitor/Neutral]],division_lookup,9,FALSE),TRUE,FALSE)</f>
        <v>0</v>
      </c>
      <c r="AG893" s="15" t="str">
        <f>VLOOKUP(Table2[[#This Row],[Home/Neutral]],division_lookup,9,FALSE)</f>
        <v>SW</v>
      </c>
      <c r="AH893" s="15" t="str">
        <f>IF(Table2[[#This Row],[Total/EV]]&lt;Table2[[#This Row],[Total/V]],"UNDER","OVER")</f>
        <v>OVER</v>
      </c>
      <c r="AI893" s="26">
        <f>Table2[[#This Row],[SRS/Real]]-Table2[[#This Row],[Spread/V]]</f>
        <v>0</v>
      </c>
      <c r="AJ893" s="2">
        <f>Table2[[#This Row],[EV/Real]]-Table2[[#This Row],[Spread/V]]</f>
        <v>0</v>
      </c>
      <c r="AK893" s="2">
        <f>Table2[[#This Row],[SRS/Diff]]-Table2[[#This Row],[EV/Diff]]</f>
        <v>0</v>
      </c>
      <c r="AL893" s="18">
        <f>Table2[[#This Row],[SRS]]-Table2[[#This Row],[Spread]]</f>
        <v>-9.8386885245901663</v>
      </c>
      <c r="AM893" s="21">
        <f>Table2[[#This Row],[(A) Err]]^2</f>
        <v>96.799791883902216</v>
      </c>
      <c r="AN893" s="6">
        <f>Table2[[#This Row],[EV]]-Table2[[#This Row],[Spread]]</f>
        <v>-3.2799640956391869</v>
      </c>
      <c r="AO893" s="1">
        <f>Table2[[#This Row],[EV Err]]^2</f>
        <v>10.758164468682189</v>
      </c>
      <c r="AP893" s="1"/>
    </row>
    <row r="894" spans="1:42" x14ac:dyDescent="0.25">
      <c r="A894" s="34">
        <v>42794</v>
      </c>
      <c r="B894" t="s">
        <v>129</v>
      </c>
      <c r="C894" t="s">
        <v>136</v>
      </c>
      <c r="E894" s="21"/>
      <c r="G894" s="21"/>
      <c r="H894" s="7"/>
      <c r="I894" s="21"/>
      <c r="K894"/>
      <c r="L894" s="21">
        <f>(Table2[[#This Row],[H/Pace]]/100)*(VLOOKUP(Table2[[#This Row],[Home/Neutral]],home_lookup,8,FALSE)+VLOOKUP(Table2[[#This Row],[Home/Neutral]],OFR_lookup,2,FALSE)+VLOOKUP(Table2[[#This Row],[Visitor/Neutral]],def_diff_lookup,6,FALSE))</f>
        <v>102.96620376890107</v>
      </c>
      <c r="M894" s="21"/>
      <c r="N894" s="21">
        <f>(Table2[[#This Row],[A/Pace]]/100)*(VLOOKUP(Table2[[#This Row],[Visitor/Neutral]],OFR_lookup,2,FALSE)+VLOOKUP(Table2[[#This Row],[Home/Neutral]],def_diff_lookup,6,FALSE))</f>
        <v>95.613534999999999</v>
      </c>
      <c r="O894" s="21"/>
      <c r="P894" s="21"/>
      <c r="Q894">
        <f>VLOOKUP(Table2[[#This Row],[Home/Neutral]],pace_lookup,7,FALSE)</f>
        <v>99</v>
      </c>
      <c r="R894" s="5">
        <f>VLOOKUP(Table2[[#This Row],[Visitor/Neutral]],pace_lookup,7,FALSE)</f>
        <v>91.5</v>
      </c>
      <c r="S894" s="7"/>
      <c r="U894" s="15"/>
      <c r="W894" s="2">
        <f>-home-VLOOKUP(Table2[[#This Row],[Home/Neutral]],rtg_vlookup,4,FALSE)+VLOOKUP(Table2[[#This Row],[Visitor/Neutral]],rtg_vlookup,4,FALSE)</f>
        <v>-3.8688524590165585E-2</v>
      </c>
      <c r="X894" s="15"/>
      <c r="Y894" s="2"/>
      <c r="Z894" s="2">
        <f>Table2[[#This Row],[A/EV]]-Table2[[#This Row],[H/EV]]</f>
        <v>-7.3526687689010686</v>
      </c>
      <c r="AA894" s="29"/>
      <c r="AB894" s="30"/>
      <c r="AC894" s="30"/>
      <c r="AD894" s="30"/>
      <c r="AE894" s="30"/>
      <c r="AF894" s="7" t="b">
        <f>IF(VLOOKUP(Table2[[#This Row],[Home/Neutral]],division_lookup,9,FALSE)=VLOOKUP(Table2[[#This Row],[Visitor/Neutral]],division_lookup,9,FALSE),TRUE,FALSE)</f>
        <v>1</v>
      </c>
      <c r="AG894" s="15" t="str">
        <f>VLOOKUP(Table2[[#This Row],[Home/Neutral]],division_lookup,9,FALSE)</f>
        <v>NW</v>
      </c>
      <c r="AH894" s="15" t="str">
        <f>IF(Table2[[#This Row],[Total/EV]]&lt;Table2[[#This Row],[Total/V]],"UNDER","OVER")</f>
        <v>OVER</v>
      </c>
      <c r="AI894" s="26">
        <f>Table2[[#This Row],[SRS/Real]]-Table2[[#This Row],[Spread/V]]</f>
        <v>0</v>
      </c>
      <c r="AJ894" s="2">
        <f>Table2[[#This Row],[EV/Real]]-Table2[[#This Row],[Spread/V]]</f>
        <v>0</v>
      </c>
      <c r="AK894" s="2">
        <f>Table2[[#This Row],[SRS/Diff]]-Table2[[#This Row],[EV/Diff]]</f>
        <v>0</v>
      </c>
      <c r="AL894" s="18">
        <f>Table2[[#This Row],[SRS]]-Table2[[#This Row],[Spread]]</f>
        <v>-3.8688524590165585E-2</v>
      </c>
      <c r="AM894" s="21">
        <f>Table2[[#This Row],[(A) Err]]^2</f>
        <v>1.4968019349638471E-3</v>
      </c>
      <c r="AN894" s="6">
        <f>Table2[[#This Row],[EV]]-Table2[[#This Row],[Spread]]</f>
        <v>-7.3526687689010686</v>
      </c>
      <c r="AO894" s="1">
        <f>Table2[[#This Row],[EV Err]]^2</f>
        <v>54.061738025173156</v>
      </c>
      <c r="AP894" s="1"/>
    </row>
    <row r="895" spans="1:42" x14ac:dyDescent="0.25">
      <c r="A895" s="34">
        <v>42794</v>
      </c>
      <c r="B895" t="s">
        <v>137</v>
      </c>
      <c r="C895" t="s">
        <v>118</v>
      </c>
      <c r="E895" s="21"/>
      <c r="G895" s="21"/>
      <c r="H895" s="7"/>
      <c r="I895" s="21"/>
      <c r="K895"/>
      <c r="L895" s="21">
        <f>(Table2[[#This Row],[H/Pace]]/100)*(VLOOKUP(Table2[[#This Row],[Home/Neutral]],home_lookup,8,FALSE)+VLOOKUP(Table2[[#This Row],[Home/Neutral]],OFR_lookup,2,FALSE)+VLOOKUP(Table2[[#This Row],[Visitor/Neutral]],def_diff_lookup,6,FALSE))</f>
        <v>106.80253255421871</v>
      </c>
      <c r="M895" s="21"/>
      <c r="N895" s="21">
        <f>(Table2[[#This Row],[A/Pace]]/100)*(VLOOKUP(Table2[[#This Row],[Visitor/Neutral]],OFR_lookup,2,FALSE)+VLOOKUP(Table2[[#This Row],[Home/Neutral]],def_diff_lookup,6,FALSE))</f>
        <v>120.92744933333331</v>
      </c>
      <c r="O895" s="21"/>
      <c r="P895" s="21"/>
      <c r="Q895">
        <f>VLOOKUP(Table2[[#This Row],[Home/Neutral]],pace_lookup,7,FALSE)</f>
        <v>96</v>
      </c>
      <c r="R895" s="5">
        <f>VLOOKUP(Table2[[#This Row],[Visitor/Neutral]],pace_lookup,7,FALSE)</f>
        <v>100.4</v>
      </c>
      <c r="S895" s="7"/>
      <c r="U895" s="15"/>
      <c r="W895" s="2">
        <f>-home-VLOOKUP(Table2[[#This Row],[Home/Neutral]],rtg_vlookup,4,FALSE)+VLOOKUP(Table2[[#This Row],[Visitor/Neutral]],rtg_vlookup,4,FALSE)</f>
        <v>11.631311475409834</v>
      </c>
      <c r="X895" s="15"/>
      <c r="Y895" s="2"/>
      <c r="Z895" s="2">
        <f>Table2[[#This Row],[A/EV]]-Table2[[#This Row],[H/EV]]</f>
        <v>14.124916779114599</v>
      </c>
      <c r="AA895" s="29"/>
      <c r="AB895" s="30"/>
      <c r="AC895" s="30"/>
      <c r="AD895" s="30"/>
      <c r="AE895" s="30"/>
      <c r="AF895" s="7" t="b">
        <f>IF(VLOOKUP(Table2[[#This Row],[Home/Neutral]],division_lookup,9,FALSE)=VLOOKUP(Table2[[#This Row],[Visitor/Neutral]],division_lookup,9,FALSE),TRUE,FALSE)</f>
        <v>0</v>
      </c>
      <c r="AG895" s="15" t="str">
        <f>VLOOKUP(Table2[[#This Row],[Home/Neutral]],division_lookup,9,FALSE)</f>
        <v>SE</v>
      </c>
      <c r="AH895" s="15" t="str">
        <f>IF(Table2[[#This Row],[Total/EV]]&lt;Table2[[#This Row],[Total/V]],"UNDER","OVER")</f>
        <v>OVER</v>
      </c>
      <c r="AI895" s="26">
        <f>Table2[[#This Row],[SRS/Real]]-Table2[[#This Row],[Spread/V]]</f>
        <v>0</v>
      </c>
      <c r="AJ895" s="2">
        <f>Table2[[#This Row],[EV/Real]]-Table2[[#This Row],[Spread/V]]</f>
        <v>0</v>
      </c>
      <c r="AK895" s="2">
        <f>Table2[[#This Row],[SRS/Diff]]-Table2[[#This Row],[EV/Diff]]</f>
        <v>0</v>
      </c>
      <c r="AL895" s="18">
        <f>Table2[[#This Row],[SRS]]-Table2[[#This Row],[Spread]]</f>
        <v>11.631311475409834</v>
      </c>
      <c r="AM895" s="21">
        <f>Table2[[#This Row],[(A) Err]]^2</f>
        <v>135.2874066380005</v>
      </c>
      <c r="AN895" s="6">
        <f>Table2[[#This Row],[EV]]-Table2[[#This Row],[Spread]]</f>
        <v>14.124916779114599</v>
      </c>
      <c r="AO895" s="1">
        <f>Table2[[#This Row],[EV Err]]^2</f>
        <v>199.51327401691316</v>
      </c>
      <c r="AP895" s="1"/>
    </row>
    <row r="896" spans="1:42" x14ac:dyDescent="0.25">
      <c r="A896" s="34">
        <v>42796</v>
      </c>
      <c r="B896" t="s">
        <v>109</v>
      </c>
      <c r="C896" t="s">
        <v>115</v>
      </c>
      <c r="E896" s="21"/>
      <c r="G896" s="21"/>
      <c r="H896" s="7"/>
      <c r="I896" s="21"/>
      <c r="K896"/>
      <c r="L896" s="21">
        <f>(Table2[[#This Row],[H/Pace]]/100)*(VLOOKUP(Table2[[#This Row],[Home/Neutral]],home_lookup,8,FALSE)+VLOOKUP(Table2[[#This Row],[Home/Neutral]],OFR_lookup,2,FALSE)+VLOOKUP(Table2[[#This Row],[Visitor/Neutral]],def_diff_lookup,6,FALSE))</f>
        <v>99.711046607286377</v>
      </c>
      <c r="M896" s="21"/>
      <c r="N896" s="21">
        <f>(Table2[[#This Row],[A/Pace]]/100)*(VLOOKUP(Table2[[#This Row],[Visitor/Neutral]],OFR_lookup,2,FALSE)+VLOOKUP(Table2[[#This Row],[Home/Neutral]],def_diff_lookup,6,FALSE))</f>
        <v>83.819644333333343</v>
      </c>
      <c r="O896" s="21"/>
      <c r="P896" s="21"/>
      <c r="Q896">
        <f>VLOOKUP(Table2[[#This Row],[Home/Neutral]],pace_lookup,7,FALSE)</f>
        <v>99.2</v>
      </c>
      <c r="R896" s="5">
        <f>VLOOKUP(Table2[[#This Row],[Visitor/Neutral]],pace_lookup,7,FALSE)</f>
        <v>92.9</v>
      </c>
      <c r="S896" s="7"/>
      <c r="U896" s="15"/>
      <c r="W896" s="2">
        <f>-home-VLOOKUP(Table2[[#This Row],[Home/Neutral]],rtg_vlookup,4,FALSE)+VLOOKUP(Table2[[#This Row],[Visitor/Neutral]],rtg_vlookup,4,FALSE)</f>
        <v>-13.918688524590166</v>
      </c>
      <c r="X896" s="15"/>
      <c r="Y896" s="2"/>
      <c r="Z896" s="2">
        <f>Table2[[#This Row],[A/EV]]-Table2[[#This Row],[H/EV]]</f>
        <v>-15.891402273953034</v>
      </c>
      <c r="AA896" s="29"/>
      <c r="AB896" s="30"/>
      <c r="AC896" s="30"/>
      <c r="AD896" s="30"/>
      <c r="AE896" s="30"/>
      <c r="AF896" s="7" t="b">
        <f>IF(VLOOKUP(Table2[[#This Row],[Home/Neutral]],division_lookup,9,FALSE)=VLOOKUP(Table2[[#This Row],[Visitor/Neutral]],division_lookup,9,FALSE),TRUE,FALSE)</f>
        <v>0</v>
      </c>
      <c r="AG896" s="15" t="str">
        <f>VLOOKUP(Table2[[#This Row],[Home/Neutral]],division_lookup,9,FALSE)</f>
        <v>SE</v>
      </c>
      <c r="AH896" s="15" t="str">
        <f>IF(Table2[[#This Row],[Total/EV]]&lt;Table2[[#This Row],[Total/V]],"UNDER","OVER")</f>
        <v>OVER</v>
      </c>
      <c r="AI896" s="26">
        <f>Table2[[#This Row],[SRS/Real]]-Table2[[#This Row],[Spread/V]]</f>
        <v>0</v>
      </c>
      <c r="AJ896" s="2">
        <f>Table2[[#This Row],[EV/Real]]-Table2[[#This Row],[Spread/V]]</f>
        <v>0</v>
      </c>
      <c r="AK896" s="2">
        <f>Table2[[#This Row],[SRS/Diff]]-Table2[[#This Row],[EV/Diff]]</f>
        <v>0</v>
      </c>
      <c r="AL896" s="18">
        <f>Table2[[#This Row],[SRS]]-Table2[[#This Row],[Spread]]</f>
        <v>-13.918688524590166</v>
      </c>
      <c r="AM896" s="21">
        <f>Table2[[#This Row],[(A) Err]]^2</f>
        <v>193.72989024455799</v>
      </c>
      <c r="AN896" s="6">
        <f>Table2[[#This Row],[EV]]-Table2[[#This Row],[Spread]]</f>
        <v>-15.891402273953034</v>
      </c>
      <c r="AO896" s="1">
        <f>Table2[[#This Row],[EV Err]]^2</f>
        <v>252.53666623259966</v>
      </c>
      <c r="AP896" s="1"/>
    </row>
    <row r="897" spans="1:42" x14ac:dyDescent="0.25">
      <c r="A897" s="34">
        <v>42796</v>
      </c>
      <c r="B897" t="s">
        <v>110</v>
      </c>
      <c r="C897" t="s">
        <v>114</v>
      </c>
      <c r="E897" s="21"/>
      <c r="G897" s="21"/>
      <c r="H897" s="7"/>
      <c r="I897" s="21"/>
      <c r="K897"/>
      <c r="L897" s="21">
        <f>(Table2[[#This Row],[H/Pace]]/100)*(VLOOKUP(Table2[[#This Row],[Home/Neutral]],home_lookup,8,FALSE)+VLOOKUP(Table2[[#This Row],[Home/Neutral]],OFR_lookup,2,FALSE)+VLOOKUP(Table2[[#This Row],[Visitor/Neutral]],def_diff_lookup,6,FALSE))</f>
        <v>105.25321118900941</v>
      </c>
      <c r="M897" s="21"/>
      <c r="N897" s="21">
        <f>(Table2[[#This Row],[A/Pace]]/100)*(VLOOKUP(Table2[[#This Row],[Visitor/Neutral]],OFR_lookup,2,FALSE)+VLOOKUP(Table2[[#This Row],[Home/Neutral]],def_diff_lookup,6,FALSE))</f>
        <v>112.37728366666666</v>
      </c>
      <c r="O897" s="21"/>
      <c r="P897" s="21"/>
      <c r="Q897">
        <f>VLOOKUP(Table2[[#This Row],[Home/Neutral]],pace_lookup,7,FALSE)</f>
        <v>96.2</v>
      </c>
      <c r="R897" s="5">
        <f>VLOOKUP(Table2[[#This Row],[Visitor/Neutral]],pace_lookup,7,FALSE)</f>
        <v>97.3</v>
      </c>
      <c r="S897" s="7"/>
      <c r="U897" s="15"/>
      <c r="W897" s="2">
        <f>-home-VLOOKUP(Table2[[#This Row],[Home/Neutral]],rtg_vlookup,4,FALSE)+VLOOKUP(Table2[[#This Row],[Visitor/Neutral]],rtg_vlookup,4,FALSE)</f>
        <v>5.3913114754098341</v>
      </c>
      <c r="X897" s="15"/>
      <c r="Y897" s="2"/>
      <c r="Z897" s="2">
        <f>Table2[[#This Row],[A/EV]]-Table2[[#This Row],[H/EV]]</f>
        <v>7.1240724776572506</v>
      </c>
      <c r="AA897" s="29"/>
      <c r="AB897" s="30"/>
      <c r="AC897" s="30"/>
      <c r="AD897" s="30"/>
      <c r="AE897" s="30"/>
      <c r="AF897" s="7" t="b">
        <f>IF(VLOOKUP(Table2[[#This Row],[Home/Neutral]],division_lookup,9,FALSE)=VLOOKUP(Table2[[#This Row],[Visitor/Neutral]],division_lookup,9,FALSE),TRUE,FALSE)</f>
        <v>0</v>
      </c>
      <c r="AG897" s="15" t="str">
        <f>VLOOKUP(Table2[[#This Row],[Home/Neutral]],division_lookup,9,FALSE)</f>
        <v>A</v>
      </c>
      <c r="AH897" s="15" t="str">
        <f>IF(Table2[[#This Row],[Total/EV]]&lt;Table2[[#This Row],[Total/V]],"UNDER","OVER")</f>
        <v>OVER</v>
      </c>
      <c r="AI897" s="26">
        <f>Table2[[#This Row],[SRS/Real]]-Table2[[#This Row],[Spread/V]]</f>
        <v>0</v>
      </c>
      <c r="AJ897" s="2">
        <f>Table2[[#This Row],[EV/Real]]-Table2[[#This Row],[Spread/V]]</f>
        <v>0</v>
      </c>
      <c r="AK897" s="2">
        <f>Table2[[#This Row],[SRS/Diff]]-Table2[[#This Row],[EV/Diff]]</f>
        <v>0</v>
      </c>
      <c r="AL897" s="18">
        <f>Table2[[#This Row],[SRS]]-Table2[[#This Row],[Spread]]</f>
        <v>5.3913114754098341</v>
      </c>
      <c r="AM897" s="21">
        <f>Table2[[#This Row],[(A) Err]]^2</f>
        <v>29.066239424885762</v>
      </c>
      <c r="AN897" s="6">
        <f>Table2[[#This Row],[EV]]-Table2[[#This Row],[Spread]]</f>
        <v>7.1240724776572506</v>
      </c>
      <c r="AO897" s="1">
        <f>Table2[[#This Row],[EV Err]]^2</f>
        <v>50.752408666913517</v>
      </c>
      <c r="AP897" s="1"/>
    </row>
    <row r="898" spans="1:42" x14ac:dyDescent="0.25">
      <c r="A898" s="34">
        <v>42796</v>
      </c>
      <c r="B898" t="s">
        <v>121</v>
      </c>
      <c r="C898" t="s">
        <v>119</v>
      </c>
      <c r="E898" s="21"/>
      <c r="G898" s="21"/>
      <c r="H898" s="7"/>
      <c r="I898" s="21"/>
      <c r="K898"/>
      <c r="L898" s="21">
        <f>(Table2[[#This Row],[H/Pace]]/100)*(VLOOKUP(Table2[[#This Row],[Home/Neutral]],home_lookup,8,FALSE)+VLOOKUP(Table2[[#This Row],[Home/Neutral]],OFR_lookup,2,FALSE)+VLOOKUP(Table2[[#This Row],[Visitor/Neutral]],def_diff_lookup,6,FALSE))</f>
        <v>116.50248060751254</v>
      </c>
      <c r="M898" s="21"/>
      <c r="N898" s="21">
        <f>(Table2[[#This Row],[A/Pace]]/100)*(VLOOKUP(Table2[[#This Row],[Visitor/Neutral]],OFR_lookup,2,FALSE)+VLOOKUP(Table2[[#This Row],[Home/Neutral]],def_diff_lookup,6,FALSE))</f>
        <v>105.40362100000002</v>
      </c>
      <c r="O898" s="21"/>
      <c r="P898" s="21"/>
      <c r="Q898">
        <f>VLOOKUP(Table2[[#This Row],[Home/Neutral]],pace_lookup,7,FALSE)</f>
        <v>96.4</v>
      </c>
      <c r="R898" s="5">
        <f>VLOOKUP(Table2[[#This Row],[Visitor/Neutral]],pace_lookup,7,FALSE)</f>
        <v>96.9</v>
      </c>
      <c r="S898" s="7"/>
      <c r="U898" s="15"/>
      <c r="W898" s="2">
        <f>-home-VLOOKUP(Table2[[#This Row],[Home/Neutral]],rtg_vlookup,4,FALSE)+VLOOKUP(Table2[[#This Row],[Visitor/Neutral]],rtg_vlookup,4,FALSE)</f>
        <v>-11.828688524590167</v>
      </c>
      <c r="X898" s="15"/>
      <c r="Y898" s="2"/>
      <c r="Z898" s="2">
        <f>Table2[[#This Row],[A/EV]]-Table2[[#This Row],[H/EV]]</f>
        <v>-11.098859607512523</v>
      </c>
      <c r="AA898" s="29"/>
      <c r="AB898" s="30"/>
      <c r="AC898" s="30"/>
      <c r="AD898" s="30"/>
      <c r="AE898" s="30"/>
      <c r="AF898" s="7" t="b">
        <f>IF(VLOOKUP(Table2[[#This Row],[Home/Neutral]],division_lookup,9,FALSE)=VLOOKUP(Table2[[#This Row],[Visitor/Neutral]],division_lookup,9,FALSE),TRUE,FALSE)</f>
        <v>0</v>
      </c>
      <c r="AG898" s="15" t="str">
        <f>VLOOKUP(Table2[[#This Row],[Home/Neutral]],division_lookup,9,FALSE)</f>
        <v>P</v>
      </c>
      <c r="AH898" s="15" t="str">
        <f>IF(Table2[[#This Row],[Total/EV]]&lt;Table2[[#This Row],[Total/V]],"UNDER","OVER")</f>
        <v>OVER</v>
      </c>
      <c r="AI898" s="26">
        <f>Table2[[#This Row],[SRS/Real]]-Table2[[#This Row],[Spread/V]]</f>
        <v>0</v>
      </c>
      <c r="AJ898" s="2">
        <f>Table2[[#This Row],[EV/Real]]-Table2[[#This Row],[Spread/V]]</f>
        <v>0</v>
      </c>
      <c r="AK898" s="2">
        <f>Table2[[#This Row],[SRS/Diff]]-Table2[[#This Row],[EV/Diff]]</f>
        <v>0</v>
      </c>
      <c r="AL898" s="18">
        <f>Table2[[#This Row],[SRS]]-Table2[[#This Row],[Spread]]</f>
        <v>-11.828688524590167</v>
      </c>
      <c r="AM898" s="21">
        <f>Table2[[#This Row],[(A) Err]]^2</f>
        <v>139.91787221177108</v>
      </c>
      <c r="AN898" s="6">
        <f>Table2[[#This Row],[EV]]-Table2[[#This Row],[Spread]]</f>
        <v>-11.098859607512523</v>
      </c>
      <c r="AO898" s="1">
        <f>Table2[[#This Row],[EV Err]]^2</f>
        <v>123.18468458727304</v>
      </c>
      <c r="AP898" s="1"/>
    </row>
    <row r="899" spans="1:42" x14ac:dyDescent="0.25">
      <c r="A899" s="34">
        <v>42796</v>
      </c>
      <c r="B899" t="s">
        <v>124</v>
      </c>
      <c r="C899" t="s">
        <v>138</v>
      </c>
      <c r="E899" s="21"/>
      <c r="G899" s="21"/>
      <c r="H899" s="7"/>
      <c r="I899" s="21"/>
      <c r="K899"/>
      <c r="L899" s="21">
        <f>(Table2[[#This Row],[H/Pace]]/100)*(VLOOKUP(Table2[[#This Row],[Home/Neutral]],home_lookup,8,FALSE)+VLOOKUP(Table2[[#This Row],[Home/Neutral]],OFR_lookup,2,FALSE)+VLOOKUP(Table2[[#This Row],[Visitor/Neutral]],def_diff_lookup,6,FALSE))</f>
        <v>102.80357517723557</v>
      </c>
      <c r="M899" s="21"/>
      <c r="N899" s="21">
        <f>(Table2[[#This Row],[A/Pace]]/100)*(VLOOKUP(Table2[[#This Row],[Visitor/Neutral]],OFR_lookup,2,FALSE)+VLOOKUP(Table2[[#This Row],[Home/Neutral]],def_diff_lookup,6,FALSE))</f>
        <v>94.132024999999999</v>
      </c>
      <c r="O899" s="21"/>
      <c r="P899" s="21"/>
      <c r="Q899">
        <f>VLOOKUP(Table2[[#This Row],[Home/Neutral]],pace_lookup,7,FALSE)</f>
        <v>93.7</v>
      </c>
      <c r="R899" s="5">
        <f>VLOOKUP(Table2[[#This Row],[Visitor/Neutral]],pace_lookup,7,FALSE)</f>
        <v>97.5</v>
      </c>
      <c r="S899" s="7"/>
      <c r="U899" s="15"/>
      <c r="W899" s="2">
        <f>-home-VLOOKUP(Table2[[#This Row],[Home/Neutral]],rtg_vlookup,4,FALSE)+VLOOKUP(Table2[[#This Row],[Visitor/Neutral]],rtg_vlookup,4,FALSE)</f>
        <v>-11.208688524590167</v>
      </c>
      <c r="X899" s="15"/>
      <c r="Y899" s="2"/>
      <c r="Z899" s="2">
        <f>Table2[[#This Row],[A/EV]]-Table2[[#This Row],[H/EV]]</f>
        <v>-8.6715501772355736</v>
      </c>
      <c r="AA899" s="29"/>
      <c r="AB899" s="30"/>
      <c r="AC899" s="30"/>
      <c r="AD899" s="30"/>
      <c r="AE899" s="30"/>
      <c r="AF899" s="7" t="b">
        <f>IF(VLOOKUP(Table2[[#This Row],[Home/Neutral]],division_lookup,9,FALSE)=VLOOKUP(Table2[[#This Row],[Visitor/Neutral]],division_lookup,9,FALSE),TRUE,FALSE)</f>
        <v>0</v>
      </c>
      <c r="AG899" s="15" t="str">
        <f>VLOOKUP(Table2[[#This Row],[Home/Neutral]],division_lookup,9,FALSE)</f>
        <v>SE</v>
      </c>
      <c r="AH899" s="15" t="str">
        <f>IF(Table2[[#This Row],[Total/EV]]&lt;Table2[[#This Row],[Total/V]],"UNDER","OVER")</f>
        <v>OVER</v>
      </c>
      <c r="AI899" s="26">
        <f>Table2[[#This Row],[SRS/Real]]-Table2[[#This Row],[Spread/V]]</f>
        <v>0</v>
      </c>
      <c r="AJ899" s="2">
        <f>Table2[[#This Row],[EV/Real]]-Table2[[#This Row],[Spread/V]]</f>
        <v>0</v>
      </c>
      <c r="AK899" s="2">
        <f>Table2[[#This Row],[SRS/Diff]]-Table2[[#This Row],[EV/Diff]]</f>
        <v>0</v>
      </c>
      <c r="AL899" s="18">
        <f>Table2[[#This Row],[SRS]]-Table2[[#This Row],[Spread]]</f>
        <v>-11.208688524590167</v>
      </c>
      <c r="AM899" s="21">
        <f>Table2[[#This Row],[(A) Err]]^2</f>
        <v>125.6346984412793</v>
      </c>
      <c r="AN899" s="6">
        <f>Table2[[#This Row],[EV]]-Table2[[#This Row],[Spread]]</f>
        <v>-8.6715501772355736</v>
      </c>
      <c r="AO899" s="1">
        <f>Table2[[#This Row],[EV Err]]^2</f>
        <v>75.195782476314307</v>
      </c>
      <c r="AP899" s="1"/>
    </row>
    <row r="900" spans="1:42" x14ac:dyDescent="0.25">
      <c r="A900" s="34">
        <v>42796</v>
      </c>
      <c r="B900" t="s">
        <v>125</v>
      </c>
      <c r="C900" t="s">
        <v>116</v>
      </c>
      <c r="E900" s="21"/>
      <c r="G900" s="21"/>
      <c r="H900" s="7"/>
      <c r="I900" s="21"/>
      <c r="K900"/>
      <c r="L900" s="21">
        <f>(Table2[[#This Row],[H/Pace]]/100)*(VLOOKUP(Table2[[#This Row],[Home/Neutral]],home_lookup,8,FALSE)+VLOOKUP(Table2[[#This Row],[Home/Neutral]],OFR_lookup,2,FALSE)+VLOOKUP(Table2[[#This Row],[Visitor/Neutral]],def_diff_lookup,6,FALSE))</f>
        <v>108.74753550061908</v>
      </c>
      <c r="M900" s="21"/>
      <c r="N900" s="21">
        <f>(Table2[[#This Row],[A/Pace]]/100)*(VLOOKUP(Table2[[#This Row],[Visitor/Neutral]],OFR_lookup,2,FALSE)+VLOOKUP(Table2[[#This Row],[Home/Neutral]],def_diff_lookup,6,FALSE))</f>
        <v>107.27145566666667</v>
      </c>
      <c r="O900" s="21"/>
      <c r="P900" s="21"/>
      <c r="Q900">
        <f>VLOOKUP(Table2[[#This Row],[Home/Neutral]],pace_lookup,7,FALSE)</f>
        <v>96.1</v>
      </c>
      <c r="R900" s="5">
        <f>VLOOKUP(Table2[[#This Row],[Visitor/Neutral]],pace_lookup,7,FALSE)</f>
        <v>99.1</v>
      </c>
      <c r="S900" s="7"/>
      <c r="U900" s="15"/>
      <c r="W900" s="2">
        <f>-home-VLOOKUP(Table2[[#This Row],[Home/Neutral]],rtg_vlookup,4,FALSE)+VLOOKUP(Table2[[#This Row],[Visitor/Neutral]],rtg_vlookup,4,FALSE)</f>
        <v>-1.0386885245901656</v>
      </c>
      <c r="X900" s="15"/>
      <c r="Y900" s="2"/>
      <c r="Z900" s="2">
        <f>Table2[[#This Row],[A/EV]]-Table2[[#This Row],[H/EV]]</f>
        <v>-1.4760798339524115</v>
      </c>
      <c r="AA900" s="29"/>
      <c r="AB900" s="30"/>
      <c r="AC900" s="30"/>
      <c r="AD900" s="30"/>
      <c r="AE900" s="30"/>
      <c r="AF900" s="7" t="b">
        <f>IF(VLOOKUP(Table2[[#This Row],[Home/Neutral]],division_lookup,9,FALSE)=VLOOKUP(Table2[[#This Row],[Visitor/Neutral]],division_lookup,9,FALSE),TRUE,FALSE)</f>
        <v>0</v>
      </c>
      <c r="AG900" s="15" t="str">
        <f>VLOOKUP(Table2[[#This Row],[Home/Neutral]],division_lookup,9,FALSE)</f>
        <v>C</v>
      </c>
      <c r="AH900" s="15" t="str">
        <f>IF(Table2[[#This Row],[Total/EV]]&lt;Table2[[#This Row],[Total/V]],"UNDER","OVER")</f>
        <v>OVER</v>
      </c>
      <c r="AI900" s="26">
        <f>Table2[[#This Row],[SRS/Real]]-Table2[[#This Row],[Spread/V]]</f>
        <v>0</v>
      </c>
      <c r="AJ900" s="2">
        <f>Table2[[#This Row],[EV/Real]]-Table2[[#This Row],[Spread/V]]</f>
        <v>0</v>
      </c>
      <c r="AK900" s="2">
        <f>Table2[[#This Row],[SRS/Diff]]-Table2[[#This Row],[EV/Diff]]</f>
        <v>0</v>
      </c>
      <c r="AL900" s="18">
        <f>Table2[[#This Row],[SRS]]-Table2[[#This Row],[Spread]]</f>
        <v>-1.0386885245901656</v>
      </c>
      <c r="AM900" s="21">
        <f>Table2[[#This Row],[(A) Err]]^2</f>
        <v>1.0788738511152951</v>
      </c>
      <c r="AN900" s="6">
        <f>Table2[[#This Row],[EV]]-Table2[[#This Row],[Spread]]</f>
        <v>-1.4760798339524115</v>
      </c>
      <c r="AO900" s="1">
        <f>Table2[[#This Row],[EV Err]]^2</f>
        <v>2.1788116762009788</v>
      </c>
      <c r="AP900" s="1"/>
    </row>
    <row r="901" spans="1:42" x14ac:dyDescent="0.25">
      <c r="A901" s="34">
        <v>42796</v>
      </c>
      <c r="B901" t="s">
        <v>127</v>
      </c>
      <c r="C901" t="s">
        <v>117</v>
      </c>
      <c r="E901" s="21"/>
      <c r="G901" s="21"/>
      <c r="H901" s="7"/>
      <c r="I901" s="21"/>
      <c r="K901"/>
      <c r="L901" s="21">
        <f>(Table2[[#This Row],[H/Pace]]/100)*(VLOOKUP(Table2[[#This Row],[Home/Neutral]],home_lookup,8,FALSE)+VLOOKUP(Table2[[#This Row],[Home/Neutral]],OFR_lookup,2,FALSE)+VLOOKUP(Table2[[#This Row],[Visitor/Neutral]],def_diff_lookup,6,FALSE))</f>
        <v>98.806804937430485</v>
      </c>
      <c r="M901" s="21"/>
      <c r="N901" s="21">
        <f>(Table2[[#This Row],[A/Pace]]/100)*(VLOOKUP(Table2[[#This Row],[Visitor/Neutral]],OFR_lookup,2,FALSE)+VLOOKUP(Table2[[#This Row],[Home/Neutral]],def_diff_lookup,6,FALSE))</f>
        <v>96.844126666666654</v>
      </c>
      <c r="O901" s="21"/>
      <c r="P901" s="21"/>
      <c r="Q901">
        <f>VLOOKUP(Table2[[#This Row],[Home/Neutral]],pace_lookup,7,FALSE)</f>
        <v>99.3</v>
      </c>
      <c r="R901" s="5">
        <f>VLOOKUP(Table2[[#This Row],[Visitor/Neutral]],pace_lookup,7,FALSE)</f>
        <v>94</v>
      </c>
      <c r="S901" s="7"/>
      <c r="U901" s="15"/>
      <c r="W901" s="2">
        <f>-home-VLOOKUP(Table2[[#This Row],[Home/Neutral]],rtg_vlookup,4,FALSE)+VLOOKUP(Table2[[#This Row],[Visitor/Neutral]],rtg_vlookup,4,FALSE)</f>
        <v>1.4513114754098344</v>
      </c>
      <c r="X901" s="15"/>
      <c r="Y901" s="2"/>
      <c r="Z901" s="2">
        <f>Table2[[#This Row],[A/EV]]-Table2[[#This Row],[H/EV]]</f>
        <v>-1.9626782707638313</v>
      </c>
      <c r="AA901" s="29"/>
      <c r="AB901" s="30"/>
      <c r="AC901" s="30"/>
      <c r="AD901" s="30"/>
      <c r="AE901" s="30"/>
      <c r="AF901" s="7" t="b">
        <f>IF(VLOOKUP(Table2[[#This Row],[Home/Neutral]],division_lookup,9,FALSE)=VLOOKUP(Table2[[#This Row],[Visitor/Neutral]],division_lookup,9,FALSE),TRUE,FALSE)</f>
        <v>0</v>
      </c>
      <c r="AG901" s="15" t="str">
        <f>VLOOKUP(Table2[[#This Row],[Home/Neutral]],division_lookup,9,FALSE)</f>
        <v>SW</v>
      </c>
      <c r="AH901" s="15" t="str">
        <f>IF(Table2[[#This Row],[Total/EV]]&lt;Table2[[#This Row],[Total/V]],"UNDER","OVER")</f>
        <v>OVER</v>
      </c>
      <c r="AI901" s="26">
        <f>Table2[[#This Row],[SRS/Real]]-Table2[[#This Row],[Spread/V]]</f>
        <v>0</v>
      </c>
      <c r="AJ901" s="2">
        <f>Table2[[#This Row],[EV/Real]]-Table2[[#This Row],[Spread/V]]</f>
        <v>0</v>
      </c>
      <c r="AK901" s="2">
        <f>Table2[[#This Row],[SRS/Diff]]-Table2[[#This Row],[EV/Diff]]</f>
        <v>0</v>
      </c>
      <c r="AL901" s="18">
        <f>Table2[[#This Row],[SRS]]-Table2[[#This Row],[Spread]]</f>
        <v>1.4513114754098344</v>
      </c>
      <c r="AM901" s="21">
        <f>Table2[[#This Row],[(A) Err]]^2</f>
        <v>2.1063049986562703</v>
      </c>
      <c r="AN901" s="6">
        <f>Table2[[#This Row],[EV]]-Table2[[#This Row],[Spread]]</f>
        <v>-1.9626782707638313</v>
      </c>
      <c r="AO901" s="1">
        <f>Table2[[#This Row],[EV Err]]^2</f>
        <v>3.852105994528503</v>
      </c>
      <c r="AP901" s="1"/>
    </row>
    <row r="902" spans="1:42" x14ac:dyDescent="0.25">
      <c r="A902" s="34">
        <v>42796</v>
      </c>
      <c r="B902" t="s">
        <v>130</v>
      </c>
      <c r="C902" t="s">
        <v>128</v>
      </c>
      <c r="E902" s="21"/>
      <c r="G902" s="21"/>
      <c r="H902" s="7"/>
      <c r="I902" s="21"/>
      <c r="K902"/>
      <c r="L902" s="21">
        <f>(Table2[[#This Row],[H/Pace]]/100)*(VLOOKUP(Table2[[#This Row],[Home/Neutral]],home_lookup,8,FALSE)+VLOOKUP(Table2[[#This Row],[Home/Neutral]],OFR_lookup,2,FALSE)+VLOOKUP(Table2[[#This Row],[Visitor/Neutral]],def_diff_lookup,6,FALSE))</f>
        <v>99.445664967109408</v>
      </c>
      <c r="M902" s="21"/>
      <c r="N902" s="21">
        <f>(Table2[[#This Row],[A/Pace]]/100)*(VLOOKUP(Table2[[#This Row],[Visitor/Neutral]],OFR_lookup,2,FALSE)+VLOOKUP(Table2[[#This Row],[Home/Neutral]],def_diff_lookup,6,FALSE))</f>
        <v>103.75907699999998</v>
      </c>
      <c r="O902" s="21"/>
      <c r="P902" s="21"/>
      <c r="Q902">
        <f>VLOOKUP(Table2[[#This Row],[Home/Neutral]],pace_lookup,7,FALSE)</f>
        <v>94.2</v>
      </c>
      <c r="R902" s="5">
        <f>VLOOKUP(Table2[[#This Row],[Visitor/Neutral]],pace_lookup,7,FALSE)</f>
        <v>96.3</v>
      </c>
      <c r="S902" s="7"/>
      <c r="U902" s="15"/>
      <c r="W902" s="2">
        <f>-home-VLOOKUP(Table2[[#This Row],[Home/Neutral]],rtg_vlookup,4,FALSE)+VLOOKUP(Table2[[#This Row],[Visitor/Neutral]],rtg_vlookup,4,FALSE)</f>
        <v>3.9913114754098351</v>
      </c>
      <c r="X902" s="15"/>
      <c r="Y902" s="2"/>
      <c r="Z902" s="2">
        <f>Table2[[#This Row],[A/EV]]-Table2[[#This Row],[H/EV]]</f>
        <v>4.3134120328905681</v>
      </c>
      <c r="AA902" s="29"/>
      <c r="AB902" s="30"/>
      <c r="AC902" s="30"/>
      <c r="AD902" s="30"/>
      <c r="AE902" s="30"/>
      <c r="AF902" s="7" t="b">
        <f>IF(VLOOKUP(Table2[[#This Row],[Home/Neutral]],division_lookup,9,FALSE)=VLOOKUP(Table2[[#This Row],[Visitor/Neutral]],division_lookup,9,FALSE),TRUE,FALSE)</f>
        <v>0</v>
      </c>
      <c r="AG902" s="15" t="str">
        <f>VLOOKUP(Table2[[#This Row],[Home/Neutral]],division_lookup,9,FALSE)</f>
        <v>SE</v>
      </c>
      <c r="AH902" s="15" t="str">
        <f>IF(Table2[[#This Row],[Total/EV]]&lt;Table2[[#This Row],[Total/V]],"UNDER","OVER")</f>
        <v>OVER</v>
      </c>
      <c r="AI902" s="26">
        <f>Table2[[#This Row],[SRS/Real]]-Table2[[#This Row],[Spread/V]]</f>
        <v>0</v>
      </c>
      <c r="AJ902" s="2">
        <f>Table2[[#This Row],[EV/Real]]-Table2[[#This Row],[Spread/V]]</f>
        <v>0</v>
      </c>
      <c r="AK902" s="2">
        <f>Table2[[#This Row],[SRS/Diff]]-Table2[[#This Row],[EV/Diff]]</f>
        <v>0</v>
      </c>
      <c r="AL902" s="18">
        <f>Table2[[#This Row],[SRS]]-Table2[[#This Row],[Spread]]</f>
        <v>3.9913114754098351</v>
      </c>
      <c r="AM902" s="21">
        <f>Table2[[#This Row],[(A) Err]]^2</f>
        <v>15.930567293738235</v>
      </c>
      <c r="AN902" s="6">
        <f>Table2[[#This Row],[EV]]-Table2[[#This Row],[Spread]]</f>
        <v>4.3134120328905681</v>
      </c>
      <c r="AO902" s="1">
        <f>Table2[[#This Row],[EV Err]]^2</f>
        <v>18.605523365485144</v>
      </c>
      <c r="AP902" s="1"/>
    </row>
    <row r="903" spans="1:42" x14ac:dyDescent="0.25">
      <c r="A903" s="34">
        <v>42796</v>
      </c>
      <c r="B903" t="s">
        <v>133</v>
      </c>
      <c r="C903" t="s">
        <v>111</v>
      </c>
      <c r="E903" s="21"/>
      <c r="G903" s="21"/>
      <c r="H903" s="7"/>
      <c r="I903" s="21"/>
      <c r="K903"/>
      <c r="L903" s="21">
        <f>(Table2[[#This Row],[H/Pace]]/100)*(VLOOKUP(Table2[[#This Row],[Home/Neutral]],home_lookup,8,FALSE)+VLOOKUP(Table2[[#This Row],[Home/Neutral]],OFR_lookup,2,FALSE)+VLOOKUP(Table2[[#This Row],[Visitor/Neutral]],def_diff_lookup,6,FALSE))</f>
        <v>112.08316748279979</v>
      </c>
      <c r="M903" s="21"/>
      <c r="N903" s="21">
        <f>(Table2[[#This Row],[A/Pace]]/100)*(VLOOKUP(Table2[[#This Row],[Visitor/Neutral]],OFR_lookup,2,FALSE)+VLOOKUP(Table2[[#This Row],[Home/Neutral]],def_diff_lookup,6,FALSE))</f>
        <v>107.51378</v>
      </c>
      <c r="O903" s="21"/>
      <c r="P903" s="21"/>
      <c r="Q903">
        <f>VLOOKUP(Table2[[#This Row],[Home/Neutral]],pace_lookup,7,FALSE)</f>
        <v>94.2</v>
      </c>
      <c r="R903" s="5">
        <f>VLOOKUP(Table2[[#This Row],[Visitor/Neutral]],pace_lookup,7,FALSE)</f>
        <v>102</v>
      </c>
      <c r="S903" s="7"/>
      <c r="U903" s="15"/>
      <c r="W903" s="2">
        <f>-home-VLOOKUP(Table2[[#This Row],[Home/Neutral]],rtg_vlookup,4,FALSE)+VLOOKUP(Table2[[#This Row],[Visitor/Neutral]],rtg_vlookup,4,FALSE)</f>
        <v>-9.6386885245901652</v>
      </c>
      <c r="X903" s="15"/>
      <c r="Y903" s="2"/>
      <c r="Z903" s="2">
        <f>Table2[[#This Row],[A/EV]]-Table2[[#This Row],[H/EV]]</f>
        <v>-4.5693874827997973</v>
      </c>
      <c r="AA903" s="29"/>
      <c r="AB903" s="30"/>
      <c r="AC903" s="30"/>
      <c r="AD903" s="30"/>
      <c r="AE903" s="30"/>
      <c r="AF903" s="7" t="b">
        <f>IF(VLOOKUP(Table2[[#This Row],[Home/Neutral]],division_lookup,9,FALSE)=VLOOKUP(Table2[[#This Row],[Visitor/Neutral]],division_lookup,9,FALSE),TRUE,FALSE)</f>
        <v>0</v>
      </c>
      <c r="AG903" s="15" t="str">
        <f>VLOOKUP(Table2[[#This Row],[Home/Neutral]],division_lookup,9,FALSE)</f>
        <v>P</v>
      </c>
      <c r="AH903" s="15" t="str">
        <f>IF(Table2[[#This Row],[Total/EV]]&lt;Table2[[#This Row],[Total/V]],"UNDER","OVER")</f>
        <v>OVER</v>
      </c>
      <c r="AI903" s="26">
        <f>Table2[[#This Row],[SRS/Real]]-Table2[[#This Row],[Spread/V]]</f>
        <v>0</v>
      </c>
      <c r="AJ903" s="2">
        <f>Table2[[#This Row],[EV/Real]]-Table2[[#This Row],[Spread/V]]</f>
        <v>0</v>
      </c>
      <c r="AK903" s="2">
        <f>Table2[[#This Row],[SRS/Diff]]-Table2[[#This Row],[EV/Diff]]</f>
        <v>0</v>
      </c>
      <c r="AL903" s="18">
        <f>Table2[[#This Row],[SRS]]-Table2[[#This Row],[Spread]]</f>
        <v>-9.6386885245901652</v>
      </c>
      <c r="AM903" s="21">
        <f>Table2[[#This Row],[(A) Err]]^2</f>
        <v>92.904316474066135</v>
      </c>
      <c r="AN903" s="6">
        <f>Table2[[#This Row],[EV]]-Table2[[#This Row],[Spread]]</f>
        <v>-4.5693874827997973</v>
      </c>
      <c r="AO903" s="1">
        <f>Table2[[#This Row],[EV Err]]^2</f>
        <v>20.879301967967468</v>
      </c>
      <c r="AP903" s="1"/>
    </row>
    <row r="904" spans="1:42" x14ac:dyDescent="0.25">
      <c r="A904" s="34">
        <v>42796</v>
      </c>
      <c r="B904" t="s">
        <v>134</v>
      </c>
      <c r="C904" t="s">
        <v>120</v>
      </c>
      <c r="E904" s="21"/>
      <c r="G904" s="21"/>
      <c r="H904" s="7"/>
      <c r="I904" s="21"/>
      <c r="K904"/>
      <c r="L904" s="21">
        <f>(Table2[[#This Row],[H/Pace]]/100)*(VLOOKUP(Table2[[#This Row],[Home/Neutral]],home_lookup,8,FALSE)+VLOOKUP(Table2[[#This Row],[Home/Neutral]],OFR_lookup,2,FALSE)+VLOOKUP(Table2[[#This Row],[Visitor/Neutral]],def_diff_lookup,6,FALSE))</f>
        <v>102.31731343638194</v>
      </c>
      <c r="M904" s="21"/>
      <c r="N904" s="21">
        <f>(Table2[[#This Row],[A/Pace]]/100)*(VLOOKUP(Table2[[#This Row],[Visitor/Neutral]],OFR_lookup,2,FALSE)+VLOOKUP(Table2[[#This Row],[Home/Neutral]],def_diff_lookup,6,FALSE))</f>
        <v>100.60579033333333</v>
      </c>
      <c r="O904" s="21"/>
      <c r="P904" s="21"/>
      <c r="Q904">
        <f>VLOOKUP(Table2[[#This Row],[Home/Neutral]],pace_lookup,7,FALSE)</f>
        <v>93.4</v>
      </c>
      <c r="R904" s="5">
        <f>VLOOKUP(Table2[[#This Row],[Visitor/Neutral]],pace_lookup,7,FALSE)</f>
        <v>98.3</v>
      </c>
      <c r="S904" s="7"/>
      <c r="U904" s="15"/>
      <c r="W904" s="2">
        <f>-home-VLOOKUP(Table2[[#This Row],[Home/Neutral]],rtg_vlookup,4,FALSE)+VLOOKUP(Table2[[#This Row],[Visitor/Neutral]],rtg_vlookup,4,FALSE)</f>
        <v>-14.868688524590166</v>
      </c>
      <c r="X904" s="15"/>
      <c r="Y904" s="2"/>
      <c r="Z904" s="2">
        <f>Table2[[#This Row],[A/EV]]-Table2[[#This Row],[H/EV]]</f>
        <v>-1.7115231030486058</v>
      </c>
      <c r="AA904" s="29"/>
      <c r="AB904" s="30"/>
      <c r="AC904" s="30"/>
      <c r="AD904" s="30"/>
      <c r="AE904" s="30"/>
      <c r="AF904" s="7" t="b">
        <f>IF(VLOOKUP(Table2[[#This Row],[Home/Neutral]],division_lookup,9,FALSE)=VLOOKUP(Table2[[#This Row],[Visitor/Neutral]],division_lookup,9,FALSE),TRUE,FALSE)</f>
        <v>0</v>
      </c>
      <c r="AG904" s="15" t="str">
        <f>VLOOKUP(Table2[[#This Row],[Home/Neutral]],division_lookup,9,FALSE)</f>
        <v>SW</v>
      </c>
      <c r="AH904" s="15" t="str">
        <f>IF(Table2[[#This Row],[Total/EV]]&lt;Table2[[#This Row],[Total/V]],"UNDER","OVER")</f>
        <v>OVER</v>
      </c>
      <c r="AI904" s="26">
        <f>Table2[[#This Row],[SRS/Real]]-Table2[[#This Row],[Spread/V]]</f>
        <v>0</v>
      </c>
      <c r="AJ904" s="2">
        <f>Table2[[#This Row],[EV/Real]]-Table2[[#This Row],[Spread/V]]</f>
        <v>0</v>
      </c>
      <c r="AK904" s="2">
        <f>Table2[[#This Row],[SRS/Diff]]-Table2[[#This Row],[EV/Diff]]</f>
        <v>0</v>
      </c>
      <c r="AL904" s="18">
        <f>Table2[[#This Row],[SRS]]-Table2[[#This Row],[Spread]]</f>
        <v>-14.868688524590166</v>
      </c>
      <c r="AM904" s="21">
        <f>Table2[[#This Row],[(A) Err]]^2</f>
        <v>221.07789844127927</v>
      </c>
      <c r="AN904" s="6">
        <f>Table2[[#This Row],[EV]]-Table2[[#This Row],[Spread]]</f>
        <v>-1.7115231030486058</v>
      </c>
      <c r="AO904" s="1">
        <f>Table2[[#This Row],[EV Err]]^2</f>
        <v>2.9293113322691284</v>
      </c>
      <c r="AP904" s="1"/>
    </row>
    <row r="905" spans="1:42" x14ac:dyDescent="0.25">
      <c r="A905" s="34">
        <v>42796</v>
      </c>
      <c r="B905" t="s">
        <v>135</v>
      </c>
      <c r="C905" t="s">
        <v>137</v>
      </c>
      <c r="E905" s="21"/>
      <c r="G905" s="21"/>
      <c r="H905" s="7"/>
      <c r="I905" s="21"/>
      <c r="K905"/>
      <c r="L905" s="21">
        <f>(Table2[[#This Row],[H/Pace]]/100)*(VLOOKUP(Table2[[#This Row],[Home/Neutral]],home_lookup,8,FALSE)+VLOOKUP(Table2[[#This Row],[Home/Neutral]],OFR_lookup,2,FALSE)+VLOOKUP(Table2[[#This Row],[Visitor/Neutral]],def_diff_lookup,6,FALSE))</f>
        <v>113.00754035324614</v>
      </c>
      <c r="M905" s="21"/>
      <c r="N905" s="21">
        <f>(Table2[[#This Row],[A/Pace]]/100)*(VLOOKUP(Table2[[#This Row],[Visitor/Neutral]],OFR_lookup,2,FALSE)+VLOOKUP(Table2[[#This Row],[Home/Neutral]],def_diff_lookup,6,FALSE))</f>
        <v>103.75264</v>
      </c>
      <c r="O905" s="21"/>
      <c r="P905" s="21"/>
      <c r="Q905">
        <f>VLOOKUP(Table2[[#This Row],[Home/Neutral]],pace_lookup,7,FALSE)</f>
        <v>95.4</v>
      </c>
      <c r="R905" s="5">
        <f>VLOOKUP(Table2[[#This Row],[Visitor/Neutral]],pace_lookup,7,FALSE)</f>
        <v>96</v>
      </c>
      <c r="S905" s="7"/>
      <c r="U905" s="15"/>
      <c r="W905" s="2">
        <f>-home-VLOOKUP(Table2[[#This Row],[Home/Neutral]],rtg_vlookup,4,FALSE)+VLOOKUP(Table2[[#This Row],[Visitor/Neutral]],rtg_vlookup,4,FALSE)</f>
        <v>-11.708688524590166</v>
      </c>
      <c r="X905" s="15"/>
      <c r="Y905" s="2"/>
      <c r="Z905" s="2">
        <f>Table2[[#This Row],[A/EV]]-Table2[[#This Row],[H/EV]]</f>
        <v>-9.2549003532461427</v>
      </c>
      <c r="AA905" s="29"/>
      <c r="AB905" s="30"/>
      <c r="AC905" s="30"/>
      <c r="AD905" s="30"/>
      <c r="AE905" s="30"/>
      <c r="AF905" s="7" t="b">
        <f>IF(VLOOKUP(Table2[[#This Row],[Home/Neutral]],division_lookup,9,FALSE)=VLOOKUP(Table2[[#This Row],[Visitor/Neutral]],division_lookup,9,FALSE),TRUE,FALSE)</f>
        <v>0</v>
      </c>
      <c r="AG905" s="15" t="str">
        <f>VLOOKUP(Table2[[#This Row],[Home/Neutral]],division_lookup,9,FALSE)</f>
        <v>A</v>
      </c>
      <c r="AH905" s="15" t="str">
        <f>IF(Table2[[#This Row],[Total/EV]]&lt;Table2[[#This Row],[Total/V]],"UNDER","OVER")</f>
        <v>OVER</v>
      </c>
      <c r="AI905" s="26">
        <f>Table2[[#This Row],[SRS/Real]]-Table2[[#This Row],[Spread/V]]</f>
        <v>0</v>
      </c>
      <c r="AJ905" s="2">
        <f>Table2[[#This Row],[EV/Real]]-Table2[[#This Row],[Spread/V]]</f>
        <v>0</v>
      </c>
      <c r="AK905" s="2">
        <f>Table2[[#This Row],[SRS/Diff]]-Table2[[#This Row],[EV/Diff]]</f>
        <v>0</v>
      </c>
      <c r="AL905" s="18">
        <f>Table2[[#This Row],[SRS]]-Table2[[#This Row],[Spread]]</f>
        <v>-11.708688524590166</v>
      </c>
      <c r="AM905" s="21">
        <f>Table2[[#This Row],[(A) Err]]^2</f>
        <v>137.09338696586943</v>
      </c>
      <c r="AN905" s="6">
        <f>Table2[[#This Row],[EV]]-Table2[[#This Row],[Spread]]</f>
        <v>-9.2549003532461427</v>
      </c>
      <c r="AO905" s="1">
        <f>Table2[[#This Row],[EV Err]]^2</f>
        <v>85.653180548515579</v>
      </c>
      <c r="AP905" s="1"/>
    </row>
    <row r="906" spans="1:42" x14ac:dyDescent="0.25">
      <c r="A906" s="34">
        <v>42796</v>
      </c>
      <c r="B906" t="s">
        <v>136</v>
      </c>
      <c r="C906" t="s">
        <v>126</v>
      </c>
      <c r="E906" s="21"/>
      <c r="G906" s="21"/>
      <c r="H906" s="7"/>
      <c r="I906" s="21"/>
      <c r="K906"/>
      <c r="L906" s="21">
        <f>(Table2[[#This Row],[H/Pace]]/100)*(VLOOKUP(Table2[[#This Row],[Home/Neutral]],home_lookup,8,FALSE)+VLOOKUP(Table2[[#This Row],[Home/Neutral]],OFR_lookup,2,FALSE)+VLOOKUP(Table2[[#This Row],[Visitor/Neutral]],def_diff_lookup,6,FALSE))</f>
        <v>107.994285349919</v>
      </c>
      <c r="M906" s="21"/>
      <c r="N906" s="21">
        <f>(Table2[[#This Row],[A/Pace]]/100)*(VLOOKUP(Table2[[#This Row],[Visitor/Neutral]],OFR_lookup,2,FALSE)+VLOOKUP(Table2[[#This Row],[Home/Neutral]],def_diff_lookup,6,FALSE))</f>
        <v>99.705683000000008</v>
      </c>
      <c r="O906" s="21"/>
      <c r="P906" s="21"/>
      <c r="Q906">
        <f>VLOOKUP(Table2[[#This Row],[Home/Neutral]],pace_lookup,7,FALSE)</f>
        <v>91.5</v>
      </c>
      <c r="R906" s="5">
        <f>VLOOKUP(Table2[[#This Row],[Visitor/Neutral]],pace_lookup,7,FALSE)</f>
        <v>95.7</v>
      </c>
      <c r="S906" s="7"/>
      <c r="U906" s="15"/>
      <c r="W906" s="2">
        <f>-home-VLOOKUP(Table2[[#This Row],[Home/Neutral]],rtg_vlookup,4,FALSE)+VLOOKUP(Table2[[#This Row],[Visitor/Neutral]],rtg_vlookup,4,FALSE)</f>
        <v>-8.2086885245901655</v>
      </c>
      <c r="X906" s="15"/>
      <c r="Y906" s="2"/>
      <c r="Z906" s="2">
        <f>Table2[[#This Row],[A/EV]]-Table2[[#This Row],[H/EV]]</f>
        <v>-8.2886023499189889</v>
      </c>
      <c r="AA906" s="29"/>
      <c r="AB906" s="30"/>
      <c r="AC906" s="30"/>
      <c r="AD906" s="30"/>
      <c r="AE906" s="30"/>
      <c r="AF906" s="7" t="b">
        <f>IF(VLOOKUP(Table2[[#This Row],[Home/Neutral]],division_lookup,9,FALSE)=VLOOKUP(Table2[[#This Row],[Visitor/Neutral]],division_lookup,9,FALSE),TRUE,FALSE)</f>
        <v>1</v>
      </c>
      <c r="AG906" s="15" t="str">
        <f>VLOOKUP(Table2[[#This Row],[Home/Neutral]],division_lookup,9,FALSE)</f>
        <v>NW</v>
      </c>
      <c r="AH906" s="15" t="str">
        <f>IF(Table2[[#This Row],[Total/EV]]&lt;Table2[[#This Row],[Total/V]],"UNDER","OVER")</f>
        <v>OVER</v>
      </c>
      <c r="AI906" s="26">
        <f>Table2[[#This Row],[SRS/Real]]-Table2[[#This Row],[Spread/V]]</f>
        <v>0</v>
      </c>
      <c r="AJ906" s="2">
        <f>Table2[[#This Row],[EV/Real]]-Table2[[#This Row],[Spread/V]]</f>
        <v>0</v>
      </c>
      <c r="AK906" s="2">
        <f>Table2[[#This Row],[SRS/Diff]]-Table2[[#This Row],[EV/Diff]]</f>
        <v>0</v>
      </c>
      <c r="AL906" s="18">
        <f>Table2[[#This Row],[SRS]]-Table2[[#This Row],[Spread]]</f>
        <v>-8.2086885245901655</v>
      </c>
      <c r="AM906" s="21">
        <f>Table2[[#This Row],[(A) Err]]^2</f>
        <v>67.382567293738262</v>
      </c>
      <c r="AN906" s="6">
        <f>Table2[[#This Row],[EV]]-Table2[[#This Row],[Spread]]</f>
        <v>-8.2886023499189889</v>
      </c>
      <c r="AO906" s="1">
        <f>Table2[[#This Row],[EV Err]]^2</f>
        <v>68.700928915082585</v>
      </c>
      <c r="AP906" s="1"/>
    </row>
    <row r="907" spans="1:42" x14ac:dyDescent="0.25">
      <c r="A907" s="34">
        <v>42797</v>
      </c>
      <c r="B907" t="s">
        <v>113</v>
      </c>
      <c r="C907" t="s">
        <v>118</v>
      </c>
      <c r="E907" s="21"/>
      <c r="G907" s="21"/>
      <c r="H907" s="7"/>
      <c r="I907" s="21"/>
      <c r="K907"/>
      <c r="L907" s="21">
        <f>(Table2[[#This Row],[H/Pace]]/100)*(VLOOKUP(Table2[[#This Row],[Home/Neutral]],home_lookup,8,FALSE)+VLOOKUP(Table2[[#This Row],[Home/Neutral]],OFR_lookup,2,FALSE)+VLOOKUP(Table2[[#This Row],[Visitor/Neutral]],def_diff_lookup,6,FALSE))</f>
        <v>108.0538338801628</v>
      </c>
      <c r="M907" s="21"/>
      <c r="N907" s="21">
        <f>(Table2[[#This Row],[A/Pace]]/100)*(VLOOKUP(Table2[[#This Row],[Visitor/Neutral]],OFR_lookup,2,FALSE)+VLOOKUP(Table2[[#This Row],[Home/Neutral]],def_diff_lookup,6,FALSE))</f>
        <v>116.95160933333332</v>
      </c>
      <c r="O907" s="21"/>
      <c r="P907" s="21"/>
      <c r="Q907">
        <f>VLOOKUP(Table2[[#This Row],[Home/Neutral]],pace_lookup,7,FALSE)</f>
        <v>95.1</v>
      </c>
      <c r="R907" s="5">
        <f>VLOOKUP(Table2[[#This Row],[Visitor/Neutral]],pace_lookup,7,FALSE)</f>
        <v>100.4</v>
      </c>
      <c r="S907" s="7"/>
      <c r="U907" s="15"/>
      <c r="W907" s="2">
        <f>-home-VLOOKUP(Table2[[#This Row],[Home/Neutral]],rtg_vlookup,4,FALSE)+VLOOKUP(Table2[[#This Row],[Visitor/Neutral]],rtg_vlookup,4,FALSE)</f>
        <v>3.9913114754098338</v>
      </c>
      <c r="X907" s="15"/>
      <c r="Y907" s="2"/>
      <c r="Z907" s="2">
        <f>Table2[[#This Row],[A/EV]]-Table2[[#This Row],[H/EV]]</f>
        <v>8.8977754531705244</v>
      </c>
      <c r="AA907" s="29"/>
      <c r="AB907" s="30"/>
      <c r="AC907" s="30"/>
      <c r="AD907" s="30"/>
      <c r="AE907" s="30"/>
      <c r="AF907" s="7" t="b">
        <f>IF(VLOOKUP(Table2[[#This Row],[Home/Neutral]],division_lookup,9,FALSE)=VLOOKUP(Table2[[#This Row],[Visitor/Neutral]],division_lookup,9,FALSE),TRUE,FALSE)</f>
        <v>0</v>
      </c>
      <c r="AG907" s="15" t="str">
        <f>VLOOKUP(Table2[[#This Row],[Home/Neutral]],division_lookup,9,FALSE)</f>
        <v>C</v>
      </c>
      <c r="AH907" s="15" t="str">
        <f>IF(Table2[[#This Row],[Total/EV]]&lt;Table2[[#This Row],[Total/V]],"UNDER","OVER")</f>
        <v>OVER</v>
      </c>
      <c r="AI907" s="26">
        <f>Table2[[#This Row],[SRS/Real]]-Table2[[#This Row],[Spread/V]]</f>
        <v>0</v>
      </c>
      <c r="AJ907" s="2">
        <f>Table2[[#This Row],[EV/Real]]-Table2[[#This Row],[Spread/V]]</f>
        <v>0</v>
      </c>
      <c r="AK907" s="2">
        <f>Table2[[#This Row],[SRS/Diff]]-Table2[[#This Row],[EV/Diff]]</f>
        <v>0</v>
      </c>
      <c r="AL907" s="18">
        <f>Table2[[#This Row],[SRS]]-Table2[[#This Row],[Spread]]</f>
        <v>3.9913114754098338</v>
      </c>
      <c r="AM907" s="21">
        <f>Table2[[#This Row],[(A) Err]]^2</f>
        <v>15.930567293738225</v>
      </c>
      <c r="AN907" s="6">
        <f>Table2[[#This Row],[EV]]-Table2[[#This Row],[Spread]]</f>
        <v>8.8977754531705244</v>
      </c>
      <c r="AO907" s="1">
        <f>Table2[[#This Row],[EV Err]]^2</f>
        <v>79.170408015043932</v>
      </c>
      <c r="AP907" s="1"/>
    </row>
    <row r="908" spans="1:42" x14ac:dyDescent="0.25">
      <c r="A908" s="34">
        <v>42797</v>
      </c>
      <c r="B908" t="s">
        <v>131</v>
      </c>
      <c r="C908" t="s">
        <v>112</v>
      </c>
      <c r="E908" s="21"/>
      <c r="G908" s="21"/>
      <c r="H908" s="7"/>
      <c r="I908" s="21"/>
      <c r="K908"/>
      <c r="L908" s="21">
        <f>(Table2[[#This Row],[H/Pace]]/100)*(VLOOKUP(Table2[[#This Row],[Home/Neutral]],home_lookup,8,FALSE)+VLOOKUP(Table2[[#This Row],[Home/Neutral]],OFR_lookup,2,FALSE)+VLOOKUP(Table2[[#This Row],[Visitor/Neutral]],def_diff_lookup,6,FALSE))</f>
        <v>96.018019791197659</v>
      </c>
      <c r="M908" s="21"/>
      <c r="N908" s="21">
        <f>(Table2[[#This Row],[A/Pace]]/100)*(VLOOKUP(Table2[[#This Row],[Visitor/Neutral]],OFR_lookup,2,FALSE)+VLOOKUP(Table2[[#This Row],[Home/Neutral]],def_diff_lookup,6,FALSE))</f>
        <v>106.07411933333334</v>
      </c>
      <c r="O908" s="21"/>
      <c r="P908" s="21"/>
      <c r="Q908">
        <f>VLOOKUP(Table2[[#This Row],[Home/Neutral]],pace_lookup,7,FALSE)</f>
        <v>101.7</v>
      </c>
      <c r="R908" s="5">
        <f>VLOOKUP(Table2[[#This Row],[Visitor/Neutral]],pace_lookup,7,FALSE)</f>
        <v>97.4</v>
      </c>
      <c r="S908" s="7"/>
      <c r="U908" s="15"/>
      <c r="W908" s="2">
        <f>-home-VLOOKUP(Table2[[#This Row],[Home/Neutral]],rtg_vlookup,4,FALSE)+VLOOKUP(Table2[[#This Row],[Visitor/Neutral]],rtg_vlookup,4,FALSE)</f>
        <v>5.6413114754098341</v>
      </c>
      <c r="X908" s="15"/>
      <c r="Y908" s="2"/>
      <c r="Z908" s="2">
        <f>Table2[[#This Row],[A/EV]]-Table2[[#This Row],[H/EV]]</f>
        <v>10.056099542135684</v>
      </c>
      <c r="AA908" s="29"/>
      <c r="AB908" s="30"/>
      <c r="AC908" s="30"/>
      <c r="AD908" s="30"/>
      <c r="AE908" s="30"/>
      <c r="AF908" s="7" t="b">
        <f>IF(VLOOKUP(Table2[[#This Row],[Home/Neutral]],division_lookup,9,FALSE)=VLOOKUP(Table2[[#This Row],[Visitor/Neutral]],division_lookup,9,FALSE),TRUE,FALSE)</f>
        <v>0</v>
      </c>
      <c r="AG908" s="15" t="str">
        <f>VLOOKUP(Table2[[#This Row],[Home/Neutral]],division_lookup,9,FALSE)</f>
        <v>P</v>
      </c>
      <c r="AH908" s="15" t="str">
        <f>IF(Table2[[#This Row],[Total/EV]]&lt;Table2[[#This Row],[Total/V]],"UNDER","OVER")</f>
        <v>OVER</v>
      </c>
      <c r="AI908" s="26">
        <f>Table2[[#This Row],[SRS/Real]]-Table2[[#This Row],[Spread/V]]</f>
        <v>0</v>
      </c>
      <c r="AJ908" s="2">
        <f>Table2[[#This Row],[EV/Real]]-Table2[[#This Row],[Spread/V]]</f>
        <v>0</v>
      </c>
      <c r="AK908" s="2">
        <f>Table2[[#This Row],[SRS/Diff]]-Table2[[#This Row],[EV/Diff]]</f>
        <v>0</v>
      </c>
      <c r="AL908" s="18">
        <f>Table2[[#This Row],[SRS]]-Table2[[#This Row],[Spread]]</f>
        <v>5.6413114754098341</v>
      </c>
      <c r="AM908" s="21">
        <f>Table2[[#This Row],[(A) Err]]^2</f>
        <v>31.82439516259068</v>
      </c>
      <c r="AN908" s="6">
        <f>Table2[[#This Row],[EV]]-Table2[[#This Row],[Spread]]</f>
        <v>10.056099542135684</v>
      </c>
      <c r="AO908" s="1">
        <f>Table2[[#This Row],[EV Err]]^2</f>
        <v>101.12513800134151</v>
      </c>
      <c r="AP908" s="1"/>
    </row>
    <row r="909" spans="1:42" x14ac:dyDescent="0.25">
      <c r="A909" s="34">
        <v>42797</v>
      </c>
      <c r="B909" t="s">
        <v>132</v>
      </c>
      <c r="C909" t="s">
        <v>129</v>
      </c>
      <c r="E909" s="21"/>
      <c r="G909" s="21"/>
      <c r="H909" s="7"/>
      <c r="I909" s="21"/>
      <c r="K909"/>
      <c r="L909" s="21">
        <f>(Table2[[#This Row],[H/Pace]]/100)*(VLOOKUP(Table2[[#This Row],[Home/Neutral]],home_lookup,8,FALSE)+VLOOKUP(Table2[[#This Row],[Home/Neutral]],OFR_lookup,2,FALSE)+VLOOKUP(Table2[[#This Row],[Visitor/Neutral]],def_diff_lookup,6,FALSE))</f>
        <v>107.0776614460698</v>
      </c>
      <c r="M909" s="21"/>
      <c r="N909" s="21">
        <f>(Table2[[#This Row],[A/Pace]]/100)*(VLOOKUP(Table2[[#This Row],[Visitor/Neutral]],OFR_lookup,2,FALSE)+VLOOKUP(Table2[[#This Row],[Home/Neutral]],def_diff_lookup,6,FALSE))</f>
        <v>110.64801</v>
      </c>
      <c r="O909" s="21"/>
      <c r="P909" s="21"/>
      <c r="Q909">
        <f>VLOOKUP(Table2[[#This Row],[Home/Neutral]],pace_lookup,7,FALSE)</f>
        <v>98.8</v>
      </c>
      <c r="R909" s="5">
        <f>VLOOKUP(Table2[[#This Row],[Visitor/Neutral]],pace_lookup,7,FALSE)</f>
        <v>99</v>
      </c>
      <c r="S909" s="7"/>
      <c r="U909" s="15"/>
      <c r="W909" s="2">
        <f>-home-VLOOKUP(Table2[[#This Row],[Home/Neutral]],rtg_vlookup,4,FALSE)+VLOOKUP(Table2[[#This Row],[Visitor/Neutral]],rtg_vlookup,4,FALSE)</f>
        <v>1.1713114754098342</v>
      </c>
      <c r="X909" s="15"/>
      <c r="Y909" s="2"/>
      <c r="Z909" s="2">
        <f>Table2[[#This Row],[A/EV]]-Table2[[#This Row],[H/EV]]</f>
        <v>3.5703485539302022</v>
      </c>
      <c r="AA909" s="29"/>
      <c r="AB909" s="30"/>
      <c r="AC909" s="30"/>
      <c r="AD909" s="30"/>
      <c r="AE909" s="30"/>
      <c r="AF909" s="7" t="b">
        <f>IF(VLOOKUP(Table2[[#This Row],[Home/Neutral]],division_lookup,9,FALSE)=VLOOKUP(Table2[[#This Row],[Visitor/Neutral]],division_lookup,9,FALSE),TRUE,FALSE)</f>
        <v>1</v>
      </c>
      <c r="AG909" s="15" t="str">
        <f>VLOOKUP(Table2[[#This Row],[Home/Neutral]],division_lookup,9,FALSE)</f>
        <v>NW</v>
      </c>
      <c r="AH909" s="15" t="str">
        <f>IF(Table2[[#This Row],[Total/EV]]&lt;Table2[[#This Row],[Total/V]],"UNDER","OVER")</f>
        <v>OVER</v>
      </c>
      <c r="AI909" s="26">
        <f>Table2[[#This Row],[SRS/Real]]-Table2[[#This Row],[Spread/V]]</f>
        <v>0</v>
      </c>
      <c r="AJ909" s="2">
        <f>Table2[[#This Row],[EV/Real]]-Table2[[#This Row],[Spread/V]]</f>
        <v>0</v>
      </c>
      <c r="AK909" s="2">
        <f>Table2[[#This Row],[SRS/Diff]]-Table2[[#This Row],[EV/Diff]]</f>
        <v>0</v>
      </c>
      <c r="AL909" s="18">
        <f>Table2[[#This Row],[SRS]]-Table2[[#This Row],[Spread]]</f>
        <v>1.1713114754098342</v>
      </c>
      <c r="AM909" s="21">
        <f>Table2[[#This Row],[(A) Err]]^2</f>
        <v>1.3719705724267626</v>
      </c>
      <c r="AN909" s="6">
        <f>Table2[[#This Row],[EV]]-Table2[[#This Row],[Spread]]</f>
        <v>3.5703485539302022</v>
      </c>
      <c r="AO909" s="1">
        <f>Table2[[#This Row],[EV Err]]^2</f>
        <v>12.747388796551487</v>
      </c>
      <c r="AP909" s="1"/>
    </row>
    <row r="910" spans="1:42" x14ac:dyDescent="0.25">
      <c r="A910" s="34">
        <v>42798</v>
      </c>
      <c r="B910" t="s">
        <v>109</v>
      </c>
      <c r="C910" t="s">
        <v>114</v>
      </c>
      <c r="E910" s="21"/>
      <c r="G910" s="21"/>
      <c r="H910" s="7"/>
      <c r="I910" s="21"/>
      <c r="K910"/>
      <c r="L910" s="21">
        <f>(Table2[[#This Row],[H/Pace]]/100)*(VLOOKUP(Table2[[#This Row],[Home/Neutral]],home_lookup,8,FALSE)+VLOOKUP(Table2[[#This Row],[Home/Neutral]],OFR_lookup,2,FALSE)+VLOOKUP(Table2[[#This Row],[Visitor/Neutral]],def_diff_lookup,6,FALSE))</f>
        <v>99.879686607286374</v>
      </c>
      <c r="M910" s="21"/>
      <c r="N910" s="21">
        <f>(Table2[[#This Row],[A/Pace]]/100)*(VLOOKUP(Table2[[#This Row],[Visitor/Neutral]],OFR_lookup,2,FALSE)+VLOOKUP(Table2[[#This Row],[Home/Neutral]],def_diff_lookup,6,FALSE))</f>
        <v>104.99221366666666</v>
      </c>
      <c r="O910" s="21"/>
      <c r="P910" s="21"/>
      <c r="Q910">
        <f>VLOOKUP(Table2[[#This Row],[Home/Neutral]],pace_lookup,7,FALSE)</f>
        <v>99.2</v>
      </c>
      <c r="R910" s="5">
        <f>VLOOKUP(Table2[[#This Row],[Visitor/Neutral]],pace_lookup,7,FALSE)</f>
        <v>97.3</v>
      </c>
      <c r="S910" s="7"/>
      <c r="U910" s="15"/>
      <c r="W910" s="2">
        <f>-home-VLOOKUP(Table2[[#This Row],[Home/Neutral]],rtg_vlookup,4,FALSE)+VLOOKUP(Table2[[#This Row],[Visitor/Neutral]],rtg_vlookup,4,FALSE)</f>
        <v>3.5913114754098343</v>
      </c>
      <c r="X910" s="15"/>
      <c r="Y910" s="2"/>
      <c r="Z910" s="2">
        <f>Table2[[#This Row],[A/EV]]-Table2[[#This Row],[H/EV]]</f>
        <v>5.1125270593802838</v>
      </c>
      <c r="AA910" s="29"/>
      <c r="AB910" s="30"/>
      <c r="AC910" s="30"/>
      <c r="AD910" s="30"/>
      <c r="AE910" s="30"/>
      <c r="AF910" s="7" t="b">
        <f>IF(VLOOKUP(Table2[[#This Row],[Home/Neutral]],division_lookup,9,FALSE)=VLOOKUP(Table2[[#This Row],[Visitor/Neutral]],division_lookup,9,FALSE),TRUE,FALSE)</f>
        <v>0</v>
      </c>
      <c r="AG910" s="15" t="str">
        <f>VLOOKUP(Table2[[#This Row],[Home/Neutral]],division_lookup,9,FALSE)</f>
        <v>SE</v>
      </c>
      <c r="AH910" s="15" t="str">
        <f>IF(Table2[[#This Row],[Total/EV]]&lt;Table2[[#This Row],[Total/V]],"UNDER","OVER")</f>
        <v>OVER</v>
      </c>
      <c r="AI910" s="26">
        <f>Table2[[#This Row],[SRS/Real]]-Table2[[#This Row],[Spread/V]]</f>
        <v>0</v>
      </c>
      <c r="AJ910" s="2">
        <f>Table2[[#This Row],[EV/Real]]-Table2[[#This Row],[Spread/V]]</f>
        <v>0</v>
      </c>
      <c r="AK910" s="2">
        <f>Table2[[#This Row],[SRS/Diff]]-Table2[[#This Row],[EV/Diff]]</f>
        <v>0</v>
      </c>
      <c r="AL910" s="18">
        <f>Table2[[#This Row],[SRS]]-Table2[[#This Row],[Spread]]</f>
        <v>3.5913114754098343</v>
      </c>
      <c r="AM910" s="21">
        <f>Table2[[#This Row],[(A) Err]]^2</f>
        <v>12.897518113410362</v>
      </c>
      <c r="AN910" s="6">
        <f>Table2[[#This Row],[EV]]-Table2[[#This Row],[Spread]]</f>
        <v>5.1125270593802838</v>
      </c>
      <c r="AO910" s="1">
        <f>Table2[[#This Row],[EV Err]]^2</f>
        <v>26.137932932895612</v>
      </c>
      <c r="AP910" s="1"/>
    </row>
    <row r="911" spans="1:42" x14ac:dyDescent="0.25">
      <c r="A911" s="34">
        <v>42798</v>
      </c>
      <c r="B911" t="s">
        <v>115</v>
      </c>
      <c r="C911" t="s">
        <v>123</v>
      </c>
      <c r="E911" s="21"/>
      <c r="G911" s="21"/>
      <c r="H911" s="7"/>
      <c r="I911" s="21"/>
      <c r="K911"/>
      <c r="L911" s="21">
        <f>(Table2[[#This Row],[H/Pace]]/100)*(VLOOKUP(Table2[[#This Row],[Home/Neutral]],home_lookup,8,FALSE)+VLOOKUP(Table2[[#This Row],[Home/Neutral]],OFR_lookup,2,FALSE)+VLOOKUP(Table2[[#This Row],[Visitor/Neutral]],def_diff_lookup,6,FALSE))</f>
        <v>92.107723115967758</v>
      </c>
      <c r="M911" s="21"/>
      <c r="N911" s="21">
        <f>(Table2[[#This Row],[A/Pace]]/100)*(VLOOKUP(Table2[[#This Row],[Visitor/Neutral]],OFR_lookup,2,FALSE)+VLOOKUP(Table2[[#This Row],[Home/Neutral]],def_diff_lookup,6,FALSE))</f>
        <v>95.363491666666661</v>
      </c>
      <c r="O911" s="21"/>
      <c r="P911" s="21"/>
      <c r="Q911">
        <f>VLOOKUP(Table2[[#This Row],[Home/Neutral]],pace_lookup,7,FALSE)</f>
        <v>92.9</v>
      </c>
      <c r="R911" s="5">
        <f>VLOOKUP(Table2[[#This Row],[Visitor/Neutral]],pace_lookup,7,FALSE)</f>
        <v>92.5</v>
      </c>
      <c r="S911" s="7"/>
      <c r="U911" s="15"/>
      <c r="W911" s="2">
        <f>-home-VLOOKUP(Table2[[#This Row],[Home/Neutral]],rtg_vlookup,4,FALSE)+VLOOKUP(Table2[[#This Row],[Visitor/Neutral]],rtg_vlookup,4,FALSE)</f>
        <v>6.7613114754098333</v>
      </c>
      <c r="X911" s="15"/>
      <c r="Y911" s="2"/>
      <c r="Z911" s="2">
        <f>Table2[[#This Row],[A/EV]]-Table2[[#This Row],[H/EV]]</f>
        <v>3.2557685506989031</v>
      </c>
      <c r="AA911" s="29"/>
      <c r="AB911" s="30"/>
      <c r="AC911" s="30"/>
      <c r="AD911" s="30"/>
      <c r="AE911" s="30"/>
      <c r="AF911" s="7" t="b">
        <f>IF(VLOOKUP(Table2[[#This Row],[Home/Neutral]],division_lookup,9,FALSE)=VLOOKUP(Table2[[#This Row],[Visitor/Neutral]],division_lookup,9,FALSE),TRUE,FALSE)</f>
        <v>1</v>
      </c>
      <c r="AG911" s="15" t="str">
        <f>VLOOKUP(Table2[[#This Row],[Home/Neutral]],division_lookup,9,FALSE)</f>
        <v>SW</v>
      </c>
      <c r="AH911" s="15" t="str">
        <f>IF(Table2[[#This Row],[Total/EV]]&lt;Table2[[#This Row],[Total/V]],"UNDER","OVER")</f>
        <v>OVER</v>
      </c>
      <c r="AI911" s="26">
        <f>Table2[[#This Row],[SRS/Real]]-Table2[[#This Row],[Spread/V]]</f>
        <v>0</v>
      </c>
      <c r="AJ911" s="2">
        <f>Table2[[#This Row],[EV/Real]]-Table2[[#This Row],[Spread/V]]</f>
        <v>0</v>
      </c>
      <c r="AK911" s="2">
        <f>Table2[[#This Row],[SRS/Diff]]-Table2[[#This Row],[EV/Diff]]</f>
        <v>0</v>
      </c>
      <c r="AL911" s="18">
        <f>Table2[[#This Row],[SRS]]-Table2[[#This Row],[Spread]]</f>
        <v>6.7613114754098333</v>
      </c>
      <c r="AM911" s="21">
        <f>Table2[[#This Row],[(A) Err]]^2</f>
        <v>45.7153328675087</v>
      </c>
      <c r="AN911" s="6">
        <f>Table2[[#This Row],[EV]]-Table2[[#This Row],[Spread]]</f>
        <v>3.2557685506989031</v>
      </c>
      <c r="AO911" s="1">
        <f>Table2[[#This Row],[EV Err]]^2</f>
        <v>10.600028855720037</v>
      </c>
      <c r="AP911" s="1"/>
    </row>
    <row r="912" spans="1:42" x14ac:dyDescent="0.25">
      <c r="A912" s="34">
        <v>42798</v>
      </c>
      <c r="B912" t="s">
        <v>122</v>
      </c>
      <c r="C912" t="s">
        <v>110</v>
      </c>
      <c r="E912" s="21"/>
      <c r="G912" s="21"/>
      <c r="H912" s="7"/>
      <c r="I912" s="21"/>
      <c r="K912"/>
      <c r="L912" s="21">
        <f>(Table2[[#This Row],[H/Pace]]/100)*(VLOOKUP(Table2[[#This Row],[Home/Neutral]],home_lookup,8,FALSE)+VLOOKUP(Table2[[#This Row],[Home/Neutral]],OFR_lookup,2,FALSE)+VLOOKUP(Table2[[#This Row],[Visitor/Neutral]],def_diff_lookup,6,FALSE))</f>
        <v>110.52942832744732</v>
      </c>
      <c r="M912" s="21"/>
      <c r="N912" s="21">
        <f>(Table2[[#This Row],[A/Pace]]/100)*(VLOOKUP(Table2[[#This Row],[Visitor/Neutral]],OFR_lookup,2,FALSE)+VLOOKUP(Table2[[#This Row],[Home/Neutral]],def_diff_lookup,6,FALSE))</f>
        <v>108.13425133333334</v>
      </c>
      <c r="O912" s="21"/>
      <c r="P912" s="21"/>
      <c r="Q912">
        <f>VLOOKUP(Table2[[#This Row],[Home/Neutral]],pace_lookup,7,FALSE)</f>
        <v>100.2</v>
      </c>
      <c r="R912" s="5">
        <f>VLOOKUP(Table2[[#This Row],[Visitor/Neutral]],pace_lookup,7,FALSE)</f>
        <v>96.2</v>
      </c>
      <c r="S912" s="7"/>
      <c r="U912" s="15"/>
      <c r="W912" s="2">
        <f>-home-VLOOKUP(Table2[[#This Row],[Home/Neutral]],rtg_vlookup,4,FALSE)+VLOOKUP(Table2[[#This Row],[Visitor/Neutral]],rtg_vlookup,4,FALSE)</f>
        <v>-4.8688524590165705E-2</v>
      </c>
      <c r="X912" s="15"/>
      <c r="Y912" s="2"/>
      <c r="Z912" s="2">
        <f>Table2[[#This Row],[A/EV]]-Table2[[#This Row],[H/EV]]</f>
        <v>-2.3951769941139816</v>
      </c>
      <c r="AA912" s="29"/>
      <c r="AB912" s="30"/>
      <c r="AC912" s="30"/>
      <c r="AD912" s="30"/>
      <c r="AE912" s="30"/>
      <c r="AF912" s="7" t="b">
        <f>IF(VLOOKUP(Table2[[#This Row],[Home/Neutral]],division_lookup,9,FALSE)=VLOOKUP(Table2[[#This Row],[Visitor/Neutral]],division_lookup,9,FALSE),TRUE,FALSE)</f>
        <v>0</v>
      </c>
      <c r="AG912" s="15" t="str">
        <f>VLOOKUP(Table2[[#This Row],[Home/Neutral]],division_lookup,9,FALSE)</f>
        <v>P</v>
      </c>
      <c r="AH912" s="15" t="str">
        <f>IF(Table2[[#This Row],[Total/EV]]&lt;Table2[[#This Row],[Total/V]],"UNDER","OVER")</f>
        <v>OVER</v>
      </c>
      <c r="AI912" s="26">
        <f>Table2[[#This Row],[SRS/Real]]-Table2[[#This Row],[Spread/V]]</f>
        <v>0</v>
      </c>
      <c r="AJ912" s="2">
        <f>Table2[[#This Row],[EV/Real]]-Table2[[#This Row],[Spread/V]]</f>
        <v>0</v>
      </c>
      <c r="AK912" s="2">
        <f>Table2[[#This Row],[SRS/Diff]]-Table2[[#This Row],[EV/Diff]]</f>
        <v>0</v>
      </c>
      <c r="AL912" s="18">
        <f>Table2[[#This Row],[SRS]]-Table2[[#This Row],[Spread]]</f>
        <v>-4.8688524590165705E-2</v>
      </c>
      <c r="AM912" s="21">
        <f>Table2[[#This Row],[(A) Err]]^2</f>
        <v>2.3705724267671707E-3</v>
      </c>
      <c r="AN912" s="6">
        <f>Table2[[#This Row],[EV]]-Table2[[#This Row],[Spread]]</f>
        <v>-2.3951769941139816</v>
      </c>
      <c r="AO912" s="1">
        <f>Table2[[#This Row],[EV Err]]^2</f>
        <v>5.736872833132888</v>
      </c>
      <c r="AP912" s="1"/>
    </row>
    <row r="913" spans="1:42" x14ac:dyDescent="0.25">
      <c r="A913" s="34">
        <v>42798</v>
      </c>
      <c r="B913" t="s">
        <v>125</v>
      </c>
      <c r="C913" t="s">
        <v>121</v>
      </c>
      <c r="E913" s="21"/>
      <c r="G913" s="21"/>
      <c r="H913" s="7"/>
      <c r="I913" s="21"/>
      <c r="K913"/>
      <c r="L913" s="21">
        <f>(Table2[[#This Row],[H/Pace]]/100)*(VLOOKUP(Table2[[#This Row],[Home/Neutral]],home_lookup,8,FALSE)+VLOOKUP(Table2[[#This Row],[Home/Neutral]],OFR_lookup,2,FALSE)+VLOOKUP(Table2[[#This Row],[Visitor/Neutral]],def_diff_lookup,6,FALSE))</f>
        <v>104.38459550061908</v>
      </c>
      <c r="M913" s="21"/>
      <c r="N913" s="21">
        <f>(Table2[[#This Row],[A/Pace]]/100)*(VLOOKUP(Table2[[#This Row],[Visitor/Neutral]],OFR_lookup,2,FALSE)+VLOOKUP(Table2[[#This Row],[Home/Neutral]],def_diff_lookup,6,FALSE))</f>
        <v>112.95734266666666</v>
      </c>
      <c r="O913" s="21"/>
      <c r="P913" s="21"/>
      <c r="Q913">
        <f>VLOOKUP(Table2[[#This Row],[Home/Neutral]],pace_lookup,7,FALSE)</f>
        <v>96.1</v>
      </c>
      <c r="R913" s="5">
        <f>VLOOKUP(Table2[[#This Row],[Visitor/Neutral]],pace_lookup,7,FALSE)</f>
        <v>96.4</v>
      </c>
      <c r="S913" s="7"/>
      <c r="U913" s="15"/>
      <c r="W913" s="2">
        <f>-home-VLOOKUP(Table2[[#This Row],[Home/Neutral]],rtg_vlookup,4,FALSE)+VLOOKUP(Table2[[#This Row],[Visitor/Neutral]],rtg_vlookup,4,FALSE)</f>
        <v>12.431311475409835</v>
      </c>
      <c r="X913" s="15"/>
      <c r="Y913" s="2"/>
      <c r="Z913" s="2">
        <f>Table2[[#This Row],[A/EV]]-Table2[[#This Row],[H/EV]]</f>
        <v>8.5727471660475771</v>
      </c>
      <c r="AA913" s="29"/>
      <c r="AB913" s="30"/>
      <c r="AC913" s="30"/>
      <c r="AD913" s="30"/>
      <c r="AE913" s="30"/>
      <c r="AF913" s="7" t="b">
        <f>IF(VLOOKUP(Table2[[#This Row],[Home/Neutral]],division_lookup,9,FALSE)=VLOOKUP(Table2[[#This Row],[Visitor/Neutral]],division_lookup,9,FALSE),TRUE,FALSE)</f>
        <v>0</v>
      </c>
      <c r="AG913" s="15" t="str">
        <f>VLOOKUP(Table2[[#This Row],[Home/Neutral]],division_lookup,9,FALSE)</f>
        <v>C</v>
      </c>
      <c r="AH913" s="15" t="str">
        <f>IF(Table2[[#This Row],[Total/EV]]&lt;Table2[[#This Row],[Total/V]],"UNDER","OVER")</f>
        <v>OVER</v>
      </c>
      <c r="AI913" s="26">
        <f>Table2[[#This Row],[SRS/Real]]-Table2[[#This Row],[Spread/V]]</f>
        <v>0</v>
      </c>
      <c r="AJ913" s="2">
        <f>Table2[[#This Row],[EV/Real]]-Table2[[#This Row],[Spread/V]]</f>
        <v>0</v>
      </c>
      <c r="AK913" s="2">
        <f>Table2[[#This Row],[SRS/Diff]]-Table2[[#This Row],[EV/Diff]]</f>
        <v>0</v>
      </c>
      <c r="AL913" s="18">
        <f>Table2[[#This Row],[SRS]]-Table2[[#This Row],[Spread]]</f>
        <v>12.431311475409835</v>
      </c>
      <c r="AM913" s="21">
        <f>Table2[[#This Row],[(A) Err]]^2</f>
        <v>154.53750499865626</v>
      </c>
      <c r="AN913" s="6">
        <f>Table2[[#This Row],[EV]]-Table2[[#This Row],[Spread]]</f>
        <v>8.5727471660475771</v>
      </c>
      <c r="AO913" s="1">
        <f>Table2[[#This Row],[EV Err]]^2</f>
        <v>73.491993972976772</v>
      </c>
      <c r="AP913" s="1"/>
    </row>
    <row r="914" spans="1:42" x14ac:dyDescent="0.25">
      <c r="A914" s="34">
        <v>42798</v>
      </c>
      <c r="B914" t="s">
        <v>127</v>
      </c>
      <c r="C914" t="s">
        <v>134</v>
      </c>
      <c r="E914" s="21"/>
      <c r="G914" s="21"/>
      <c r="H914" s="7"/>
      <c r="I914" s="21"/>
      <c r="K914"/>
      <c r="L914" s="21">
        <f>(Table2[[#This Row],[H/Pace]]/100)*(VLOOKUP(Table2[[#This Row],[Home/Neutral]],home_lookup,8,FALSE)+VLOOKUP(Table2[[#This Row],[Home/Neutral]],OFR_lookup,2,FALSE)+VLOOKUP(Table2[[#This Row],[Visitor/Neutral]],def_diff_lookup,6,FALSE))</f>
        <v>101.32902493743049</v>
      </c>
      <c r="M914" s="21"/>
      <c r="N914" s="21">
        <f>(Table2[[#This Row],[A/Pace]]/100)*(VLOOKUP(Table2[[#This Row],[Visitor/Neutral]],OFR_lookup,2,FALSE)+VLOOKUP(Table2[[#This Row],[Home/Neutral]],def_diff_lookup,6,FALSE))</f>
        <v>104.03421266666666</v>
      </c>
      <c r="O914" s="21"/>
      <c r="P914" s="21"/>
      <c r="Q914">
        <f>VLOOKUP(Table2[[#This Row],[Home/Neutral]],pace_lookup,7,FALSE)</f>
        <v>99.3</v>
      </c>
      <c r="R914" s="5">
        <f>VLOOKUP(Table2[[#This Row],[Visitor/Neutral]],pace_lookup,7,FALSE)</f>
        <v>93.4</v>
      </c>
      <c r="S914" s="7"/>
      <c r="U914" s="15"/>
      <c r="W914" s="2">
        <f>-home-VLOOKUP(Table2[[#This Row],[Home/Neutral]],rtg_vlookup,4,FALSE)+VLOOKUP(Table2[[#This Row],[Visitor/Neutral]],rtg_vlookup,4,FALSE)</f>
        <v>7.271311475409834</v>
      </c>
      <c r="X914" s="15"/>
      <c r="Y914" s="2"/>
      <c r="Z914" s="2">
        <f>Table2[[#This Row],[A/EV]]-Table2[[#This Row],[H/EV]]</f>
        <v>2.7051877292361723</v>
      </c>
      <c r="AA914" s="29"/>
      <c r="AB914" s="30"/>
      <c r="AC914" s="30"/>
      <c r="AD914" s="30"/>
      <c r="AE914" s="30"/>
      <c r="AF914" s="7" t="b">
        <f>IF(VLOOKUP(Table2[[#This Row],[Home/Neutral]],division_lookup,9,FALSE)=VLOOKUP(Table2[[#This Row],[Visitor/Neutral]],division_lookup,9,FALSE),TRUE,FALSE)</f>
        <v>1</v>
      </c>
      <c r="AG914" s="15" t="str">
        <f>VLOOKUP(Table2[[#This Row],[Home/Neutral]],division_lookup,9,FALSE)</f>
        <v>SW</v>
      </c>
      <c r="AH914" s="15" t="str">
        <f>IF(Table2[[#This Row],[Total/EV]]&lt;Table2[[#This Row],[Total/V]],"UNDER","OVER")</f>
        <v>OVER</v>
      </c>
      <c r="AI914" s="26">
        <f>Table2[[#This Row],[SRS/Real]]-Table2[[#This Row],[Spread/V]]</f>
        <v>0</v>
      </c>
      <c r="AJ914" s="2">
        <f>Table2[[#This Row],[EV/Real]]-Table2[[#This Row],[Spread/V]]</f>
        <v>0</v>
      </c>
      <c r="AK914" s="2">
        <f>Table2[[#This Row],[SRS/Diff]]-Table2[[#This Row],[EV/Diff]]</f>
        <v>0</v>
      </c>
      <c r="AL914" s="18">
        <f>Table2[[#This Row],[SRS]]-Table2[[#This Row],[Spread]]</f>
        <v>7.271311475409834</v>
      </c>
      <c r="AM914" s="21">
        <f>Table2[[#This Row],[(A) Err]]^2</f>
        <v>52.87197057242674</v>
      </c>
      <c r="AN914" s="6">
        <f>Table2[[#This Row],[EV]]-Table2[[#This Row],[Spread]]</f>
        <v>2.7051877292361723</v>
      </c>
      <c r="AO914" s="1">
        <f>Table2[[#This Row],[EV Err]]^2</f>
        <v>7.3180406504099587</v>
      </c>
      <c r="AP914" s="1"/>
    </row>
    <row r="915" spans="1:42" x14ac:dyDescent="0.25">
      <c r="A915" s="34">
        <v>42798</v>
      </c>
      <c r="B915" t="s">
        <v>130</v>
      </c>
      <c r="C915" t="s">
        <v>124</v>
      </c>
      <c r="E915" s="21"/>
      <c r="G915" s="21"/>
      <c r="H915" s="7"/>
      <c r="I915" s="21"/>
      <c r="K915"/>
      <c r="L915" s="21">
        <f>(Table2[[#This Row],[H/Pace]]/100)*(VLOOKUP(Table2[[#This Row],[Home/Neutral]],home_lookup,8,FALSE)+VLOOKUP(Table2[[#This Row],[Home/Neutral]],OFR_lookup,2,FALSE)+VLOOKUP(Table2[[#This Row],[Visitor/Neutral]],def_diff_lookup,6,FALSE))</f>
        <v>94.405964967109398</v>
      </c>
      <c r="M915" s="21"/>
      <c r="N915" s="21">
        <f>(Table2[[#This Row],[A/Pace]]/100)*(VLOOKUP(Table2[[#This Row],[Visitor/Neutral]],OFR_lookup,2,FALSE)+VLOOKUP(Table2[[#This Row],[Home/Neutral]],def_diff_lookup,6,FALSE))</f>
        <v>96.563159666666664</v>
      </c>
      <c r="O915" s="21"/>
      <c r="P915" s="21"/>
      <c r="Q915">
        <f>VLOOKUP(Table2[[#This Row],[Home/Neutral]],pace_lookup,7,FALSE)</f>
        <v>94.2</v>
      </c>
      <c r="R915" s="5">
        <f>VLOOKUP(Table2[[#This Row],[Visitor/Neutral]],pace_lookup,7,FALSE)</f>
        <v>93.7</v>
      </c>
      <c r="S915" s="7"/>
      <c r="U915" s="15"/>
      <c r="W915" s="2">
        <f>-home-VLOOKUP(Table2[[#This Row],[Home/Neutral]],rtg_vlookup,4,FALSE)+VLOOKUP(Table2[[#This Row],[Visitor/Neutral]],rtg_vlookup,4,FALSE)</f>
        <v>4.6513114754098348</v>
      </c>
      <c r="X915" s="15"/>
      <c r="Y915" s="2"/>
      <c r="Z915" s="2">
        <f>Table2[[#This Row],[A/EV]]-Table2[[#This Row],[H/EV]]</f>
        <v>2.1571946995572659</v>
      </c>
      <c r="AA915" s="29"/>
      <c r="AB915" s="30"/>
      <c r="AC915" s="30"/>
      <c r="AD915" s="30"/>
      <c r="AE915" s="30"/>
      <c r="AF915" s="7" t="b">
        <f>IF(VLOOKUP(Table2[[#This Row],[Home/Neutral]],division_lookup,9,FALSE)=VLOOKUP(Table2[[#This Row],[Visitor/Neutral]],division_lookup,9,FALSE),TRUE,FALSE)</f>
        <v>1</v>
      </c>
      <c r="AG915" s="15" t="str">
        <f>VLOOKUP(Table2[[#This Row],[Home/Neutral]],division_lookup,9,FALSE)</f>
        <v>SE</v>
      </c>
      <c r="AH915" s="15" t="str">
        <f>IF(Table2[[#This Row],[Total/EV]]&lt;Table2[[#This Row],[Total/V]],"UNDER","OVER")</f>
        <v>OVER</v>
      </c>
      <c r="AI915" s="26">
        <f>Table2[[#This Row],[SRS/Real]]-Table2[[#This Row],[Spread/V]]</f>
        <v>0</v>
      </c>
      <c r="AJ915" s="2">
        <f>Table2[[#This Row],[EV/Real]]-Table2[[#This Row],[Spread/V]]</f>
        <v>0</v>
      </c>
      <c r="AK915" s="2">
        <f>Table2[[#This Row],[SRS/Diff]]-Table2[[#This Row],[EV/Diff]]</f>
        <v>0</v>
      </c>
      <c r="AL915" s="18">
        <f>Table2[[#This Row],[SRS]]-Table2[[#This Row],[Spread]]</f>
        <v>4.6513114754098348</v>
      </c>
      <c r="AM915" s="21">
        <f>Table2[[#This Row],[(A) Err]]^2</f>
        <v>21.634698441279216</v>
      </c>
      <c r="AN915" s="6">
        <f>Table2[[#This Row],[EV]]-Table2[[#This Row],[Spread]]</f>
        <v>2.1571946995572659</v>
      </c>
      <c r="AO915" s="1">
        <f>Table2[[#This Row],[EV Err]]^2</f>
        <v>4.6534889717979633</v>
      </c>
      <c r="AP915" s="1"/>
    </row>
    <row r="916" spans="1:42" x14ac:dyDescent="0.25">
      <c r="A916" s="34">
        <v>42798</v>
      </c>
      <c r="B916" t="s">
        <v>138</v>
      </c>
      <c r="C916" t="s">
        <v>128</v>
      </c>
      <c r="E916" s="21"/>
      <c r="G916" s="21"/>
      <c r="H916" s="7"/>
      <c r="I916" s="21"/>
      <c r="K916"/>
      <c r="L916" s="21">
        <f>(Table2[[#This Row],[H/Pace]]/100)*(VLOOKUP(Table2[[#This Row],[Home/Neutral]],home_lookup,8,FALSE)+VLOOKUP(Table2[[#This Row],[Home/Neutral]],OFR_lookup,2,FALSE)+VLOOKUP(Table2[[#This Row],[Visitor/Neutral]],def_diff_lookup,6,FALSE))</f>
        <v>102.16653353124011</v>
      </c>
      <c r="M916" s="21"/>
      <c r="N916" s="21">
        <f>(Table2[[#This Row],[A/Pace]]/100)*(VLOOKUP(Table2[[#This Row],[Visitor/Neutral]],OFR_lookup,2,FALSE)+VLOOKUP(Table2[[#This Row],[Home/Neutral]],def_diff_lookup,6,FALSE))</f>
        <v>105.59840699999999</v>
      </c>
      <c r="O916" s="21"/>
      <c r="P916" s="21"/>
      <c r="Q916">
        <f>VLOOKUP(Table2[[#This Row],[Home/Neutral]],pace_lookup,7,FALSE)</f>
        <v>97.5</v>
      </c>
      <c r="R916" s="5">
        <f>VLOOKUP(Table2[[#This Row],[Visitor/Neutral]],pace_lookup,7,FALSE)</f>
        <v>96.3</v>
      </c>
      <c r="S916" s="7"/>
      <c r="U916" s="15"/>
      <c r="W916" s="2">
        <f>-home-VLOOKUP(Table2[[#This Row],[Home/Neutral]],rtg_vlookup,4,FALSE)+VLOOKUP(Table2[[#This Row],[Visitor/Neutral]],rtg_vlookup,4,FALSE)</f>
        <v>4.9913114754098356</v>
      </c>
      <c r="X916" s="15"/>
      <c r="Y916" s="2"/>
      <c r="Z916" s="2">
        <f>Table2[[#This Row],[A/EV]]-Table2[[#This Row],[H/EV]]</f>
        <v>3.4318734687598891</v>
      </c>
      <c r="AA916" s="29"/>
      <c r="AB916" s="30"/>
      <c r="AC916" s="30"/>
      <c r="AD916" s="30"/>
      <c r="AE916" s="30"/>
      <c r="AF916" s="7" t="b">
        <f>IF(VLOOKUP(Table2[[#This Row],[Home/Neutral]],division_lookup,9,FALSE)=VLOOKUP(Table2[[#This Row],[Visitor/Neutral]],division_lookup,9,FALSE),TRUE,FALSE)</f>
        <v>1</v>
      </c>
      <c r="AG916" s="15" t="str">
        <f>VLOOKUP(Table2[[#This Row],[Home/Neutral]],division_lookup,9,FALSE)</f>
        <v>A</v>
      </c>
      <c r="AH916" s="15" t="str">
        <f>IF(Table2[[#This Row],[Total/EV]]&lt;Table2[[#This Row],[Total/V]],"UNDER","OVER")</f>
        <v>OVER</v>
      </c>
      <c r="AI916" s="26">
        <f>Table2[[#This Row],[SRS/Real]]-Table2[[#This Row],[Spread/V]]</f>
        <v>0</v>
      </c>
      <c r="AJ916" s="2">
        <f>Table2[[#This Row],[EV/Real]]-Table2[[#This Row],[Spread/V]]</f>
        <v>0</v>
      </c>
      <c r="AK916" s="2">
        <f>Table2[[#This Row],[SRS/Diff]]-Table2[[#This Row],[EV/Diff]]</f>
        <v>0</v>
      </c>
      <c r="AL916" s="18">
        <f>Table2[[#This Row],[SRS]]-Table2[[#This Row],[Spread]]</f>
        <v>4.9913114754098356</v>
      </c>
      <c r="AM916" s="21">
        <f>Table2[[#This Row],[(A) Err]]^2</f>
        <v>24.91319024455791</v>
      </c>
      <c r="AN916" s="6">
        <f>Table2[[#This Row],[EV]]-Table2[[#This Row],[Spread]]</f>
        <v>3.4318734687598891</v>
      </c>
      <c r="AO916" s="1">
        <f>Table2[[#This Row],[EV Err]]^2</f>
        <v>11.777755505578034</v>
      </c>
      <c r="AP916" s="1"/>
    </row>
    <row r="917" spans="1:42" x14ac:dyDescent="0.25">
      <c r="A917" s="34">
        <v>42798</v>
      </c>
      <c r="B917" t="s">
        <v>131</v>
      </c>
      <c r="C917" t="s">
        <v>129</v>
      </c>
      <c r="E917" s="21"/>
      <c r="G917" s="21"/>
      <c r="H917" s="7"/>
      <c r="I917" s="21"/>
      <c r="K917"/>
      <c r="L917" s="21">
        <f>(Table2[[#This Row],[H/Pace]]/100)*(VLOOKUP(Table2[[#This Row],[Home/Neutral]],home_lookup,8,FALSE)+VLOOKUP(Table2[[#This Row],[Home/Neutral]],OFR_lookup,2,FALSE)+VLOOKUP(Table2[[#This Row],[Visitor/Neutral]],def_diff_lookup,6,FALSE))</f>
        <v>95.011189791197665</v>
      </c>
      <c r="M917" s="21"/>
      <c r="N917" s="21">
        <f>(Table2[[#This Row],[A/Pace]]/100)*(VLOOKUP(Table2[[#This Row],[Visitor/Neutral]],OFR_lookup,2,FALSE)+VLOOKUP(Table2[[#This Row],[Home/Neutral]],def_diff_lookup,6,FALSE))</f>
        <v>106.30190999999999</v>
      </c>
      <c r="O917" s="21"/>
      <c r="P917" s="21"/>
      <c r="Q917">
        <f>VLOOKUP(Table2[[#This Row],[Home/Neutral]],pace_lookup,7,FALSE)</f>
        <v>101.7</v>
      </c>
      <c r="R917" s="5">
        <f>VLOOKUP(Table2[[#This Row],[Visitor/Neutral]],pace_lookup,7,FALSE)</f>
        <v>99</v>
      </c>
      <c r="S917" s="7"/>
      <c r="U917" s="15"/>
      <c r="W917" s="2">
        <f>-home-VLOOKUP(Table2[[#This Row],[Home/Neutral]],rtg_vlookup,4,FALSE)+VLOOKUP(Table2[[#This Row],[Visitor/Neutral]],rtg_vlookup,4,FALSE)</f>
        <v>5.1113114754098339</v>
      </c>
      <c r="X917" s="15"/>
      <c r="Y917" s="2"/>
      <c r="Z917" s="2">
        <f>Table2[[#This Row],[A/EV]]-Table2[[#This Row],[H/EV]]</f>
        <v>11.290720208802327</v>
      </c>
      <c r="AA917" s="29"/>
      <c r="AB917" s="30"/>
      <c r="AC917" s="30"/>
      <c r="AD917" s="30"/>
      <c r="AE917" s="30"/>
      <c r="AF917" s="7" t="b">
        <f>IF(VLOOKUP(Table2[[#This Row],[Home/Neutral]],division_lookup,9,FALSE)=VLOOKUP(Table2[[#This Row],[Visitor/Neutral]],division_lookup,9,FALSE),TRUE,FALSE)</f>
        <v>0</v>
      </c>
      <c r="AG917" s="15" t="str">
        <f>VLOOKUP(Table2[[#This Row],[Home/Neutral]],division_lookup,9,FALSE)</f>
        <v>P</v>
      </c>
      <c r="AH917" s="15" t="str">
        <f>IF(Table2[[#This Row],[Total/EV]]&lt;Table2[[#This Row],[Total/V]],"UNDER","OVER")</f>
        <v>OVER</v>
      </c>
      <c r="AI917" s="26">
        <f>Table2[[#This Row],[SRS/Real]]-Table2[[#This Row],[Spread/V]]</f>
        <v>0</v>
      </c>
      <c r="AJ917" s="2">
        <f>Table2[[#This Row],[EV/Real]]-Table2[[#This Row],[Spread/V]]</f>
        <v>0</v>
      </c>
      <c r="AK917" s="2">
        <f>Table2[[#This Row],[SRS/Diff]]-Table2[[#This Row],[EV/Diff]]</f>
        <v>0</v>
      </c>
      <c r="AL917" s="18">
        <f>Table2[[#This Row],[SRS]]-Table2[[#This Row],[Spread]]</f>
        <v>5.1113114754098339</v>
      </c>
      <c r="AM917" s="21">
        <f>Table2[[#This Row],[(A) Err]]^2</f>
        <v>26.125504998656254</v>
      </c>
      <c r="AN917" s="6">
        <f>Table2[[#This Row],[EV]]-Table2[[#This Row],[Spread]]</f>
        <v>11.290720208802327</v>
      </c>
      <c r="AO917" s="1">
        <f>Table2[[#This Row],[EV Err]]^2</f>
        <v>127.48036283345726</v>
      </c>
      <c r="AP917" s="1"/>
    </row>
    <row r="918" spans="1:42" x14ac:dyDescent="0.25">
      <c r="A918" s="34">
        <v>42798</v>
      </c>
      <c r="B918" t="s">
        <v>136</v>
      </c>
      <c r="C918" t="s">
        <v>111</v>
      </c>
      <c r="E918" s="21"/>
      <c r="G918" s="21"/>
      <c r="H918" s="7"/>
      <c r="I918" s="21"/>
      <c r="K918"/>
      <c r="L918" s="21">
        <f>(Table2[[#This Row],[H/Pace]]/100)*(VLOOKUP(Table2[[#This Row],[Home/Neutral]],home_lookup,8,FALSE)+VLOOKUP(Table2[[#This Row],[Home/Neutral]],OFR_lookup,2,FALSE)+VLOOKUP(Table2[[#This Row],[Visitor/Neutral]],def_diff_lookup,6,FALSE))</f>
        <v>108.98248534991899</v>
      </c>
      <c r="M918" s="21"/>
      <c r="N918" s="21">
        <f>(Table2[[#This Row],[A/Pace]]/100)*(VLOOKUP(Table2[[#This Row],[Visitor/Neutral]],OFR_lookup,2,FALSE)+VLOOKUP(Table2[[#This Row],[Home/Neutral]],def_diff_lookup,6,FALSE))</f>
        <v>99.629179999999991</v>
      </c>
      <c r="O918" s="21"/>
      <c r="P918" s="21"/>
      <c r="Q918">
        <f>VLOOKUP(Table2[[#This Row],[Home/Neutral]],pace_lookup,7,FALSE)</f>
        <v>91.5</v>
      </c>
      <c r="R918" s="5">
        <f>VLOOKUP(Table2[[#This Row],[Visitor/Neutral]],pace_lookup,7,FALSE)</f>
        <v>102</v>
      </c>
      <c r="S918" s="7"/>
      <c r="U918" s="15"/>
      <c r="W918" s="2">
        <f>-home-VLOOKUP(Table2[[#This Row],[Home/Neutral]],rtg_vlookup,4,FALSE)+VLOOKUP(Table2[[#This Row],[Visitor/Neutral]],rtg_vlookup,4,FALSE)</f>
        <v>-15.808688524590165</v>
      </c>
      <c r="X918" s="15"/>
      <c r="Y918" s="2"/>
      <c r="Z918" s="2">
        <f>Table2[[#This Row],[A/EV]]-Table2[[#This Row],[H/EV]]</f>
        <v>-9.3533053499189975</v>
      </c>
      <c r="AA918" s="29"/>
      <c r="AB918" s="30"/>
      <c r="AC918" s="30"/>
      <c r="AD918" s="30"/>
      <c r="AE918" s="30"/>
      <c r="AF918" s="7" t="b">
        <f>IF(VLOOKUP(Table2[[#This Row],[Home/Neutral]],division_lookup,9,FALSE)=VLOOKUP(Table2[[#This Row],[Visitor/Neutral]],division_lookup,9,FALSE),TRUE,FALSE)</f>
        <v>0</v>
      </c>
      <c r="AG918" s="15" t="str">
        <f>VLOOKUP(Table2[[#This Row],[Home/Neutral]],division_lookup,9,FALSE)</f>
        <v>NW</v>
      </c>
      <c r="AH918" s="15" t="str">
        <f>IF(Table2[[#This Row],[Total/EV]]&lt;Table2[[#This Row],[Total/V]],"UNDER","OVER")</f>
        <v>OVER</v>
      </c>
      <c r="AI918" s="26">
        <f>Table2[[#This Row],[SRS/Real]]-Table2[[#This Row],[Spread/V]]</f>
        <v>0</v>
      </c>
      <c r="AJ918" s="2">
        <f>Table2[[#This Row],[EV/Real]]-Table2[[#This Row],[Spread/V]]</f>
        <v>0</v>
      </c>
      <c r="AK918" s="2">
        <f>Table2[[#This Row],[SRS/Diff]]-Table2[[#This Row],[EV/Diff]]</f>
        <v>0</v>
      </c>
      <c r="AL918" s="18">
        <f>Table2[[#This Row],[SRS]]-Table2[[#This Row],[Spread]]</f>
        <v>-15.808688524590165</v>
      </c>
      <c r="AM918" s="21">
        <f>Table2[[#This Row],[(A) Err]]^2</f>
        <v>249.91463286750877</v>
      </c>
      <c r="AN918" s="6">
        <f>Table2[[#This Row],[EV]]-Table2[[#This Row],[Spread]]</f>
        <v>-9.3533053499189975</v>
      </c>
      <c r="AO918" s="1">
        <f>Table2[[#This Row],[EV Err]]^2</f>
        <v>87.48432096882334</v>
      </c>
      <c r="AP918" s="1"/>
    </row>
    <row r="919" spans="1:42" x14ac:dyDescent="0.25">
      <c r="A919" s="34">
        <v>42798</v>
      </c>
      <c r="B919" t="s">
        <v>137</v>
      </c>
      <c r="C919" t="s">
        <v>135</v>
      </c>
      <c r="E919" s="21"/>
      <c r="G919" s="21"/>
      <c r="H919" s="7"/>
      <c r="I919" s="21"/>
      <c r="K919"/>
      <c r="L919" s="21">
        <f>(Table2[[#This Row],[H/Pace]]/100)*(VLOOKUP(Table2[[#This Row],[Home/Neutral]],home_lookup,8,FALSE)+VLOOKUP(Table2[[#This Row],[Home/Neutral]],OFR_lookup,2,FALSE)+VLOOKUP(Table2[[#This Row],[Visitor/Neutral]],def_diff_lookup,6,FALSE))</f>
        <v>108.7609325542187</v>
      </c>
      <c r="M919" s="21"/>
      <c r="N919" s="21">
        <f>(Table2[[#This Row],[A/Pace]]/100)*(VLOOKUP(Table2[[#This Row],[Visitor/Neutral]],OFR_lookup,2,FALSE)+VLOOKUP(Table2[[#This Row],[Home/Neutral]],def_diff_lookup,6,FALSE))</f>
        <v>111.623406</v>
      </c>
      <c r="O919" s="21"/>
      <c r="P919" s="21"/>
      <c r="Q919">
        <f>VLOOKUP(Table2[[#This Row],[Home/Neutral]],pace_lookup,7,FALSE)</f>
        <v>96</v>
      </c>
      <c r="R919" s="5">
        <f>VLOOKUP(Table2[[#This Row],[Visitor/Neutral]],pace_lookup,7,FALSE)</f>
        <v>95.4</v>
      </c>
      <c r="S919" s="7"/>
      <c r="U919" s="15"/>
      <c r="W919" s="2">
        <f>-home-VLOOKUP(Table2[[#This Row],[Home/Neutral]],rtg_vlookup,4,FALSE)+VLOOKUP(Table2[[#This Row],[Visitor/Neutral]],rtg_vlookup,4,FALSE)</f>
        <v>6.1513114754098339</v>
      </c>
      <c r="X919" s="15"/>
      <c r="Y919" s="2"/>
      <c r="Z919" s="2">
        <f>Table2[[#This Row],[A/EV]]-Table2[[#This Row],[H/EV]]</f>
        <v>2.8624734457813048</v>
      </c>
      <c r="AA919" s="29"/>
      <c r="AB919" s="30"/>
      <c r="AC919" s="30"/>
      <c r="AD919" s="30"/>
      <c r="AE919" s="30"/>
      <c r="AF919" s="7" t="b">
        <f>IF(VLOOKUP(Table2[[#This Row],[Home/Neutral]],division_lookup,9,FALSE)=VLOOKUP(Table2[[#This Row],[Visitor/Neutral]],division_lookup,9,FALSE),TRUE,FALSE)</f>
        <v>0</v>
      </c>
      <c r="AG919" s="15" t="str">
        <f>VLOOKUP(Table2[[#This Row],[Home/Neutral]],division_lookup,9,FALSE)</f>
        <v>SE</v>
      </c>
      <c r="AH919" s="15" t="str">
        <f>IF(Table2[[#This Row],[Total/EV]]&lt;Table2[[#This Row],[Total/V]],"UNDER","OVER")</f>
        <v>OVER</v>
      </c>
      <c r="AI919" s="26">
        <f>Table2[[#This Row],[SRS/Real]]-Table2[[#This Row],[Spread/V]]</f>
        <v>0</v>
      </c>
      <c r="AJ919" s="2">
        <f>Table2[[#This Row],[EV/Real]]-Table2[[#This Row],[Spread/V]]</f>
        <v>0</v>
      </c>
      <c r="AK919" s="2">
        <f>Table2[[#This Row],[SRS/Diff]]-Table2[[#This Row],[EV/Diff]]</f>
        <v>0</v>
      </c>
      <c r="AL919" s="18">
        <f>Table2[[#This Row],[SRS]]-Table2[[#This Row],[Spread]]</f>
        <v>6.1513114754098339</v>
      </c>
      <c r="AM919" s="21">
        <f>Table2[[#This Row],[(A) Err]]^2</f>
        <v>37.838632867508707</v>
      </c>
      <c r="AN919" s="6">
        <f>Table2[[#This Row],[EV]]-Table2[[#This Row],[Spread]]</f>
        <v>2.8624734457813048</v>
      </c>
      <c r="AO919" s="1">
        <f>Table2[[#This Row],[EV Err]]^2</f>
        <v>8.1937542278030957</v>
      </c>
      <c r="AP919" s="1"/>
    </row>
    <row r="920" spans="1:42" x14ac:dyDescent="0.25">
      <c r="A920" s="34">
        <v>42799</v>
      </c>
      <c r="B920" t="s">
        <v>113</v>
      </c>
      <c r="C920" t="s">
        <v>121</v>
      </c>
      <c r="E920" s="21"/>
      <c r="G920" s="21"/>
      <c r="H920" s="7"/>
      <c r="I920" s="21"/>
      <c r="K920"/>
      <c r="L920" s="21">
        <f>(Table2[[#This Row],[H/Pace]]/100)*(VLOOKUP(Table2[[#This Row],[Home/Neutral]],home_lookup,8,FALSE)+VLOOKUP(Table2[[#This Row],[Home/Neutral]],OFR_lookup,2,FALSE)+VLOOKUP(Table2[[#This Row],[Visitor/Neutral]],def_diff_lookup,6,FALSE))</f>
        <v>105.06769388016279</v>
      </c>
      <c r="M920" s="21"/>
      <c r="N920" s="21">
        <f>(Table2[[#This Row],[A/Pace]]/100)*(VLOOKUP(Table2[[#This Row],[Visitor/Neutral]],OFR_lookup,2,FALSE)+VLOOKUP(Table2[[#This Row],[Home/Neutral]],def_diff_lookup,6,FALSE))</f>
        <v>110.52806266666667</v>
      </c>
      <c r="O920" s="21"/>
      <c r="P920" s="21"/>
      <c r="Q920">
        <f>VLOOKUP(Table2[[#This Row],[Home/Neutral]],pace_lookup,7,FALSE)</f>
        <v>95.1</v>
      </c>
      <c r="R920" s="5">
        <f>VLOOKUP(Table2[[#This Row],[Visitor/Neutral]],pace_lookup,7,FALSE)</f>
        <v>96.4</v>
      </c>
      <c r="S920" s="7"/>
      <c r="U920" s="15"/>
      <c r="W920" s="2">
        <f>-home-VLOOKUP(Table2[[#This Row],[Home/Neutral]],rtg_vlookup,4,FALSE)+VLOOKUP(Table2[[#This Row],[Visitor/Neutral]],rtg_vlookup,4,FALSE)</f>
        <v>5.3013114754098343</v>
      </c>
      <c r="X920" s="15"/>
      <c r="Y920" s="2"/>
      <c r="Z920" s="2">
        <f>Table2[[#This Row],[A/EV]]-Table2[[#This Row],[H/EV]]</f>
        <v>5.4603687865038779</v>
      </c>
      <c r="AA920" s="29"/>
      <c r="AB920" s="30"/>
      <c r="AC920" s="30"/>
      <c r="AD920" s="30"/>
      <c r="AE920" s="30"/>
      <c r="AF920" s="7" t="b">
        <f>IF(VLOOKUP(Table2[[#This Row],[Home/Neutral]],division_lookup,9,FALSE)=VLOOKUP(Table2[[#This Row],[Visitor/Neutral]],division_lookup,9,FALSE),TRUE,FALSE)</f>
        <v>0</v>
      </c>
      <c r="AG920" s="15" t="str">
        <f>VLOOKUP(Table2[[#This Row],[Home/Neutral]],division_lookup,9,FALSE)</f>
        <v>C</v>
      </c>
      <c r="AH920" s="15" t="str">
        <f>IF(Table2[[#This Row],[Total/EV]]&lt;Table2[[#This Row],[Total/V]],"UNDER","OVER")</f>
        <v>OVER</v>
      </c>
      <c r="AI920" s="26">
        <f>Table2[[#This Row],[SRS/Real]]-Table2[[#This Row],[Spread/V]]</f>
        <v>0</v>
      </c>
      <c r="AJ920" s="2">
        <f>Table2[[#This Row],[EV/Real]]-Table2[[#This Row],[Spread/V]]</f>
        <v>0</v>
      </c>
      <c r="AK920" s="2">
        <f>Table2[[#This Row],[SRS/Diff]]-Table2[[#This Row],[EV/Diff]]</f>
        <v>0</v>
      </c>
      <c r="AL920" s="18">
        <f>Table2[[#This Row],[SRS]]-Table2[[#This Row],[Spread]]</f>
        <v>5.3013114754098343</v>
      </c>
      <c r="AM920" s="21">
        <f>Table2[[#This Row],[(A) Err]]^2</f>
        <v>28.103903359311992</v>
      </c>
      <c r="AN920" s="6">
        <f>Table2[[#This Row],[EV]]-Table2[[#This Row],[Spread]]</f>
        <v>5.4603687865038779</v>
      </c>
      <c r="AO920" s="1">
        <f>Table2[[#This Row],[EV Err]]^2</f>
        <v>29.815627284625833</v>
      </c>
      <c r="AP920" s="1"/>
    </row>
    <row r="921" spans="1:42" x14ac:dyDescent="0.25">
      <c r="A921" s="34">
        <v>42799</v>
      </c>
      <c r="B921" t="s">
        <v>116</v>
      </c>
      <c r="C921" t="s">
        <v>112</v>
      </c>
      <c r="E921" s="21"/>
      <c r="G921" s="21"/>
      <c r="H921" s="7"/>
      <c r="I921" s="21"/>
      <c r="K921"/>
      <c r="L921" s="21">
        <f>(Table2[[#This Row],[H/Pace]]/100)*(VLOOKUP(Table2[[#This Row],[Home/Neutral]],home_lookup,8,FALSE)+VLOOKUP(Table2[[#This Row],[Home/Neutral]],OFR_lookup,2,FALSE)+VLOOKUP(Table2[[#This Row],[Visitor/Neutral]],def_diff_lookup,6,FALSE))</f>
        <v>103.99406470161864</v>
      </c>
      <c r="M921" s="21"/>
      <c r="N921" s="21">
        <f>(Table2[[#This Row],[A/Pace]]/100)*(VLOOKUP(Table2[[#This Row],[Visitor/Neutral]],OFR_lookup,2,FALSE)+VLOOKUP(Table2[[#This Row],[Home/Neutral]],def_diff_lookup,6,FALSE))</f>
        <v>105.22673933333333</v>
      </c>
      <c r="O921" s="21"/>
      <c r="P921" s="21"/>
      <c r="Q921">
        <f>VLOOKUP(Table2[[#This Row],[Home/Neutral]],pace_lookup,7,FALSE)</f>
        <v>99.1</v>
      </c>
      <c r="R921" s="5">
        <f>VLOOKUP(Table2[[#This Row],[Visitor/Neutral]],pace_lookup,7,FALSE)</f>
        <v>97.4</v>
      </c>
      <c r="S921" s="7"/>
      <c r="U921" s="15"/>
      <c r="W921" s="2">
        <f>-home-VLOOKUP(Table2[[#This Row],[Home/Neutral]],rtg_vlookup,4,FALSE)+VLOOKUP(Table2[[#This Row],[Visitor/Neutral]],rtg_vlookup,4,FALSE)</f>
        <v>1.3114754098340065E-3</v>
      </c>
      <c r="X921" s="15"/>
      <c r="Y921" s="2"/>
      <c r="Z921" s="2">
        <f>Table2[[#This Row],[A/EV]]-Table2[[#This Row],[H/EV]]</f>
        <v>1.2326746317146871</v>
      </c>
      <c r="AA921" s="29"/>
      <c r="AB921" s="30"/>
      <c r="AC921" s="30"/>
      <c r="AD921" s="30"/>
      <c r="AE921" s="30"/>
      <c r="AF921" s="7" t="b">
        <f>IF(VLOOKUP(Table2[[#This Row],[Home/Neutral]],division_lookup,9,FALSE)=VLOOKUP(Table2[[#This Row],[Visitor/Neutral]],division_lookup,9,FALSE),TRUE,FALSE)</f>
        <v>0</v>
      </c>
      <c r="AG921" s="15" t="str">
        <f>VLOOKUP(Table2[[#This Row],[Home/Neutral]],division_lookup,9,FALSE)</f>
        <v>NW</v>
      </c>
      <c r="AH921" s="15" t="str">
        <f>IF(Table2[[#This Row],[Total/EV]]&lt;Table2[[#This Row],[Total/V]],"UNDER","OVER")</f>
        <v>OVER</v>
      </c>
      <c r="AI921" s="26">
        <f>Table2[[#This Row],[SRS/Real]]-Table2[[#This Row],[Spread/V]]</f>
        <v>0</v>
      </c>
      <c r="AJ921" s="2">
        <f>Table2[[#This Row],[EV/Real]]-Table2[[#This Row],[Spread/V]]</f>
        <v>0</v>
      </c>
      <c r="AK921" s="2">
        <f>Table2[[#This Row],[SRS/Diff]]-Table2[[#This Row],[EV/Diff]]</f>
        <v>0</v>
      </c>
      <c r="AL921" s="18">
        <f>Table2[[#This Row],[SRS]]-Table2[[#This Row],[Spread]]</f>
        <v>1.3114754098340065E-3</v>
      </c>
      <c r="AM921" s="21">
        <f>Table2[[#This Row],[(A) Err]]^2</f>
        <v>1.7199677505992751E-6</v>
      </c>
      <c r="AN921" s="6">
        <f>Table2[[#This Row],[EV]]-Table2[[#This Row],[Spread]]</f>
        <v>1.2326746317146871</v>
      </c>
      <c r="AO921" s="1">
        <f>Table2[[#This Row],[EV Err]]^2</f>
        <v>1.5194867476729395</v>
      </c>
      <c r="AP921" s="1"/>
    </row>
    <row r="922" spans="1:42" x14ac:dyDescent="0.25">
      <c r="A922" s="34">
        <v>42799</v>
      </c>
      <c r="B922" t="s">
        <v>119</v>
      </c>
      <c r="C922" t="s">
        <v>123</v>
      </c>
      <c r="E922" s="21"/>
      <c r="G922" s="21"/>
      <c r="H922" s="7"/>
      <c r="I922" s="21"/>
      <c r="K922"/>
      <c r="L922" s="21">
        <f>(Table2[[#This Row],[H/Pace]]/100)*(VLOOKUP(Table2[[#This Row],[Home/Neutral]],home_lookup,8,FALSE)+VLOOKUP(Table2[[#This Row],[Home/Neutral]],OFR_lookup,2,FALSE)+VLOOKUP(Table2[[#This Row],[Visitor/Neutral]],def_diff_lookup,6,FALSE))</f>
        <v>105.46986376977627</v>
      </c>
      <c r="M922" s="21"/>
      <c r="N922" s="21">
        <f>(Table2[[#This Row],[A/Pace]]/100)*(VLOOKUP(Table2[[#This Row],[Visitor/Neutral]],OFR_lookup,2,FALSE)+VLOOKUP(Table2[[#This Row],[Home/Neutral]],def_diff_lookup,6,FALSE))</f>
        <v>98.52699166666666</v>
      </c>
      <c r="O922" s="21"/>
      <c r="P922" s="21"/>
      <c r="Q922">
        <f>VLOOKUP(Table2[[#This Row],[Home/Neutral]],pace_lookup,7,FALSE)</f>
        <v>96.9</v>
      </c>
      <c r="R922" s="5">
        <f>VLOOKUP(Table2[[#This Row],[Visitor/Neutral]],pace_lookup,7,FALSE)</f>
        <v>92.5</v>
      </c>
      <c r="S922" s="7"/>
      <c r="U922" s="15"/>
      <c r="W922" s="2">
        <f>-home-VLOOKUP(Table2[[#This Row],[Home/Neutral]],rtg_vlookup,4,FALSE)+VLOOKUP(Table2[[#This Row],[Visitor/Neutral]],rtg_vlookup,4,FALSE)</f>
        <v>-5.7786885245901658</v>
      </c>
      <c r="X922" s="15"/>
      <c r="Y922" s="2"/>
      <c r="Z922" s="2">
        <f>Table2[[#This Row],[A/EV]]-Table2[[#This Row],[H/EV]]</f>
        <v>-6.9428721031096075</v>
      </c>
      <c r="AA922" s="29"/>
      <c r="AB922" s="30"/>
      <c r="AC922" s="30"/>
      <c r="AD922" s="30"/>
      <c r="AE922" s="30"/>
      <c r="AF922" s="7" t="b">
        <f>IF(VLOOKUP(Table2[[#This Row],[Home/Neutral]],division_lookup,9,FALSE)=VLOOKUP(Table2[[#This Row],[Visitor/Neutral]],division_lookup,9,FALSE),TRUE,FALSE)</f>
        <v>1</v>
      </c>
      <c r="AG922" s="15" t="str">
        <f>VLOOKUP(Table2[[#This Row],[Home/Neutral]],division_lookup,9,FALSE)</f>
        <v>SW</v>
      </c>
      <c r="AH922" s="15" t="str">
        <f>IF(Table2[[#This Row],[Total/EV]]&lt;Table2[[#This Row],[Total/V]],"UNDER","OVER")</f>
        <v>OVER</v>
      </c>
      <c r="AI922" s="26">
        <f>Table2[[#This Row],[SRS/Real]]-Table2[[#This Row],[Spread/V]]</f>
        <v>0</v>
      </c>
      <c r="AJ922" s="2">
        <f>Table2[[#This Row],[EV/Real]]-Table2[[#This Row],[Spread/V]]</f>
        <v>0</v>
      </c>
      <c r="AK922" s="2">
        <f>Table2[[#This Row],[SRS/Diff]]-Table2[[#This Row],[EV/Diff]]</f>
        <v>0</v>
      </c>
      <c r="AL922" s="18">
        <f>Table2[[#This Row],[SRS]]-Table2[[#This Row],[Spread]]</f>
        <v>-5.7786885245901658</v>
      </c>
      <c r="AM922" s="21">
        <f>Table2[[#This Row],[(A) Err]]^2</f>
        <v>33.393241064230068</v>
      </c>
      <c r="AN922" s="6">
        <f>Table2[[#This Row],[EV]]-Table2[[#This Row],[Spread]]</f>
        <v>-6.9428721031096075</v>
      </c>
      <c r="AO922" s="1">
        <f>Table2[[#This Row],[EV Err]]^2</f>
        <v>48.203473040137624</v>
      </c>
      <c r="AP922" s="1"/>
    </row>
    <row r="923" spans="1:42" x14ac:dyDescent="0.25">
      <c r="A923" s="34">
        <v>42799</v>
      </c>
      <c r="B923" t="s">
        <v>124</v>
      </c>
      <c r="C923" t="s">
        <v>114</v>
      </c>
      <c r="E923" s="21"/>
      <c r="G923" s="21"/>
      <c r="H923" s="7"/>
      <c r="I923" s="21"/>
      <c r="K923"/>
      <c r="L923" s="21">
        <f>(Table2[[#This Row],[H/Pace]]/100)*(VLOOKUP(Table2[[#This Row],[Home/Neutral]],home_lookup,8,FALSE)+VLOOKUP(Table2[[#This Row],[Home/Neutral]],OFR_lookup,2,FALSE)+VLOOKUP(Table2[[#This Row],[Visitor/Neutral]],def_diff_lookup,6,FALSE))</f>
        <v>100.69532517723557</v>
      </c>
      <c r="M923" s="21"/>
      <c r="N923" s="21">
        <f>(Table2[[#This Row],[A/Pace]]/100)*(VLOOKUP(Table2[[#This Row],[Visitor/Neutral]],OFR_lookup,2,FALSE)+VLOOKUP(Table2[[#This Row],[Home/Neutral]],def_diff_lookup,6,FALSE))</f>
        <v>109.52639366666665</v>
      </c>
      <c r="O923" s="21"/>
      <c r="P923" s="21"/>
      <c r="Q923">
        <f>VLOOKUP(Table2[[#This Row],[Home/Neutral]],pace_lookup,7,FALSE)</f>
        <v>93.7</v>
      </c>
      <c r="R923" s="5">
        <f>VLOOKUP(Table2[[#This Row],[Visitor/Neutral]],pace_lookup,7,FALSE)</f>
        <v>97.3</v>
      </c>
      <c r="S923" s="7"/>
      <c r="U923" s="15"/>
      <c r="W923" s="2">
        <f>-home-VLOOKUP(Table2[[#This Row],[Home/Neutral]],rtg_vlookup,4,FALSE)+VLOOKUP(Table2[[#This Row],[Visitor/Neutral]],rtg_vlookup,4,FALSE)</f>
        <v>7.0713114754098347</v>
      </c>
      <c r="X923" s="15"/>
      <c r="Y923" s="2"/>
      <c r="Z923" s="2">
        <f>Table2[[#This Row],[A/EV]]-Table2[[#This Row],[H/EV]]</f>
        <v>8.8310684894310754</v>
      </c>
      <c r="AA923" s="29"/>
      <c r="AB923" s="30"/>
      <c r="AC923" s="30"/>
      <c r="AD923" s="30"/>
      <c r="AE923" s="30"/>
      <c r="AF923" s="7" t="b">
        <f>IF(VLOOKUP(Table2[[#This Row],[Home/Neutral]],division_lookup,9,FALSE)=VLOOKUP(Table2[[#This Row],[Visitor/Neutral]],division_lookup,9,FALSE),TRUE,FALSE)</f>
        <v>0</v>
      </c>
      <c r="AG923" s="15" t="str">
        <f>VLOOKUP(Table2[[#This Row],[Home/Neutral]],division_lookup,9,FALSE)</f>
        <v>SE</v>
      </c>
      <c r="AH923" s="15" t="str">
        <f>IF(Table2[[#This Row],[Total/EV]]&lt;Table2[[#This Row],[Total/V]],"UNDER","OVER")</f>
        <v>OVER</v>
      </c>
      <c r="AI923" s="26">
        <f>Table2[[#This Row],[SRS/Real]]-Table2[[#This Row],[Spread/V]]</f>
        <v>0</v>
      </c>
      <c r="AJ923" s="2">
        <f>Table2[[#This Row],[EV/Real]]-Table2[[#This Row],[Spread/V]]</f>
        <v>0</v>
      </c>
      <c r="AK923" s="2">
        <f>Table2[[#This Row],[SRS/Diff]]-Table2[[#This Row],[EV/Diff]]</f>
        <v>0</v>
      </c>
      <c r="AL923" s="18">
        <f>Table2[[#This Row],[SRS]]-Table2[[#This Row],[Spread]]</f>
        <v>7.0713114754098347</v>
      </c>
      <c r="AM923" s="21">
        <f>Table2[[#This Row],[(A) Err]]^2</f>
        <v>50.003445982262811</v>
      </c>
      <c r="AN923" s="6">
        <f>Table2[[#This Row],[EV]]-Table2[[#This Row],[Spread]]</f>
        <v>8.8310684894310754</v>
      </c>
      <c r="AO923" s="1">
        <f>Table2[[#This Row],[EV Err]]^2</f>
        <v>77.987770665022452</v>
      </c>
      <c r="AP923" s="1"/>
    </row>
    <row r="924" spans="1:42" x14ac:dyDescent="0.25">
      <c r="A924" s="34">
        <v>42799</v>
      </c>
      <c r="B924" t="s">
        <v>125</v>
      </c>
      <c r="C924" t="s">
        <v>135</v>
      </c>
      <c r="E924" s="21"/>
      <c r="G924" s="21"/>
      <c r="H924" s="7"/>
      <c r="I924" s="21"/>
      <c r="K924"/>
      <c r="L924" s="21">
        <f>(Table2[[#This Row],[H/Pace]]/100)*(VLOOKUP(Table2[[#This Row],[Home/Neutral]],home_lookup,8,FALSE)+VLOOKUP(Table2[[#This Row],[Home/Neutral]],OFR_lookup,2,FALSE)+VLOOKUP(Table2[[#This Row],[Visitor/Neutral]],def_diff_lookup,6,FALSE))</f>
        <v>109.36257550061907</v>
      </c>
      <c r="M924" s="21"/>
      <c r="N924" s="21">
        <f>(Table2[[#This Row],[A/Pace]]/100)*(VLOOKUP(Table2[[#This Row],[Visitor/Neutral]],OFR_lookup,2,FALSE)+VLOOKUP(Table2[[#This Row],[Home/Neutral]],def_diff_lookup,6,FALSE))</f>
        <v>110.249646</v>
      </c>
      <c r="O924" s="21"/>
      <c r="P924" s="21"/>
      <c r="Q924">
        <f>VLOOKUP(Table2[[#This Row],[Home/Neutral]],pace_lookup,7,FALSE)</f>
        <v>96.1</v>
      </c>
      <c r="R924" s="5">
        <f>VLOOKUP(Table2[[#This Row],[Visitor/Neutral]],pace_lookup,7,FALSE)</f>
        <v>95.4</v>
      </c>
      <c r="S924" s="7"/>
      <c r="U924" s="15"/>
      <c r="W924" s="2">
        <f>-home-VLOOKUP(Table2[[#This Row],[Home/Neutral]],rtg_vlookup,4,FALSE)+VLOOKUP(Table2[[#This Row],[Visitor/Neutral]],rtg_vlookup,4,FALSE)</f>
        <v>5.6413114754098341</v>
      </c>
      <c r="X924" s="15"/>
      <c r="Y924" s="2"/>
      <c r="Z924" s="2">
        <f>Table2[[#This Row],[A/EV]]-Table2[[#This Row],[H/EV]]</f>
        <v>0.88707049938092553</v>
      </c>
      <c r="AA924" s="29"/>
      <c r="AB924" s="30"/>
      <c r="AC924" s="30"/>
      <c r="AD924" s="30"/>
      <c r="AE924" s="30"/>
      <c r="AF924" s="7" t="b">
        <f>IF(VLOOKUP(Table2[[#This Row],[Home/Neutral]],division_lookup,9,FALSE)=VLOOKUP(Table2[[#This Row],[Visitor/Neutral]],division_lookup,9,FALSE),TRUE,FALSE)</f>
        <v>0</v>
      </c>
      <c r="AG924" s="15" t="str">
        <f>VLOOKUP(Table2[[#This Row],[Home/Neutral]],division_lookup,9,FALSE)</f>
        <v>C</v>
      </c>
      <c r="AH924" s="15" t="str">
        <f>IF(Table2[[#This Row],[Total/EV]]&lt;Table2[[#This Row],[Total/V]],"UNDER","OVER")</f>
        <v>OVER</v>
      </c>
      <c r="AI924" s="26">
        <f>Table2[[#This Row],[SRS/Real]]-Table2[[#This Row],[Spread/V]]</f>
        <v>0</v>
      </c>
      <c r="AJ924" s="2">
        <f>Table2[[#This Row],[EV/Real]]-Table2[[#This Row],[Spread/V]]</f>
        <v>0</v>
      </c>
      <c r="AK924" s="2">
        <f>Table2[[#This Row],[SRS/Diff]]-Table2[[#This Row],[EV/Diff]]</f>
        <v>0</v>
      </c>
      <c r="AL924" s="18">
        <f>Table2[[#This Row],[SRS]]-Table2[[#This Row],[Spread]]</f>
        <v>5.6413114754098341</v>
      </c>
      <c r="AM924" s="21">
        <f>Table2[[#This Row],[(A) Err]]^2</f>
        <v>31.82439516259068</v>
      </c>
      <c r="AN924" s="6">
        <f>Table2[[#This Row],[EV]]-Table2[[#This Row],[Spread]]</f>
        <v>0.88707049938092553</v>
      </c>
      <c r="AO924" s="1">
        <f>Table2[[#This Row],[EV Err]]^2</f>
        <v>0.78689407087192464</v>
      </c>
      <c r="AP924" s="1"/>
    </row>
    <row r="925" spans="1:42" x14ac:dyDescent="0.25">
      <c r="A925" s="34">
        <v>42799</v>
      </c>
      <c r="B925" t="s">
        <v>138</v>
      </c>
      <c r="C925" t="s">
        <v>117</v>
      </c>
      <c r="E925" s="21"/>
      <c r="G925" s="21"/>
      <c r="H925" s="7"/>
      <c r="I925" s="21"/>
      <c r="K925"/>
      <c r="L925" s="21">
        <f>(Table2[[#This Row],[H/Pace]]/100)*(VLOOKUP(Table2[[#This Row],[Home/Neutral]],home_lookup,8,FALSE)+VLOOKUP(Table2[[#This Row],[Home/Neutral]],OFR_lookup,2,FALSE)+VLOOKUP(Table2[[#This Row],[Visitor/Neutral]],def_diff_lookup,6,FALSE))</f>
        <v>95.302533531240101</v>
      </c>
      <c r="M925" s="21"/>
      <c r="N925" s="21">
        <f>(Table2[[#This Row],[A/Pace]]/100)*(VLOOKUP(Table2[[#This Row],[Visitor/Neutral]],OFR_lookup,2,FALSE)+VLOOKUP(Table2[[#This Row],[Home/Neutral]],def_diff_lookup,6,FALSE))</f>
        <v>99.68292666666666</v>
      </c>
      <c r="O925" s="21"/>
      <c r="P925" s="21"/>
      <c r="Q925">
        <f>VLOOKUP(Table2[[#This Row],[Home/Neutral]],pace_lookup,7,FALSE)</f>
        <v>97.5</v>
      </c>
      <c r="R925" s="5">
        <f>VLOOKUP(Table2[[#This Row],[Visitor/Neutral]],pace_lookup,7,FALSE)</f>
        <v>94</v>
      </c>
      <c r="S925" s="7"/>
      <c r="U925" s="15"/>
      <c r="W925" s="2">
        <f>-home-VLOOKUP(Table2[[#This Row],[Home/Neutral]],rtg_vlookup,4,FALSE)+VLOOKUP(Table2[[#This Row],[Visitor/Neutral]],rtg_vlookup,4,FALSE)</f>
        <v>8.4213114754098353</v>
      </c>
      <c r="X925" s="15"/>
      <c r="Y925" s="2"/>
      <c r="Z925" s="2">
        <f>Table2[[#This Row],[A/EV]]-Table2[[#This Row],[H/EV]]</f>
        <v>4.3803931354265586</v>
      </c>
      <c r="AA925" s="29"/>
      <c r="AB925" s="30"/>
      <c r="AC925" s="30"/>
      <c r="AD925" s="30"/>
      <c r="AE925" s="30"/>
      <c r="AF925" s="7" t="b">
        <f>IF(VLOOKUP(Table2[[#This Row],[Home/Neutral]],division_lookup,9,FALSE)=VLOOKUP(Table2[[#This Row],[Visitor/Neutral]],division_lookup,9,FALSE),TRUE,FALSE)</f>
        <v>0</v>
      </c>
      <c r="AG925" s="15" t="str">
        <f>VLOOKUP(Table2[[#This Row],[Home/Neutral]],division_lookup,9,FALSE)</f>
        <v>A</v>
      </c>
      <c r="AH925" s="15" t="str">
        <f>IF(Table2[[#This Row],[Total/EV]]&lt;Table2[[#This Row],[Total/V]],"UNDER","OVER")</f>
        <v>OVER</v>
      </c>
      <c r="AI925" s="26">
        <f>Table2[[#This Row],[SRS/Real]]-Table2[[#This Row],[Spread/V]]</f>
        <v>0</v>
      </c>
      <c r="AJ925" s="2">
        <f>Table2[[#This Row],[EV/Real]]-Table2[[#This Row],[Spread/V]]</f>
        <v>0</v>
      </c>
      <c r="AK925" s="2">
        <f>Table2[[#This Row],[SRS/Diff]]-Table2[[#This Row],[EV/Diff]]</f>
        <v>0</v>
      </c>
      <c r="AL925" s="18">
        <f>Table2[[#This Row],[SRS]]-Table2[[#This Row],[Spread]]</f>
        <v>8.4213114754098353</v>
      </c>
      <c r="AM925" s="21">
        <f>Table2[[#This Row],[(A) Err]]^2</f>
        <v>70.918486965869377</v>
      </c>
      <c r="AN925" s="6">
        <f>Table2[[#This Row],[EV]]-Table2[[#This Row],[Spread]]</f>
        <v>4.3803931354265586</v>
      </c>
      <c r="AO925" s="1">
        <f>Table2[[#This Row],[EV Err]]^2</f>
        <v>19.187844020892118</v>
      </c>
      <c r="AP925" s="1"/>
    </row>
    <row r="926" spans="1:42" x14ac:dyDescent="0.25">
      <c r="A926" s="34">
        <v>42799</v>
      </c>
      <c r="B926" t="s">
        <v>132</v>
      </c>
      <c r="C926" t="s">
        <v>111</v>
      </c>
      <c r="E926" s="21"/>
      <c r="G926" s="21"/>
      <c r="H926" s="7"/>
      <c r="I926" s="21"/>
      <c r="K926"/>
      <c r="L926" s="21">
        <f>(Table2[[#This Row],[H/Pace]]/100)*(VLOOKUP(Table2[[#This Row],[Home/Neutral]],home_lookup,8,FALSE)+VLOOKUP(Table2[[#This Row],[Home/Neutral]],OFR_lookup,2,FALSE)+VLOOKUP(Table2[[#This Row],[Visitor/Neutral]],def_diff_lookup,6,FALSE))</f>
        <v>113.21314144606978</v>
      </c>
      <c r="M926" s="21"/>
      <c r="N926" s="21">
        <f>(Table2[[#This Row],[A/Pace]]/100)*(VLOOKUP(Table2[[#This Row],[Visitor/Neutral]],OFR_lookup,2,FALSE)+VLOOKUP(Table2[[#This Row],[Home/Neutral]],def_diff_lookup,6,FALSE))</f>
        <v>109.83937999999999</v>
      </c>
      <c r="O926" s="21"/>
      <c r="P926" s="21"/>
      <c r="Q926">
        <f>VLOOKUP(Table2[[#This Row],[Home/Neutral]],pace_lookup,7,FALSE)</f>
        <v>98.8</v>
      </c>
      <c r="R926" s="5">
        <f>VLOOKUP(Table2[[#This Row],[Visitor/Neutral]],pace_lookup,7,FALSE)</f>
        <v>102</v>
      </c>
      <c r="S926" s="7"/>
      <c r="U926" s="15"/>
      <c r="W926" s="2">
        <f>-home-VLOOKUP(Table2[[#This Row],[Home/Neutral]],rtg_vlookup,4,FALSE)+VLOOKUP(Table2[[#This Row],[Visitor/Neutral]],rtg_vlookup,4,FALSE)</f>
        <v>-9.1186885245901657</v>
      </c>
      <c r="X926" s="15"/>
      <c r="Y926" s="2"/>
      <c r="Z926" s="2">
        <f>Table2[[#This Row],[A/EV]]-Table2[[#This Row],[H/EV]]</f>
        <v>-3.3737614460697927</v>
      </c>
      <c r="AA926" s="29"/>
      <c r="AB926" s="30"/>
      <c r="AC926" s="30"/>
      <c r="AD926" s="30"/>
      <c r="AE926" s="30"/>
      <c r="AF926" s="7" t="b">
        <f>IF(VLOOKUP(Table2[[#This Row],[Home/Neutral]],division_lookup,9,FALSE)=VLOOKUP(Table2[[#This Row],[Visitor/Neutral]],division_lookup,9,FALSE),TRUE,FALSE)</f>
        <v>0</v>
      </c>
      <c r="AG926" s="15" t="str">
        <f>VLOOKUP(Table2[[#This Row],[Home/Neutral]],division_lookup,9,FALSE)</f>
        <v>NW</v>
      </c>
      <c r="AH926" s="15" t="str">
        <f>IF(Table2[[#This Row],[Total/EV]]&lt;Table2[[#This Row],[Total/V]],"UNDER","OVER")</f>
        <v>OVER</v>
      </c>
      <c r="AI926" s="26">
        <f>Table2[[#This Row],[SRS/Real]]-Table2[[#This Row],[Spread/V]]</f>
        <v>0</v>
      </c>
      <c r="AJ926" s="2">
        <f>Table2[[#This Row],[EV/Real]]-Table2[[#This Row],[Spread/V]]</f>
        <v>0</v>
      </c>
      <c r="AK926" s="2">
        <f>Table2[[#This Row],[SRS/Diff]]-Table2[[#This Row],[EV/Diff]]</f>
        <v>0</v>
      </c>
      <c r="AL926" s="18">
        <f>Table2[[#This Row],[SRS]]-Table2[[#This Row],[Spread]]</f>
        <v>-9.1186885245901657</v>
      </c>
      <c r="AM926" s="21">
        <f>Table2[[#This Row],[(A) Err]]^2</f>
        <v>83.150480408492371</v>
      </c>
      <c r="AN926" s="6">
        <f>Table2[[#This Row],[EV]]-Table2[[#This Row],[Spread]]</f>
        <v>-3.3737614460697927</v>
      </c>
      <c r="AO926" s="1">
        <f>Table2[[#This Row],[EV Err]]^2</f>
        <v>11.382266294986939</v>
      </c>
      <c r="AP926" s="1"/>
    </row>
    <row r="927" spans="1:42" x14ac:dyDescent="0.25">
      <c r="A927" s="34">
        <v>42799</v>
      </c>
      <c r="B927" t="s">
        <v>134</v>
      </c>
      <c r="C927" t="s">
        <v>126</v>
      </c>
      <c r="E927" s="21"/>
      <c r="G927" s="21"/>
      <c r="H927" s="7"/>
      <c r="I927" s="21"/>
      <c r="K927"/>
      <c r="L927" s="21">
        <f>(Table2[[#This Row],[H/Pace]]/100)*(VLOOKUP(Table2[[#This Row],[Home/Neutral]],home_lookup,8,FALSE)+VLOOKUP(Table2[[#This Row],[Home/Neutral]],OFR_lookup,2,FALSE)+VLOOKUP(Table2[[#This Row],[Visitor/Neutral]],def_diff_lookup,6,FALSE))</f>
        <v>103.67161343638193</v>
      </c>
      <c r="M927" s="21"/>
      <c r="N927" s="21">
        <f>(Table2[[#This Row],[A/Pace]]/100)*(VLOOKUP(Table2[[#This Row],[Visitor/Neutral]],OFR_lookup,2,FALSE)+VLOOKUP(Table2[[#This Row],[Home/Neutral]],def_diff_lookup,6,FALSE))</f>
        <v>102.70109300000001</v>
      </c>
      <c r="O927" s="21"/>
      <c r="P927" s="21"/>
      <c r="Q927">
        <f>VLOOKUP(Table2[[#This Row],[Home/Neutral]],pace_lookup,7,FALSE)</f>
        <v>93.4</v>
      </c>
      <c r="R927" s="5">
        <f>VLOOKUP(Table2[[#This Row],[Visitor/Neutral]],pace_lookup,7,FALSE)</f>
        <v>95.7</v>
      </c>
      <c r="S927" s="7"/>
      <c r="U927" s="15"/>
      <c r="W927" s="2">
        <f>-home-VLOOKUP(Table2[[#This Row],[Home/Neutral]],rtg_vlookup,4,FALSE)+VLOOKUP(Table2[[#This Row],[Visitor/Neutral]],rtg_vlookup,4,FALSE)</f>
        <v>-11.348688524590164</v>
      </c>
      <c r="X927" s="15"/>
      <c r="Y927" s="2"/>
      <c r="Z927" s="2">
        <f>Table2[[#This Row],[A/EV]]-Table2[[#This Row],[H/EV]]</f>
        <v>-0.97052043638191776</v>
      </c>
      <c r="AA927" s="29"/>
      <c r="AB927" s="30"/>
      <c r="AC927" s="30"/>
      <c r="AD927" s="30"/>
      <c r="AE927" s="30"/>
      <c r="AF927" s="7" t="b">
        <f>IF(VLOOKUP(Table2[[#This Row],[Home/Neutral]],division_lookup,9,FALSE)=VLOOKUP(Table2[[#This Row],[Visitor/Neutral]],division_lookup,9,FALSE),TRUE,FALSE)</f>
        <v>0</v>
      </c>
      <c r="AG927" s="15" t="str">
        <f>VLOOKUP(Table2[[#This Row],[Home/Neutral]],division_lookup,9,FALSE)</f>
        <v>SW</v>
      </c>
      <c r="AH927" s="15" t="str">
        <f>IF(Table2[[#This Row],[Total/EV]]&lt;Table2[[#This Row],[Total/V]],"UNDER","OVER")</f>
        <v>OVER</v>
      </c>
      <c r="AI927" s="26">
        <f>Table2[[#This Row],[SRS/Real]]-Table2[[#This Row],[Spread/V]]</f>
        <v>0</v>
      </c>
      <c r="AJ927" s="2">
        <f>Table2[[#This Row],[EV/Real]]-Table2[[#This Row],[Spread/V]]</f>
        <v>0</v>
      </c>
      <c r="AK927" s="2">
        <f>Table2[[#This Row],[SRS/Diff]]-Table2[[#This Row],[EV/Diff]]</f>
        <v>0</v>
      </c>
      <c r="AL927" s="18">
        <f>Table2[[#This Row],[SRS]]-Table2[[#This Row],[Spread]]</f>
        <v>-11.348688524590164</v>
      </c>
      <c r="AM927" s="21">
        <f>Table2[[#This Row],[(A) Err]]^2</f>
        <v>128.79273122816448</v>
      </c>
      <c r="AN927" s="6">
        <f>Table2[[#This Row],[EV]]-Table2[[#This Row],[Spread]]</f>
        <v>-0.97052043638191776</v>
      </c>
      <c r="AO927" s="1">
        <f>Table2[[#This Row],[EV Err]]^2</f>
        <v>0.94190991743494812</v>
      </c>
      <c r="AP927" s="1"/>
    </row>
    <row r="928" spans="1:42" x14ac:dyDescent="0.25">
      <c r="A928" s="34">
        <v>42800</v>
      </c>
      <c r="B928" t="s">
        <v>109</v>
      </c>
      <c r="C928" t="s">
        <v>120</v>
      </c>
      <c r="E928" s="21"/>
      <c r="G928" s="21"/>
      <c r="H928" s="7"/>
      <c r="I928" s="21"/>
      <c r="K928"/>
      <c r="L928" s="21">
        <f>(Table2[[#This Row],[H/Pace]]/100)*(VLOOKUP(Table2[[#This Row],[Home/Neutral]],home_lookup,8,FALSE)+VLOOKUP(Table2[[#This Row],[Home/Neutral]],OFR_lookup,2,FALSE)+VLOOKUP(Table2[[#This Row],[Visitor/Neutral]],def_diff_lookup,6,FALSE))</f>
        <v>102.15136660728638</v>
      </c>
      <c r="M928" s="21"/>
      <c r="N928" s="21">
        <f>(Table2[[#This Row],[A/Pace]]/100)*(VLOOKUP(Table2[[#This Row],[Visitor/Neutral]],OFR_lookup,2,FALSE)+VLOOKUP(Table2[[#This Row],[Home/Neutral]],def_diff_lookup,6,FALSE))</f>
        <v>95.189460333333329</v>
      </c>
      <c r="O928" s="21"/>
      <c r="P928" s="21"/>
      <c r="Q928">
        <f>VLOOKUP(Table2[[#This Row],[Home/Neutral]],pace_lookup,7,FALSE)</f>
        <v>99.2</v>
      </c>
      <c r="R928" s="5">
        <f>VLOOKUP(Table2[[#This Row],[Visitor/Neutral]],pace_lookup,7,FALSE)</f>
        <v>98.3</v>
      </c>
      <c r="S928" s="7"/>
      <c r="U928" s="15"/>
      <c r="W928" s="2">
        <f>-home-VLOOKUP(Table2[[#This Row],[Home/Neutral]],rtg_vlookup,4,FALSE)+VLOOKUP(Table2[[#This Row],[Visitor/Neutral]],rtg_vlookup,4,FALSE)</f>
        <v>-9.7586885245901662</v>
      </c>
      <c r="X928" s="15"/>
      <c r="Y928" s="2"/>
      <c r="Z928" s="2">
        <f>Table2[[#This Row],[A/EV]]-Table2[[#This Row],[H/EV]]</f>
        <v>-6.9619062739530477</v>
      </c>
      <c r="AA928" s="29"/>
      <c r="AB928" s="30"/>
      <c r="AC928" s="30"/>
      <c r="AD928" s="30"/>
      <c r="AE928" s="30"/>
      <c r="AF928" s="7" t="b">
        <f>IF(VLOOKUP(Table2[[#This Row],[Home/Neutral]],division_lookup,9,FALSE)=VLOOKUP(Table2[[#This Row],[Visitor/Neutral]],division_lookup,9,FALSE),TRUE,FALSE)</f>
        <v>0</v>
      </c>
      <c r="AG928" s="15" t="str">
        <f>VLOOKUP(Table2[[#This Row],[Home/Neutral]],division_lookup,9,FALSE)</f>
        <v>SE</v>
      </c>
      <c r="AH928" s="15" t="str">
        <f>IF(Table2[[#This Row],[Total/EV]]&lt;Table2[[#This Row],[Total/V]],"UNDER","OVER")</f>
        <v>OVER</v>
      </c>
      <c r="AI928" s="26">
        <f>Table2[[#This Row],[SRS/Real]]-Table2[[#This Row],[Spread/V]]</f>
        <v>0</v>
      </c>
      <c r="AJ928" s="2">
        <f>Table2[[#This Row],[EV/Real]]-Table2[[#This Row],[Spread/V]]</f>
        <v>0</v>
      </c>
      <c r="AK928" s="2">
        <f>Table2[[#This Row],[SRS/Diff]]-Table2[[#This Row],[EV/Diff]]</f>
        <v>0</v>
      </c>
      <c r="AL928" s="18">
        <f>Table2[[#This Row],[SRS]]-Table2[[#This Row],[Spread]]</f>
        <v>-9.7586885245901662</v>
      </c>
      <c r="AM928" s="21">
        <f>Table2[[#This Row],[(A) Err]]^2</f>
        <v>95.232001719967798</v>
      </c>
      <c r="AN928" s="6">
        <f>Table2[[#This Row],[EV]]-Table2[[#This Row],[Spread]]</f>
        <v>-6.9619062739530477</v>
      </c>
      <c r="AO928" s="1">
        <f>Table2[[#This Row],[EV Err]]^2</f>
        <v>48.468138967306807</v>
      </c>
      <c r="AP928" s="1"/>
    </row>
    <row r="929" spans="1:42" x14ac:dyDescent="0.25">
      <c r="A929" s="34">
        <v>42800</v>
      </c>
      <c r="B929" t="s">
        <v>115</v>
      </c>
      <c r="C929" t="s">
        <v>129</v>
      </c>
      <c r="E929" s="21"/>
      <c r="G929" s="21"/>
      <c r="H929" s="7"/>
      <c r="I929" s="21"/>
      <c r="K929"/>
      <c r="L929" s="21">
        <f>(Table2[[#This Row],[H/Pace]]/100)*(VLOOKUP(Table2[[#This Row],[Home/Neutral]],home_lookup,8,FALSE)+VLOOKUP(Table2[[#This Row],[Home/Neutral]],OFR_lookup,2,FALSE)+VLOOKUP(Table2[[#This Row],[Visitor/Neutral]],def_diff_lookup,6,FALSE))</f>
        <v>93.621993115967769</v>
      </c>
      <c r="M929" s="21"/>
      <c r="N929" s="21">
        <f>(Table2[[#This Row],[A/Pace]]/100)*(VLOOKUP(Table2[[#This Row],[Visitor/Neutral]],OFR_lookup,2,FALSE)+VLOOKUP(Table2[[#This Row],[Home/Neutral]],def_diff_lookup,6,FALSE))</f>
        <v>104.49020999999999</v>
      </c>
      <c r="O929" s="21"/>
      <c r="P929" s="21"/>
      <c r="Q929">
        <f>VLOOKUP(Table2[[#This Row],[Home/Neutral]],pace_lookup,7,FALSE)</f>
        <v>92.9</v>
      </c>
      <c r="R929" s="5">
        <f>VLOOKUP(Table2[[#This Row],[Visitor/Neutral]],pace_lookup,7,FALSE)</f>
        <v>99</v>
      </c>
      <c r="S929" s="7"/>
      <c r="U929" s="15"/>
      <c r="W929" s="2">
        <f>-home-VLOOKUP(Table2[[#This Row],[Home/Neutral]],rtg_vlookup,4,FALSE)+VLOOKUP(Table2[[#This Row],[Visitor/Neutral]],rtg_vlookup,4,FALSE)</f>
        <v>7.5913114754098334</v>
      </c>
      <c r="X929" s="15"/>
      <c r="Y929" s="2"/>
      <c r="Z929" s="2">
        <f>Table2[[#This Row],[A/EV]]-Table2[[#This Row],[H/EV]]</f>
        <v>10.868216884032222</v>
      </c>
      <c r="AA929" s="29"/>
      <c r="AB929" s="30"/>
      <c r="AC929" s="30"/>
      <c r="AD929" s="30"/>
      <c r="AE929" s="30"/>
      <c r="AF929" s="7" t="b">
        <f>IF(VLOOKUP(Table2[[#This Row],[Home/Neutral]],division_lookup,9,FALSE)=VLOOKUP(Table2[[#This Row],[Visitor/Neutral]],division_lookup,9,FALSE),TRUE,FALSE)</f>
        <v>0</v>
      </c>
      <c r="AG929" s="15" t="str">
        <f>VLOOKUP(Table2[[#This Row],[Home/Neutral]],division_lookup,9,FALSE)</f>
        <v>SW</v>
      </c>
      <c r="AH929" s="15" t="str">
        <f>IF(Table2[[#This Row],[Total/EV]]&lt;Table2[[#This Row],[Total/V]],"UNDER","OVER")</f>
        <v>OVER</v>
      </c>
      <c r="AI929" s="26">
        <f>Table2[[#This Row],[SRS/Real]]-Table2[[#This Row],[Spread/V]]</f>
        <v>0</v>
      </c>
      <c r="AJ929" s="2">
        <f>Table2[[#This Row],[EV/Real]]-Table2[[#This Row],[Spread/V]]</f>
        <v>0</v>
      </c>
      <c r="AK929" s="2">
        <f>Table2[[#This Row],[SRS/Diff]]-Table2[[#This Row],[EV/Diff]]</f>
        <v>0</v>
      </c>
      <c r="AL929" s="18">
        <f>Table2[[#This Row],[SRS]]-Table2[[#This Row],[Spread]]</f>
        <v>7.5913114754098334</v>
      </c>
      <c r="AM929" s="21">
        <f>Table2[[#This Row],[(A) Err]]^2</f>
        <v>57.628009916689024</v>
      </c>
      <c r="AN929" s="6">
        <f>Table2[[#This Row],[EV]]-Table2[[#This Row],[Spread]]</f>
        <v>10.868216884032222</v>
      </c>
      <c r="AO929" s="1">
        <f>Table2[[#This Row],[EV Err]]^2</f>
        <v>118.11813823836306</v>
      </c>
      <c r="AP929" s="1"/>
    </row>
    <row r="930" spans="1:42" x14ac:dyDescent="0.25">
      <c r="A930" s="34">
        <v>42800</v>
      </c>
      <c r="B930" t="s">
        <v>122</v>
      </c>
      <c r="C930" t="s">
        <v>127</v>
      </c>
      <c r="E930" s="21"/>
      <c r="G930" s="21"/>
      <c r="H930" s="7"/>
      <c r="I930" s="21"/>
      <c r="K930"/>
      <c r="L930" s="21">
        <f>(Table2[[#This Row],[H/Pace]]/100)*(VLOOKUP(Table2[[#This Row],[Home/Neutral]],home_lookup,8,FALSE)+VLOOKUP(Table2[[#This Row],[Home/Neutral]],OFR_lookup,2,FALSE)+VLOOKUP(Table2[[#This Row],[Visitor/Neutral]],def_diff_lookup,6,FALSE))</f>
        <v>108.50538832744731</v>
      </c>
      <c r="M930" s="21"/>
      <c r="N930" s="21">
        <f>(Table2[[#This Row],[A/Pace]]/100)*(VLOOKUP(Table2[[#This Row],[Visitor/Neutral]],OFR_lookup,2,FALSE)+VLOOKUP(Table2[[#This Row],[Home/Neutral]],def_diff_lookup,6,FALSE))</f>
        <v>106.50487699999999</v>
      </c>
      <c r="O930" s="21"/>
      <c r="P930" s="21"/>
      <c r="Q930">
        <f>VLOOKUP(Table2[[#This Row],[Home/Neutral]],pace_lookup,7,FALSE)</f>
        <v>100.2</v>
      </c>
      <c r="R930" s="5">
        <f>VLOOKUP(Table2[[#This Row],[Visitor/Neutral]],pace_lookup,7,FALSE)</f>
        <v>99.3</v>
      </c>
      <c r="S930" s="7"/>
      <c r="U930" s="15"/>
      <c r="W930" s="2">
        <f>-home-VLOOKUP(Table2[[#This Row],[Home/Neutral]],rtg_vlookup,4,FALSE)+VLOOKUP(Table2[[#This Row],[Visitor/Neutral]],rtg_vlookup,4,FALSE)</f>
        <v>-3.1886885245901659</v>
      </c>
      <c r="X930" s="15"/>
      <c r="Y930" s="2"/>
      <c r="Z930" s="2">
        <f>Table2[[#This Row],[A/EV]]-Table2[[#This Row],[H/EV]]</f>
        <v>-2.0005113274473132</v>
      </c>
      <c r="AA930" s="29"/>
      <c r="AB930" s="30"/>
      <c r="AC930" s="30"/>
      <c r="AD930" s="30"/>
      <c r="AE930" s="30"/>
      <c r="AF930" s="7" t="b">
        <f>IF(VLOOKUP(Table2[[#This Row],[Home/Neutral]],division_lookup,9,FALSE)=VLOOKUP(Table2[[#This Row],[Visitor/Neutral]],division_lookup,9,FALSE),TRUE,FALSE)</f>
        <v>0</v>
      </c>
      <c r="AG930" s="15" t="str">
        <f>VLOOKUP(Table2[[#This Row],[Home/Neutral]],division_lookup,9,FALSE)</f>
        <v>P</v>
      </c>
      <c r="AH930" s="15" t="str">
        <f>IF(Table2[[#This Row],[Total/EV]]&lt;Table2[[#This Row],[Total/V]],"UNDER","OVER")</f>
        <v>OVER</v>
      </c>
      <c r="AI930" s="26">
        <f>Table2[[#This Row],[SRS/Real]]-Table2[[#This Row],[Spread/V]]</f>
        <v>0</v>
      </c>
      <c r="AJ930" s="2">
        <f>Table2[[#This Row],[EV/Real]]-Table2[[#This Row],[Spread/V]]</f>
        <v>0</v>
      </c>
      <c r="AK930" s="2">
        <f>Table2[[#This Row],[SRS/Diff]]-Table2[[#This Row],[EV/Diff]]</f>
        <v>0</v>
      </c>
      <c r="AL930" s="18">
        <f>Table2[[#This Row],[SRS]]-Table2[[#This Row],[Spread]]</f>
        <v>-3.1886885245901659</v>
      </c>
      <c r="AM930" s="21">
        <f>Table2[[#This Row],[(A) Err]]^2</f>
        <v>10.167734506853009</v>
      </c>
      <c r="AN930" s="6">
        <f>Table2[[#This Row],[EV]]-Table2[[#This Row],[Spread]]</f>
        <v>-2.0005113274473132</v>
      </c>
      <c r="AO930" s="1">
        <f>Table2[[#This Row],[EV Err]]^2</f>
        <v>4.0020455712450111</v>
      </c>
      <c r="AP930" s="1"/>
    </row>
    <row r="931" spans="1:42" x14ac:dyDescent="0.25">
      <c r="A931" s="34">
        <v>42800</v>
      </c>
      <c r="B931" t="s">
        <v>128</v>
      </c>
      <c r="C931" t="s">
        <v>118</v>
      </c>
      <c r="E931" s="21"/>
      <c r="G931" s="21"/>
      <c r="H931" s="7"/>
      <c r="I931" s="21"/>
      <c r="K931"/>
      <c r="L931" s="21">
        <f>(Table2[[#This Row],[H/Pace]]/100)*(VLOOKUP(Table2[[#This Row],[Home/Neutral]],home_lookup,8,FALSE)+VLOOKUP(Table2[[#This Row],[Home/Neutral]],OFR_lookup,2,FALSE)+VLOOKUP(Table2[[#This Row],[Visitor/Neutral]],def_diff_lookup,6,FALSE))</f>
        <v>107.2960998778302</v>
      </c>
      <c r="M931" s="21"/>
      <c r="N931" s="21">
        <f>(Table2[[#This Row],[A/Pace]]/100)*(VLOOKUP(Table2[[#This Row],[Visitor/Neutral]],OFR_lookup,2,FALSE)+VLOOKUP(Table2[[#This Row],[Home/Neutral]],def_diff_lookup,6,FALSE))</f>
        <v>120.55596933333334</v>
      </c>
      <c r="O931" s="21"/>
      <c r="P931" s="21"/>
      <c r="Q931">
        <f>VLOOKUP(Table2[[#This Row],[Home/Neutral]],pace_lookup,7,FALSE)</f>
        <v>96.3</v>
      </c>
      <c r="R931" s="5">
        <f>VLOOKUP(Table2[[#This Row],[Visitor/Neutral]],pace_lookup,7,FALSE)</f>
        <v>100.4</v>
      </c>
      <c r="S931" s="7"/>
      <c r="U931" s="15"/>
      <c r="W931" s="2">
        <f>-home-VLOOKUP(Table2[[#This Row],[Home/Neutral]],rtg_vlookup,4,FALSE)+VLOOKUP(Table2[[#This Row],[Visitor/Neutral]],rtg_vlookup,4,FALSE)</f>
        <v>10.501311475409834</v>
      </c>
      <c r="X931" s="15"/>
      <c r="Y931" s="2"/>
      <c r="Z931" s="2">
        <f>Table2[[#This Row],[A/EV]]-Table2[[#This Row],[H/EV]]</f>
        <v>13.259869455503136</v>
      </c>
      <c r="AA931" s="29"/>
      <c r="AB931" s="30"/>
      <c r="AC931" s="30"/>
      <c r="AD931" s="30"/>
      <c r="AE931" s="30"/>
      <c r="AF931" s="7" t="b">
        <f>IF(VLOOKUP(Table2[[#This Row],[Home/Neutral]],division_lookup,9,FALSE)=VLOOKUP(Table2[[#This Row],[Visitor/Neutral]],division_lookup,9,FALSE),TRUE,FALSE)</f>
        <v>0</v>
      </c>
      <c r="AG931" s="15" t="str">
        <f>VLOOKUP(Table2[[#This Row],[Home/Neutral]],division_lookup,9,FALSE)</f>
        <v>A</v>
      </c>
      <c r="AH931" s="15" t="str">
        <f>IF(Table2[[#This Row],[Total/EV]]&lt;Table2[[#This Row],[Total/V]],"UNDER","OVER")</f>
        <v>OVER</v>
      </c>
      <c r="AI931" s="26">
        <f>Table2[[#This Row],[SRS/Real]]-Table2[[#This Row],[Spread/V]]</f>
        <v>0</v>
      </c>
      <c r="AJ931" s="2">
        <f>Table2[[#This Row],[EV/Real]]-Table2[[#This Row],[Spread/V]]</f>
        <v>0</v>
      </c>
      <c r="AK931" s="2">
        <f>Table2[[#This Row],[SRS/Diff]]-Table2[[#This Row],[EV/Diff]]</f>
        <v>0</v>
      </c>
      <c r="AL931" s="18">
        <f>Table2[[#This Row],[SRS]]-Table2[[#This Row],[Spread]]</f>
        <v>10.501311475409834</v>
      </c>
      <c r="AM931" s="21">
        <f>Table2[[#This Row],[(A) Err]]^2</f>
        <v>110.27754270357426</v>
      </c>
      <c r="AN931" s="6">
        <f>Table2[[#This Row],[EV]]-Table2[[#This Row],[Spread]]</f>
        <v>13.259869455503136</v>
      </c>
      <c r="AO931" s="1">
        <f>Table2[[#This Row],[EV Err]]^2</f>
        <v>175.82413797698501</v>
      </c>
      <c r="AP931" s="1"/>
    </row>
    <row r="932" spans="1:42" x14ac:dyDescent="0.25">
      <c r="A932" s="34">
        <v>42800</v>
      </c>
      <c r="B932" t="s">
        <v>131</v>
      </c>
      <c r="C932" t="s">
        <v>110</v>
      </c>
      <c r="E932" s="21"/>
      <c r="G932" s="21"/>
      <c r="H932" s="7"/>
      <c r="I932" s="21"/>
      <c r="K932"/>
      <c r="L932" s="21">
        <f>(Table2[[#This Row],[H/Pace]]/100)*(VLOOKUP(Table2[[#This Row],[Home/Neutral]],home_lookup,8,FALSE)+VLOOKUP(Table2[[#This Row],[Home/Neutral]],OFR_lookup,2,FALSE)+VLOOKUP(Table2[[#This Row],[Visitor/Neutral]],def_diff_lookup,6,FALSE))</f>
        <v>97.696069791197658</v>
      </c>
      <c r="M932" s="21"/>
      <c r="N932" s="21">
        <f>(Table2[[#This Row],[A/Pace]]/100)*(VLOOKUP(Table2[[#This Row],[Visitor/Neutral]],OFR_lookup,2,FALSE)+VLOOKUP(Table2[[#This Row],[Home/Neutral]],def_diff_lookup,6,FALSE))</f>
        <v>104.83459133333335</v>
      </c>
      <c r="O932" s="21"/>
      <c r="P932" s="21"/>
      <c r="Q932">
        <f>VLOOKUP(Table2[[#This Row],[Home/Neutral]],pace_lookup,7,FALSE)</f>
        <v>101.7</v>
      </c>
      <c r="R932" s="5">
        <f>VLOOKUP(Table2[[#This Row],[Visitor/Neutral]],pace_lookup,7,FALSE)</f>
        <v>96.2</v>
      </c>
      <c r="S932" s="7"/>
      <c r="U932" s="15"/>
      <c r="W932" s="2">
        <f>-home-VLOOKUP(Table2[[#This Row],[Home/Neutral]],rtg_vlookup,4,FALSE)+VLOOKUP(Table2[[#This Row],[Visitor/Neutral]],rtg_vlookup,4,FALSE)</f>
        <v>4.0813114754098345</v>
      </c>
      <c r="X932" s="15"/>
      <c r="Y932" s="2"/>
      <c r="Z932" s="2">
        <f>Table2[[#This Row],[A/EV]]-Table2[[#This Row],[H/EV]]</f>
        <v>7.1385215421356918</v>
      </c>
      <c r="AA932" s="29"/>
      <c r="AB932" s="30"/>
      <c r="AC932" s="30"/>
      <c r="AD932" s="30"/>
      <c r="AE932" s="30"/>
      <c r="AF932" s="7" t="b">
        <f>IF(VLOOKUP(Table2[[#This Row],[Home/Neutral]],division_lookup,9,FALSE)=VLOOKUP(Table2[[#This Row],[Visitor/Neutral]],division_lookup,9,FALSE),TRUE,FALSE)</f>
        <v>0</v>
      </c>
      <c r="AG932" s="15" t="str">
        <f>VLOOKUP(Table2[[#This Row],[Home/Neutral]],division_lookup,9,FALSE)</f>
        <v>P</v>
      </c>
      <c r="AH932" s="15" t="str">
        <f>IF(Table2[[#This Row],[Total/EV]]&lt;Table2[[#This Row],[Total/V]],"UNDER","OVER")</f>
        <v>OVER</v>
      </c>
      <c r="AI932" s="26">
        <f>Table2[[#This Row],[SRS/Real]]-Table2[[#This Row],[Spread/V]]</f>
        <v>0</v>
      </c>
      <c r="AJ932" s="2">
        <f>Table2[[#This Row],[EV/Real]]-Table2[[#This Row],[Spread/V]]</f>
        <v>0</v>
      </c>
      <c r="AK932" s="2">
        <f>Table2[[#This Row],[SRS/Diff]]-Table2[[#This Row],[EV/Diff]]</f>
        <v>0</v>
      </c>
      <c r="AL932" s="18">
        <f>Table2[[#This Row],[SRS]]-Table2[[#This Row],[Spread]]</f>
        <v>4.0813114754098345</v>
      </c>
      <c r="AM932" s="21">
        <f>Table2[[#This Row],[(A) Err]]^2</f>
        <v>16.657103359312</v>
      </c>
      <c r="AN932" s="6">
        <f>Table2[[#This Row],[EV]]-Table2[[#This Row],[Spread]]</f>
        <v>7.1385215421356918</v>
      </c>
      <c r="AO932" s="1">
        <f>Table2[[#This Row],[EV Err]]^2</f>
        <v>50.958489807535337</v>
      </c>
      <c r="AP932" s="1"/>
    </row>
    <row r="933" spans="1:42" x14ac:dyDescent="0.25">
      <c r="A933" s="34">
        <v>42800</v>
      </c>
      <c r="B933" t="s">
        <v>133</v>
      </c>
      <c r="C933" t="s">
        <v>136</v>
      </c>
      <c r="E933" s="21"/>
      <c r="G933" s="21"/>
      <c r="H933" s="7"/>
      <c r="I933" s="21"/>
      <c r="K933"/>
      <c r="L933" s="21">
        <f>(Table2[[#This Row],[H/Pace]]/100)*(VLOOKUP(Table2[[#This Row],[Home/Neutral]],home_lookup,8,FALSE)+VLOOKUP(Table2[[#This Row],[Home/Neutral]],OFR_lookup,2,FALSE)+VLOOKUP(Table2[[#This Row],[Visitor/Neutral]],def_diff_lookup,6,FALSE))</f>
        <v>103.81240748279978</v>
      </c>
      <c r="M933" s="21"/>
      <c r="N933" s="21">
        <f>(Table2[[#This Row],[A/Pace]]/100)*(VLOOKUP(Table2[[#This Row],[Visitor/Neutral]],OFR_lookup,2,FALSE)+VLOOKUP(Table2[[#This Row],[Home/Neutral]],def_diff_lookup,6,FALSE))</f>
        <v>100.334935</v>
      </c>
      <c r="O933" s="21"/>
      <c r="P933" s="21"/>
      <c r="Q933">
        <f>VLOOKUP(Table2[[#This Row],[Home/Neutral]],pace_lookup,7,FALSE)</f>
        <v>94.2</v>
      </c>
      <c r="R933" s="5">
        <f>VLOOKUP(Table2[[#This Row],[Visitor/Neutral]],pace_lookup,7,FALSE)</f>
        <v>91.5</v>
      </c>
      <c r="S933" s="7"/>
      <c r="U933" s="15"/>
      <c r="W933" s="2">
        <f>-home-VLOOKUP(Table2[[#This Row],[Home/Neutral]],rtg_vlookup,4,FALSE)+VLOOKUP(Table2[[#This Row],[Visitor/Neutral]],rtg_vlookup,4,FALSE)</f>
        <v>3.3913114754098341</v>
      </c>
      <c r="X933" s="15"/>
      <c r="Y933" s="2"/>
      <c r="Z933" s="2">
        <f>Table2[[#This Row],[A/EV]]-Table2[[#This Row],[H/EV]]</f>
        <v>-3.4774724827997829</v>
      </c>
      <c r="AA933" s="29"/>
      <c r="AB933" s="30"/>
      <c r="AC933" s="30"/>
      <c r="AD933" s="30"/>
      <c r="AE933" s="30"/>
      <c r="AF933" s="7" t="b">
        <f>IF(VLOOKUP(Table2[[#This Row],[Home/Neutral]],division_lookup,9,FALSE)=VLOOKUP(Table2[[#This Row],[Visitor/Neutral]],division_lookup,9,FALSE),TRUE,FALSE)</f>
        <v>0</v>
      </c>
      <c r="AG933" s="15" t="str">
        <f>VLOOKUP(Table2[[#This Row],[Home/Neutral]],division_lookup,9,FALSE)</f>
        <v>P</v>
      </c>
      <c r="AH933" s="15" t="str">
        <f>IF(Table2[[#This Row],[Total/EV]]&lt;Table2[[#This Row],[Total/V]],"UNDER","OVER")</f>
        <v>OVER</v>
      </c>
      <c r="AI933" s="26">
        <f>Table2[[#This Row],[SRS/Real]]-Table2[[#This Row],[Spread/V]]</f>
        <v>0</v>
      </c>
      <c r="AJ933" s="2">
        <f>Table2[[#This Row],[EV/Real]]-Table2[[#This Row],[Spread/V]]</f>
        <v>0</v>
      </c>
      <c r="AK933" s="2">
        <f>Table2[[#This Row],[SRS/Diff]]-Table2[[#This Row],[EV/Diff]]</f>
        <v>0</v>
      </c>
      <c r="AL933" s="18">
        <f>Table2[[#This Row],[SRS]]-Table2[[#This Row],[Spread]]</f>
        <v>3.3913114754098341</v>
      </c>
      <c r="AM933" s="21">
        <f>Table2[[#This Row],[(A) Err]]^2</f>
        <v>11.500993523246427</v>
      </c>
      <c r="AN933" s="6">
        <f>Table2[[#This Row],[EV]]-Table2[[#This Row],[Spread]]</f>
        <v>-3.4774724827997829</v>
      </c>
      <c r="AO933" s="1">
        <f>Table2[[#This Row],[EV Err]]^2</f>
        <v>12.092814868629686</v>
      </c>
      <c r="AP933" s="1"/>
    </row>
    <row r="934" spans="1:42" x14ac:dyDescent="0.25">
      <c r="A934" s="34">
        <v>42800</v>
      </c>
      <c r="B934" t="s">
        <v>137</v>
      </c>
      <c r="C934" t="s">
        <v>130</v>
      </c>
      <c r="E934" s="21"/>
      <c r="G934" s="21"/>
      <c r="H934" s="7"/>
      <c r="I934" s="21"/>
      <c r="K934"/>
      <c r="L934" s="21">
        <f>(Table2[[#This Row],[H/Pace]]/100)*(VLOOKUP(Table2[[#This Row],[Home/Neutral]],home_lookup,8,FALSE)+VLOOKUP(Table2[[#This Row],[Home/Neutral]],OFR_lookup,2,FALSE)+VLOOKUP(Table2[[#This Row],[Visitor/Neutral]],def_diff_lookup,6,FALSE))</f>
        <v>107.71453255421871</v>
      </c>
      <c r="M934" s="21"/>
      <c r="N934" s="21">
        <f>(Table2[[#This Row],[A/Pace]]/100)*(VLOOKUP(Table2[[#This Row],[Visitor/Neutral]],OFR_lookup,2,FALSE)+VLOOKUP(Table2[[#This Row],[Home/Neutral]],def_diff_lookup,6,FALSE))</f>
        <v>95.458197999999996</v>
      </c>
      <c r="O934" s="21"/>
      <c r="P934" s="21"/>
      <c r="Q934">
        <f>VLOOKUP(Table2[[#This Row],[Home/Neutral]],pace_lookup,7,FALSE)</f>
        <v>96</v>
      </c>
      <c r="R934" s="5">
        <f>VLOOKUP(Table2[[#This Row],[Visitor/Neutral]],pace_lookup,7,FALSE)</f>
        <v>94.2</v>
      </c>
      <c r="S934" s="7"/>
      <c r="U934" s="15"/>
      <c r="W934" s="2">
        <f>-home-VLOOKUP(Table2[[#This Row],[Home/Neutral]],rtg_vlookup,4,FALSE)+VLOOKUP(Table2[[#This Row],[Visitor/Neutral]],rtg_vlookup,4,FALSE)</f>
        <v>-8.4186885245901664</v>
      </c>
      <c r="X934" s="15"/>
      <c r="Y934" s="2"/>
      <c r="Z934" s="2">
        <f>Table2[[#This Row],[A/EV]]-Table2[[#This Row],[H/EV]]</f>
        <v>-12.256334554218711</v>
      </c>
      <c r="AA934" s="29"/>
      <c r="AB934" s="30"/>
      <c r="AC934" s="30"/>
      <c r="AD934" s="30"/>
      <c r="AE934" s="30"/>
      <c r="AF934" s="7" t="b">
        <f>IF(VLOOKUP(Table2[[#This Row],[Home/Neutral]],division_lookup,9,FALSE)=VLOOKUP(Table2[[#This Row],[Visitor/Neutral]],division_lookup,9,FALSE),TRUE,FALSE)</f>
        <v>1</v>
      </c>
      <c r="AG934" s="15" t="str">
        <f>VLOOKUP(Table2[[#This Row],[Home/Neutral]],division_lookup,9,FALSE)</f>
        <v>SE</v>
      </c>
      <c r="AH934" s="15" t="str">
        <f>IF(Table2[[#This Row],[Total/EV]]&lt;Table2[[#This Row],[Total/V]],"UNDER","OVER")</f>
        <v>OVER</v>
      </c>
      <c r="AI934" s="26">
        <f>Table2[[#This Row],[SRS/Real]]-Table2[[#This Row],[Spread/V]]</f>
        <v>0</v>
      </c>
      <c r="AJ934" s="2">
        <f>Table2[[#This Row],[EV/Real]]-Table2[[#This Row],[Spread/V]]</f>
        <v>0</v>
      </c>
      <c r="AK934" s="2">
        <f>Table2[[#This Row],[SRS/Diff]]-Table2[[#This Row],[EV/Diff]]</f>
        <v>0</v>
      </c>
      <c r="AL934" s="18">
        <f>Table2[[#This Row],[SRS]]-Table2[[#This Row],[Spread]]</f>
        <v>-8.4186885245901664</v>
      </c>
      <c r="AM934" s="21">
        <f>Table2[[#This Row],[(A) Err]]^2</f>
        <v>70.874316474066148</v>
      </c>
      <c r="AN934" s="6">
        <f>Table2[[#This Row],[EV]]-Table2[[#This Row],[Spread]]</f>
        <v>-12.256334554218711</v>
      </c>
      <c r="AO934" s="1">
        <f>Table2[[#This Row],[EV Err]]^2</f>
        <v>150.21773670493556</v>
      </c>
      <c r="AP934" s="1"/>
    </row>
    <row r="935" spans="1:42" x14ac:dyDescent="0.25">
      <c r="A935" s="34">
        <v>42801</v>
      </c>
      <c r="B935" t="s">
        <v>109</v>
      </c>
      <c r="C935" t="s">
        <v>118</v>
      </c>
      <c r="E935" s="21"/>
      <c r="G935" s="21"/>
      <c r="H935" s="7"/>
      <c r="I935" s="21"/>
      <c r="K935"/>
      <c r="L935" s="21">
        <f>(Table2[[#This Row],[H/Pace]]/100)*(VLOOKUP(Table2[[#This Row],[Home/Neutral]],home_lookup,8,FALSE)+VLOOKUP(Table2[[#This Row],[Home/Neutral]],OFR_lookup,2,FALSE)+VLOOKUP(Table2[[#This Row],[Visitor/Neutral]],def_diff_lookup,6,FALSE))</f>
        <v>99.274566607286374</v>
      </c>
      <c r="M935" s="21"/>
      <c r="N935" s="21">
        <f>(Table2[[#This Row],[A/Pace]]/100)*(VLOOKUP(Table2[[#This Row],[Visitor/Neutral]],OFR_lookup,2,FALSE)+VLOOKUP(Table2[[#This Row],[Home/Neutral]],def_diff_lookup,6,FALSE))</f>
        <v>110.50592933333333</v>
      </c>
      <c r="O935" s="21"/>
      <c r="P935" s="21"/>
      <c r="Q935">
        <f>VLOOKUP(Table2[[#This Row],[Home/Neutral]],pace_lookup,7,FALSE)</f>
        <v>99.2</v>
      </c>
      <c r="R935" s="5">
        <f>VLOOKUP(Table2[[#This Row],[Visitor/Neutral]],pace_lookup,7,FALSE)</f>
        <v>100.4</v>
      </c>
      <c r="S935" s="7"/>
      <c r="U935" s="15"/>
      <c r="W935" s="2">
        <f>-home-VLOOKUP(Table2[[#This Row],[Home/Neutral]],rtg_vlookup,4,FALSE)+VLOOKUP(Table2[[#This Row],[Visitor/Neutral]],rtg_vlookup,4,FALSE)</f>
        <v>6.3613114754098339</v>
      </c>
      <c r="X935" s="15"/>
      <c r="Y935" s="2"/>
      <c r="Z935" s="2">
        <f>Table2[[#This Row],[A/EV]]-Table2[[#This Row],[H/EV]]</f>
        <v>11.231362726046953</v>
      </c>
      <c r="AA935" s="29"/>
      <c r="AB935" s="30"/>
      <c r="AC935" s="30"/>
      <c r="AD935" s="30"/>
      <c r="AE935" s="30"/>
      <c r="AF935" s="7" t="b">
        <f>IF(VLOOKUP(Table2[[#This Row],[Home/Neutral]],division_lookup,9,FALSE)=VLOOKUP(Table2[[#This Row],[Visitor/Neutral]],division_lookup,9,FALSE),TRUE,FALSE)</f>
        <v>0</v>
      </c>
      <c r="AG935" s="15" t="str">
        <f>VLOOKUP(Table2[[#This Row],[Home/Neutral]],division_lookup,9,FALSE)</f>
        <v>SE</v>
      </c>
      <c r="AH935" s="15" t="str">
        <f>IF(Table2[[#This Row],[Total/EV]]&lt;Table2[[#This Row],[Total/V]],"UNDER","OVER")</f>
        <v>OVER</v>
      </c>
      <c r="AI935" s="26">
        <f>Table2[[#This Row],[SRS/Real]]-Table2[[#This Row],[Spread/V]]</f>
        <v>0</v>
      </c>
      <c r="AJ935" s="2">
        <f>Table2[[#This Row],[EV/Real]]-Table2[[#This Row],[Spread/V]]</f>
        <v>0</v>
      </c>
      <c r="AK935" s="2">
        <f>Table2[[#This Row],[SRS/Diff]]-Table2[[#This Row],[EV/Diff]]</f>
        <v>0</v>
      </c>
      <c r="AL935" s="18">
        <f>Table2[[#This Row],[SRS]]-Table2[[#This Row],[Spread]]</f>
        <v>6.3613114754098339</v>
      </c>
      <c r="AM935" s="21">
        <f>Table2[[#This Row],[(A) Err]]^2</f>
        <v>40.466283687180841</v>
      </c>
      <c r="AN935" s="6">
        <f>Table2[[#This Row],[EV]]-Table2[[#This Row],[Spread]]</f>
        <v>11.231362726046953</v>
      </c>
      <c r="AO935" s="1">
        <f>Table2[[#This Row],[EV Err]]^2</f>
        <v>126.14350868403685</v>
      </c>
      <c r="AP935" s="1"/>
    </row>
    <row r="936" spans="1:42" x14ac:dyDescent="0.25">
      <c r="A936" s="34">
        <v>42801</v>
      </c>
      <c r="B936" t="s">
        <v>112</v>
      </c>
      <c r="C936" t="s">
        <v>120</v>
      </c>
      <c r="E936" s="21"/>
      <c r="G936" s="21"/>
      <c r="H936" s="7"/>
      <c r="I936" s="21"/>
      <c r="K936"/>
      <c r="L936" s="21">
        <f>(Table2[[#This Row],[H/Pace]]/100)*(VLOOKUP(Table2[[#This Row],[Home/Neutral]],home_lookup,8,FALSE)+VLOOKUP(Table2[[#This Row],[Home/Neutral]],OFR_lookup,2,FALSE)+VLOOKUP(Table2[[#This Row],[Visitor/Neutral]],def_diff_lookup,6,FALSE))</f>
        <v>105.89400195313483</v>
      </c>
      <c r="M936" s="21"/>
      <c r="N936" s="21">
        <f>(Table2[[#This Row],[A/Pace]]/100)*(VLOOKUP(Table2[[#This Row],[Visitor/Neutral]],OFR_lookup,2,FALSE)+VLOOKUP(Table2[[#This Row],[Home/Neutral]],def_diff_lookup,6,FALSE))</f>
        <v>101.02848033333333</v>
      </c>
      <c r="O936" s="21"/>
      <c r="P936" s="21"/>
      <c r="Q936">
        <f>VLOOKUP(Table2[[#This Row],[Home/Neutral]],pace_lookup,7,FALSE)</f>
        <v>97.4</v>
      </c>
      <c r="R936" s="5">
        <f>VLOOKUP(Table2[[#This Row],[Visitor/Neutral]],pace_lookup,7,FALSE)</f>
        <v>98.3</v>
      </c>
      <c r="S936" s="7"/>
      <c r="U936" s="15"/>
      <c r="W936" s="2">
        <f>-home-VLOOKUP(Table2[[#This Row],[Home/Neutral]],rtg_vlookup,4,FALSE)+VLOOKUP(Table2[[#This Row],[Visitor/Neutral]],rtg_vlookup,4,FALSE)</f>
        <v>-9.518688524590166</v>
      </c>
      <c r="X936" s="15"/>
      <c r="Y936" s="2"/>
      <c r="Z936" s="2">
        <f>Table2[[#This Row],[A/EV]]-Table2[[#This Row],[H/EV]]</f>
        <v>-4.8655216198014983</v>
      </c>
      <c r="AA936" s="29"/>
      <c r="AB936" s="30"/>
      <c r="AC936" s="30"/>
      <c r="AD936" s="30"/>
      <c r="AE936" s="30"/>
      <c r="AF936" s="7" t="b">
        <f>IF(VLOOKUP(Table2[[#This Row],[Home/Neutral]],division_lookup,9,FALSE)=VLOOKUP(Table2[[#This Row],[Visitor/Neutral]],division_lookup,9,FALSE),TRUE,FALSE)</f>
        <v>0</v>
      </c>
      <c r="AG936" s="15" t="str">
        <f>VLOOKUP(Table2[[#This Row],[Home/Neutral]],division_lookup,9,FALSE)</f>
        <v>SE</v>
      </c>
      <c r="AH936" s="15" t="str">
        <f>IF(Table2[[#This Row],[Total/EV]]&lt;Table2[[#This Row],[Total/V]],"UNDER","OVER")</f>
        <v>OVER</v>
      </c>
      <c r="AI936" s="26">
        <f>Table2[[#This Row],[SRS/Real]]-Table2[[#This Row],[Spread/V]]</f>
        <v>0</v>
      </c>
      <c r="AJ936" s="2">
        <f>Table2[[#This Row],[EV/Real]]-Table2[[#This Row],[Spread/V]]</f>
        <v>0</v>
      </c>
      <c r="AK936" s="2">
        <f>Table2[[#This Row],[SRS/Diff]]-Table2[[#This Row],[EV/Diff]]</f>
        <v>0</v>
      </c>
      <c r="AL936" s="18">
        <f>Table2[[#This Row],[SRS]]-Table2[[#This Row],[Spread]]</f>
        <v>-9.518688524590166</v>
      </c>
      <c r="AM936" s="21">
        <f>Table2[[#This Row],[(A) Err]]^2</f>
        <v>90.605431228164505</v>
      </c>
      <c r="AN936" s="6">
        <f>Table2[[#This Row],[EV]]-Table2[[#This Row],[Spread]]</f>
        <v>-4.8655216198014983</v>
      </c>
      <c r="AO936" s="1">
        <f>Table2[[#This Row],[EV Err]]^2</f>
        <v>23.673300632755797</v>
      </c>
      <c r="AP936" s="1"/>
    </row>
    <row r="937" spans="1:42" x14ac:dyDescent="0.25">
      <c r="A937" s="34">
        <v>42801</v>
      </c>
      <c r="B937" t="s">
        <v>114</v>
      </c>
      <c r="C937" t="s">
        <v>124</v>
      </c>
      <c r="E937" s="21"/>
      <c r="G937" s="21"/>
      <c r="H937" s="7"/>
      <c r="I937" s="21"/>
      <c r="K937"/>
      <c r="L937" s="21">
        <f>(Table2[[#This Row],[H/Pace]]/100)*(VLOOKUP(Table2[[#This Row],[Home/Neutral]],home_lookup,8,FALSE)+VLOOKUP(Table2[[#This Row],[Home/Neutral]],OFR_lookup,2,FALSE)+VLOOKUP(Table2[[#This Row],[Visitor/Neutral]],def_diff_lookup,6,FALSE))</f>
        <v>112.13028276756467</v>
      </c>
      <c r="M937" s="21"/>
      <c r="N937" s="21">
        <f>(Table2[[#This Row],[A/Pace]]/100)*(VLOOKUP(Table2[[#This Row],[Visitor/Neutral]],OFR_lookup,2,FALSE)+VLOOKUP(Table2[[#This Row],[Home/Neutral]],def_diff_lookup,6,FALSE))</f>
        <v>96.244579666666667</v>
      </c>
      <c r="O937" s="21"/>
      <c r="P937" s="21"/>
      <c r="Q937">
        <f>VLOOKUP(Table2[[#This Row],[Home/Neutral]],pace_lookup,7,FALSE)</f>
        <v>97.3</v>
      </c>
      <c r="R937" s="5">
        <f>VLOOKUP(Table2[[#This Row],[Visitor/Neutral]],pace_lookup,7,FALSE)</f>
        <v>93.7</v>
      </c>
      <c r="S937" s="7"/>
      <c r="U937" s="15"/>
      <c r="W937" s="2">
        <f>-home-VLOOKUP(Table2[[#This Row],[Home/Neutral]],rtg_vlookup,4,FALSE)+VLOOKUP(Table2[[#This Row],[Visitor/Neutral]],rtg_vlookup,4,FALSE)</f>
        <v>-12.628688524590165</v>
      </c>
      <c r="X937" s="15"/>
      <c r="Y937" s="2"/>
      <c r="Z937" s="2">
        <f>Table2[[#This Row],[A/EV]]-Table2[[#This Row],[H/EV]]</f>
        <v>-15.885703100897999</v>
      </c>
      <c r="AA937" s="29"/>
      <c r="AB937" s="30"/>
      <c r="AC937" s="30"/>
      <c r="AD937" s="30"/>
      <c r="AE937" s="30"/>
      <c r="AF937" s="7" t="b">
        <f>IF(VLOOKUP(Table2[[#This Row],[Home/Neutral]],division_lookup,9,FALSE)=VLOOKUP(Table2[[#This Row],[Visitor/Neutral]],division_lookup,9,FALSE),TRUE,FALSE)</f>
        <v>0</v>
      </c>
      <c r="AG937" s="15" t="str">
        <f>VLOOKUP(Table2[[#This Row],[Home/Neutral]],division_lookup,9,FALSE)</f>
        <v>C</v>
      </c>
      <c r="AH937" s="15" t="str">
        <f>IF(Table2[[#This Row],[Total/EV]]&lt;Table2[[#This Row],[Total/V]],"UNDER","OVER")</f>
        <v>OVER</v>
      </c>
      <c r="AI937" s="26">
        <f>Table2[[#This Row],[SRS/Real]]-Table2[[#This Row],[Spread/V]]</f>
        <v>0</v>
      </c>
      <c r="AJ937" s="2">
        <f>Table2[[#This Row],[EV/Real]]-Table2[[#This Row],[Spread/V]]</f>
        <v>0</v>
      </c>
      <c r="AK937" s="2">
        <f>Table2[[#This Row],[SRS/Diff]]-Table2[[#This Row],[EV/Diff]]</f>
        <v>0</v>
      </c>
      <c r="AL937" s="18">
        <f>Table2[[#This Row],[SRS]]-Table2[[#This Row],[Spread]]</f>
        <v>-12.628688524590165</v>
      </c>
      <c r="AM937" s="21">
        <f>Table2[[#This Row],[(A) Err]]^2</f>
        <v>159.48377385111533</v>
      </c>
      <c r="AN937" s="6">
        <f>Table2[[#This Row],[EV]]-Table2[[#This Row],[Spread]]</f>
        <v>-15.885703100897999</v>
      </c>
      <c r="AO937" s="1">
        <f>Table2[[#This Row],[EV Err]]^2</f>
        <v>252.35556300988029</v>
      </c>
      <c r="AP937" s="1"/>
    </row>
    <row r="938" spans="1:42" x14ac:dyDescent="0.25">
      <c r="A938" s="34">
        <v>42801</v>
      </c>
      <c r="B938" t="s">
        <v>116</v>
      </c>
      <c r="C938" t="s">
        <v>133</v>
      </c>
      <c r="E938" s="21"/>
      <c r="G938" s="21"/>
      <c r="H938" s="7"/>
      <c r="I938" s="21"/>
      <c r="K938"/>
      <c r="L938" s="21">
        <f>(Table2[[#This Row],[H/Pace]]/100)*(VLOOKUP(Table2[[#This Row],[Home/Neutral]],home_lookup,8,FALSE)+VLOOKUP(Table2[[#This Row],[Home/Neutral]],OFR_lookup,2,FALSE)+VLOOKUP(Table2[[#This Row],[Visitor/Neutral]],def_diff_lookup,6,FALSE))</f>
        <v>108.12653470161864</v>
      </c>
      <c r="M938" s="21"/>
      <c r="N938" s="21">
        <f>(Table2[[#This Row],[A/Pace]]/100)*(VLOOKUP(Table2[[#This Row],[Visitor/Neutral]],OFR_lookup,2,FALSE)+VLOOKUP(Table2[[#This Row],[Home/Neutral]],def_diff_lookup,6,FALSE))</f>
        <v>101.957998</v>
      </c>
      <c r="O938" s="21"/>
      <c r="P938" s="21"/>
      <c r="Q938">
        <f>VLOOKUP(Table2[[#This Row],[Home/Neutral]],pace_lookup,7,FALSE)</f>
        <v>99.1</v>
      </c>
      <c r="R938" s="5">
        <f>VLOOKUP(Table2[[#This Row],[Visitor/Neutral]],pace_lookup,7,FALSE)</f>
        <v>94.2</v>
      </c>
      <c r="S938" s="7"/>
      <c r="U938" s="15"/>
      <c r="W938" s="2">
        <f>-home-VLOOKUP(Table2[[#This Row],[Home/Neutral]],rtg_vlookup,4,FALSE)+VLOOKUP(Table2[[#This Row],[Visitor/Neutral]],rtg_vlookup,4,FALSE)</f>
        <v>-3.958688524590166</v>
      </c>
      <c r="X938" s="15"/>
      <c r="Y938" s="2"/>
      <c r="Z938" s="2">
        <f>Table2[[#This Row],[A/EV]]-Table2[[#This Row],[H/EV]]</f>
        <v>-6.1685367016186348</v>
      </c>
      <c r="AA938" s="29"/>
      <c r="AB938" s="30"/>
      <c r="AC938" s="30"/>
      <c r="AD938" s="30"/>
      <c r="AE938" s="30"/>
      <c r="AF938" s="7" t="b">
        <f>IF(VLOOKUP(Table2[[#This Row],[Home/Neutral]],division_lookup,9,FALSE)=VLOOKUP(Table2[[#This Row],[Visitor/Neutral]],division_lookup,9,FALSE),TRUE,FALSE)</f>
        <v>0</v>
      </c>
      <c r="AG938" s="15" t="str">
        <f>VLOOKUP(Table2[[#This Row],[Home/Neutral]],division_lookup,9,FALSE)</f>
        <v>NW</v>
      </c>
      <c r="AH938" s="15" t="str">
        <f>IF(Table2[[#This Row],[Total/EV]]&lt;Table2[[#This Row],[Total/V]],"UNDER","OVER")</f>
        <v>OVER</v>
      </c>
      <c r="AI938" s="26">
        <f>Table2[[#This Row],[SRS/Real]]-Table2[[#This Row],[Spread/V]]</f>
        <v>0</v>
      </c>
      <c r="AJ938" s="2">
        <f>Table2[[#This Row],[EV/Real]]-Table2[[#This Row],[Spread/V]]</f>
        <v>0</v>
      </c>
      <c r="AK938" s="2">
        <f>Table2[[#This Row],[SRS/Diff]]-Table2[[#This Row],[EV/Diff]]</f>
        <v>0</v>
      </c>
      <c r="AL938" s="18">
        <f>Table2[[#This Row],[SRS]]-Table2[[#This Row],[Spread]]</f>
        <v>-3.958688524590166</v>
      </c>
      <c r="AM938" s="21">
        <f>Table2[[#This Row],[(A) Err]]^2</f>
        <v>15.671214834721866</v>
      </c>
      <c r="AN938" s="6">
        <f>Table2[[#This Row],[EV]]-Table2[[#This Row],[Spread]]</f>
        <v>-6.1685367016186348</v>
      </c>
      <c r="AO938" s="1">
        <f>Table2[[#This Row],[EV Err]]^2</f>
        <v>38.050845039216107</v>
      </c>
      <c r="AP938" s="1"/>
    </row>
    <row r="939" spans="1:42" x14ac:dyDescent="0.25">
      <c r="A939" s="34">
        <v>42801</v>
      </c>
      <c r="B939" t="s">
        <v>117</v>
      </c>
      <c r="C939" t="s">
        <v>113</v>
      </c>
      <c r="E939" s="21"/>
      <c r="G939" s="21"/>
      <c r="H939" s="7"/>
      <c r="I939" s="21"/>
      <c r="K939"/>
      <c r="L939" s="21">
        <f>(Table2[[#This Row],[H/Pace]]/100)*(VLOOKUP(Table2[[#This Row],[Home/Neutral]],home_lookup,8,FALSE)+VLOOKUP(Table2[[#This Row],[Home/Neutral]],OFR_lookup,2,FALSE)+VLOOKUP(Table2[[#This Row],[Visitor/Neutral]],def_diff_lookup,6,FALSE))</f>
        <v>111.81359591446429</v>
      </c>
      <c r="M939" s="21"/>
      <c r="N939" s="21">
        <f>(Table2[[#This Row],[A/Pace]]/100)*(VLOOKUP(Table2[[#This Row],[Visitor/Neutral]],OFR_lookup,2,FALSE)+VLOOKUP(Table2[[#This Row],[Home/Neutral]],def_diff_lookup,6,FALSE))</f>
        <v>101.70532899999999</v>
      </c>
      <c r="O939" s="21"/>
      <c r="P939" s="21"/>
      <c r="Q939">
        <f>VLOOKUP(Table2[[#This Row],[Home/Neutral]],pace_lookup,7,FALSE)</f>
        <v>94</v>
      </c>
      <c r="R939" s="5">
        <f>VLOOKUP(Table2[[#This Row],[Visitor/Neutral]],pace_lookup,7,FALSE)</f>
        <v>95.1</v>
      </c>
      <c r="S939" s="7"/>
      <c r="U939" s="15"/>
      <c r="W939" s="2">
        <f>-home-VLOOKUP(Table2[[#This Row],[Home/Neutral]],rtg_vlookup,4,FALSE)+VLOOKUP(Table2[[#This Row],[Visitor/Neutral]],rtg_vlookup,4,FALSE)</f>
        <v>0.30131147540983427</v>
      </c>
      <c r="X939" s="15"/>
      <c r="Y939" s="2"/>
      <c r="Z939" s="2">
        <f>Table2[[#This Row],[A/EV]]-Table2[[#This Row],[H/EV]]</f>
        <v>-10.108266914464295</v>
      </c>
      <c r="AA939" s="29"/>
      <c r="AB939" s="30"/>
      <c r="AC939" s="30"/>
      <c r="AD939" s="30"/>
      <c r="AE939" s="30"/>
      <c r="AF939" s="7" t="b">
        <f>IF(VLOOKUP(Table2[[#This Row],[Home/Neutral]],division_lookup,9,FALSE)=VLOOKUP(Table2[[#This Row],[Visitor/Neutral]],division_lookup,9,FALSE),TRUE,FALSE)</f>
        <v>1</v>
      </c>
      <c r="AG939" s="15" t="str">
        <f>VLOOKUP(Table2[[#This Row],[Home/Neutral]],division_lookup,9,FALSE)</f>
        <v>C</v>
      </c>
      <c r="AH939" s="15" t="str">
        <f>IF(Table2[[#This Row],[Total/EV]]&lt;Table2[[#This Row],[Total/V]],"UNDER","OVER")</f>
        <v>OVER</v>
      </c>
      <c r="AI939" s="26">
        <f>Table2[[#This Row],[SRS/Real]]-Table2[[#This Row],[Spread/V]]</f>
        <v>0</v>
      </c>
      <c r="AJ939" s="2">
        <f>Table2[[#This Row],[EV/Real]]-Table2[[#This Row],[Spread/V]]</f>
        <v>0</v>
      </c>
      <c r="AK939" s="2">
        <f>Table2[[#This Row],[SRS/Diff]]-Table2[[#This Row],[EV/Diff]]</f>
        <v>0</v>
      </c>
      <c r="AL939" s="18">
        <f>Table2[[#This Row],[SRS]]-Table2[[#This Row],[Spread]]</f>
        <v>0.30131147540983427</v>
      </c>
      <c r="AM939" s="21">
        <f>Table2[[#This Row],[(A) Err]]^2</f>
        <v>9.0788605213651161E-2</v>
      </c>
      <c r="AN939" s="6">
        <f>Table2[[#This Row],[EV]]-Table2[[#This Row],[Spread]]</f>
        <v>-10.108266914464295</v>
      </c>
      <c r="AO939" s="1">
        <f>Table2[[#This Row],[EV Err]]^2</f>
        <v>102.17706001405352</v>
      </c>
      <c r="AP939" s="1"/>
    </row>
    <row r="940" spans="1:42" x14ac:dyDescent="0.25">
      <c r="A940" s="34">
        <v>42801</v>
      </c>
      <c r="B940" t="s">
        <v>121</v>
      </c>
      <c r="C940" t="s">
        <v>110</v>
      </c>
      <c r="E940" s="21"/>
      <c r="G940" s="21"/>
      <c r="H940" s="7"/>
      <c r="I940" s="21"/>
      <c r="K940"/>
      <c r="L940" s="21">
        <f>(Table2[[#This Row],[H/Pace]]/100)*(VLOOKUP(Table2[[#This Row],[Home/Neutral]],home_lookup,8,FALSE)+VLOOKUP(Table2[[#This Row],[Home/Neutral]],OFR_lookup,2,FALSE)+VLOOKUP(Table2[[#This Row],[Visitor/Neutral]],def_diff_lookup,6,FALSE))</f>
        <v>114.57448060751254</v>
      </c>
      <c r="M940" s="21"/>
      <c r="N940" s="21">
        <f>(Table2[[#This Row],[A/Pace]]/100)*(VLOOKUP(Table2[[#This Row],[Visitor/Neutral]],OFR_lookup,2,FALSE)+VLOOKUP(Table2[[#This Row],[Home/Neutral]],def_diff_lookup,6,FALSE))</f>
        <v>99.630171333333351</v>
      </c>
      <c r="O940" s="21"/>
      <c r="P940" s="21"/>
      <c r="Q940">
        <f>VLOOKUP(Table2[[#This Row],[Home/Neutral]],pace_lookup,7,FALSE)</f>
        <v>96.4</v>
      </c>
      <c r="R940" s="5">
        <f>VLOOKUP(Table2[[#This Row],[Visitor/Neutral]],pace_lookup,7,FALSE)</f>
        <v>96.2</v>
      </c>
      <c r="S940" s="7"/>
      <c r="U940" s="15"/>
      <c r="W940" s="2">
        <f>-home-VLOOKUP(Table2[[#This Row],[Home/Neutral]],rtg_vlookup,4,FALSE)+VLOOKUP(Table2[[#This Row],[Visitor/Neutral]],rtg_vlookup,4,FALSE)</f>
        <v>-15.028688524590166</v>
      </c>
      <c r="X940" s="15"/>
      <c r="Y940" s="2"/>
      <c r="Z940" s="2">
        <f>Table2[[#This Row],[A/EV]]-Table2[[#This Row],[H/EV]]</f>
        <v>-14.94430927417919</v>
      </c>
      <c r="AA940" s="29"/>
      <c r="AB940" s="30"/>
      <c r="AC940" s="30"/>
      <c r="AD940" s="30"/>
      <c r="AE940" s="30"/>
      <c r="AF940" s="7" t="b">
        <f>IF(VLOOKUP(Table2[[#This Row],[Home/Neutral]],division_lookup,9,FALSE)=VLOOKUP(Table2[[#This Row],[Visitor/Neutral]],division_lookup,9,FALSE),TRUE,FALSE)</f>
        <v>0</v>
      </c>
      <c r="AG940" s="15" t="str">
        <f>VLOOKUP(Table2[[#This Row],[Home/Neutral]],division_lookup,9,FALSE)</f>
        <v>P</v>
      </c>
      <c r="AH940" s="15" t="str">
        <f>IF(Table2[[#This Row],[Total/EV]]&lt;Table2[[#This Row],[Total/V]],"UNDER","OVER")</f>
        <v>OVER</v>
      </c>
      <c r="AI940" s="26">
        <f>Table2[[#This Row],[SRS/Real]]-Table2[[#This Row],[Spread/V]]</f>
        <v>0</v>
      </c>
      <c r="AJ940" s="2">
        <f>Table2[[#This Row],[EV/Real]]-Table2[[#This Row],[Spread/V]]</f>
        <v>0</v>
      </c>
      <c r="AK940" s="2">
        <f>Table2[[#This Row],[SRS/Diff]]-Table2[[#This Row],[EV/Diff]]</f>
        <v>0</v>
      </c>
      <c r="AL940" s="18">
        <f>Table2[[#This Row],[SRS]]-Table2[[#This Row],[Spread]]</f>
        <v>-15.028688524590166</v>
      </c>
      <c r="AM940" s="21">
        <f>Table2[[#This Row],[(A) Err]]^2</f>
        <v>225.86147876914814</v>
      </c>
      <c r="AN940" s="6">
        <f>Table2[[#This Row],[EV]]-Table2[[#This Row],[Spread]]</f>
        <v>-14.94430927417919</v>
      </c>
      <c r="AO940" s="1">
        <f>Table2[[#This Row],[EV Err]]^2</f>
        <v>223.33237968231816</v>
      </c>
      <c r="AP940" s="1"/>
    </row>
    <row r="941" spans="1:42" x14ac:dyDescent="0.25">
      <c r="A941" s="34">
        <v>42801</v>
      </c>
      <c r="B941" t="s">
        <v>123</v>
      </c>
      <c r="C941" t="s">
        <v>111</v>
      </c>
      <c r="E941" s="21"/>
      <c r="G941" s="21"/>
      <c r="H941" s="7"/>
      <c r="I941" s="21"/>
      <c r="K941"/>
      <c r="L941" s="21">
        <f>(Table2[[#This Row],[H/Pace]]/100)*(VLOOKUP(Table2[[#This Row],[Home/Neutral]],home_lookup,8,FALSE)+VLOOKUP(Table2[[#This Row],[Home/Neutral]],OFR_lookup,2,FALSE)+VLOOKUP(Table2[[#This Row],[Visitor/Neutral]],def_diff_lookup,6,FALSE))</f>
        <v>105.72217709563918</v>
      </c>
      <c r="M941" s="21"/>
      <c r="N941" s="21">
        <f>(Table2[[#This Row],[A/Pace]]/100)*(VLOOKUP(Table2[[#This Row],[Visitor/Neutral]],OFR_lookup,2,FALSE)+VLOOKUP(Table2[[#This Row],[Home/Neutral]],def_diff_lookup,6,FALSE))</f>
        <v>100.58797999999999</v>
      </c>
      <c r="O941" s="21"/>
      <c r="P941" s="21"/>
      <c r="Q941">
        <f>VLOOKUP(Table2[[#This Row],[Home/Neutral]],pace_lookup,7,FALSE)</f>
        <v>92.5</v>
      </c>
      <c r="R941" s="5">
        <f>VLOOKUP(Table2[[#This Row],[Visitor/Neutral]],pace_lookup,7,FALSE)</f>
        <v>102</v>
      </c>
      <c r="S941" s="7"/>
      <c r="U941" s="15"/>
      <c r="W941" s="2">
        <f>-home-VLOOKUP(Table2[[#This Row],[Home/Neutral]],rtg_vlookup,4,FALSE)+VLOOKUP(Table2[[#This Row],[Visitor/Neutral]],rtg_vlookup,4,FALSE)</f>
        <v>-12.238688524590165</v>
      </c>
      <c r="X941" s="15"/>
      <c r="Y941" s="2"/>
      <c r="Z941" s="2">
        <f>Table2[[#This Row],[A/EV]]-Table2[[#This Row],[H/EV]]</f>
        <v>-5.1341970956391947</v>
      </c>
      <c r="AA941" s="29"/>
      <c r="AB941" s="30"/>
      <c r="AC941" s="30"/>
      <c r="AD941" s="30"/>
      <c r="AE941" s="30"/>
      <c r="AF941" s="7" t="b">
        <f>IF(VLOOKUP(Table2[[#This Row],[Home/Neutral]],division_lookup,9,FALSE)=VLOOKUP(Table2[[#This Row],[Visitor/Neutral]],division_lookup,9,FALSE),TRUE,FALSE)</f>
        <v>0</v>
      </c>
      <c r="AG941" s="15" t="str">
        <f>VLOOKUP(Table2[[#This Row],[Home/Neutral]],division_lookup,9,FALSE)</f>
        <v>SW</v>
      </c>
      <c r="AH941" s="15" t="str">
        <f>IF(Table2[[#This Row],[Total/EV]]&lt;Table2[[#This Row],[Total/V]],"UNDER","OVER")</f>
        <v>OVER</v>
      </c>
      <c r="AI941" s="26">
        <f>Table2[[#This Row],[SRS/Real]]-Table2[[#This Row],[Spread/V]]</f>
        <v>0</v>
      </c>
      <c r="AJ941" s="2">
        <f>Table2[[#This Row],[EV/Real]]-Table2[[#This Row],[Spread/V]]</f>
        <v>0</v>
      </c>
      <c r="AK941" s="2">
        <f>Table2[[#This Row],[SRS/Diff]]-Table2[[#This Row],[EV/Diff]]</f>
        <v>0</v>
      </c>
      <c r="AL941" s="18">
        <f>Table2[[#This Row],[SRS]]-Table2[[#This Row],[Spread]]</f>
        <v>-12.238688524590165</v>
      </c>
      <c r="AM941" s="21">
        <f>Table2[[#This Row],[(A) Err]]^2</f>
        <v>149.78549680193498</v>
      </c>
      <c r="AN941" s="6">
        <f>Table2[[#This Row],[EV]]-Table2[[#This Row],[Spread]]</f>
        <v>-5.1341970956391947</v>
      </c>
      <c r="AO941" s="1">
        <f>Table2[[#This Row],[EV Err]]^2</f>
        <v>26.359979816869942</v>
      </c>
      <c r="AP941" s="1"/>
    </row>
    <row r="942" spans="1:42" x14ac:dyDescent="0.25">
      <c r="A942" s="34">
        <v>42801</v>
      </c>
      <c r="B942" t="s">
        <v>126</v>
      </c>
      <c r="C942" t="s">
        <v>132</v>
      </c>
      <c r="E942" s="21"/>
      <c r="G942" s="21"/>
      <c r="H942" s="7"/>
      <c r="I942" s="21"/>
      <c r="K942"/>
      <c r="L942" s="21">
        <f>(Table2[[#This Row],[H/Pace]]/100)*(VLOOKUP(Table2[[#This Row],[Home/Neutral]],home_lookup,8,FALSE)+VLOOKUP(Table2[[#This Row],[Home/Neutral]],OFR_lookup,2,FALSE)+VLOOKUP(Table2[[#This Row],[Visitor/Neutral]],def_diff_lookup,6,FALSE))</f>
        <v>120.18509777050787</v>
      </c>
      <c r="M942" s="21"/>
      <c r="N942" s="21">
        <f>(Table2[[#This Row],[A/Pace]]/100)*(VLOOKUP(Table2[[#This Row],[Visitor/Neutral]],OFR_lookup,2,FALSE)+VLOOKUP(Table2[[#This Row],[Home/Neutral]],def_diff_lookup,6,FALSE))</f>
        <v>111.59031866666666</v>
      </c>
      <c r="O942" s="21"/>
      <c r="P942" s="21"/>
      <c r="Q942">
        <f>VLOOKUP(Table2[[#This Row],[Home/Neutral]],pace_lookup,7,FALSE)</f>
        <v>95.7</v>
      </c>
      <c r="R942" s="5">
        <f>VLOOKUP(Table2[[#This Row],[Visitor/Neutral]],pace_lookup,7,FALSE)</f>
        <v>98.8</v>
      </c>
      <c r="S942" s="7"/>
      <c r="U942" s="15"/>
      <c r="W942" s="2">
        <f>-home-VLOOKUP(Table2[[#This Row],[Home/Neutral]],rtg_vlookup,4,FALSE)+VLOOKUP(Table2[[#This Row],[Visitor/Neutral]],rtg_vlookup,4,FALSE)</f>
        <v>-4.0386885245901656</v>
      </c>
      <c r="X942" s="15"/>
      <c r="Y942" s="2"/>
      <c r="Z942" s="2">
        <f>Table2[[#This Row],[A/EV]]-Table2[[#This Row],[H/EV]]</f>
        <v>-8.5947791038412049</v>
      </c>
      <c r="AA942" s="29"/>
      <c r="AB942" s="30"/>
      <c r="AC942" s="30"/>
      <c r="AD942" s="30"/>
      <c r="AE942" s="30"/>
      <c r="AF942" s="7" t="b">
        <f>IF(VLOOKUP(Table2[[#This Row],[Home/Neutral]],division_lookup,9,FALSE)=VLOOKUP(Table2[[#This Row],[Visitor/Neutral]],division_lookup,9,FALSE),TRUE,FALSE)</f>
        <v>1</v>
      </c>
      <c r="AG942" s="15" t="str">
        <f>VLOOKUP(Table2[[#This Row],[Home/Neutral]],division_lookup,9,FALSE)</f>
        <v>NW</v>
      </c>
      <c r="AH942" s="15" t="str">
        <f>IF(Table2[[#This Row],[Total/EV]]&lt;Table2[[#This Row],[Total/V]],"UNDER","OVER")</f>
        <v>OVER</v>
      </c>
      <c r="AI942" s="26">
        <f>Table2[[#This Row],[SRS/Real]]-Table2[[#This Row],[Spread/V]]</f>
        <v>0</v>
      </c>
      <c r="AJ942" s="2">
        <f>Table2[[#This Row],[EV/Real]]-Table2[[#This Row],[Spread/V]]</f>
        <v>0</v>
      </c>
      <c r="AK942" s="2">
        <f>Table2[[#This Row],[SRS/Diff]]-Table2[[#This Row],[EV/Diff]]</f>
        <v>0</v>
      </c>
      <c r="AL942" s="18">
        <f>Table2[[#This Row],[SRS]]-Table2[[#This Row],[Spread]]</f>
        <v>-4.0386885245901656</v>
      </c>
      <c r="AM942" s="21">
        <f>Table2[[#This Row],[(A) Err]]^2</f>
        <v>16.311004998656287</v>
      </c>
      <c r="AN942" s="6">
        <f>Table2[[#This Row],[EV]]-Table2[[#This Row],[Spread]]</f>
        <v>-8.5947791038412049</v>
      </c>
      <c r="AO942" s="1">
        <f>Table2[[#This Row],[EV Err]]^2</f>
        <v>73.870227843825433</v>
      </c>
      <c r="AP942" s="1"/>
    </row>
    <row r="943" spans="1:42" x14ac:dyDescent="0.25">
      <c r="A943" s="34">
        <v>42801</v>
      </c>
      <c r="B943" t="s">
        <v>130</v>
      </c>
      <c r="C943" t="s">
        <v>128</v>
      </c>
      <c r="E943" s="21"/>
      <c r="G943" s="21"/>
      <c r="H943" s="7"/>
      <c r="I943" s="21"/>
      <c r="K943"/>
      <c r="L943" s="21">
        <f>(Table2[[#This Row],[H/Pace]]/100)*(VLOOKUP(Table2[[#This Row],[Home/Neutral]],home_lookup,8,FALSE)+VLOOKUP(Table2[[#This Row],[Home/Neutral]],OFR_lookup,2,FALSE)+VLOOKUP(Table2[[#This Row],[Visitor/Neutral]],def_diff_lookup,6,FALSE))</f>
        <v>99.445664967109408</v>
      </c>
      <c r="M943" s="21"/>
      <c r="N943" s="21">
        <f>(Table2[[#This Row],[A/Pace]]/100)*(VLOOKUP(Table2[[#This Row],[Visitor/Neutral]],OFR_lookup,2,FALSE)+VLOOKUP(Table2[[#This Row],[Home/Neutral]],def_diff_lookup,6,FALSE))</f>
        <v>103.75907699999998</v>
      </c>
      <c r="O943" s="21"/>
      <c r="P943" s="21"/>
      <c r="Q943">
        <f>VLOOKUP(Table2[[#This Row],[Home/Neutral]],pace_lookup,7,FALSE)</f>
        <v>94.2</v>
      </c>
      <c r="R943" s="5">
        <f>VLOOKUP(Table2[[#This Row],[Visitor/Neutral]],pace_lookup,7,FALSE)</f>
        <v>96.3</v>
      </c>
      <c r="S943" s="7"/>
      <c r="U943" s="15"/>
      <c r="W943" s="2">
        <f>-home-VLOOKUP(Table2[[#This Row],[Home/Neutral]],rtg_vlookup,4,FALSE)+VLOOKUP(Table2[[#This Row],[Visitor/Neutral]],rtg_vlookup,4,FALSE)</f>
        <v>3.9913114754098351</v>
      </c>
      <c r="X943" s="15"/>
      <c r="Y943" s="2"/>
      <c r="Z943" s="2">
        <f>Table2[[#This Row],[A/EV]]-Table2[[#This Row],[H/EV]]</f>
        <v>4.3134120328905681</v>
      </c>
      <c r="AA943" s="29"/>
      <c r="AB943" s="30"/>
      <c r="AC943" s="30"/>
      <c r="AD943" s="30"/>
      <c r="AE943" s="30"/>
      <c r="AF943" s="7" t="b">
        <f>IF(VLOOKUP(Table2[[#This Row],[Home/Neutral]],division_lookup,9,FALSE)=VLOOKUP(Table2[[#This Row],[Visitor/Neutral]],division_lookup,9,FALSE),TRUE,FALSE)</f>
        <v>0</v>
      </c>
      <c r="AG943" s="15" t="str">
        <f>VLOOKUP(Table2[[#This Row],[Home/Neutral]],division_lookup,9,FALSE)</f>
        <v>SE</v>
      </c>
      <c r="AH943" s="15" t="str">
        <f>IF(Table2[[#This Row],[Total/EV]]&lt;Table2[[#This Row],[Total/V]],"UNDER","OVER")</f>
        <v>OVER</v>
      </c>
      <c r="AI943" s="26">
        <f>Table2[[#This Row],[SRS/Real]]-Table2[[#This Row],[Spread/V]]</f>
        <v>0</v>
      </c>
      <c r="AJ943" s="2">
        <f>Table2[[#This Row],[EV/Real]]-Table2[[#This Row],[Spread/V]]</f>
        <v>0</v>
      </c>
      <c r="AK943" s="2">
        <f>Table2[[#This Row],[SRS/Diff]]-Table2[[#This Row],[EV/Diff]]</f>
        <v>0</v>
      </c>
      <c r="AL943" s="18">
        <f>Table2[[#This Row],[SRS]]-Table2[[#This Row],[Spread]]</f>
        <v>3.9913114754098351</v>
      </c>
      <c r="AM943" s="21">
        <f>Table2[[#This Row],[(A) Err]]^2</f>
        <v>15.930567293738235</v>
      </c>
      <c r="AN943" s="6">
        <f>Table2[[#This Row],[EV]]-Table2[[#This Row],[Spread]]</f>
        <v>4.3134120328905681</v>
      </c>
      <c r="AO943" s="1">
        <f>Table2[[#This Row],[EV Err]]^2</f>
        <v>18.605523365485144</v>
      </c>
      <c r="AP943" s="1"/>
    </row>
    <row r="944" spans="1:42" x14ac:dyDescent="0.25">
      <c r="A944" s="34">
        <v>42801</v>
      </c>
      <c r="B944" t="s">
        <v>138</v>
      </c>
      <c r="C944" t="s">
        <v>125</v>
      </c>
      <c r="E944" s="21"/>
      <c r="G944" s="21"/>
      <c r="H944" s="7"/>
      <c r="I944" s="21"/>
      <c r="K944"/>
      <c r="L944" s="21">
        <f>(Table2[[#This Row],[H/Pace]]/100)*(VLOOKUP(Table2[[#This Row],[Home/Neutral]],home_lookup,8,FALSE)+VLOOKUP(Table2[[#This Row],[Home/Neutral]],OFR_lookup,2,FALSE)+VLOOKUP(Table2[[#This Row],[Visitor/Neutral]],def_diff_lookup,6,FALSE))</f>
        <v>101.12328353124011</v>
      </c>
      <c r="M944" s="21"/>
      <c r="N944" s="21">
        <f>(Table2[[#This Row],[A/Pace]]/100)*(VLOOKUP(Table2[[#This Row],[Visitor/Neutral]],OFR_lookup,2,FALSE)+VLOOKUP(Table2[[#This Row],[Home/Neutral]],def_diff_lookup,6,FALSE))</f>
        <v>103.75500566666666</v>
      </c>
      <c r="O944" s="21"/>
      <c r="P944" s="21"/>
      <c r="Q944">
        <f>VLOOKUP(Table2[[#This Row],[Home/Neutral]],pace_lookup,7,FALSE)</f>
        <v>97.5</v>
      </c>
      <c r="R944" s="5">
        <f>VLOOKUP(Table2[[#This Row],[Visitor/Neutral]],pace_lookup,7,FALSE)</f>
        <v>96.1</v>
      </c>
      <c r="S944" s="7"/>
      <c r="U944" s="15"/>
      <c r="W944" s="2">
        <f>-home-VLOOKUP(Table2[[#This Row],[Home/Neutral]],rtg_vlookup,4,FALSE)+VLOOKUP(Table2[[#This Row],[Visitor/Neutral]],rtg_vlookup,4,FALSE)</f>
        <v>4.3713114754098346</v>
      </c>
      <c r="X944" s="15"/>
      <c r="Y944" s="2"/>
      <c r="Z944" s="2">
        <f>Table2[[#This Row],[A/EV]]-Table2[[#This Row],[H/EV]]</f>
        <v>2.631722135426557</v>
      </c>
      <c r="AA944" s="29"/>
      <c r="AB944" s="30"/>
      <c r="AC944" s="30"/>
      <c r="AD944" s="30"/>
      <c r="AE944" s="30"/>
      <c r="AF944" s="7" t="b">
        <f>IF(VLOOKUP(Table2[[#This Row],[Home/Neutral]],division_lookup,9,FALSE)=VLOOKUP(Table2[[#This Row],[Visitor/Neutral]],division_lookup,9,FALSE),TRUE,FALSE)</f>
        <v>0</v>
      </c>
      <c r="AG944" s="15" t="str">
        <f>VLOOKUP(Table2[[#This Row],[Home/Neutral]],division_lookup,9,FALSE)</f>
        <v>A</v>
      </c>
      <c r="AH944" s="15" t="str">
        <f>IF(Table2[[#This Row],[Total/EV]]&lt;Table2[[#This Row],[Total/V]],"UNDER","OVER")</f>
        <v>OVER</v>
      </c>
      <c r="AI944" s="26">
        <f>Table2[[#This Row],[SRS/Real]]-Table2[[#This Row],[Spread/V]]</f>
        <v>0</v>
      </c>
      <c r="AJ944" s="2">
        <f>Table2[[#This Row],[EV/Real]]-Table2[[#This Row],[Spread/V]]</f>
        <v>0</v>
      </c>
      <c r="AK944" s="2">
        <f>Table2[[#This Row],[SRS/Diff]]-Table2[[#This Row],[EV/Diff]]</f>
        <v>0</v>
      </c>
      <c r="AL944" s="18">
        <f>Table2[[#This Row],[SRS]]-Table2[[#This Row],[Spread]]</f>
        <v>4.3713114754098346</v>
      </c>
      <c r="AM944" s="21">
        <f>Table2[[#This Row],[(A) Err]]^2</f>
        <v>19.108364015049705</v>
      </c>
      <c r="AN944" s="6">
        <f>Table2[[#This Row],[EV]]-Table2[[#This Row],[Spread]]</f>
        <v>2.631722135426557</v>
      </c>
      <c r="AO944" s="1">
        <f>Table2[[#This Row],[EV Err]]^2</f>
        <v>6.9259613980941168</v>
      </c>
      <c r="AP944" s="1"/>
    </row>
    <row r="945" spans="1:42" x14ac:dyDescent="0.25">
      <c r="A945" s="34">
        <v>42801</v>
      </c>
      <c r="B945" t="s">
        <v>134</v>
      </c>
      <c r="C945" t="s">
        <v>119</v>
      </c>
      <c r="E945" s="21"/>
      <c r="G945" s="21"/>
      <c r="H945" s="7"/>
      <c r="I945" s="21"/>
      <c r="K945"/>
      <c r="L945" s="21">
        <f>(Table2[[#This Row],[H/Pace]]/100)*(VLOOKUP(Table2[[#This Row],[Home/Neutral]],home_lookup,8,FALSE)+VLOOKUP(Table2[[#This Row],[Home/Neutral]],OFR_lookup,2,FALSE)+VLOOKUP(Table2[[#This Row],[Visitor/Neutral]],def_diff_lookup,6,FALSE))</f>
        <v>103.21395343638194</v>
      </c>
      <c r="M945" s="21"/>
      <c r="N945" s="21">
        <f>(Table2[[#This Row],[A/Pace]]/100)*(VLOOKUP(Table2[[#This Row],[Visitor/Neutral]],OFR_lookup,2,FALSE)+VLOOKUP(Table2[[#This Row],[Home/Neutral]],def_diff_lookup,6,FALSE))</f>
        <v>108.233101</v>
      </c>
      <c r="O945" s="21"/>
      <c r="P945" s="21"/>
      <c r="Q945">
        <f>VLOOKUP(Table2[[#This Row],[Home/Neutral]],pace_lookup,7,FALSE)</f>
        <v>93.4</v>
      </c>
      <c r="R945" s="5">
        <f>VLOOKUP(Table2[[#This Row],[Visitor/Neutral]],pace_lookup,7,FALSE)</f>
        <v>96.9</v>
      </c>
      <c r="S945" s="7"/>
      <c r="U945" s="15"/>
      <c r="W945" s="2">
        <f>-home-VLOOKUP(Table2[[#This Row],[Home/Neutral]],rtg_vlookup,4,FALSE)+VLOOKUP(Table2[[#This Row],[Visitor/Neutral]],rtg_vlookup,4,FALSE)</f>
        <v>-6.4886885245901649</v>
      </c>
      <c r="X945" s="15"/>
      <c r="Y945" s="2"/>
      <c r="Z945" s="2">
        <f>Table2[[#This Row],[A/EV]]-Table2[[#This Row],[H/EV]]</f>
        <v>5.0191475636180627</v>
      </c>
      <c r="AA945" s="29"/>
      <c r="AB945" s="30"/>
      <c r="AC945" s="30"/>
      <c r="AD945" s="30"/>
      <c r="AE945" s="30"/>
      <c r="AF945" s="7" t="b">
        <f>IF(VLOOKUP(Table2[[#This Row],[Home/Neutral]],division_lookup,9,FALSE)=VLOOKUP(Table2[[#This Row],[Visitor/Neutral]],division_lookup,9,FALSE),TRUE,FALSE)</f>
        <v>1</v>
      </c>
      <c r="AG945" s="15" t="str">
        <f>VLOOKUP(Table2[[#This Row],[Home/Neutral]],division_lookup,9,FALSE)</f>
        <v>SW</v>
      </c>
      <c r="AH945" s="15" t="str">
        <f>IF(Table2[[#This Row],[Total/EV]]&lt;Table2[[#This Row],[Total/V]],"UNDER","OVER")</f>
        <v>OVER</v>
      </c>
      <c r="AI945" s="26">
        <f>Table2[[#This Row],[SRS/Real]]-Table2[[#This Row],[Spread/V]]</f>
        <v>0</v>
      </c>
      <c r="AJ945" s="2">
        <f>Table2[[#This Row],[EV/Real]]-Table2[[#This Row],[Spread/V]]</f>
        <v>0</v>
      </c>
      <c r="AK945" s="2">
        <f>Table2[[#This Row],[SRS/Diff]]-Table2[[#This Row],[EV/Diff]]</f>
        <v>0</v>
      </c>
      <c r="AL945" s="18">
        <f>Table2[[#This Row],[SRS]]-Table2[[#This Row],[Spread]]</f>
        <v>-6.4886885245901649</v>
      </c>
      <c r="AM945" s="21">
        <f>Table2[[#This Row],[(A) Err]]^2</f>
        <v>42.103078769148091</v>
      </c>
      <c r="AN945" s="6">
        <f>Table2[[#This Row],[EV]]-Table2[[#This Row],[Spread]]</f>
        <v>5.0191475636180627</v>
      </c>
      <c r="AO945" s="1">
        <f>Table2[[#This Row],[EV Err]]^2</f>
        <v>25.191842265373136</v>
      </c>
      <c r="AP945" s="1"/>
    </row>
    <row r="946" spans="1:42" x14ac:dyDescent="0.25">
      <c r="A946" s="34">
        <v>42801</v>
      </c>
      <c r="B946" t="s">
        <v>136</v>
      </c>
      <c r="C946" t="s">
        <v>127</v>
      </c>
      <c r="E946" s="21"/>
      <c r="G946" s="21"/>
      <c r="H946" s="7"/>
      <c r="I946" s="21"/>
      <c r="K946"/>
      <c r="L946" s="21">
        <f>(Table2[[#This Row],[H/Pace]]/100)*(VLOOKUP(Table2[[#This Row],[Home/Neutral]],home_lookup,8,FALSE)+VLOOKUP(Table2[[#This Row],[Home/Neutral]],OFR_lookup,2,FALSE)+VLOOKUP(Table2[[#This Row],[Visitor/Neutral]],def_diff_lookup,6,FALSE))</f>
        <v>103.86763534991898</v>
      </c>
      <c r="M946" s="21"/>
      <c r="N946" s="21">
        <f>(Table2[[#This Row],[A/Pace]]/100)*(VLOOKUP(Table2[[#This Row],[Visitor/Neutral]],OFR_lookup,2,FALSE)+VLOOKUP(Table2[[#This Row],[Home/Neutral]],def_diff_lookup,6,FALSE))</f>
        <v>97.518226999999996</v>
      </c>
      <c r="O946" s="21"/>
      <c r="P946" s="21"/>
      <c r="Q946">
        <f>VLOOKUP(Table2[[#This Row],[Home/Neutral]],pace_lookup,7,FALSE)</f>
        <v>91.5</v>
      </c>
      <c r="R946" s="5">
        <f>VLOOKUP(Table2[[#This Row],[Visitor/Neutral]],pace_lookup,7,FALSE)</f>
        <v>99.3</v>
      </c>
      <c r="S946" s="7"/>
      <c r="U946" s="15"/>
      <c r="W946" s="2">
        <f>-home-VLOOKUP(Table2[[#This Row],[Home/Neutral]],rtg_vlookup,4,FALSE)+VLOOKUP(Table2[[#This Row],[Visitor/Neutral]],rtg_vlookup,4,FALSE)</f>
        <v>-9.6886885245901659</v>
      </c>
      <c r="X946" s="15"/>
      <c r="Y946" s="2"/>
      <c r="Z946" s="2">
        <f>Table2[[#This Row],[A/EV]]-Table2[[#This Row],[H/EV]]</f>
        <v>-6.3494083499189884</v>
      </c>
      <c r="AA946" s="29"/>
      <c r="AB946" s="30"/>
      <c r="AC946" s="30"/>
      <c r="AD946" s="30"/>
      <c r="AE946" s="30"/>
      <c r="AF946" s="7" t="b">
        <f>IF(VLOOKUP(Table2[[#This Row],[Home/Neutral]],division_lookup,9,FALSE)=VLOOKUP(Table2[[#This Row],[Visitor/Neutral]],division_lookup,9,FALSE),TRUE,FALSE)</f>
        <v>0</v>
      </c>
      <c r="AG946" s="15" t="str">
        <f>VLOOKUP(Table2[[#This Row],[Home/Neutral]],division_lookup,9,FALSE)</f>
        <v>NW</v>
      </c>
      <c r="AH946" s="15" t="str">
        <f>IF(Table2[[#This Row],[Total/EV]]&lt;Table2[[#This Row],[Total/V]],"UNDER","OVER")</f>
        <v>OVER</v>
      </c>
      <c r="AI946" s="26">
        <f>Table2[[#This Row],[SRS/Real]]-Table2[[#This Row],[Spread/V]]</f>
        <v>0</v>
      </c>
      <c r="AJ946" s="2">
        <f>Table2[[#This Row],[EV/Real]]-Table2[[#This Row],[Spread/V]]</f>
        <v>0</v>
      </c>
      <c r="AK946" s="2">
        <f>Table2[[#This Row],[SRS/Diff]]-Table2[[#This Row],[EV/Diff]]</f>
        <v>0</v>
      </c>
      <c r="AL946" s="18">
        <f>Table2[[#This Row],[SRS]]-Table2[[#This Row],[Spread]]</f>
        <v>-9.6886885245901659</v>
      </c>
      <c r="AM946" s="21">
        <f>Table2[[#This Row],[(A) Err]]^2</f>
        <v>93.870685326525162</v>
      </c>
      <c r="AN946" s="6">
        <f>Table2[[#This Row],[EV]]-Table2[[#This Row],[Spread]]</f>
        <v>-6.3494083499189884</v>
      </c>
      <c r="AO946" s="1">
        <f>Table2[[#This Row],[EV Err]]^2</f>
        <v>40.31498639402097</v>
      </c>
      <c r="AP946" s="1"/>
    </row>
    <row r="947" spans="1:42" x14ac:dyDescent="0.25">
      <c r="A947" s="34">
        <v>42802</v>
      </c>
      <c r="B947" t="s">
        <v>115</v>
      </c>
      <c r="C947" t="s">
        <v>122</v>
      </c>
      <c r="E947" s="21"/>
      <c r="G947" s="21"/>
      <c r="H947" s="7"/>
      <c r="I947" s="21"/>
      <c r="K947"/>
      <c r="L947" s="21">
        <f>(Table2[[#This Row],[H/Pace]]/100)*(VLOOKUP(Table2[[#This Row],[Home/Neutral]],home_lookup,8,FALSE)+VLOOKUP(Table2[[#This Row],[Home/Neutral]],OFR_lookup,2,FALSE)+VLOOKUP(Table2[[#This Row],[Visitor/Neutral]],def_diff_lookup,6,FALSE))</f>
        <v>99.641913115967753</v>
      </c>
      <c r="M947" s="21"/>
      <c r="N947" s="21">
        <f>(Table2[[#This Row],[A/Pace]]/100)*(VLOOKUP(Table2[[#This Row],[Visitor/Neutral]],OFR_lookup,2,FALSE)+VLOOKUP(Table2[[#This Row],[Home/Neutral]],def_diff_lookup,6,FALSE))</f>
        <v>108.482198</v>
      </c>
      <c r="O947" s="21"/>
      <c r="P947" s="21"/>
      <c r="Q947">
        <f>VLOOKUP(Table2[[#This Row],[Home/Neutral]],pace_lookup,7,FALSE)</f>
        <v>92.9</v>
      </c>
      <c r="R947" s="5">
        <f>VLOOKUP(Table2[[#This Row],[Visitor/Neutral]],pace_lookup,7,FALSE)</f>
        <v>100.2</v>
      </c>
      <c r="S947" s="7"/>
      <c r="U947" s="15"/>
      <c r="W947" s="2">
        <f>-home-VLOOKUP(Table2[[#This Row],[Home/Neutral]],rtg_vlookup,4,FALSE)+VLOOKUP(Table2[[#This Row],[Visitor/Neutral]],rtg_vlookup,4,FALSE)</f>
        <v>3.8313114754098336</v>
      </c>
      <c r="X947" s="15"/>
      <c r="Y947" s="2"/>
      <c r="Z947" s="2">
        <f>Table2[[#This Row],[A/EV]]-Table2[[#This Row],[H/EV]]</f>
        <v>8.8402848840322434</v>
      </c>
      <c r="AA947" s="29"/>
      <c r="AB947" s="30"/>
      <c r="AC947" s="30"/>
      <c r="AD947" s="30"/>
      <c r="AE947" s="30"/>
      <c r="AF947" s="7" t="b">
        <f>IF(VLOOKUP(Table2[[#This Row],[Home/Neutral]],division_lookup,9,FALSE)=VLOOKUP(Table2[[#This Row],[Visitor/Neutral]],division_lookup,9,FALSE),TRUE,FALSE)</f>
        <v>0</v>
      </c>
      <c r="AG947" s="15" t="str">
        <f>VLOOKUP(Table2[[#This Row],[Home/Neutral]],division_lookup,9,FALSE)</f>
        <v>SW</v>
      </c>
      <c r="AH947" s="15" t="str">
        <f>IF(Table2[[#This Row],[Total/EV]]&lt;Table2[[#This Row],[Total/V]],"UNDER","OVER")</f>
        <v>OVER</v>
      </c>
      <c r="AI947" s="26">
        <f>Table2[[#This Row],[SRS/Real]]-Table2[[#This Row],[Spread/V]]</f>
        <v>0</v>
      </c>
      <c r="AJ947" s="2">
        <f>Table2[[#This Row],[EV/Real]]-Table2[[#This Row],[Spread/V]]</f>
        <v>0</v>
      </c>
      <c r="AK947" s="2">
        <f>Table2[[#This Row],[SRS/Diff]]-Table2[[#This Row],[EV/Diff]]</f>
        <v>0</v>
      </c>
      <c r="AL947" s="18">
        <f>Table2[[#This Row],[SRS]]-Table2[[#This Row],[Spread]]</f>
        <v>3.8313114754098336</v>
      </c>
      <c r="AM947" s="21">
        <f>Table2[[#This Row],[(A) Err]]^2</f>
        <v>14.678947621607076</v>
      </c>
      <c r="AN947" s="6">
        <f>Table2[[#This Row],[EV]]-Table2[[#This Row],[Spread]]</f>
        <v>8.8402848840322434</v>
      </c>
      <c r="AO947" s="1">
        <f>Table2[[#This Row],[EV Err]]^2</f>
        <v>78.150636830848981</v>
      </c>
      <c r="AP947" s="1"/>
    </row>
    <row r="948" spans="1:42" x14ac:dyDescent="0.25">
      <c r="A948" s="34">
        <v>42802</v>
      </c>
      <c r="B948" t="s">
        <v>129</v>
      </c>
      <c r="C948" t="s">
        <v>132</v>
      </c>
      <c r="E948" s="21"/>
      <c r="G948" s="21"/>
      <c r="H948" s="7"/>
      <c r="I948" s="21"/>
      <c r="K948"/>
      <c r="L948" s="21">
        <f>(Table2[[#This Row],[H/Pace]]/100)*(VLOOKUP(Table2[[#This Row],[Home/Neutral]],home_lookup,8,FALSE)+VLOOKUP(Table2[[#This Row],[Home/Neutral]],OFR_lookup,2,FALSE)+VLOOKUP(Table2[[#This Row],[Visitor/Neutral]],def_diff_lookup,6,FALSE))</f>
        <v>112.87610376890107</v>
      </c>
      <c r="M948" s="21"/>
      <c r="N948" s="21">
        <f>(Table2[[#This Row],[A/Pace]]/100)*(VLOOKUP(Table2[[#This Row],[Visitor/Neutral]],OFR_lookup,2,FALSE)+VLOOKUP(Table2[[#This Row],[Home/Neutral]],def_diff_lookup,6,FALSE))</f>
        <v>106.52187866666667</v>
      </c>
      <c r="O948" s="21"/>
      <c r="P948" s="21"/>
      <c r="Q948">
        <f>VLOOKUP(Table2[[#This Row],[Home/Neutral]],pace_lookup,7,FALSE)</f>
        <v>99</v>
      </c>
      <c r="R948" s="5">
        <f>VLOOKUP(Table2[[#This Row],[Visitor/Neutral]],pace_lookup,7,FALSE)</f>
        <v>98.8</v>
      </c>
      <c r="S948" s="7"/>
      <c r="U948" s="15"/>
      <c r="W948" s="2">
        <f>-home-VLOOKUP(Table2[[#This Row],[Home/Neutral]],rtg_vlookup,4,FALSE)+VLOOKUP(Table2[[#This Row],[Visitor/Neutral]],rtg_vlookup,4,FALSE)</f>
        <v>-6.7286885245901651</v>
      </c>
      <c r="X948" s="15"/>
      <c r="Y948" s="2"/>
      <c r="Z948" s="2">
        <f>Table2[[#This Row],[A/EV]]-Table2[[#This Row],[H/EV]]</f>
        <v>-6.354225102234409</v>
      </c>
      <c r="AA948" s="29"/>
      <c r="AB948" s="30"/>
      <c r="AC948" s="30"/>
      <c r="AD948" s="30"/>
      <c r="AE948" s="30"/>
      <c r="AF948" s="7" t="b">
        <f>IF(VLOOKUP(Table2[[#This Row],[Home/Neutral]],division_lookup,9,FALSE)=VLOOKUP(Table2[[#This Row],[Visitor/Neutral]],division_lookup,9,FALSE),TRUE,FALSE)</f>
        <v>1</v>
      </c>
      <c r="AG948" s="15" t="str">
        <f>VLOOKUP(Table2[[#This Row],[Home/Neutral]],division_lookup,9,FALSE)</f>
        <v>NW</v>
      </c>
      <c r="AH948" s="15" t="str">
        <f>IF(Table2[[#This Row],[Total/EV]]&lt;Table2[[#This Row],[Total/V]],"UNDER","OVER")</f>
        <v>OVER</v>
      </c>
      <c r="AI948" s="26">
        <f>Table2[[#This Row],[SRS/Real]]-Table2[[#This Row],[Spread/V]]</f>
        <v>0</v>
      </c>
      <c r="AJ948" s="2">
        <f>Table2[[#This Row],[EV/Real]]-Table2[[#This Row],[Spread/V]]</f>
        <v>0</v>
      </c>
      <c r="AK948" s="2">
        <f>Table2[[#This Row],[SRS/Diff]]-Table2[[#This Row],[EV/Diff]]</f>
        <v>0</v>
      </c>
      <c r="AL948" s="18">
        <f>Table2[[#This Row],[SRS]]-Table2[[#This Row],[Spread]]</f>
        <v>-6.7286885245901651</v>
      </c>
      <c r="AM948" s="21">
        <f>Table2[[#This Row],[(A) Err]]^2</f>
        <v>45.275249260951369</v>
      </c>
      <c r="AN948" s="6">
        <f>Table2[[#This Row],[EV]]-Table2[[#This Row],[Spread]]</f>
        <v>-6.354225102234409</v>
      </c>
      <c r="AO948" s="1">
        <f>Table2[[#This Row],[EV Err]]^2</f>
        <v>40.376176649865883</v>
      </c>
      <c r="AP948" s="1"/>
    </row>
    <row r="949" spans="1:42" x14ac:dyDescent="0.25">
      <c r="A949" s="34">
        <v>42802</v>
      </c>
      <c r="B949" t="s">
        <v>131</v>
      </c>
      <c r="C949" t="s">
        <v>137</v>
      </c>
      <c r="E949" s="21"/>
      <c r="G949" s="21"/>
      <c r="H949" s="7"/>
      <c r="I949" s="21"/>
      <c r="K949"/>
      <c r="L949" s="21">
        <f>(Table2[[#This Row],[H/Pace]]/100)*(VLOOKUP(Table2[[#This Row],[Home/Neutral]],home_lookup,8,FALSE)+VLOOKUP(Table2[[#This Row],[Home/Neutral]],OFR_lookup,2,FALSE)+VLOOKUP(Table2[[#This Row],[Visitor/Neutral]],def_diff_lookup,6,FALSE))</f>
        <v>100.53349979119766</v>
      </c>
      <c r="M949" s="21"/>
      <c r="N949" s="21">
        <f>(Table2[[#This Row],[A/Pace]]/100)*(VLOOKUP(Table2[[#This Row],[Visitor/Neutral]],OFR_lookup,2,FALSE)+VLOOKUP(Table2[[#This Row],[Home/Neutral]],def_diff_lookup,6,FALSE))</f>
        <v>103.97344</v>
      </c>
      <c r="O949" s="21"/>
      <c r="P949" s="21"/>
      <c r="Q949">
        <f>VLOOKUP(Table2[[#This Row],[Home/Neutral]],pace_lookup,7,FALSE)</f>
        <v>101.7</v>
      </c>
      <c r="R949" s="5">
        <f>VLOOKUP(Table2[[#This Row],[Visitor/Neutral]],pace_lookup,7,FALSE)</f>
        <v>96</v>
      </c>
      <c r="S949" s="7"/>
      <c r="U949" s="15"/>
      <c r="W949" s="2">
        <f>-home-VLOOKUP(Table2[[#This Row],[Home/Neutral]],rtg_vlookup,4,FALSE)+VLOOKUP(Table2[[#This Row],[Visitor/Neutral]],rtg_vlookup,4,FALSE)</f>
        <v>0.61131147540983433</v>
      </c>
      <c r="X949" s="15"/>
      <c r="Y949" s="2"/>
      <c r="Z949" s="2">
        <f>Table2[[#This Row],[A/EV]]-Table2[[#This Row],[H/EV]]</f>
        <v>3.4399402088023407</v>
      </c>
      <c r="AA949" s="29"/>
      <c r="AB949" s="30"/>
      <c r="AC949" s="30"/>
      <c r="AD949" s="30"/>
      <c r="AE949" s="30"/>
      <c r="AF949" s="7" t="b">
        <f>IF(VLOOKUP(Table2[[#This Row],[Home/Neutral]],division_lookup,9,FALSE)=VLOOKUP(Table2[[#This Row],[Visitor/Neutral]],division_lookup,9,FALSE),TRUE,FALSE)</f>
        <v>0</v>
      </c>
      <c r="AG949" s="15" t="str">
        <f>VLOOKUP(Table2[[#This Row],[Home/Neutral]],division_lookup,9,FALSE)</f>
        <v>P</v>
      </c>
      <c r="AH949" s="15" t="str">
        <f>IF(Table2[[#This Row],[Total/EV]]&lt;Table2[[#This Row],[Total/V]],"UNDER","OVER")</f>
        <v>OVER</v>
      </c>
      <c r="AI949" s="26">
        <f>Table2[[#This Row],[SRS/Real]]-Table2[[#This Row],[Spread/V]]</f>
        <v>0</v>
      </c>
      <c r="AJ949" s="2">
        <f>Table2[[#This Row],[EV/Real]]-Table2[[#This Row],[Spread/V]]</f>
        <v>0</v>
      </c>
      <c r="AK949" s="2">
        <f>Table2[[#This Row],[SRS/Diff]]-Table2[[#This Row],[EV/Diff]]</f>
        <v>0</v>
      </c>
      <c r="AL949" s="18">
        <f>Table2[[#This Row],[SRS]]-Table2[[#This Row],[Spread]]</f>
        <v>0.61131147540983433</v>
      </c>
      <c r="AM949" s="21">
        <f>Table2[[#This Row],[(A) Err]]^2</f>
        <v>0.37370171996774848</v>
      </c>
      <c r="AN949" s="6">
        <f>Table2[[#This Row],[EV]]-Table2[[#This Row],[Spread]]</f>
        <v>3.4399402088023407</v>
      </c>
      <c r="AO949" s="1">
        <f>Table2[[#This Row],[EV Err]]^2</f>
        <v>11.833188640135091</v>
      </c>
      <c r="AP949" s="1"/>
    </row>
    <row r="950" spans="1:42" x14ac:dyDescent="0.25">
      <c r="A950" s="34">
        <v>42803</v>
      </c>
      <c r="B950" t="s">
        <v>109</v>
      </c>
      <c r="C950" t="s">
        <v>111</v>
      </c>
      <c r="E950" s="21"/>
      <c r="G950" s="21"/>
      <c r="H950" s="7"/>
      <c r="I950" s="21"/>
      <c r="K950"/>
      <c r="L950" s="21">
        <f>(Table2[[#This Row],[H/Pace]]/100)*(VLOOKUP(Table2[[#This Row],[Home/Neutral]],home_lookup,8,FALSE)+VLOOKUP(Table2[[#This Row],[Home/Neutral]],OFR_lookup,2,FALSE)+VLOOKUP(Table2[[#This Row],[Visitor/Neutral]],def_diff_lookup,6,FALSE))</f>
        <v>104.66112660728638</v>
      </c>
      <c r="M950" s="21"/>
      <c r="N950" s="21">
        <f>(Table2[[#This Row],[A/Pace]]/100)*(VLOOKUP(Table2[[#This Row],[Visitor/Neutral]],OFR_lookup,2,FALSE)+VLOOKUP(Table2[[#This Row],[Home/Neutral]],def_diff_lookup,6,FALSE))</f>
        <v>97.201579999999993</v>
      </c>
      <c r="O950" s="21"/>
      <c r="P950" s="21"/>
      <c r="Q950">
        <f>VLOOKUP(Table2[[#This Row],[Home/Neutral]],pace_lookup,7,FALSE)</f>
        <v>99.2</v>
      </c>
      <c r="R950" s="5">
        <f>VLOOKUP(Table2[[#This Row],[Visitor/Neutral]],pace_lookup,7,FALSE)</f>
        <v>102</v>
      </c>
      <c r="S950" s="7"/>
      <c r="U950" s="15"/>
      <c r="W950" s="2">
        <f>-home-VLOOKUP(Table2[[#This Row],[Home/Neutral]],rtg_vlookup,4,FALSE)+VLOOKUP(Table2[[#This Row],[Visitor/Neutral]],rtg_vlookup,4,FALSE)</f>
        <v>-13.838688524590165</v>
      </c>
      <c r="X950" s="15"/>
      <c r="Y950" s="2"/>
      <c r="Z950" s="2">
        <f>Table2[[#This Row],[A/EV]]-Table2[[#This Row],[H/EV]]</f>
        <v>-7.4595466072863843</v>
      </c>
      <c r="AA950" s="29"/>
      <c r="AB950" s="30"/>
      <c r="AC950" s="30"/>
      <c r="AD950" s="30"/>
      <c r="AE950" s="30"/>
      <c r="AF950" s="7" t="b">
        <f>IF(VLOOKUP(Table2[[#This Row],[Home/Neutral]],division_lookup,9,FALSE)=VLOOKUP(Table2[[#This Row],[Visitor/Neutral]],division_lookup,9,FALSE),TRUE,FALSE)</f>
        <v>0</v>
      </c>
      <c r="AG950" s="15" t="str">
        <f>VLOOKUP(Table2[[#This Row],[Home/Neutral]],division_lookup,9,FALSE)</f>
        <v>SE</v>
      </c>
      <c r="AH950" s="15" t="str">
        <f>IF(Table2[[#This Row],[Total/EV]]&lt;Table2[[#This Row],[Total/V]],"UNDER","OVER")</f>
        <v>OVER</v>
      </c>
      <c r="AI950" s="26">
        <f>Table2[[#This Row],[SRS/Real]]-Table2[[#This Row],[Spread/V]]</f>
        <v>0</v>
      </c>
      <c r="AJ950" s="2">
        <f>Table2[[#This Row],[EV/Real]]-Table2[[#This Row],[Spread/V]]</f>
        <v>0</v>
      </c>
      <c r="AK950" s="2">
        <f>Table2[[#This Row],[SRS/Diff]]-Table2[[#This Row],[EV/Diff]]</f>
        <v>0</v>
      </c>
      <c r="AL950" s="18">
        <f>Table2[[#This Row],[SRS]]-Table2[[#This Row],[Spread]]</f>
        <v>-13.838688524590165</v>
      </c>
      <c r="AM950" s="21">
        <f>Table2[[#This Row],[(A) Err]]^2</f>
        <v>191.50930008062352</v>
      </c>
      <c r="AN950" s="6">
        <f>Table2[[#This Row],[EV]]-Table2[[#This Row],[Spread]]</f>
        <v>-7.4595466072863843</v>
      </c>
      <c r="AO950" s="1">
        <f>Table2[[#This Row],[EV Err]]^2</f>
        <v>55.644835586277807</v>
      </c>
      <c r="AP950" s="1"/>
    </row>
    <row r="951" spans="1:42" x14ac:dyDescent="0.25">
      <c r="A951" s="34">
        <v>42803</v>
      </c>
      <c r="B951" t="s">
        <v>116</v>
      </c>
      <c r="C951" t="s">
        <v>137</v>
      </c>
      <c r="E951" s="21"/>
      <c r="G951" s="21"/>
      <c r="H951" s="7"/>
      <c r="I951" s="21"/>
      <c r="K951"/>
      <c r="L951" s="21">
        <f>(Table2[[#This Row],[H/Pace]]/100)*(VLOOKUP(Table2[[#This Row],[Home/Neutral]],home_lookup,8,FALSE)+VLOOKUP(Table2[[#This Row],[Home/Neutral]],OFR_lookup,2,FALSE)+VLOOKUP(Table2[[#This Row],[Visitor/Neutral]],def_diff_lookup,6,FALSE))</f>
        <v>108.39410470161863</v>
      </c>
      <c r="M951" s="21"/>
      <c r="N951" s="21">
        <f>(Table2[[#This Row],[A/Pace]]/100)*(VLOOKUP(Table2[[#This Row],[Visitor/Neutral]],OFR_lookup,2,FALSE)+VLOOKUP(Table2[[#This Row],[Home/Neutral]],def_diff_lookup,6,FALSE))</f>
        <v>103.13824</v>
      </c>
      <c r="O951" s="21"/>
      <c r="P951" s="21"/>
      <c r="Q951">
        <f>VLOOKUP(Table2[[#This Row],[Home/Neutral]],pace_lookup,7,FALSE)</f>
        <v>99.1</v>
      </c>
      <c r="R951" s="5">
        <f>VLOOKUP(Table2[[#This Row],[Visitor/Neutral]],pace_lookup,7,FALSE)</f>
        <v>96</v>
      </c>
      <c r="S951" s="7"/>
      <c r="U951" s="15"/>
      <c r="W951" s="2">
        <f>-home-VLOOKUP(Table2[[#This Row],[Home/Neutral]],rtg_vlookup,4,FALSE)+VLOOKUP(Table2[[#This Row],[Visitor/Neutral]],rtg_vlookup,4,FALSE)</f>
        <v>-5.0286885245901658</v>
      </c>
      <c r="X951" s="15"/>
      <c r="Y951" s="2"/>
      <c r="Z951" s="2">
        <f>Table2[[#This Row],[A/EV]]-Table2[[#This Row],[H/EV]]</f>
        <v>-5.2558647016186342</v>
      </c>
      <c r="AA951" s="29"/>
      <c r="AB951" s="30"/>
      <c r="AC951" s="30"/>
      <c r="AD951" s="30"/>
      <c r="AE951" s="30"/>
      <c r="AF951" s="7" t="b">
        <f>IF(VLOOKUP(Table2[[#This Row],[Home/Neutral]],division_lookup,9,FALSE)=VLOOKUP(Table2[[#This Row],[Visitor/Neutral]],division_lookup,9,FALSE),TRUE,FALSE)</f>
        <v>0</v>
      </c>
      <c r="AG951" s="15" t="str">
        <f>VLOOKUP(Table2[[#This Row],[Home/Neutral]],division_lookup,9,FALSE)</f>
        <v>NW</v>
      </c>
      <c r="AH951" s="15" t="str">
        <f>IF(Table2[[#This Row],[Total/EV]]&lt;Table2[[#This Row],[Total/V]],"UNDER","OVER")</f>
        <v>OVER</v>
      </c>
      <c r="AI951" s="26">
        <f>Table2[[#This Row],[SRS/Real]]-Table2[[#This Row],[Spread/V]]</f>
        <v>0</v>
      </c>
      <c r="AJ951" s="2">
        <f>Table2[[#This Row],[EV/Real]]-Table2[[#This Row],[Spread/V]]</f>
        <v>0</v>
      </c>
      <c r="AK951" s="2">
        <f>Table2[[#This Row],[SRS/Diff]]-Table2[[#This Row],[EV/Diff]]</f>
        <v>0</v>
      </c>
      <c r="AL951" s="18">
        <f>Table2[[#This Row],[SRS]]-Table2[[#This Row],[Spread]]</f>
        <v>-5.0286885245901658</v>
      </c>
      <c r="AM951" s="21">
        <f>Table2[[#This Row],[(A) Err]]^2</f>
        <v>25.287708277344819</v>
      </c>
      <c r="AN951" s="6">
        <f>Table2[[#This Row],[EV]]-Table2[[#This Row],[Spread]]</f>
        <v>-5.2558647016186342</v>
      </c>
      <c r="AO951" s="1">
        <f>Table2[[#This Row],[EV Err]]^2</f>
        <v>27.624113761720736</v>
      </c>
      <c r="AP951" s="1"/>
    </row>
    <row r="952" spans="1:42" x14ac:dyDescent="0.25">
      <c r="A952" s="34">
        <v>42803</v>
      </c>
      <c r="B952" t="s">
        <v>118</v>
      </c>
      <c r="C952" t="s">
        <v>110</v>
      </c>
      <c r="E952" s="21"/>
      <c r="G952" s="21"/>
      <c r="H952" s="7"/>
      <c r="I952" s="21"/>
      <c r="K952"/>
      <c r="L952" s="21">
        <f>(Table2[[#This Row],[H/Pace]]/100)*(VLOOKUP(Table2[[#This Row],[Home/Neutral]],home_lookup,8,FALSE)+VLOOKUP(Table2[[#This Row],[Home/Neutral]],OFR_lookup,2,FALSE)+VLOOKUP(Table2[[#This Row],[Visitor/Neutral]],def_diff_lookup,6,FALSE))</f>
        <v>115.47539838078238</v>
      </c>
      <c r="M952" s="21"/>
      <c r="N952" s="21">
        <f>(Table2[[#This Row],[A/Pace]]/100)*(VLOOKUP(Table2[[#This Row],[Visitor/Neutral]],OFR_lookup,2,FALSE)+VLOOKUP(Table2[[#This Row],[Home/Neutral]],def_diff_lookup,6,FALSE))</f>
        <v>102.65085133333335</v>
      </c>
      <c r="O952" s="21"/>
      <c r="P952" s="21"/>
      <c r="Q952">
        <f>VLOOKUP(Table2[[#This Row],[Home/Neutral]],pace_lookup,7,FALSE)</f>
        <v>100.4</v>
      </c>
      <c r="R952" s="5">
        <f>VLOOKUP(Table2[[#This Row],[Visitor/Neutral]],pace_lookup,7,FALSE)</f>
        <v>96.2</v>
      </c>
      <c r="S952" s="7"/>
      <c r="U952" s="15"/>
      <c r="W952" s="2">
        <f>-home-VLOOKUP(Table2[[#This Row],[Home/Neutral]],rtg_vlookup,4,FALSE)+VLOOKUP(Table2[[#This Row],[Visitor/Neutral]],rtg_vlookup,4,FALSE)</f>
        <v>-13.718688524590165</v>
      </c>
      <c r="X952" s="15"/>
      <c r="Y952" s="2"/>
      <c r="Z952" s="2">
        <f>Table2[[#This Row],[A/EV]]-Table2[[#This Row],[H/EV]]</f>
        <v>-12.82454704744903</v>
      </c>
      <c r="AA952" s="29"/>
      <c r="AB952" s="30"/>
      <c r="AC952" s="30"/>
      <c r="AD952" s="30"/>
      <c r="AE952" s="30"/>
      <c r="AF952" s="7" t="b">
        <f>IF(VLOOKUP(Table2[[#This Row],[Home/Neutral]],division_lookup,9,FALSE)=VLOOKUP(Table2[[#This Row],[Visitor/Neutral]],division_lookup,9,FALSE),TRUE,FALSE)</f>
        <v>0</v>
      </c>
      <c r="AG952" s="15" t="str">
        <f>VLOOKUP(Table2[[#This Row],[Home/Neutral]],division_lookup,9,FALSE)</f>
        <v>P</v>
      </c>
      <c r="AH952" s="15" t="str">
        <f>IF(Table2[[#This Row],[Total/EV]]&lt;Table2[[#This Row],[Total/V]],"UNDER","OVER")</f>
        <v>OVER</v>
      </c>
      <c r="AI952" s="26">
        <f>Table2[[#This Row],[SRS/Real]]-Table2[[#This Row],[Spread/V]]</f>
        <v>0</v>
      </c>
      <c r="AJ952" s="2">
        <f>Table2[[#This Row],[EV/Real]]-Table2[[#This Row],[Spread/V]]</f>
        <v>0</v>
      </c>
      <c r="AK952" s="2">
        <f>Table2[[#This Row],[SRS/Diff]]-Table2[[#This Row],[EV/Diff]]</f>
        <v>0</v>
      </c>
      <c r="AL952" s="18">
        <f>Table2[[#This Row],[SRS]]-Table2[[#This Row],[Spread]]</f>
        <v>-13.718688524590165</v>
      </c>
      <c r="AM952" s="21">
        <f>Table2[[#This Row],[(A) Err]]^2</f>
        <v>188.20241483472188</v>
      </c>
      <c r="AN952" s="6">
        <f>Table2[[#This Row],[EV]]-Table2[[#This Row],[Spread]]</f>
        <v>-12.82454704744903</v>
      </c>
      <c r="AO952" s="1">
        <f>Table2[[#This Row],[EV Err]]^2</f>
        <v>164.46900697223364</v>
      </c>
      <c r="AP952" s="1"/>
    </row>
    <row r="953" spans="1:42" x14ac:dyDescent="0.25">
      <c r="A953" s="34">
        <v>42803</v>
      </c>
      <c r="B953" t="s">
        <v>119</v>
      </c>
      <c r="C953" t="s">
        <v>136</v>
      </c>
      <c r="E953" s="21"/>
      <c r="G953" s="21"/>
      <c r="H953" s="7"/>
      <c r="I953" s="21"/>
      <c r="K953"/>
      <c r="L953" s="21">
        <f>(Table2[[#This Row],[H/Pace]]/100)*(VLOOKUP(Table2[[#This Row],[Home/Neutral]],home_lookup,8,FALSE)+VLOOKUP(Table2[[#This Row],[Home/Neutral]],OFR_lookup,2,FALSE)+VLOOKUP(Table2[[#This Row],[Visitor/Neutral]],def_diff_lookup,6,FALSE))</f>
        <v>104.55900376977627</v>
      </c>
      <c r="M953" s="21"/>
      <c r="N953" s="21">
        <f>(Table2[[#This Row],[A/Pace]]/100)*(VLOOKUP(Table2[[#This Row],[Visitor/Neutral]],OFR_lookup,2,FALSE)+VLOOKUP(Table2[[#This Row],[Home/Neutral]],def_diff_lookup,6,FALSE))</f>
        <v>99.859135000000009</v>
      </c>
      <c r="O953" s="21"/>
      <c r="P953" s="21"/>
      <c r="Q953">
        <f>VLOOKUP(Table2[[#This Row],[Home/Neutral]],pace_lookup,7,FALSE)</f>
        <v>96.9</v>
      </c>
      <c r="R953" s="5">
        <f>VLOOKUP(Table2[[#This Row],[Visitor/Neutral]],pace_lookup,7,FALSE)</f>
        <v>91.5</v>
      </c>
      <c r="S953" s="7"/>
      <c r="U953" s="15"/>
      <c r="W953" s="2">
        <f>-home-VLOOKUP(Table2[[#This Row],[Home/Neutral]],rtg_vlookup,4,FALSE)+VLOOKUP(Table2[[#This Row],[Visitor/Neutral]],rtg_vlookup,4,FALSE)</f>
        <v>-2.2086885245901655</v>
      </c>
      <c r="X953" s="15"/>
      <c r="Y953" s="2"/>
      <c r="Z953" s="2">
        <f>Table2[[#This Row],[A/EV]]-Table2[[#This Row],[H/EV]]</f>
        <v>-4.6998687697762591</v>
      </c>
      <c r="AA953" s="29"/>
      <c r="AB953" s="30"/>
      <c r="AC953" s="30"/>
      <c r="AD953" s="30"/>
      <c r="AE953" s="30"/>
      <c r="AF953" s="7" t="b">
        <f>IF(VLOOKUP(Table2[[#This Row],[Home/Neutral]],division_lookup,9,FALSE)=VLOOKUP(Table2[[#This Row],[Visitor/Neutral]],division_lookup,9,FALSE),TRUE,FALSE)</f>
        <v>0</v>
      </c>
      <c r="AG953" s="15" t="str">
        <f>VLOOKUP(Table2[[#This Row],[Home/Neutral]],division_lookup,9,FALSE)</f>
        <v>SW</v>
      </c>
      <c r="AH953" s="15" t="str">
        <f>IF(Table2[[#This Row],[Total/EV]]&lt;Table2[[#This Row],[Total/V]],"UNDER","OVER")</f>
        <v>OVER</v>
      </c>
      <c r="AI953" s="26">
        <f>Table2[[#This Row],[SRS/Real]]-Table2[[#This Row],[Spread/V]]</f>
        <v>0</v>
      </c>
      <c r="AJ953" s="2">
        <f>Table2[[#This Row],[EV/Real]]-Table2[[#This Row],[Spread/V]]</f>
        <v>0</v>
      </c>
      <c r="AK953" s="2">
        <f>Table2[[#This Row],[SRS/Diff]]-Table2[[#This Row],[EV/Diff]]</f>
        <v>0</v>
      </c>
      <c r="AL953" s="18">
        <f>Table2[[#This Row],[SRS]]-Table2[[#This Row],[Spread]]</f>
        <v>-2.2086885245901655</v>
      </c>
      <c r="AM953" s="21">
        <f>Table2[[#This Row],[(A) Err]]^2</f>
        <v>4.8783049986562821</v>
      </c>
      <c r="AN953" s="6">
        <f>Table2[[#This Row],[EV]]-Table2[[#This Row],[Spread]]</f>
        <v>-4.6998687697762591</v>
      </c>
      <c r="AO953" s="1">
        <f>Table2[[#This Row],[EV Err]]^2</f>
        <v>22.088766453118208</v>
      </c>
      <c r="AP953" s="1"/>
    </row>
    <row r="954" spans="1:42" x14ac:dyDescent="0.25">
      <c r="A954" s="34">
        <v>42803</v>
      </c>
      <c r="B954" t="s">
        <v>120</v>
      </c>
      <c r="C954" t="s">
        <v>117</v>
      </c>
      <c r="E954" s="21"/>
      <c r="G954" s="21"/>
      <c r="H954" s="7"/>
      <c r="I954" s="21"/>
      <c r="K954"/>
      <c r="L954" s="21">
        <f>(Table2[[#This Row],[H/Pace]]/100)*(VLOOKUP(Table2[[#This Row],[Home/Neutral]],home_lookup,8,FALSE)+VLOOKUP(Table2[[#This Row],[Home/Neutral]],OFR_lookup,2,FALSE)+VLOOKUP(Table2[[#This Row],[Visitor/Neutral]],def_diff_lookup,6,FALSE))</f>
        <v>102.15203542930861</v>
      </c>
      <c r="M954" s="21"/>
      <c r="N954" s="21">
        <f>(Table2[[#This Row],[A/Pace]]/100)*(VLOOKUP(Table2[[#This Row],[Visitor/Neutral]],OFR_lookup,2,FALSE)+VLOOKUP(Table2[[#This Row],[Home/Neutral]],def_diff_lookup,6,FALSE))</f>
        <v>99.720526666666643</v>
      </c>
      <c r="O954" s="21"/>
      <c r="P954" s="21"/>
      <c r="Q954">
        <f>VLOOKUP(Table2[[#This Row],[Home/Neutral]],pace_lookup,7,FALSE)</f>
        <v>98.3</v>
      </c>
      <c r="R954" s="5">
        <f>VLOOKUP(Table2[[#This Row],[Visitor/Neutral]],pace_lookup,7,FALSE)</f>
        <v>94</v>
      </c>
      <c r="S954" s="7"/>
      <c r="U954" s="15"/>
      <c r="W954" s="2">
        <f>-home-VLOOKUP(Table2[[#This Row],[Home/Neutral]],rtg_vlookup,4,FALSE)+VLOOKUP(Table2[[#This Row],[Visitor/Neutral]],rtg_vlookup,4,FALSE)</f>
        <v>3.4913114754098347</v>
      </c>
      <c r="X954" s="15"/>
      <c r="Y954" s="2"/>
      <c r="Z954" s="2">
        <f>Table2[[#This Row],[A/EV]]-Table2[[#This Row],[H/EV]]</f>
        <v>-2.4315087626419682</v>
      </c>
      <c r="AA954" s="29"/>
      <c r="AB954" s="30"/>
      <c r="AC954" s="30"/>
      <c r="AD954" s="30"/>
      <c r="AE954" s="30"/>
      <c r="AF954" s="7" t="b">
        <f>IF(VLOOKUP(Table2[[#This Row],[Home/Neutral]],division_lookup,9,FALSE)=VLOOKUP(Table2[[#This Row],[Visitor/Neutral]],division_lookup,9,FALSE),TRUE,FALSE)</f>
        <v>1</v>
      </c>
      <c r="AG954" s="15" t="str">
        <f>VLOOKUP(Table2[[#This Row],[Home/Neutral]],division_lookup,9,FALSE)</f>
        <v>C</v>
      </c>
      <c r="AH954" s="15" t="str">
        <f>IF(Table2[[#This Row],[Total/EV]]&lt;Table2[[#This Row],[Total/V]],"UNDER","OVER")</f>
        <v>OVER</v>
      </c>
      <c r="AI954" s="26">
        <f>Table2[[#This Row],[SRS/Real]]-Table2[[#This Row],[Spread/V]]</f>
        <v>0</v>
      </c>
      <c r="AJ954" s="2">
        <f>Table2[[#This Row],[EV/Real]]-Table2[[#This Row],[Spread/V]]</f>
        <v>0</v>
      </c>
      <c r="AK954" s="2">
        <f>Table2[[#This Row],[SRS/Diff]]-Table2[[#This Row],[EV/Diff]]</f>
        <v>0</v>
      </c>
      <c r="AL954" s="18">
        <f>Table2[[#This Row],[SRS]]-Table2[[#This Row],[Spread]]</f>
        <v>3.4913114754098347</v>
      </c>
      <c r="AM954" s="21">
        <f>Table2[[#This Row],[(A) Err]]^2</f>
        <v>12.189255818328396</v>
      </c>
      <c r="AN954" s="6">
        <f>Table2[[#This Row],[EV]]-Table2[[#This Row],[Spread]]</f>
        <v>-2.4315087626419682</v>
      </c>
      <c r="AO954" s="1">
        <f>Table2[[#This Row],[EV Err]]^2</f>
        <v>5.9122348628046755</v>
      </c>
      <c r="AP954" s="1"/>
    </row>
    <row r="955" spans="1:42" x14ac:dyDescent="0.25">
      <c r="A955" s="34">
        <v>42803</v>
      </c>
      <c r="B955" t="s">
        <v>124</v>
      </c>
      <c r="C955" t="s">
        <v>112</v>
      </c>
      <c r="E955" s="21"/>
      <c r="G955" s="21"/>
      <c r="H955" s="7"/>
      <c r="I955" s="21"/>
      <c r="K955"/>
      <c r="L955" s="21">
        <f>(Table2[[#This Row],[H/Pace]]/100)*(VLOOKUP(Table2[[#This Row],[Home/Neutral]],home_lookup,8,FALSE)+VLOOKUP(Table2[[#This Row],[Home/Neutral]],OFR_lookup,2,FALSE)+VLOOKUP(Table2[[#This Row],[Visitor/Neutral]],def_diff_lookup,6,FALSE))</f>
        <v>100.32052517723557</v>
      </c>
      <c r="M955" s="21"/>
      <c r="N955" s="21">
        <f>(Table2[[#This Row],[A/Pace]]/100)*(VLOOKUP(Table2[[#This Row],[Visitor/Neutral]],OFR_lookup,2,FALSE)+VLOOKUP(Table2[[#This Row],[Home/Neutral]],def_diff_lookup,6,FALSE))</f>
        <v>102.82095933333333</v>
      </c>
      <c r="O955" s="21"/>
      <c r="P955" s="21"/>
      <c r="Q955">
        <f>VLOOKUP(Table2[[#This Row],[Home/Neutral]],pace_lookup,7,FALSE)</f>
        <v>93.7</v>
      </c>
      <c r="R955" s="5">
        <f>VLOOKUP(Table2[[#This Row],[Visitor/Neutral]],pace_lookup,7,FALSE)</f>
        <v>97.4</v>
      </c>
      <c r="S955" s="7"/>
      <c r="U955" s="15"/>
      <c r="W955" s="2">
        <f>-home-VLOOKUP(Table2[[#This Row],[Home/Neutral]],rtg_vlookup,4,FALSE)+VLOOKUP(Table2[[#This Row],[Visitor/Neutral]],rtg_vlookup,4,FALSE)</f>
        <v>0.46131147540983419</v>
      </c>
      <c r="X955" s="15"/>
      <c r="Y955" s="2"/>
      <c r="Z955" s="2">
        <f>Table2[[#This Row],[A/EV]]-Table2[[#This Row],[H/EV]]</f>
        <v>2.5004341560977679</v>
      </c>
      <c r="AA955" s="29"/>
      <c r="AB955" s="30"/>
      <c r="AC955" s="30"/>
      <c r="AD955" s="30"/>
      <c r="AE955" s="30"/>
      <c r="AF955" s="7" t="b">
        <f>IF(VLOOKUP(Table2[[#This Row],[Home/Neutral]],division_lookup,9,FALSE)=VLOOKUP(Table2[[#This Row],[Visitor/Neutral]],division_lookup,9,FALSE),TRUE,FALSE)</f>
        <v>1</v>
      </c>
      <c r="AG955" s="15" t="str">
        <f>VLOOKUP(Table2[[#This Row],[Home/Neutral]],division_lookup,9,FALSE)</f>
        <v>SE</v>
      </c>
      <c r="AH955" s="15" t="str">
        <f>IF(Table2[[#This Row],[Total/EV]]&lt;Table2[[#This Row],[Total/V]],"UNDER","OVER")</f>
        <v>OVER</v>
      </c>
      <c r="AI955" s="26">
        <f>Table2[[#This Row],[SRS/Real]]-Table2[[#This Row],[Spread/V]]</f>
        <v>0</v>
      </c>
      <c r="AJ955" s="2">
        <f>Table2[[#This Row],[EV/Real]]-Table2[[#This Row],[Spread/V]]</f>
        <v>0</v>
      </c>
      <c r="AK955" s="2">
        <f>Table2[[#This Row],[SRS/Diff]]-Table2[[#This Row],[EV/Diff]]</f>
        <v>0</v>
      </c>
      <c r="AL955" s="18">
        <f>Table2[[#This Row],[SRS]]-Table2[[#This Row],[Spread]]</f>
        <v>0.46131147540983419</v>
      </c>
      <c r="AM955" s="21">
        <f>Table2[[#This Row],[(A) Err]]^2</f>
        <v>0.21280827734479807</v>
      </c>
      <c r="AN955" s="6">
        <f>Table2[[#This Row],[EV]]-Table2[[#This Row],[Spread]]</f>
        <v>2.5004341560977679</v>
      </c>
      <c r="AO955" s="1">
        <f>Table2[[#This Row],[EV Err]]^2</f>
        <v>6.2521709689803568</v>
      </c>
      <c r="AP955" s="1"/>
    </row>
    <row r="956" spans="1:42" x14ac:dyDescent="0.25">
      <c r="A956" s="34">
        <v>42803</v>
      </c>
      <c r="B956" t="s">
        <v>125</v>
      </c>
      <c r="C956" t="s">
        <v>128</v>
      </c>
      <c r="E956" s="21"/>
      <c r="G956" s="21"/>
      <c r="H956" s="7"/>
      <c r="I956" s="21"/>
      <c r="K956"/>
      <c r="L956" s="21">
        <f>(Table2[[#This Row],[H/Pace]]/100)*(VLOOKUP(Table2[[#This Row],[Home/Neutral]],home_lookup,8,FALSE)+VLOOKUP(Table2[[#This Row],[Home/Neutral]],OFR_lookup,2,FALSE)+VLOOKUP(Table2[[#This Row],[Visitor/Neutral]],def_diff_lookup,6,FALSE))</f>
        <v>111.51521550061909</v>
      </c>
      <c r="M956" s="21"/>
      <c r="N956" s="21">
        <f>(Table2[[#This Row],[A/Pace]]/100)*(VLOOKUP(Table2[[#This Row],[Visitor/Neutral]],OFR_lookup,2,FALSE)+VLOOKUP(Table2[[#This Row],[Home/Neutral]],def_diff_lookup,6,FALSE))</f>
        <v>105.93545699999999</v>
      </c>
      <c r="O956" s="21"/>
      <c r="P956" s="21"/>
      <c r="Q956">
        <f>VLOOKUP(Table2[[#This Row],[Home/Neutral]],pace_lookup,7,FALSE)</f>
        <v>96.1</v>
      </c>
      <c r="R956" s="5">
        <f>VLOOKUP(Table2[[#This Row],[Visitor/Neutral]],pace_lookup,7,FALSE)</f>
        <v>96.3</v>
      </c>
      <c r="S956" s="7"/>
      <c r="U956" s="15"/>
      <c r="W956" s="2">
        <f>-home-VLOOKUP(Table2[[#This Row],[Home/Neutral]],rtg_vlookup,4,FALSE)+VLOOKUP(Table2[[#This Row],[Visitor/Neutral]],rtg_vlookup,4,FALSE)</f>
        <v>-2.1586885245901657</v>
      </c>
      <c r="X956" s="15"/>
      <c r="Y956" s="2"/>
      <c r="Z956" s="2">
        <f>Table2[[#This Row],[A/EV]]-Table2[[#This Row],[H/EV]]</f>
        <v>-5.5797585006191071</v>
      </c>
      <c r="AA956" s="29"/>
      <c r="AB956" s="30"/>
      <c r="AC956" s="30"/>
      <c r="AD956" s="30"/>
      <c r="AE956" s="30"/>
      <c r="AF956" s="7" t="b">
        <f>IF(VLOOKUP(Table2[[#This Row],[Home/Neutral]],division_lookup,9,FALSE)=VLOOKUP(Table2[[#This Row],[Visitor/Neutral]],division_lookup,9,FALSE),TRUE,FALSE)</f>
        <v>0</v>
      </c>
      <c r="AG956" s="15" t="str">
        <f>VLOOKUP(Table2[[#This Row],[Home/Neutral]],division_lookup,9,FALSE)</f>
        <v>C</v>
      </c>
      <c r="AH956" s="15" t="str">
        <f>IF(Table2[[#This Row],[Total/EV]]&lt;Table2[[#This Row],[Total/V]],"UNDER","OVER")</f>
        <v>OVER</v>
      </c>
      <c r="AI956" s="26">
        <f>Table2[[#This Row],[SRS/Real]]-Table2[[#This Row],[Spread/V]]</f>
        <v>0</v>
      </c>
      <c r="AJ956" s="2">
        <f>Table2[[#This Row],[EV/Real]]-Table2[[#This Row],[Spread/V]]</f>
        <v>0</v>
      </c>
      <c r="AK956" s="2">
        <f>Table2[[#This Row],[SRS/Diff]]-Table2[[#This Row],[EV/Diff]]</f>
        <v>0</v>
      </c>
      <c r="AL956" s="18">
        <f>Table2[[#This Row],[SRS]]-Table2[[#This Row],[Spread]]</f>
        <v>-2.1586885245901657</v>
      </c>
      <c r="AM956" s="21">
        <f>Table2[[#This Row],[(A) Err]]^2</f>
        <v>4.6599361461972668</v>
      </c>
      <c r="AN956" s="6">
        <f>Table2[[#This Row],[EV]]-Table2[[#This Row],[Spread]]</f>
        <v>-5.5797585006191071</v>
      </c>
      <c r="AO956" s="1">
        <f>Table2[[#This Row],[EV Err]]^2</f>
        <v>31.133704925231186</v>
      </c>
      <c r="AP956" s="1"/>
    </row>
    <row r="957" spans="1:42" x14ac:dyDescent="0.25">
      <c r="A957" s="34">
        <v>42803</v>
      </c>
      <c r="B957" t="s">
        <v>126</v>
      </c>
      <c r="C957" t="s">
        <v>121</v>
      </c>
      <c r="E957" s="21"/>
      <c r="G957" s="21"/>
      <c r="H957" s="7"/>
      <c r="I957" s="21"/>
      <c r="K957"/>
      <c r="L957" s="21">
        <f>(Table2[[#This Row],[H/Pace]]/100)*(VLOOKUP(Table2[[#This Row],[Home/Neutral]],home_lookup,8,FALSE)+VLOOKUP(Table2[[#This Row],[Home/Neutral]],OFR_lookup,2,FALSE)+VLOOKUP(Table2[[#This Row],[Visitor/Neutral]],def_diff_lookup,6,FALSE))</f>
        <v>110.80649777050786</v>
      </c>
      <c r="M957" s="21"/>
      <c r="N957" s="21">
        <f>(Table2[[#This Row],[A/Pace]]/100)*(VLOOKUP(Table2[[#This Row],[Visitor/Neutral]],OFR_lookup,2,FALSE)+VLOOKUP(Table2[[#This Row],[Home/Neutral]],def_diff_lookup,6,FALSE))</f>
        <v>114.05630266666667</v>
      </c>
      <c r="O957" s="21"/>
      <c r="P957" s="21"/>
      <c r="Q957">
        <f>VLOOKUP(Table2[[#This Row],[Home/Neutral]],pace_lookup,7,FALSE)</f>
        <v>95.7</v>
      </c>
      <c r="R957" s="5">
        <f>VLOOKUP(Table2[[#This Row],[Visitor/Neutral]],pace_lookup,7,FALSE)</f>
        <v>96.4</v>
      </c>
      <c r="S957" s="7"/>
      <c r="U957" s="15"/>
      <c r="W957" s="2">
        <f>-home-VLOOKUP(Table2[[#This Row],[Home/Neutral]],rtg_vlookup,4,FALSE)+VLOOKUP(Table2[[#This Row],[Visitor/Neutral]],rtg_vlookup,4,FALSE)</f>
        <v>11.131311475409834</v>
      </c>
      <c r="X957" s="15"/>
      <c r="Y957" s="2"/>
      <c r="Z957" s="2">
        <f>Table2[[#This Row],[A/EV]]-Table2[[#This Row],[H/EV]]</f>
        <v>3.2498048961588069</v>
      </c>
      <c r="AA957" s="29"/>
      <c r="AB957" s="30"/>
      <c r="AC957" s="30"/>
      <c r="AD957" s="30"/>
      <c r="AE957" s="30"/>
      <c r="AF957" s="7" t="b">
        <f>IF(VLOOKUP(Table2[[#This Row],[Home/Neutral]],division_lookup,9,FALSE)=VLOOKUP(Table2[[#This Row],[Visitor/Neutral]],division_lookup,9,FALSE),TRUE,FALSE)</f>
        <v>0</v>
      </c>
      <c r="AG957" s="15" t="str">
        <f>VLOOKUP(Table2[[#This Row],[Home/Neutral]],division_lookup,9,FALSE)</f>
        <v>NW</v>
      </c>
      <c r="AH957" s="15" t="str">
        <f>IF(Table2[[#This Row],[Total/EV]]&lt;Table2[[#This Row],[Total/V]],"UNDER","OVER")</f>
        <v>OVER</v>
      </c>
      <c r="AI957" s="26">
        <f>Table2[[#This Row],[SRS/Real]]-Table2[[#This Row],[Spread/V]]</f>
        <v>0</v>
      </c>
      <c r="AJ957" s="2">
        <f>Table2[[#This Row],[EV/Real]]-Table2[[#This Row],[Spread/V]]</f>
        <v>0</v>
      </c>
      <c r="AK957" s="2">
        <f>Table2[[#This Row],[SRS/Diff]]-Table2[[#This Row],[EV/Diff]]</f>
        <v>0</v>
      </c>
      <c r="AL957" s="18">
        <f>Table2[[#This Row],[SRS]]-Table2[[#This Row],[Spread]]</f>
        <v>11.131311475409834</v>
      </c>
      <c r="AM957" s="21">
        <f>Table2[[#This Row],[(A) Err]]^2</f>
        <v>123.90609516259066</v>
      </c>
      <c r="AN957" s="6">
        <f>Table2[[#This Row],[EV]]-Table2[[#This Row],[Spread]]</f>
        <v>3.2498048961588069</v>
      </c>
      <c r="AO957" s="1">
        <f>Table2[[#This Row],[EV Err]]^2</f>
        <v>10.561231863097753</v>
      </c>
      <c r="AP957" s="1"/>
    </row>
    <row r="958" spans="1:42" x14ac:dyDescent="0.25">
      <c r="A958" s="34">
        <v>42803</v>
      </c>
      <c r="B958" t="s">
        <v>127</v>
      </c>
      <c r="C958" t="s">
        <v>135</v>
      </c>
      <c r="E958" s="21"/>
      <c r="G958" s="21"/>
      <c r="H958" s="7"/>
      <c r="I958" s="21"/>
      <c r="K958"/>
      <c r="L958" s="21">
        <f>(Table2[[#This Row],[H/Pace]]/100)*(VLOOKUP(Table2[[#This Row],[Home/Neutral]],home_lookup,8,FALSE)+VLOOKUP(Table2[[#This Row],[Home/Neutral]],OFR_lookup,2,FALSE)+VLOOKUP(Table2[[#This Row],[Visitor/Neutral]],def_diff_lookup,6,FALSE))</f>
        <v>103.57320493743048</v>
      </c>
      <c r="M958" s="21"/>
      <c r="N958" s="21">
        <f>(Table2[[#This Row],[A/Pace]]/100)*(VLOOKUP(Table2[[#This Row],[Visitor/Neutral]],OFR_lookup,2,FALSE)+VLOOKUP(Table2[[#This Row],[Home/Neutral]],def_diff_lookup,6,FALSE))</f>
        <v>107.034666</v>
      </c>
      <c r="O958" s="21"/>
      <c r="P958" s="21"/>
      <c r="Q958">
        <f>VLOOKUP(Table2[[#This Row],[Home/Neutral]],pace_lookup,7,FALSE)</f>
        <v>99.3</v>
      </c>
      <c r="R958" s="5">
        <f>VLOOKUP(Table2[[#This Row],[Visitor/Neutral]],pace_lookup,7,FALSE)</f>
        <v>95.4</v>
      </c>
      <c r="S958" s="7"/>
      <c r="U958" s="15"/>
      <c r="W958" s="2">
        <f>-home-VLOOKUP(Table2[[#This Row],[Home/Neutral]],rtg_vlookup,4,FALSE)+VLOOKUP(Table2[[#This Row],[Visitor/Neutral]],rtg_vlookup,4,FALSE)</f>
        <v>5.8213114754098347</v>
      </c>
      <c r="X958" s="15"/>
      <c r="Y958" s="2"/>
      <c r="Z958" s="2">
        <f>Table2[[#This Row],[A/EV]]-Table2[[#This Row],[H/EV]]</f>
        <v>3.4614610625695263</v>
      </c>
      <c r="AA958" s="29"/>
      <c r="AB958" s="30"/>
      <c r="AC958" s="30"/>
      <c r="AD958" s="30"/>
      <c r="AE958" s="30"/>
      <c r="AF958" s="7" t="b">
        <f>IF(VLOOKUP(Table2[[#This Row],[Home/Neutral]],division_lookup,9,FALSE)=VLOOKUP(Table2[[#This Row],[Visitor/Neutral]],division_lookup,9,FALSE),TRUE,FALSE)</f>
        <v>0</v>
      </c>
      <c r="AG958" s="15" t="str">
        <f>VLOOKUP(Table2[[#This Row],[Home/Neutral]],division_lookup,9,FALSE)</f>
        <v>SW</v>
      </c>
      <c r="AH958" s="15" t="str">
        <f>IF(Table2[[#This Row],[Total/EV]]&lt;Table2[[#This Row],[Total/V]],"UNDER","OVER")</f>
        <v>OVER</v>
      </c>
      <c r="AI958" s="26">
        <f>Table2[[#This Row],[SRS/Real]]-Table2[[#This Row],[Spread/V]]</f>
        <v>0</v>
      </c>
      <c r="AJ958" s="2">
        <f>Table2[[#This Row],[EV/Real]]-Table2[[#This Row],[Spread/V]]</f>
        <v>0</v>
      </c>
      <c r="AK958" s="2">
        <f>Table2[[#This Row],[SRS/Diff]]-Table2[[#This Row],[EV/Diff]]</f>
        <v>0</v>
      </c>
      <c r="AL958" s="18">
        <f>Table2[[#This Row],[SRS]]-Table2[[#This Row],[Spread]]</f>
        <v>5.8213114754098347</v>
      </c>
      <c r="AM958" s="21">
        <f>Table2[[#This Row],[(A) Err]]^2</f>
        <v>33.887667293738225</v>
      </c>
      <c r="AN958" s="6">
        <f>Table2[[#This Row],[EV]]-Table2[[#This Row],[Spread]]</f>
        <v>3.4614610625695263</v>
      </c>
      <c r="AO958" s="1">
        <f>Table2[[#This Row],[EV Err]]^2</f>
        <v>11.981712687684954</v>
      </c>
      <c r="AP958" s="1"/>
    </row>
    <row r="959" spans="1:42" x14ac:dyDescent="0.25">
      <c r="A959" s="34">
        <v>42803</v>
      </c>
      <c r="B959" t="s">
        <v>130</v>
      </c>
      <c r="C959" t="s">
        <v>113</v>
      </c>
      <c r="E959" s="21"/>
      <c r="G959" s="21"/>
      <c r="H959" s="7"/>
      <c r="I959" s="21"/>
      <c r="K959"/>
      <c r="L959" s="21">
        <f>(Table2[[#This Row],[H/Pace]]/100)*(VLOOKUP(Table2[[#This Row],[Home/Neutral]],home_lookup,8,FALSE)+VLOOKUP(Table2[[#This Row],[Home/Neutral]],OFR_lookup,2,FALSE)+VLOOKUP(Table2[[#This Row],[Visitor/Neutral]],def_diff_lookup,6,FALSE))</f>
        <v>96.063884967109402</v>
      </c>
      <c r="M959" s="21"/>
      <c r="N959" s="21">
        <f>(Table2[[#This Row],[A/Pace]]/100)*(VLOOKUP(Table2[[#This Row],[Visitor/Neutral]],OFR_lookup,2,FALSE)+VLOOKUP(Table2[[#This Row],[Home/Neutral]],def_diff_lookup,6,FALSE))</f>
        <v>105.23353899999999</v>
      </c>
      <c r="O959" s="21"/>
      <c r="P959" s="21"/>
      <c r="Q959">
        <f>VLOOKUP(Table2[[#This Row],[Home/Neutral]],pace_lookup,7,FALSE)</f>
        <v>94.2</v>
      </c>
      <c r="R959" s="5">
        <f>VLOOKUP(Table2[[#This Row],[Visitor/Neutral]],pace_lookup,7,FALSE)</f>
        <v>95.1</v>
      </c>
      <c r="S959" s="7"/>
      <c r="U959" s="15"/>
      <c r="W959" s="2">
        <f>-home-VLOOKUP(Table2[[#This Row],[Home/Neutral]],rtg_vlookup,4,FALSE)+VLOOKUP(Table2[[#This Row],[Visitor/Neutral]],rtg_vlookup,4,FALSE)</f>
        <v>10.501311475409835</v>
      </c>
      <c r="X959" s="15"/>
      <c r="Y959" s="2"/>
      <c r="Z959" s="2">
        <f>Table2[[#This Row],[A/EV]]-Table2[[#This Row],[H/EV]]</f>
        <v>9.1696540328905911</v>
      </c>
      <c r="AA959" s="29"/>
      <c r="AB959" s="30"/>
      <c r="AC959" s="30"/>
      <c r="AD959" s="30"/>
      <c r="AE959" s="30"/>
      <c r="AF959" s="7" t="b">
        <f>IF(VLOOKUP(Table2[[#This Row],[Home/Neutral]],division_lookup,9,FALSE)=VLOOKUP(Table2[[#This Row],[Visitor/Neutral]],division_lookup,9,FALSE),TRUE,FALSE)</f>
        <v>0</v>
      </c>
      <c r="AG959" s="15" t="str">
        <f>VLOOKUP(Table2[[#This Row],[Home/Neutral]],division_lookup,9,FALSE)</f>
        <v>SE</v>
      </c>
      <c r="AH959" s="15" t="str">
        <f>IF(Table2[[#This Row],[Total/EV]]&lt;Table2[[#This Row],[Total/V]],"UNDER","OVER")</f>
        <v>OVER</v>
      </c>
      <c r="AI959" s="26">
        <f>Table2[[#This Row],[SRS/Real]]-Table2[[#This Row],[Spread/V]]</f>
        <v>0</v>
      </c>
      <c r="AJ959" s="2">
        <f>Table2[[#This Row],[EV/Real]]-Table2[[#This Row],[Spread/V]]</f>
        <v>0</v>
      </c>
      <c r="AK959" s="2">
        <f>Table2[[#This Row],[SRS/Diff]]-Table2[[#This Row],[EV/Diff]]</f>
        <v>0</v>
      </c>
      <c r="AL959" s="18">
        <f>Table2[[#This Row],[SRS]]-Table2[[#This Row],[Spread]]</f>
        <v>10.501311475409835</v>
      </c>
      <c r="AM959" s="21">
        <f>Table2[[#This Row],[(A) Err]]^2</f>
        <v>110.2775427035743</v>
      </c>
      <c r="AN959" s="6">
        <f>Table2[[#This Row],[EV]]-Table2[[#This Row],[Spread]]</f>
        <v>9.1696540328905911</v>
      </c>
      <c r="AO959" s="1">
        <f>Table2[[#This Row],[EV Err]]^2</f>
        <v>84.08255508290668</v>
      </c>
      <c r="AP959" s="1"/>
    </row>
    <row r="960" spans="1:42" x14ac:dyDescent="0.25">
      <c r="A960" s="34">
        <v>42803</v>
      </c>
      <c r="B960" t="s">
        <v>134</v>
      </c>
      <c r="C960" t="s">
        <v>133</v>
      </c>
      <c r="E960" s="21"/>
      <c r="G960" s="21"/>
      <c r="H960" s="7"/>
      <c r="I960" s="21"/>
      <c r="K960"/>
      <c r="L960" s="21">
        <f>(Table2[[#This Row],[H/Pace]]/100)*(VLOOKUP(Table2[[#This Row],[Home/Neutral]],home_lookup,8,FALSE)+VLOOKUP(Table2[[#This Row],[Home/Neutral]],OFR_lookup,2,FALSE)+VLOOKUP(Table2[[#This Row],[Visitor/Neutral]],def_diff_lookup,6,FALSE))</f>
        <v>103.69963343638193</v>
      </c>
      <c r="M960" s="21"/>
      <c r="N960" s="21">
        <f>(Table2[[#This Row],[A/Pace]]/100)*(VLOOKUP(Table2[[#This Row],[Visitor/Neutral]],OFR_lookup,2,FALSE)+VLOOKUP(Table2[[#This Row],[Home/Neutral]],def_diff_lookup,6,FALSE))</f>
        <v>100.43195800000001</v>
      </c>
      <c r="O960" s="21"/>
      <c r="P960" s="21"/>
      <c r="Q960">
        <f>VLOOKUP(Table2[[#This Row],[Home/Neutral]],pace_lookup,7,FALSE)</f>
        <v>93.4</v>
      </c>
      <c r="R960" s="5">
        <f>VLOOKUP(Table2[[#This Row],[Visitor/Neutral]],pace_lookup,7,FALSE)</f>
        <v>94.2</v>
      </c>
      <c r="S960" s="7"/>
      <c r="U960" s="15"/>
      <c r="W960" s="2">
        <f>-home-VLOOKUP(Table2[[#This Row],[Home/Neutral]],rtg_vlookup,4,FALSE)+VLOOKUP(Table2[[#This Row],[Visitor/Neutral]],rtg_vlookup,4,FALSE)</f>
        <v>-12.088688524590165</v>
      </c>
      <c r="X960" s="15"/>
      <c r="Y960" s="2"/>
      <c r="Z960" s="2">
        <f>Table2[[#This Row],[A/EV]]-Table2[[#This Row],[H/EV]]</f>
        <v>-3.2676754363819214</v>
      </c>
      <c r="AA960" s="29"/>
      <c r="AB960" s="30"/>
      <c r="AC960" s="30"/>
      <c r="AD960" s="30"/>
      <c r="AE960" s="30"/>
      <c r="AF960" s="7" t="b">
        <f>IF(VLOOKUP(Table2[[#This Row],[Home/Neutral]],division_lookup,9,FALSE)=VLOOKUP(Table2[[#This Row],[Visitor/Neutral]],division_lookup,9,FALSE),TRUE,FALSE)</f>
        <v>0</v>
      </c>
      <c r="AG960" s="15" t="str">
        <f>VLOOKUP(Table2[[#This Row],[Home/Neutral]],division_lookup,9,FALSE)</f>
        <v>SW</v>
      </c>
      <c r="AH960" s="15" t="str">
        <f>IF(Table2[[#This Row],[Total/EV]]&lt;Table2[[#This Row],[Total/V]],"UNDER","OVER")</f>
        <v>OVER</v>
      </c>
      <c r="AI960" s="26">
        <f>Table2[[#This Row],[SRS/Real]]-Table2[[#This Row],[Spread/V]]</f>
        <v>0</v>
      </c>
      <c r="AJ960" s="2">
        <f>Table2[[#This Row],[EV/Real]]-Table2[[#This Row],[Spread/V]]</f>
        <v>0</v>
      </c>
      <c r="AK960" s="2">
        <f>Table2[[#This Row],[SRS/Diff]]-Table2[[#This Row],[EV/Diff]]</f>
        <v>0</v>
      </c>
      <c r="AL960" s="18">
        <f>Table2[[#This Row],[SRS]]-Table2[[#This Row],[Spread]]</f>
        <v>-12.088688524590165</v>
      </c>
      <c r="AM960" s="21">
        <f>Table2[[#This Row],[(A) Err]]^2</f>
        <v>146.13639024455793</v>
      </c>
      <c r="AN960" s="6">
        <f>Table2[[#This Row],[EV]]-Table2[[#This Row],[Spread]]</f>
        <v>-3.2676754363819214</v>
      </c>
      <c r="AO960" s="1">
        <f>Table2[[#This Row],[EV Err]]^2</f>
        <v>10.67770275753378</v>
      </c>
      <c r="AP960" s="1"/>
    </row>
    <row r="961" spans="1:42" x14ac:dyDescent="0.25">
      <c r="A961" s="34">
        <v>42804</v>
      </c>
      <c r="B961" t="s">
        <v>117</v>
      </c>
      <c r="C961" t="s">
        <v>114</v>
      </c>
      <c r="E961" s="21"/>
      <c r="G961" s="21"/>
      <c r="H961" s="7"/>
      <c r="I961" s="21"/>
      <c r="K961"/>
      <c r="L961" s="21">
        <f>(Table2[[#This Row],[H/Pace]]/100)*(VLOOKUP(Table2[[#This Row],[Home/Neutral]],home_lookup,8,FALSE)+VLOOKUP(Table2[[#This Row],[Home/Neutral]],OFR_lookup,2,FALSE)+VLOOKUP(Table2[[#This Row],[Visitor/Neutral]],def_diff_lookup,6,FALSE))</f>
        <v>111.73839591446429</v>
      </c>
      <c r="M961" s="21"/>
      <c r="N961" s="21">
        <f>(Table2[[#This Row],[A/Pace]]/100)*(VLOOKUP(Table2[[#This Row],[Visitor/Neutral]],OFR_lookup,2,FALSE)+VLOOKUP(Table2[[#This Row],[Home/Neutral]],def_diff_lookup,6,FALSE))</f>
        <v>107.88202366666665</v>
      </c>
      <c r="O961" s="21"/>
      <c r="P961" s="21"/>
      <c r="Q961">
        <f>VLOOKUP(Table2[[#This Row],[Home/Neutral]],pace_lookup,7,FALSE)</f>
        <v>94</v>
      </c>
      <c r="R961" s="5">
        <f>VLOOKUP(Table2[[#This Row],[Visitor/Neutral]],pace_lookup,7,FALSE)</f>
        <v>97.3</v>
      </c>
      <c r="S961" s="7"/>
      <c r="U961" s="15"/>
      <c r="W961" s="2">
        <f>-home-VLOOKUP(Table2[[#This Row],[Home/Neutral]],rtg_vlookup,4,FALSE)+VLOOKUP(Table2[[#This Row],[Visitor/Neutral]],rtg_vlookup,4,FALSE)</f>
        <v>4.3013114754098343</v>
      </c>
      <c r="X961" s="15"/>
      <c r="Y961" s="2"/>
      <c r="Z961" s="2">
        <f>Table2[[#This Row],[A/EV]]-Table2[[#This Row],[H/EV]]</f>
        <v>-3.856372247797637</v>
      </c>
      <c r="AA961" s="29"/>
      <c r="AB961" s="30"/>
      <c r="AC961" s="30"/>
      <c r="AD961" s="30"/>
      <c r="AE961" s="30"/>
      <c r="AF961" s="7" t="b">
        <f>IF(VLOOKUP(Table2[[#This Row],[Home/Neutral]],division_lookup,9,FALSE)=VLOOKUP(Table2[[#This Row],[Visitor/Neutral]],division_lookup,9,FALSE),TRUE,FALSE)</f>
        <v>1</v>
      </c>
      <c r="AG961" s="15" t="str">
        <f>VLOOKUP(Table2[[#This Row],[Home/Neutral]],division_lookup,9,FALSE)</f>
        <v>C</v>
      </c>
      <c r="AH961" s="15" t="str">
        <f>IF(Table2[[#This Row],[Total/EV]]&lt;Table2[[#This Row],[Total/V]],"UNDER","OVER")</f>
        <v>OVER</v>
      </c>
      <c r="AI961" s="26">
        <f>Table2[[#This Row],[SRS/Real]]-Table2[[#This Row],[Spread/V]]</f>
        <v>0</v>
      </c>
      <c r="AJ961" s="2">
        <f>Table2[[#This Row],[EV/Real]]-Table2[[#This Row],[Spread/V]]</f>
        <v>0</v>
      </c>
      <c r="AK961" s="2">
        <f>Table2[[#This Row],[SRS/Diff]]-Table2[[#This Row],[EV/Diff]]</f>
        <v>0</v>
      </c>
      <c r="AL961" s="18">
        <f>Table2[[#This Row],[SRS]]-Table2[[#This Row],[Spread]]</f>
        <v>4.3013114754098343</v>
      </c>
      <c r="AM961" s="21">
        <f>Table2[[#This Row],[(A) Err]]^2</f>
        <v>18.501280408492324</v>
      </c>
      <c r="AN961" s="6">
        <f>Table2[[#This Row],[EV]]-Table2[[#This Row],[Spread]]</f>
        <v>-3.856372247797637</v>
      </c>
      <c r="AO961" s="1">
        <f>Table2[[#This Row],[EV Err]]^2</f>
        <v>14.871606913583799</v>
      </c>
      <c r="AP961" s="1"/>
    </row>
    <row r="962" spans="1:42" x14ac:dyDescent="0.25">
      <c r="A962" s="34">
        <v>42804</v>
      </c>
      <c r="B962" t="s">
        <v>123</v>
      </c>
      <c r="C962" t="s">
        <v>121</v>
      </c>
      <c r="E962" s="21"/>
      <c r="G962" s="21"/>
      <c r="H962" s="7"/>
      <c r="I962" s="21"/>
      <c r="K962"/>
      <c r="L962" s="21">
        <f>(Table2[[#This Row],[H/Pace]]/100)*(VLOOKUP(Table2[[#This Row],[Home/Neutral]],home_lookup,8,FALSE)+VLOOKUP(Table2[[#This Row],[Home/Neutral]],OFR_lookup,2,FALSE)+VLOOKUP(Table2[[#This Row],[Visitor/Neutral]],def_diff_lookup,6,FALSE))</f>
        <v>97.794927095639181</v>
      </c>
      <c r="M962" s="21"/>
      <c r="N962" s="21">
        <f>(Table2[[#This Row],[A/Pace]]/100)*(VLOOKUP(Table2[[#This Row],[Visitor/Neutral]],OFR_lookup,2,FALSE)+VLOOKUP(Table2[[#This Row],[Home/Neutral]],def_diff_lookup,6,FALSE))</f>
        <v>107.53966266666666</v>
      </c>
      <c r="O962" s="21"/>
      <c r="P962" s="21"/>
      <c r="Q962">
        <f>VLOOKUP(Table2[[#This Row],[Home/Neutral]],pace_lookup,7,FALSE)</f>
        <v>92.5</v>
      </c>
      <c r="R962" s="5">
        <f>VLOOKUP(Table2[[#This Row],[Visitor/Neutral]],pace_lookup,7,FALSE)</f>
        <v>96.4</v>
      </c>
      <c r="S962" s="7"/>
      <c r="U962" s="15"/>
      <c r="W962" s="2">
        <f>-home-VLOOKUP(Table2[[#This Row],[Home/Neutral]],rtg_vlookup,4,FALSE)+VLOOKUP(Table2[[#This Row],[Visitor/Neutral]],rtg_vlookup,4,FALSE)</f>
        <v>9.2713114754098349</v>
      </c>
      <c r="X962" s="15"/>
      <c r="Y962" s="2"/>
      <c r="Z962" s="2">
        <f>Table2[[#This Row],[A/EV]]-Table2[[#This Row],[H/EV]]</f>
        <v>9.7447355710274763</v>
      </c>
      <c r="AA962" s="29"/>
      <c r="AB962" s="30"/>
      <c r="AC962" s="30"/>
      <c r="AD962" s="30"/>
      <c r="AE962" s="30"/>
      <c r="AF962" s="7" t="b">
        <f>IF(VLOOKUP(Table2[[#This Row],[Home/Neutral]],division_lookup,9,FALSE)=VLOOKUP(Table2[[#This Row],[Visitor/Neutral]],division_lookup,9,FALSE),TRUE,FALSE)</f>
        <v>0</v>
      </c>
      <c r="AG962" s="15" t="str">
        <f>VLOOKUP(Table2[[#This Row],[Home/Neutral]],division_lookup,9,FALSE)</f>
        <v>SW</v>
      </c>
      <c r="AH962" s="15" t="str">
        <f>IF(Table2[[#This Row],[Total/EV]]&lt;Table2[[#This Row],[Total/V]],"UNDER","OVER")</f>
        <v>OVER</v>
      </c>
      <c r="AI962" s="26">
        <f>Table2[[#This Row],[SRS/Real]]-Table2[[#This Row],[Spread/V]]</f>
        <v>0</v>
      </c>
      <c r="AJ962" s="2">
        <f>Table2[[#This Row],[EV/Real]]-Table2[[#This Row],[Spread/V]]</f>
        <v>0</v>
      </c>
      <c r="AK962" s="2">
        <f>Table2[[#This Row],[SRS/Diff]]-Table2[[#This Row],[EV/Diff]]</f>
        <v>0</v>
      </c>
      <c r="AL962" s="18">
        <f>Table2[[#This Row],[SRS]]-Table2[[#This Row],[Spread]]</f>
        <v>9.2713114754098349</v>
      </c>
      <c r="AM962" s="21">
        <f>Table2[[#This Row],[(A) Err]]^2</f>
        <v>85.957216474066087</v>
      </c>
      <c r="AN962" s="6">
        <f>Table2[[#This Row],[EV]]-Table2[[#This Row],[Spread]]</f>
        <v>9.7447355710274763</v>
      </c>
      <c r="AO962" s="1">
        <f>Table2[[#This Row],[EV Err]]^2</f>
        <v>94.959871349248189</v>
      </c>
      <c r="AP962" s="1"/>
    </row>
    <row r="963" spans="1:42" x14ac:dyDescent="0.25">
      <c r="A963" s="34">
        <v>42804</v>
      </c>
      <c r="B963" t="s">
        <v>129</v>
      </c>
      <c r="C963" t="s">
        <v>134</v>
      </c>
      <c r="E963" s="21"/>
      <c r="G963" s="21"/>
      <c r="H963" s="7"/>
      <c r="I963" s="21"/>
      <c r="K963"/>
      <c r="L963" s="21">
        <f>(Table2[[#This Row],[H/Pace]]/100)*(VLOOKUP(Table2[[#This Row],[Home/Neutral]],home_lookup,8,FALSE)+VLOOKUP(Table2[[#This Row],[Home/Neutral]],OFR_lookup,2,FALSE)+VLOOKUP(Table2[[#This Row],[Visitor/Neutral]],def_diff_lookup,6,FALSE))</f>
        <v>106.06490376890108</v>
      </c>
      <c r="M963" s="21"/>
      <c r="N963" s="21">
        <f>(Table2[[#This Row],[A/Pace]]/100)*(VLOOKUP(Table2[[#This Row],[Visitor/Neutral]],OFR_lookup,2,FALSE)+VLOOKUP(Table2[[#This Row],[Home/Neutral]],def_diff_lookup,6,FALSE))</f>
        <v>103.45513266666667</v>
      </c>
      <c r="O963" s="21"/>
      <c r="P963" s="21"/>
      <c r="Q963">
        <f>VLOOKUP(Table2[[#This Row],[Home/Neutral]],pace_lookup,7,FALSE)</f>
        <v>99</v>
      </c>
      <c r="R963" s="5">
        <f>VLOOKUP(Table2[[#This Row],[Visitor/Neutral]],pace_lookup,7,FALSE)</f>
        <v>93.4</v>
      </c>
      <c r="S963" s="7"/>
      <c r="U963" s="15"/>
      <c r="W963" s="2">
        <f>-home-VLOOKUP(Table2[[#This Row],[Home/Neutral]],rtg_vlookup,4,FALSE)+VLOOKUP(Table2[[#This Row],[Visitor/Neutral]],rtg_vlookup,4,FALSE)</f>
        <v>3.1013114754098341</v>
      </c>
      <c r="X963" s="15"/>
      <c r="Y963" s="2"/>
      <c r="Z963" s="2">
        <f>Table2[[#This Row],[A/EV]]-Table2[[#This Row],[H/EV]]</f>
        <v>-2.6097711022344043</v>
      </c>
      <c r="AA963" s="29"/>
      <c r="AB963" s="30"/>
      <c r="AC963" s="30"/>
      <c r="AD963" s="30"/>
      <c r="AE963" s="30"/>
      <c r="AF963" s="7" t="b">
        <f>IF(VLOOKUP(Table2[[#This Row],[Home/Neutral]],division_lookup,9,FALSE)=VLOOKUP(Table2[[#This Row],[Visitor/Neutral]],division_lookup,9,FALSE),TRUE,FALSE)</f>
        <v>0</v>
      </c>
      <c r="AG963" s="15" t="str">
        <f>VLOOKUP(Table2[[#This Row],[Home/Neutral]],division_lookup,9,FALSE)</f>
        <v>NW</v>
      </c>
      <c r="AH963" s="15" t="str">
        <f>IF(Table2[[#This Row],[Total/EV]]&lt;Table2[[#This Row],[Total/V]],"UNDER","OVER")</f>
        <v>OVER</v>
      </c>
      <c r="AI963" s="26">
        <f>Table2[[#This Row],[SRS/Real]]-Table2[[#This Row],[Spread/V]]</f>
        <v>0</v>
      </c>
      <c r="AJ963" s="2">
        <f>Table2[[#This Row],[EV/Real]]-Table2[[#This Row],[Spread/V]]</f>
        <v>0</v>
      </c>
      <c r="AK963" s="2">
        <f>Table2[[#This Row],[SRS/Diff]]-Table2[[#This Row],[EV/Diff]]</f>
        <v>0</v>
      </c>
      <c r="AL963" s="18">
        <f>Table2[[#This Row],[SRS]]-Table2[[#This Row],[Spread]]</f>
        <v>3.1013114754098341</v>
      </c>
      <c r="AM963" s="21">
        <f>Table2[[#This Row],[(A) Err]]^2</f>
        <v>9.6181328675087219</v>
      </c>
      <c r="AN963" s="6">
        <f>Table2[[#This Row],[EV]]-Table2[[#This Row],[Spread]]</f>
        <v>-2.6097711022344043</v>
      </c>
      <c r="AO963" s="1">
        <f>Table2[[#This Row],[EV Err]]^2</f>
        <v>6.8109052060577779</v>
      </c>
      <c r="AP963" s="1"/>
    </row>
    <row r="964" spans="1:42" x14ac:dyDescent="0.25">
      <c r="A964" s="34">
        <v>42804</v>
      </c>
      <c r="B964" t="s">
        <v>131</v>
      </c>
      <c r="C964" t="s">
        <v>122</v>
      </c>
      <c r="E964" s="21"/>
      <c r="G964" s="21"/>
      <c r="H964" s="7"/>
      <c r="I964" s="21"/>
      <c r="K964"/>
      <c r="L964" s="21">
        <f>(Table2[[#This Row],[H/Pace]]/100)*(VLOOKUP(Table2[[#This Row],[Home/Neutral]],home_lookup,8,FALSE)+VLOOKUP(Table2[[#This Row],[Home/Neutral]],OFR_lookup,2,FALSE)+VLOOKUP(Table2[[#This Row],[Visitor/Neutral]],def_diff_lookup,6,FALSE))</f>
        <v>101.60134979119765</v>
      </c>
      <c r="M964" s="21"/>
      <c r="N964" s="21">
        <f>(Table2[[#This Row],[A/Pace]]/100)*(VLOOKUP(Table2[[#This Row],[Visitor/Neutral]],OFR_lookup,2,FALSE)+VLOOKUP(Table2[[#This Row],[Home/Neutral]],def_diff_lookup,6,FALSE))</f>
        <v>110.31585799999999</v>
      </c>
      <c r="O964" s="21"/>
      <c r="P964" s="21"/>
      <c r="Q964">
        <f>VLOOKUP(Table2[[#This Row],[Home/Neutral]],pace_lookup,7,FALSE)</f>
        <v>101.7</v>
      </c>
      <c r="R964" s="5">
        <f>VLOOKUP(Table2[[#This Row],[Visitor/Neutral]],pace_lookup,7,FALSE)</f>
        <v>100.2</v>
      </c>
      <c r="S964" s="7"/>
      <c r="U964" s="15"/>
      <c r="W964" s="2">
        <f>-home-VLOOKUP(Table2[[#This Row],[Home/Neutral]],rtg_vlookup,4,FALSE)+VLOOKUP(Table2[[#This Row],[Visitor/Neutral]],rtg_vlookup,4,FALSE)</f>
        <v>1.3513114754098341</v>
      </c>
      <c r="X964" s="15"/>
      <c r="Y964" s="2"/>
      <c r="Z964" s="2">
        <f>Table2[[#This Row],[A/EV]]-Table2[[#This Row],[H/EV]]</f>
        <v>8.7145082088023429</v>
      </c>
      <c r="AA964" s="29"/>
      <c r="AB964" s="30"/>
      <c r="AC964" s="30"/>
      <c r="AD964" s="30"/>
      <c r="AE964" s="30"/>
      <c r="AF964" s="7" t="b">
        <f>IF(VLOOKUP(Table2[[#This Row],[Home/Neutral]],division_lookup,9,FALSE)=VLOOKUP(Table2[[#This Row],[Visitor/Neutral]],division_lookup,9,FALSE),TRUE,FALSE)</f>
        <v>1</v>
      </c>
      <c r="AG964" s="15" t="str">
        <f>VLOOKUP(Table2[[#This Row],[Home/Neutral]],division_lookup,9,FALSE)</f>
        <v>P</v>
      </c>
      <c r="AH964" s="15" t="str">
        <f>IF(Table2[[#This Row],[Total/EV]]&lt;Table2[[#This Row],[Total/V]],"UNDER","OVER")</f>
        <v>OVER</v>
      </c>
      <c r="AI964" s="26">
        <f>Table2[[#This Row],[SRS/Real]]-Table2[[#This Row],[Spread/V]]</f>
        <v>0</v>
      </c>
      <c r="AJ964" s="2">
        <f>Table2[[#This Row],[EV/Real]]-Table2[[#This Row],[Spread/V]]</f>
        <v>0</v>
      </c>
      <c r="AK964" s="2">
        <f>Table2[[#This Row],[SRS/Diff]]-Table2[[#This Row],[EV/Diff]]</f>
        <v>0</v>
      </c>
      <c r="AL964" s="18">
        <f>Table2[[#This Row],[SRS]]-Table2[[#This Row],[Spread]]</f>
        <v>1.3513114754098341</v>
      </c>
      <c r="AM964" s="21">
        <f>Table2[[#This Row],[(A) Err]]^2</f>
        <v>1.8260427035743028</v>
      </c>
      <c r="AN964" s="6">
        <f>Table2[[#This Row],[EV]]-Table2[[#This Row],[Spread]]</f>
        <v>8.7145082088023429</v>
      </c>
      <c r="AO964" s="1">
        <f>Table2[[#This Row],[EV Err]]^2</f>
        <v>75.942653321283416</v>
      </c>
      <c r="AP964" s="1"/>
    </row>
    <row r="965" spans="1:42" x14ac:dyDescent="0.25">
      <c r="A965" s="34">
        <v>42804</v>
      </c>
      <c r="B965" t="s">
        <v>132</v>
      </c>
      <c r="C965" t="s">
        <v>138</v>
      </c>
      <c r="E965" s="21"/>
      <c r="G965" s="21"/>
      <c r="H965" s="7"/>
      <c r="I965" s="21"/>
      <c r="K965"/>
      <c r="L965" s="21">
        <f>(Table2[[#This Row],[H/Pace]]/100)*(VLOOKUP(Table2[[#This Row],[Home/Neutral]],home_lookup,8,FALSE)+VLOOKUP(Table2[[#This Row],[Home/Neutral]],OFR_lookup,2,FALSE)+VLOOKUP(Table2[[#This Row],[Visitor/Neutral]],def_diff_lookup,6,FALSE))</f>
        <v>110.67398144606979</v>
      </c>
      <c r="M965" s="21"/>
      <c r="N965" s="21">
        <f>(Table2[[#This Row],[A/Pace]]/100)*(VLOOKUP(Table2[[#This Row],[Visitor/Neutral]],OFR_lookup,2,FALSE)+VLOOKUP(Table2[[#This Row],[Home/Neutral]],def_diff_lookup,6,FALSE))</f>
        <v>101.668775</v>
      </c>
      <c r="O965" s="21"/>
      <c r="P965" s="21"/>
      <c r="Q965">
        <f>VLOOKUP(Table2[[#This Row],[Home/Neutral]],pace_lookup,7,FALSE)</f>
        <v>98.8</v>
      </c>
      <c r="R965" s="5">
        <f>VLOOKUP(Table2[[#This Row],[Visitor/Neutral]],pace_lookup,7,FALSE)</f>
        <v>97.5</v>
      </c>
      <c r="S965" s="7"/>
      <c r="U965" s="15"/>
      <c r="W965" s="2">
        <f>-home-VLOOKUP(Table2[[#This Row],[Home/Neutral]],rtg_vlookup,4,FALSE)+VLOOKUP(Table2[[#This Row],[Visitor/Neutral]],rtg_vlookup,4,FALSE)</f>
        <v>-9.9686885245901671</v>
      </c>
      <c r="X965" s="15"/>
      <c r="Y965" s="2"/>
      <c r="Z965" s="2">
        <f>Table2[[#This Row],[A/EV]]-Table2[[#This Row],[H/EV]]</f>
        <v>-9.005206446069792</v>
      </c>
      <c r="AA965" s="29"/>
      <c r="AB965" s="30"/>
      <c r="AC965" s="30"/>
      <c r="AD965" s="30"/>
      <c r="AE965" s="30"/>
      <c r="AF965" s="7" t="b">
        <f>IF(VLOOKUP(Table2[[#This Row],[Home/Neutral]],division_lookup,9,FALSE)=VLOOKUP(Table2[[#This Row],[Visitor/Neutral]],division_lookup,9,FALSE),TRUE,FALSE)</f>
        <v>0</v>
      </c>
      <c r="AG965" s="15" t="str">
        <f>VLOOKUP(Table2[[#This Row],[Home/Neutral]],division_lookup,9,FALSE)</f>
        <v>NW</v>
      </c>
      <c r="AH965" s="15" t="str">
        <f>IF(Table2[[#This Row],[Total/EV]]&lt;Table2[[#This Row],[Total/V]],"UNDER","OVER")</f>
        <v>OVER</v>
      </c>
      <c r="AI965" s="26">
        <f>Table2[[#This Row],[SRS/Real]]-Table2[[#This Row],[Spread/V]]</f>
        <v>0</v>
      </c>
      <c r="AJ965" s="2">
        <f>Table2[[#This Row],[EV/Real]]-Table2[[#This Row],[Spread/V]]</f>
        <v>0</v>
      </c>
      <c r="AK965" s="2">
        <f>Table2[[#This Row],[SRS/Diff]]-Table2[[#This Row],[EV/Diff]]</f>
        <v>0</v>
      </c>
      <c r="AL965" s="18">
        <f>Table2[[#This Row],[SRS]]-Table2[[#This Row],[Spread]]</f>
        <v>-9.9686885245901671</v>
      </c>
      <c r="AM965" s="21">
        <f>Table2[[#This Row],[(A) Err]]^2</f>
        <v>99.37475090029568</v>
      </c>
      <c r="AN965" s="6">
        <f>Table2[[#This Row],[EV]]-Table2[[#This Row],[Spread]]</f>
        <v>-9.005206446069792</v>
      </c>
      <c r="AO965" s="1">
        <f>Table2[[#This Row],[EV Err]]^2</f>
        <v>81.09374313633694</v>
      </c>
      <c r="AP965" s="1"/>
    </row>
    <row r="966" spans="1:42" x14ac:dyDescent="0.25">
      <c r="A966" s="34">
        <v>42805</v>
      </c>
      <c r="B966" t="s">
        <v>109</v>
      </c>
      <c r="C966" t="s">
        <v>135</v>
      </c>
      <c r="E966" s="21"/>
      <c r="G966" s="21"/>
      <c r="H966" s="7"/>
      <c r="I966" s="21"/>
      <c r="K966"/>
      <c r="L966" s="21">
        <f>(Table2[[#This Row],[H/Pace]]/100)*(VLOOKUP(Table2[[#This Row],[Home/Neutral]],home_lookup,8,FALSE)+VLOOKUP(Table2[[#This Row],[Home/Neutral]],OFR_lookup,2,FALSE)+VLOOKUP(Table2[[#This Row],[Visitor/Neutral]],def_diff_lookup,6,FALSE))</f>
        <v>101.29824660728637</v>
      </c>
      <c r="M966" s="21"/>
      <c r="N966" s="21">
        <f>(Table2[[#This Row],[A/Pace]]/100)*(VLOOKUP(Table2[[#This Row],[Visitor/Neutral]],OFR_lookup,2,FALSE)+VLOOKUP(Table2[[#This Row],[Home/Neutral]],def_diff_lookup,6,FALSE))</f>
        <v>101.72088600000001</v>
      </c>
      <c r="O966" s="21"/>
      <c r="P966" s="21"/>
      <c r="Q966">
        <f>VLOOKUP(Table2[[#This Row],[Home/Neutral]],pace_lookup,7,FALSE)</f>
        <v>99.2</v>
      </c>
      <c r="R966" s="5">
        <f>VLOOKUP(Table2[[#This Row],[Visitor/Neutral]],pace_lookup,7,FALSE)</f>
        <v>95.4</v>
      </c>
      <c r="S966" s="7"/>
      <c r="U966" s="15"/>
      <c r="W966" s="2">
        <f>-home-VLOOKUP(Table2[[#This Row],[Home/Neutral]],rtg_vlookup,4,FALSE)+VLOOKUP(Table2[[#This Row],[Visitor/Neutral]],rtg_vlookup,4,FALSE)</f>
        <v>0.88131147540983434</v>
      </c>
      <c r="X966" s="15"/>
      <c r="Y966" s="2"/>
      <c r="Z966" s="2">
        <f>Table2[[#This Row],[A/EV]]-Table2[[#This Row],[H/EV]]</f>
        <v>0.42263939271363427</v>
      </c>
      <c r="AA966" s="29"/>
      <c r="AB966" s="30"/>
      <c r="AC966" s="30"/>
      <c r="AD966" s="30"/>
      <c r="AE966" s="30"/>
      <c r="AF966" s="7" t="b">
        <f>IF(VLOOKUP(Table2[[#This Row],[Home/Neutral]],division_lookup,9,FALSE)=VLOOKUP(Table2[[#This Row],[Visitor/Neutral]],division_lookup,9,FALSE),TRUE,FALSE)</f>
        <v>0</v>
      </c>
      <c r="AG966" s="15" t="str">
        <f>VLOOKUP(Table2[[#This Row],[Home/Neutral]],division_lookup,9,FALSE)</f>
        <v>SE</v>
      </c>
      <c r="AH966" s="15" t="str">
        <f>IF(Table2[[#This Row],[Total/EV]]&lt;Table2[[#This Row],[Total/V]],"UNDER","OVER")</f>
        <v>OVER</v>
      </c>
      <c r="AI966" s="26">
        <f>Table2[[#This Row],[SRS/Real]]-Table2[[#This Row],[Spread/V]]</f>
        <v>0</v>
      </c>
      <c r="AJ966" s="2">
        <f>Table2[[#This Row],[EV/Real]]-Table2[[#This Row],[Spread/V]]</f>
        <v>0</v>
      </c>
      <c r="AK966" s="2">
        <f>Table2[[#This Row],[SRS/Diff]]-Table2[[#This Row],[EV/Diff]]</f>
        <v>0</v>
      </c>
      <c r="AL966" s="18">
        <f>Table2[[#This Row],[SRS]]-Table2[[#This Row],[Spread]]</f>
        <v>0.88131147540983434</v>
      </c>
      <c r="AM966" s="21">
        <f>Table2[[#This Row],[(A) Err]]^2</f>
        <v>0.77670991668905909</v>
      </c>
      <c r="AN966" s="6">
        <f>Table2[[#This Row],[EV]]-Table2[[#This Row],[Spread]]</f>
        <v>0.42263939271363427</v>
      </c>
      <c r="AO966" s="1">
        <f>Table2[[#This Row],[EV Err]]^2</f>
        <v>0.17862405627334957</v>
      </c>
      <c r="AP966" s="1"/>
    </row>
    <row r="967" spans="1:42" x14ac:dyDescent="0.25">
      <c r="A967" s="34">
        <v>42805</v>
      </c>
      <c r="B967" t="s">
        <v>113</v>
      </c>
      <c r="C967" t="s">
        <v>119</v>
      </c>
      <c r="E967" s="21"/>
      <c r="G967" s="21"/>
      <c r="H967" s="7"/>
      <c r="I967" s="21"/>
      <c r="K967"/>
      <c r="L967" s="21">
        <f>(Table2[[#This Row],[H/Pace]]/100)*(VLOOKUP(Table2[[#This Row],[Home/Neutral]],home_lookup,8,FALSE)+VLOOKUP(Table2[[#This Row],[Home/Neutral]],OFR_lookup,2,FALSE)+VLOOKUP(Table2[[#This Row],[Visitor/Neutral]],def_diff_lookup,6,FALSE))</f>
        <v>111.72469388016279</v>
      </c>
      <c r="M967" s="21"/>
      <c r="N967" s="21">
        <f>(Table2[[#This Row],[A/Pace]]/100)*(VLOOKUP(Table2[[#This Row],[Visitor/Neutral]],OFR_lookup,2,FALSE)+VLOOKUP(Table2[[#This Row],[Home/Neutral]],def_diff_lookup,6,FALSE))</f>
        <v>109.114891</v>
      </c>
      <c r="O967" s="21"/>
      <c r="P967" s="21"/>
      <c r="Q967">
        <f>VLOOKUP(Table2[[#This Row],[Home/Neutral]],pace_lookup,7,FALSE)</f>
        <v>95.1</v>
      </c>
      <c r="R967" s="5">
        <f>VLOOKUP(Table2[[#This Row],[Visitor/Neutral]],pace_lookup,7,FALSE)</f>
        <v>96.9</v>
      </c>
      <c r="S967" s="7"/>
      <c r="U967" s="15"/>
      <c r="W967" s="2">
        <f>-home-VLOOKUP(Table2[[#This Row],[Home/Neutral]],rtg_vlookup,4,FALSE)+VLOOKUP(Table2[[#This Row],[Visitor/Neutral]],rtg_vlookup,4,FALSE)</f>
        <v>-3.748688524590166</v>
      </c>
      <c r="X967" s="15"/>
      <c r="Y967" s="2"/>
      <c r="Z967" s="2">
        <f>Table2[[#This Row],[A/EV]]-Table2[[#This Row],[H/EV]]</f>
        <v>-2.6098028801627891</v>
      </c>
      <c r="AA967" s="29"/>
      <c r="AB967" s="30"/>
      <c r="AC967" s="30"/>
      <c r="AD967" s="30"/>
      <c r="AE967" s="30"/>
      <c r="AF967" s="7" t="b">
        <f>IF(VLOOKUP(Table2[[#This Row],[Home/Neutral]],division_lookup,9,FALSE)=VLOOKUP(Table2[[#This Row],[Visitor/Neutral]],division_lookup,9,FALSE),TRUE,FALSE)</f>
        <v>0</v>
      </c>
      <c r="AG967" s="15" t="str">
        <f>VLOOKUP(Table2[[#This Row],[Home/Neutral]],division_lookup,9,FALSE)</f>
        <v>C</v>
      </c>
      <c r="AH967" s="15" t="str">
        <f>IF(Table2[[#This Row],[Total/EV]]&lt;Table2[[#This Row],[Total/V]],"UNDER","OVER")</f>
        <v>OVER</v>
      </c>
      <c r="AI967" s="26">
        <f>Table2[[#This Row],[SRS/Real]]-Table2[[#This Row],[Spread/V]]</f>
        <v>0</v>
      </c>
      <c r="AJ967" s="2">
        <f>Table2[[#This Row],[EV/Real]]-Table2[[#This Row],[Spread/V]]</f>
        <v>0</v>
      </c>
      <c r="AK967" s="2">
        <f>Table2[[#This Row],[SRS/Diff]]-Table2[[#This Row],[EV/Diff]]</f>
        <v>0</v>
      </c>
      <c r="AL967" s="18">
        <f>Table2[[#This Row],[SRS]]-Table2[[#This Row],[Spread]]</f>
        <v>-3.748688524590166</v>
      </c>
      <c r="AM967" s="21">
        <f>Table2[[#This Row],[(A) Err]]^2</f>
        <v>14.052665654393996</v>
      </c>
      <c r="AN967" s="6">
        <f>Table2[[#This Row],[EV]]-Table2[[#This Row],[Spread]]</f>
        <v>-2.6098028801627891</v>
      </c>
      <c r="AO967" s="1">
        <f>Table2[[#This Row],[EV Err]]^2</f>
        <v>6.8110710733059889</v>
      </c>
      <c r="AP967" s="1"/>
    </row>
    <row r="968" spans="1:42" x14ac:dyDescent="0.25">
      <c r="A968" s="34">
        <v>42805</v>
      </c>
      <c r="B968" t="s">
        <v>112</v>
      </c>
      <c r="C968" t="s">
        <v>130</v>
      </c>
      <c r="E968" s="21"/>
      <c r="G968" s="21"/>
      <c r="H968" s="7"/>
      <c r="I968" s="21"/>
      <c r="K968"/>
      <c r="L968" s="21">
        <f>(Table2[[#This Row],[H/Pace]]/100)*(VLOOKUP(Table2[[#This Row],[Home/Neutral]],home_lookup,8,FALSE)+VLOOKUP(Table2[[#This Row],[Home/Neutral]],OFR_lookup,2,FALSE)+VLOOKUP(Table2[[#This Row],[Visitor/Neutral]],def_diff_lookup,6,FALSE))</f>
        <v>103.99470195313484</v>
      </c>
      <c r="M968" s="21"/>
      <c r="N968" s="21">
        <f>(Table2[[#This Row],[A/Pace]]/100)*(VLOOKUP(Table2[[#This Row],[Visitor/Neutral]],OFR_lookup,2,FALSE)+VLOOKUP(Table2[[#This Row],[Home/Neutral]],def_diff_lookup,6,FALSE))</f>
        <v>91.275717999999998</v>
      </c>
      <c r="O968" s="21"/>
      <c r="P968" s="21"/>
      <c r="Q968">
        <f>VLOOKUP(Table2[[#This Row],[Home/Neutral]],pace_lookup,7,FALSE)</f>
        <v>97.4</v>
      </c>
      <c r="R968" s="5">
        <f>VLOOKUP(Table2[[#This Row],[Visitor/Neutral]],pace_lookup,7,FALSE)</f>
        <v>94.2</v>
      </c>
      <c r="S968" s="7"/>
      <c r="U968" s="15"/>
      <c r="W968" s="2">
        <f>-home-VLOOKUP(Table2[[#This Row],[Home/Neutral]],rtg_vlookup,4,FALSE)+VLOOKUP(Table2[[#This Row],[Visitor/Neutral]],rtg_vlookup,4,FALSE)</f>
        <v>-13.448688524590168</v>
      </c>
      <c r="X968" s="15"/>
      <c r="Y968" s="2"/>
      <c r="Z968" s="2">
        <f>Table2[[#This Row],[A/EV]]-Table2[[#This Row],[H/EV]]</f>
        <v>-12.718983953134838</v>
      </c>
      <c r="AA968" s="29"/>
      <c r="AB968" s="30"/>
      <c r="AC968" s="30"/>
      <c r="AD968" s="30"/>
      <c r="AE968" s="30"/>
      <c r="AF968" s="7" t="b">
        <f>IF(VLOOKUP(Table2[[#This Row],[Home/Neutral]],division_lookup,9,FALSE)=VLOOKUP(Table2[[#This Row],[Visitor/Neutral]],division_lookup,9,FALSE),TRUE,FALSE)</f>
        <v>1</v>
      </c>
      <c r="AG968" s="15" t="str">
        <f>VLOOKUP(Table2[[#This Row],[Home/Neutral]],division_lookup,9,FALSE)</f>
        <v>SE</v>
      </c>
      <c r="AH968" s="15" t="str">
        <f>IF(Table2[[#This Row],[Total/EV]]&lt;Table2[[#This Row],[Total/V]],"UNDER","OVER")</f>
        <v>OVER</v>
      </c>
      <c r="AI968" s="26">
        <f>Table2[[#This Row],[SRS/Real]]-Table2[[#This Row],[Spread/V]]</f>
        <v>0</v>
      </c>
      <c r="AJ968" s="2">
        <f>Table2[[#This Row],[EV/Real]]-Table2[[#This Row],[Spread/V]]</f>
        <v>0</v>
      </c>
      <c r="AK968" s="2">
        <f>Table2[[#This Row],[SRS/Diff]]-Table2[[#This Row],[EV/Diff]]</f>
        <v>0</v>
      </c>
      <c r="AL968" s="18">
        <f>Table2[[#This Row],[SRS]]-Table2[[#This Row],[Spread]]</f>
        <v>-13.448688524590168</v>
      </c>
      <c r="AM968" s="21">
        <f>Table2[[#This Row],[(A) Err]]^2</f>
        <v>180.86722303144325</v>
      </c>
      <c r="AN968" s="6">
        <f>Table2[[#This Row],[EV]]-Table2[[#This Row],[Spread]]</f>
        <v>-12.718983953134838</v>
      </c>
      <c r="AO968" s="1">
        <f>Table2[[#This Row],[EV Err]]^2</f>
        <v>161.77255280010152</v>
      </c>
      <c r="AP968" s="1"/>
    </row>
    <row r="969" spans="1:42" x14ac:dyDescent="0.25">
      <c r="A969" s="34">
        <v>42805</v>
      </c>
      <c r="B969" t="s">
        <v>115</v>
      </c>
      <c r="C969" t="s">
        <v>111</v>
      </c>
      <c r="E969" s="21"/>
      <c r="G969" s="21"/>
      <c r="H969" s="7"/>
      <c r="I969" s="21"/>
      <c r="K969"/>
      <c r="L969" s="21">
        <f>(Table2[[#This Row],[H/Pace]]/100)*(VLOOKUP(Table2[[#This Row],[Home/Neutral]],home_lookup,8,FALSE)+VLOOKUP(Table2[[#This Row],[Home/Neutral]],OFR_lookup,2,FALSE)+VLOOKUP(Table2[[#This Row],[Visitor/Neutral]],def_diff_lookup,6,FALSE))</f>
        <v>99.39108311596776</v>
      </c>
      <c r="M969" s="21"/>
      <c r="N969" s="21">
        <f>(Table2[[#This Row],[A/Pace]]/100)*(VLOOKUP(Table2[[#This Row],[Visitor/Neutral]],OFR_lookup,2,FALSE)+VLOOKUP(Table2[[#This Row],[Home/Neutral]],def_diff_lookup,6,FALSE))</f>
        <v>103.49498</v>
      </c>
      <c r="O969" s="21"/>
      <c r="P969" s="21"/>
      <c r="Q969">
        <f>VLOOKUP(Table2[[#This Row],[Home/Neutral]],pace_lookup,7,FALSE)</f>
        <v>92.9</v>
      </c>
      <c r="R969" s="5">
        <f>VLOOKUP(Table2[[#This Row],[Visitor/Neutral]],pace_lookup,7,FALSE)</f>
        <v>102</v>
      </c>
      <c r="S969" s="7"/>
      <c r="U969" s="15"/>
      <c r="W969" s="2">
        <f>-home-VLOOKUP(Table2[[#This Row],[Home/Neutral]],rtg_vlookup,4,FALSE)+VLOOKUP(Table2[[#This Row],[Visitor/Neutral]],rtg_vlookup,4,FALSE)</f>
        <v>-2.6986885245901657</v>
      </c>
      <c r="X969" s="15"/>
      <c r="Y969" s="2"/>
      <c r="Z969" s="2">
        <f>Table2[[#This Row],[A/EV]]-Table2[[#This Row],[H/EV]]</f>
        <v>4.1038968840322383</v>
      </c>
      <c r="AA969" s="29"/>
      <c r="AB969" s="30"/>
      <c r="AC969" s="30"/>
      <c r="AD969" s="30"/>
      <c r="AE969" s="30"/>
      <c r="AF969" s="7" t="b">
        <f>IF(VLOOKUP(Table2[[#This Row],[Home/Neutral]],division_lookup,9,FALSE)=VLOOKUP(Table2[[#This Row],[Visitor/Neutral]],division_lookup,9,FALSE),TRUE,FALSE)</f>
        <v>0</v>
      </c>
      <c r="AG969" s="15" t="str">
        <f>VLOOKUP(Table2[[#This Row],[Home/Neutral]],division_lookup,9,FALSE)</f>
        <v>SW</v>
      </c>
      <c r="AH969" s="15" t="str">
        <f>IF(Table2[[#This Row],[Total/EV]]&lt;Table2[[#This Row],[Total/V]],"UNDER","OVER")</f>
        <v>OVER</v>
      </c>
      <c r="AI969" s="26">
        <f>Table2[[#This Row],[SRS/Real]]-Table2[[#This Row],[Spread/V]]</f>
        <v>0</v>
      </c>
      <c r="AJ969" s="2">
        <f>Table2[[#This Row],[EV/Real]]-Table2[[#This Row],[Spread/V]]</f>
        <v>0</v>
      </c>
      <c r="AK969" s="2">
        <f>Table2[[#This Row],[SRS/Diff]]-Table2[[#This Row],[EV/Diff]]</f>
        <v>0</v>
      </c>
      <c r="AL969" s="18">
        <f>Table2[[#This Row],[SRS]]-Table2[[#This Row],[Spread]]</f>
        <v>-2.6986885245901657</v>
      </c>
      <c r="AM969" s="21">
        <f>Table2[[#This Row],[(A) Err]]^2</f>
        <v>7.2829197527546459</v>
      </c>
      <c r="AN969" s="6">
        <f>Table2[[#This Row],[EV]]-Table2[[#This Row],[Spread]]</f>
        <v>4.1038968840322383</v>
      </c>
      <c r="AO969" s="1">
        <f>Table2[[#This Row],[EV Err]]^2</f>
        <v>16.841969634769516</v>
      </c>
      <c r="AP969" s="1"/>
    </row>
    <row r="970" spans="1:42" x14ac:dyDescent="0.25">
      <c r="A970" s="34">
        <v>42805</v>
      </c>
      <c r="B970" t="s">
        <v>116</v>
      </c>
      <c r="C970" t="s">
        <v>110</v>
      </c>
      <c r="E970" s="21"/>
      <c r="G970" s="21"/>
      <c r="H970" s="7"/>
      <c r="I970" s="21"/>
      <c r="K970"/>
      <c r="L970" s="21">
        <f>(Table2[[#This Row],[H/Pace]]/100)*(VLOOKUP(Table2[[#This Row],[Home/Neutral]],home_lookup,8,FALSE)+VLOOKUP(Table2[[#This Row],[Home/Neutral]],OFR_lookup,2,FALSE)+VLOOKUP(Table2[[#This Row],[Visitor/Neutral]],def_diff_lookup,6,FALSE))</f>
        <v>105.62921470161864</v>
      </c>
      <c r="M970" s="21"/>
      <c r="N970" s="21">
        <f>(Table2[[#This Row],[A/Pace]]/100)*(VLOOKUP(Table2[[#This Row],[Visitor/Neutral]],OFR_lookup,2,FALSE)+VLOOKUP(Table2[[#This Row],[Home/Neutral]],def_diff_lookup,6,FALSE))</f>
        <v>103.99765133333334</v>
      </c>
      <c r="O970" s="21"/>
      <c r="P970" s="21"/>
      <c r="Q970">
        <f>VLOOKUP(Table2[[#This Row],[Home/Neutral]],pace_lookup,7,FALSE)</f>
        <v>99.1</v>
      </c>
      <c r="R970" s="5">
        <f>VLOOKUP(Table2[[#This Row],[Visitor/Neutral]],pace_lookup,7,FALSE)</f>
        <v>96.2</v>
      </c>
      <c r="S970" s="7"/>
      <c r="U970" s="15"/>
      <c r="W970" s="2">
        <f>-home-VLOOKUP(Table2[[#This Row],[Home/Neutral]],rtg_vlookup,4,FALSE)+VLOOKUP(Table2[[#This Row],[Visitor/Neutral]],rtg_vlookup,4,FALSE)</f>
        <v>-1.558688524590166</v>
      </c>
      <c r="X970" s="15"/>
      <c r="Y970" s="2"/>
      <c r="Z970" s="2">
        <f>Table2[[#This Row],[A/EV]]-Table2[[#This Row],[H/EV]]</f>
        <v>-1.631563368285299</v>
      </c>
      <c r="AA970" s="29"/>
      <c r="AB970" s="30"/>
      <c r="AC970" s="30"/>
      <c r="AD970" s="30"/>
      <c r="AE970" s="30"/>
      <c r="AF970" s="7" t="b">
        <f>IF(VLOOKUP(Table2[[#This Row],[Home/Neutral]],division_lookup,9,FALSE)=VLOOKUP(Table2[[#This Row],[Visitor/Neutral]],division_lookup,9,FALSE),TRUE,FALSE)</f>
        <v>0</v>
      </c>
      <c r="AG970" s="15" t="str">
        <f>VLOOKUP(Table2[[#This Row],[Home/Neutral]],division_lookup,9,FALSE)</f>
        <v>NW</v>
      </c>
      <c r="AH970" s="15" t="str">
        <f>IF(Table2[[#This Row],[Total/EV]]&lt;Table2[[#This Row],[Total/V]],"UNDER","OVER")</f>
        <v>OVER</v>
      </c>
      <c r="AI970" s="26">
        <f>Table2[[#This Row],[SRS/Real]]-Table2[[#This Row],[Spread/V]]</f>
        <v>0</v>
      </c>
      <c r="AJ970" s="2">
        <f>Table2[[#This Row],[EV/Real]]-Table2[[#This Row],[Spread/V]]</f>
        <v>0</v>
      </c>
      <c r="AK970" s="2">
        <f>Table2[[#This Row],[SRS/Diff]]-Table2[[#This Row],[EV/Diff]]</f>
        <v>0</v>
      </c>
      <c r="AL970" s="18">
        <f>Table2[[#This Row],[SRS]]-Table2[[#This Row],[Spread]]</f>
        <v>-1.558688524590166</v>
      </c>
      <c r="AM970" s="21">
        <f>Table2[[#This Row],[(A) Err]]^2</f>
        <v>2.4295099166890686</v>
      </c>
      <c r="AN970" s="6">
        <f>Table2[[#This Row],[EV]]-Table2[[#This Row],[Spread]]</f>
        <v>-1.631563368285299</v>
      </c>
      <c r="AO970" s="1">
        <f>Table2[[#This Row],[EV Err]]^2</f>
        <v>2.6619990247304703</v>
      </c>
      <c r="AP970" s="1"/>
    </row>
    <row r="971" spans="1:42" x14ac:dyDescent="0.25">
      <c r="A971" s="34">
        <v>42805</v>
      </c>
      <c r="B971" t="s">
        <v>125</v>
      </c>
      <c r="C971" t="s">
        <v>120</v>
      </c>
      <c r="E971" s="21"/>
      <c r="G971" s="21"/>
      <c r="H971" s="7"/>
      <c r="I971" s="21"/>
      <c r="K971"/>
      <c r="L971" s="21">
        <f>(Table2[[#This Row],[H/Pace]]/100)*(VLOOKUP(Table2[[#This Row],[Home/Neutral]],home_lookup,8,FALSE)+VLOOKUP(Table2[[#This Row],[Home/Neutral]],OFR_lookup,2,FALSE)+VLOOKUP(Table2[[#This Row],[Visitor/Neutral]],def_diff_lookup,6,FALSE))</f>
        <v>110.18903550061907</v>
      </c>
      <c r="M971" s="21"/>
      <c r="N971" s="21">
        <f>(Table2[[#This Row],[A/Pace]]/100)*(VLOOKUP(Table2[[#This Row],[Visitor/Neutral]],OFR_lookup,2,FALSE)+VLOOKUP(Table2[[#This Row],[Home/Neutral]],def_diff_lookup,6,FALSE))</f>
        <v>103.97748033333333</v>
      </c>
      <c r="O971" s="21"/>
      <c r="P971" s="21"/>
      <c r="Q971">
        <f>VLOOKUP(Table2[[#This Row],[Home/Neutral]],pace_lookup,7,FALSE)</f>
        <v>96.1</v>
      </c>
      <c r="R971" s="5">
        <f>VLOOKUP(Table2[[#This Row],[Visitor/Neutral]],pace_lookup,7,FALSE)</f>
        <v>98.3</v>
      </c>
      <c r="S971" s="7"/>
      <c r="U971" s="15"/>
      <c r="W971" s="2">
        <f>-home-VLOOKUP(Table2[[#This Row],[Home/Neutral]],rtg_vlookup,4,FALSE)+VLOOKUP(Table2[[#This Row],[Visitor/Neutral]],rtg_vlookup,4,FALSE)</f>
        <v>-4.9986885245901664</v>
      </c>
      <c r="X971" s="15"/>
      <c r="Y971" s="2"/>
      <c r="Z971" s="2">
        <f>Table2[[#This Row],[A/EV]]-Table2[[#This Row],[H/EV]]</f>
        <v>-6.2115551672857379</v>
      </c>
      <c r="AA971" s="29"/>
      <c r="AB971" s="30"/>
      <c r="AC971" s="30"/>
      <c r="AD971" s="30"/>
      <c r="AE971" s="30"/>
      <c r="AF971" s="7" t="b">
        <f>IF(VLOOKUP(Table2[[#This Row],[Home/Neutral]],division_lookup,9,FALSE)=VLOOKUP(Table2[[#This Row],[Visitor/Neutral]],division_lookup,9,FALSE),TRUE,FALSE)</f>
        <v>1</v>
      </c>
      <c r="AG971" s="15" t="str">
        <f>VLOOKUP(Table2[[#This Row],[Home/Neutral]],division_lookup,9,FALSE)</f>
        <v>C</v>
      </c>
      <c r="AH971" s="15" t="str">
        <f>IF(Table2[[#This Row],[Total/EV]]&lt;Table2[[#This Row],[Total/V]],"UNDER","OVER")</f>
        <v>OVER</v>
      </c>
      <c r="AI971" s="26">
        <f>Table2[[#This Row],[SRS/Real]]-Table2[[#This Row],[Spread/V]]</f>
        <v>0</v>
      </c>
      <c r="AJ971" s="2">
        <f>Table2[[#This Row],[EV/Real]]-Table2[[#This Row],[Spread/V]]</f>
        <v>0</v>
      </c>
      <c r="AK971" s="2">
        <f>Table2[[#This Row],[SRS/Diff]]-Table2[[#This Row],[EV/Diff]]</f>
        <v>0</v>
      </c>
      <c r="AL971" s="18">
        <f>Table2[[#This Row],[SRS]]-Table2[[#This Row],[Spread]]</f>
        <v>-4.9986885245901664</v>
      </c>
      <c r="AM971" s="21">
        <f>Table2[[#This Row],[(A) Err]]^2</f>
        <v>24.986886965869417</v>
      </c>
      <c r="AN971" s="6">
        <f>Table2[[#This Row],[EV]]-Table2[[#This Row],[Spread]]</f>
        <v>-6.2115551672857379</v>
      </c>
      <c r="AO971" s="1">
        <f>Table2[[#This Row],[EV Err]]^2</f>
        <v>38.583417596234149</v>
      </c>
      <c r="AP971" s="1"/>
    </row>
    <row r="972" spans="1:42" x14ac:dyDescent="0.25">
      <c r="A972" s="34">
        <v>42805</v>
      </c>
      <c r="B972" t="s">
        <v>126</v>
      </c>
      <c r="C972" t="s">
        <v>118</v>
      </c>
      <c r="E972" s="21"/>
      <c r="G972" s="21"/>
      <c r="H972" s="7"/>
      <c r="I972" s="21"/>
      <c r="K972"/>
      <c r="L972" s="21">
        <f>(Table2[[#This Row],[H/Pace]]/100)*(VLOOKUP(Table2[[#This Row],[Home/Neutral]],home_lookup,8,FALSE)+VLOOKUP(Table2[[#This Row],[Home/Neutral]],OFR_lookup,2,FALSE)+VLOOKUP(Table2[[#This Row],[Visitor/Neutral]],def_diff_lookup,6,FALSE))</f>
        <v>113.81147777050786</v>
      </c>
      <c r="M972" s="21"/>
      <c r="N972" s="21">
        <f>(Table2[[#This Row],[A/Pace]]/100)*(VLOOKUP(Table2[[#This Row],[Visitor/Neutral]],OFR_lookup,2,FALSE)+VLOOKUP(Table2[[#This Row],[Home/Neutral]],def_diff_lookup,6,FALSE))</f>
        <v>120.62624933333332</v>
      </c>
      <c r="O972" s="21"/>
      <c r="P972" s="21"/>
      <c r="Q972">
        <f>VLOOKUP(Table2[[#This Row],[Home/Neutral]],pace_lookup,7,FALSE)</f>
        <v>95.7</v>
      </c>
      <c r="R972" s="5">
        <f>VLOOKUP(Table2[[#This Row],[Visitor/Neutral]],pace_lookup,7,FALSE)</f>
        <v>100.4</v>
      </c>
      <c r="S972" s="7"/>
      <c r="U972" s="15"/>
      <c r="W972" s="2">
        <f>-home-VLOOKUP(Table2[[#This Row],[Home/Neutral]],rtg_vlookup,4,FALSE)+VLOOKUP(Table2[[#This Row],[Visitor/Neutral]],rtg_vlookup,4,FALSE)</f>
        <v>9.8213114754098338</v>
      </c>
      <c r="X972" s="15"/>
      <c r="Y972" s="2"/>
      <c r="Z972" s="2">
        <f>Table2[[#This Row],[A/EV]]-Table2[[#This Row],[H/EV]]</f>
        <v>6.8147715628254559</v>
      </c>
      <c r="AA972" s="29"/>
      <c r="AB972" s="30"/>
      <c r="AC972" s="30"/>
      <c r="AD972" s="30"/>
      <c r="AE972" s="30"/>
      <c r="AF972" s="7" t="b">
        <f>IF(VLOOKUP(Table2[[#This Row],[Home/Neutral]],division_lookup,9,FALSE)=VLOOKUP(Table2[[#This Row],[Visitor/Neutral]],division_lookup,9,FALSE),TRUE,FALSE)</f>
        <v>0</v>
      </c>
      <c r="AG972" s="15" t="str">
        <f>VLOOKUP(Table2[[#This Row],[Home/Neutral]],division_lookup,9,FALSE)</f>
        <v>NW</v>
      </c>
      <c r="AH972" s="15" t="str">
        <f>IF(Table2[[#This Row],[Total/EV]]&lt;Table2[[#This Row],[Total/V]],"UNDER","OVER")</f>
        <v>OVER</v>
      </c>
      <c r="AI972" s="26">
        <f>Table2[[#This Row],[SRS/Real]]-Table2[[#This Row],[Spread/V]]</f>
        <v>0</v>
      </c>
      <c r="AJ972" s="2">
        <f>Table2[[#This Row],[EV/Real]]-Table2[[#This Row],[Spread/V]]</f>
        <v>0</v>
      </c>
      <c r="AK972" s="2">
        <f>Table2[[#This Row],[SRS/Diff]]-Table2[[#This Row],[EV/Diff]]</f>
        <v>0</v>
      </c>
      <c r="AL972" s="18">
        <f>Table2[[#This Row],[SRS]]-Table2[[#This Row],[Spread]]</f>
        <v>9.8213114754098338</v>
      </c>
      <c r="AM972" s="21">
        <f>Table2[[#This Row],[(A) Err]]^2</f>
        <v>96.458159097016889</v>
      </c>
      <c r="AN972" s="6">
        <f>Table2[[#This Row],[EV]]-Table2[[#This Row],[Spread]]</f>
        <v>6.8147715628254559</v>
      </c>
      <c r="AO972" s="1">
        <f>Table2[[#This Row],[EV Err]]^2</f>
        <v>46.441111453494507</v>
      </c>
      <c r="AP972" s="1"/>
    </row>
    <row r="973" spans="1:42" x14ac:dyDescent="0.25">
      <c r="A973" s="34">
        <v>42805</v>
      </c>
      <c r="B973" t="s">
        <v>133</v>
      </c>
      <c r="C973" t="s">
        <v>137</v>
      </c>
      <c r="E973" s="21"/>
      <c r="G973" s="21"/>
      <c r="H973" s="7"/>
      <c r="I973" s="21"/>
      <c r="K973"/>
      <c r="L973" s="21">
        <f>(Table2[[#This Row],[H/Pace]]/100)*(VLOOKUP(Table2[[#This Row],[Home/Neutral]],home_lookup,8,FALSE)+VLOOKUP(Table2[[#This Row],[Home/Neutral]],OFR_lookup,2,FALSE)+VLOOKUP(Table2[[#This Row],[Visitor/Neutral]],def_diff_lookup,6,FALSE))</f>
        <v>111.34840748279979</v>
      </c>
      <c r="M973" s="21"/>
      <c r="N973" s="21">
        <f>(Table2[[#This Row],[A/Pace]]/100)*(VLOOKUP(Table2[[#This Row],[Visitor/Neutral]],OFR_lookup,2,FALSE)+VLOOKUP(Table2[[#This Row],[Home/Neutral]],def_diff_lookup,6,FALSE))</f>
        <v>105.99903999999999</v>
      </c>
      <c r="O973" s="21"/>
      <c r="P973" s="21"/>
      <c r="Q973">
        <f>VLOOKUP(Table2[[#This Row],[Home/Neutral]],pace_lookup,7,FALSE)</f>
        <v>94.2</v>
      </c>
      <c r="R973" s="5">
        <f>VLOOKUP(Table2[[#This Row],[Visitor/Neutral]],pace_lookup,7,FALSE)</f>
        <v>96</v>
      </c>
      <c r="S973" s="7"/>
      <c r="U973" s="15"/>
      <c r="W973" s="2">
        <f>-home-VLOOKUP(Table2[[#This Row],[Home/Neutral]],rtg_vlookup,4,FALSE)+VLOOKUP(Table2[[#This Row],[Visitor/Neutral]],rtg_vlookup,4,FALSE)</f>
        <v>-3.8486885245901656</v>
      </c>
      <c r="X973" s="15"/>
      <c r="Y973" s="2"/>
      <c r="Z973" s="2">
        <f>Table2[[#This Row],[A/EV]]-Table2[[#This Row],[H/EV]]</f>
        <v>-5.3493674827997921</v>
      </c>
      <c r="AA973" s="29"/>
      <c r="AB973" s="30"/>
      <c r="AC973" s="30"/>
      <c r="AD973" s="30"/>
      <c r="AE973" s="30"/>
      <c r="AF973" s="7" t="b">
        <f>IF(VLOOKUP(Table2[[#This Row],[Home/Neutral]],division_lookup,9,FALSE)=VLOOKUP(Table2[[#This Row],[Visitor/Neutral]],division_lookup,9,FALSE),TRUE,FALSE)</f>
        <v>0</v>
      </c>
      <c r="AG973" s="15" t="str">
        <f>VLOOKUP(Table2[[#This Row],[Home/Neutral]],division_lookup,9,FALSE)</f>
        <v>P</v>
      </c>
      <c r="AH973" s="15" t="str">
        <f>IF(Table2[[#This Row],[Total/EV]]&lt;Table2[[#This Row],[Total/V]],"UNDER","OVER")</f>
        <v>OVER</v>
      </c>
      <c r="AI973" s="26">
        <f>Table2[[#This Row],[SRS/Real]]-Table2[[#This Row],[Spread/V]]</f>
        <v>0</v>
      </c>
      <c r="AJ973" s="2">
        <f>Table2[[#This Row],[EV/Real]]-Table2[[#This Row],[Spread/V]]</f>
        <v>0</v>
      </c>
      <c r="AK973" s="2">
        <f>Table2[[#This Row],[SRS/Diff]]-Table2[[#This Row],[EV/Diff]]</f>
        <v>0</v>
      </c>
      <c r="AL973" s="18">
        <f>Table2[[#This Row],[SRS]]-Table2[[#This Row],[Spread]]</f>
        <v>-3.8486885245901656</v>
      </c>
      <c r="AM973" s="21">
        <f>Table2[[#This Row],[(A) Err]]^2</f>
        <v>14.812403359312025</v>
      </c>
      <c r="AN973" s="6">
        <f>Table2[[#This Row],[EV]]-Table2[[#This Row],[Spread]]</f>
        <v>-5.3493674827997921</v>
      </c>
      <c r="AO973" s="1">
        <f>Table2[[#This Row],[EV Err]]^2</f>
        <v>28.615732466035784</v>
      </c>
      <c r="AP973" s="1"/>
    </row>
    <row r="974" spans="1:42" x14ac:dyDescent="0.25">
      <c r="A974" s="34">
        <v>42806</v>
      </c>
      <c r="B974" t="s">
        <v>112</v>
      </c>
      <c r="C974" t="s">
        <v>127</v>
      </c>
      <c r="E974" s="21"/>
      <c r="G974" s="21"/>
      <c r="H974" s="7"/>
      <c r="I974" s="21"/>
      <c r="K974"/>
      <c r="L974" s="21">
        <f>(Table2[[#This Row],[H/Pace]]/100)*(VLOOKUP(Table2[[#This Row],[Home/Neutral]],home_lookup,8,FALSE)+VLOOKUP(Table2[[#This Row],[Home/Neutral]],OFR_lookup,2,FALSE)+VLOOKUP(Table2[[#This Row],[Visitor/Neutral]],def_diff_lookup,6,FALSE))</f>
        <v>102.91356195313483</v>
      </c>
      <c r="M974" s="21"/>
      <c r="N974" s="21">
        <f>(Table2[[#This Row],[A/Pace]]/100)*(VLOOKUP(Table2[[#This Row],[Visitor/Neutral]],OFR_lookup,2,FALSE)+VLOOKUP(Table2[[#This Row],[Home/Neutral]],def_diff_lookup,6,FALSE))</f>
        <v>101.05330699999999</v>
      </c>
      <c r="O974" s="21"/>
      <c r="P974" s="21"/>
      <c r="Q974">
        <f>VLOOKUP(Table2[[#This Row],[Home/Neutral]],pace_lookup,7,FALSE)</f>
        <v>97.4</v>
      </c>
      <c r="R974" s="5">
        <f>VLOOKUP(Table2[[#This Row],[Visitor/Neutral]],pace_lookup,7,FALSE)</f>
        <v>99.3</v>
      </c>
      <c r="S974" s="7"/>
      <c r="U974" s="15"/>
      <c r="W974" s="2">
        <f>-home-VLOOKUP(Table2[[#This Row],[Home/Neutral]],rtg_vlookup,4,FALSE)+VLOOKUP(Table2[[#This Row],[Visitor/Neutral]],rtg_vlookup,4,FALSE)</f>
        <v>-7.478688524590166</v>
      </c>
      <c r="X974" s="15"/>
      <c r="Y974" s="2"/>
      <c r="Z974" s="2">
        <f>Table2[[#This Row],[A/EV]]-Table2[[#This Row],[H/EV]]</f>
        <v>-1.8602549531348416</v>
      </c>
      <c r="AA974" s="29"/>
      <c r="AB974" s="30"/>
      <c r="AC974" s="30"/>
      <c r="AD974" s="30"/>
      <c r="AE974" s="30"/>
      <c r="AF974" s="7" t="b">
        <f>IF(VLOOKUP(Table2[[#This Row],[Home/Neutral]],division_lookup,9,FALSE)=VLOOKUP(Table2[[#This Row],[Visitor/Neutral]],division_lookup,9,FALSE),TRUE,FALSE)</f>
        <v>0</v>
      </c>
      <c r="AG974" s="15" t="str">
        <f>VLOOKUP(Table2[[#This Row],[Home/Neutral]],division_lookup,9,FALSE)</f>
        <v>SE</v>
      </c>
      <c r="AH974" s="15" t="str">
        <f>IF(Table2[[#This Row],[Total/EV]]&lt;Table2[[#This Row],[Total/V]],"UNDER","OVER")</f>
        <v>OVER</v>
      </c>
      <c r="AI974" s="26">
        <f>Table2[[#This Row],[SRS/Real]]-Table2[[#This Row],[Spread/V]]</f>
        <v>0</v>
      </c>
      <c r="AJ974" s="2">
        <f>Table2[[#This Row],[EV/Real]]-Table2[[#This Row],[Spread/V]]</f>
        <v>0</v>
      </c>
      <c r="AK974" s="2">
        <f>Table2[[#This Row],[SRS/Diff]]-Table2[[#This Row],[EV/Diff]]</f>
        <v>0</v>
      </c>
      <c r="AL974" s="18">
        <f>Table2[[#This Row],[SRS]]-Table2[[#This Row],[Spread]]</f>
        <v>-7.478688524590166</v>
      </c>
      <c r="AM974" s="21">
        <f>Table2[[#This Row],[(A) Err]]^2</f>
        <v>55.930782047836637</v>
      </c>
      <c r="AN974" s="6">
        <f>Table2[[#This Row],[EV]]-Table2[[#This Row],[Spread]]</f>
        <v>-1.8602549531348416</v>
      </c>
      <c r="AO974" s="1">
        <f>Table2[[#This Row],[EV Err]]^2</f>
        <v>3.4605484906627115</v>
      </c>
      <c r="AP974" s="1"/>
    </row>
    <row r="975" spans="1:42" x14ac:dyDescent="0.25">
      <c r="A975" s="34">
        <v>42806</v>
      </c>
      <c r="B975" t="s">
        <v>115</v>
      </c>
      <c r="C975" t="s">
        <v>131</v>
      </c>
      <c r="E975" s="21"/>
      <c r="G975" s="21"/>
      <c r="H975" s="7"/>
      <c r="I975" s="21"/>
      <c r="K975"/>
      <c r="L975" s="21">
        <f>(Table2[[#This Row],[H/Pace]]/100)*(VLOOKUP(Table2[[#This Row],[Home/Neutral]],home_lookup,8,FALSE)+VLOOKUP(Table2[[#This Row],[Home/Neutral]],OFR_lookup,2,FALSE)+VLOOKUP(Table2[[#This Row],[Visitor/Neutral]],def_diff_lookup,6,FALSE))</f>
        <v>96.455443115967753</v>
      </c>
      <c r="M975" s="21"/>
      <c r="N975" s="21">
        <f>(Table2[[#This Row],[A/Pace]]/100)*(VLOOKUP(Table2[[#This Row],[Visitor/Neutral]],OFR_lookup,2,FALSE)+VLOOKUP(Table2[[#This Row],[Home/Neutral]],def_diff_lookup,6,FALSE))</f>
        <v>102.417663</v>
      </c>
      <c r="O975" s="21"/>
      <c r="P975" s="21"/>
      <c r="Q975">
        <f>VLOOKUP(Table2[[#This Row],[Home/Neutral]],pace_lookup,7,FALSE)</f>
        <v>92.9</v>
      </c>
      <c r="R975" s="5">
        <f>VLOOKUP(Table2[[#This Row],[Visitor/Neutral]],pace_lookup,7,FALSE)</f>
        <v>101.7</v>
      </c>
      <c r="S975" s="7"/>
      <c r="U975" s="15"/>
      <c r="W975" s="2">
        <f>-home-VLOOKUP(Table2[[#This Row],[Home/Neutral]],rtg_vlookup,4,FALSE)+VLOOKUP(Table2[[#This Row],[Visitor/Neutral]],rtg_vlookup,4,FALSE)</f>
        <v>-0.29868852459016626</v>
      </c>
      <c r="X975" s="15"/>
      <c r="Y975" s="2"/>
      <c r="Z975" s="2">
        <f>Table2[[#This Row],[A/EV]]-Table2[[#This Row],[H/EV]]</f>
        <v>5.9622198840322511</v>
      </c>
      <c r="AA975" s="29"/>
      <c r="AB975" s="30"/>
      <c r="AC975" s="30"/>
      <c r="AD975" s="30"/>
      <c r="AE975" s="30"/>
      <c r="AF975" s="7" t="b">
        <f>IF(VLOOKUP(Table2[[#This Row],[Home/Neutral]],division_lookup,9,FALSE)=VLOOKUP(Table2[[#This Row],[Visitor/Neutral]],division_lookup,9,FALSE),TRUE,FALSE)</f>
        <v>0</v>
      </c>
      <c r="AG975" s="15" t="str">
        <f>VLOOKUP(Table2[[#This Row],[Home/Neutral]],division_lookup,9,FALSE)</f>
        <v>SW</v>
      </c>
      <c r="AH975" s="15" t="str">
        <f>IF(Table2[[#This Row],[Total/EV]]&lt;Table2[[#This Row],[Total/V]],"UNDER","OVER")</f>
        <v>OVER</v>
      </c>
      <c r="AI975" s="26">
        <f>Table2[[#This Row],[SRS/Real]]-Table2[[#This Row],[Spread/V]]</f>
        <v>0</v>
      </c>
      <c r="AJ975" s="2">
        <f>Table2[[#This Row],[EV/Real]]-Table2[[#This Row],[Spread/V]]</f>
        <v>0</v>
      </c>
      <c r="AK975" s="2">
        <f>Table2[[#This Row],[SRS/Diff]]-Table2[[#This Row],[EV/Diff]]</f>
        <v>0</v>
      </c>
      <c r="AL975" s="18">
        <f>Table2[[#This Row],[SRS]]-Table2[[#This Row],[Spread]]</f>
        <v>-0.29868852459016626</v>
      </c>
      <c r="AM975" s="21">
        <f>Table2[[#This Row],[(A) Err]]^2</f>
        <v>8.921483472185035E-2</v>
      </c>
      <c r="AN975" s="6">
        <f>Table2[[#This Row],[EV]]-Table2[[#This Row],[Spread]]</f>
        <v>5.9622198840322511</v>
      </c>
      <c r="AO975" s="1">
        <f>Table2[[#This Row],[EV Err]]^2</f>
        <v>35.548065945549553</v>
      </c>
      <c r="AP975" s="1"/>
    </row>
    <row r="976" spans="1:42" x14ac:dyDescent="0.25">
      <c r="A976" s="34">
        <v>42806</v>
      </c>
      <c r="B976" t="s">
        <v>117</v>
      </c>
      <c r="C976" t="s">
        <v>128</v>
      </c>
      <c r="E976" s="21"/>
      <c r="G976" s="21"/>
      <c r="H976" s="7"/>
      <c r="I976" s="21"/>
      <c r="K976"/>
      <c r="L976" s="21">
        <f>(Table2[[#This Row],[H/Pace]]/100)*(VLOOKUP(Table2[[#This Row],[Home/Neutral]],home_lookup,8,FALSE)+VLOOKUP(Table2[[#This Row],[Home/Neutral]],OFR_lookup,2,FALSE)+VLOOKUP(Table2[[#This Row],[Visitor/Neutral]],def_diff_lookup,6,FALSE))</f>
        <v>115.18819591446429</v>
      </c>
      <c r="M976" s="21"/>
      <c r="N976" s="21">
        <f>(Table2[[#This Row],[A/Pace]]/100)*(VLOOKUP(Table2[[#This Row],[Visitor/Neutral]],OFR_lookup,2,FALSE)+VLOOKUP(Table2[[#This Row],[Home/Neutral]],def_diff_lookup,6,FALSE))</f>
        <v>100.18634699999998</v>
      </c>
      <c r="O976" s="21"/>
      <c r="P976" s="21"/>
      <c r="Q976">
        <f>VLOOKUP(Table2[[#This Row],[Home/Neutral]],pace_lookup,7,FALSE)</f>
        <v>94</v>
      </c>
      <c r="R976" s="5">
        <f>VLOOKUP(Table2[[#This Row],[Visitor/Neutral]],pace_lookup,7,FALSE)</f>
        <v>96.3</v>
      </c>
      <c r="S976" s="7"/>
      <c r="U976" s="15"/>
      <c r="W976" s="2">
        <f>-home-VLOOKUP(Table2[[#This Row],[Home/Neutral]],rtg_vlookup,4,FALSE)+VLOOKUP(Table2[[#This Row],[Visitor/Neutral]],rtg_vlookup,4,FALSE)</f>
        <v>-6.2086885245901655</v>
      </c>
      <c r="X976" s="15"/>
      <c r="Y976" s="2"/>
      <c r="Z976" s="2">
        <f>Table2[[#This Row],[A/EV]]-Table2[[#This Row],[H/EV]]</f>
        <v>-15.001848914464304</v>
      </c>
      <c r="AA976" s="29"/>
      <c r="AB976" s="30"/>
      <c r="AC976" s="30"/>
      <c r="AD976" s="30"/>
      <c r="AE976" s="30"/>
      <c r="AF976" s="7" t="b">
        <f>IF(VLOOKUP(Table2[[#This Row],[Home/Neutral]],division_lookup,9,FALSE)=VLOOKUP(Table2[[#This Row],[Visitor/Neutral]],division_lookup,9,FALSE),TRUE,FALSE)</f>
        <v>0</v>
      </c>
      <c r="AG976" s="15" t="str">
        <f>VLOOKUP(Table2[[#This Row],[Home/Neutral]],division_lookup,9,FALSE)</f>
        <v>C</v>
      </c>
      <c r="AH976" s="15" t="str">
        <f>IF(Table2[[#This Row],[Total/EV]]&lt;Table2[[#This Row],[Total/V]],"UNDER","OVER")</f>
        <v>OVER</v>
      </c>
      <c r="AI976" s="26">
        <f>Table2[[#This Row],[SRS/Real]]-Table2[[#This Row],[Spread/V]]</f>
        <v>0</v>
      </c>
      <c r="AJ976" s="2">
        <f>Table2[[#This Row],[EV/Real]]-Table2[[#This Row],[Spread/V]]</f>
        <v>0</v>
      </c>
      <c r="AK976" s="2">
        <f>Table2[[#This Row],[SRS/Diff]]-Table2[[#This Row],[EV/Diff]]</f>
        <v>0</v>
      </c>
      <c r="AL976" s="18">
        <f>Table2[[#This Row],[SRS]]-Table2[[#This Row],[Spread]]</f>
        <v>-6.2086885245901655</v>
      </c>
      <c r="AM976" s="21">
        <f>Table2[[#This Row],[(A) Err]]^2</f>
        <v>38.547813195377607</v>
      </c>
      <c r="AN976" s="6">
        <f>Table2[[#This Row],[EV]]-Table2[[#This Row],[Spread]]</f>
        <v>-15.001848914464304</v>
      </c>
      <c r="AO976" s="1">
        <f>Table2[[#This Row],[EV Err]]^2</f>
        <v>225.05547085241383</v>
      </c>
      <c r="AP976" s="1"/>
    </row>
    <row r="977" spans="1:42" x14ac:dyDescent="0.25">
      <c r="A977" s="34">
        <v>42806</v>
      </c>
      <c r="B977" t="s">
        <v>121</v>
      </c>
      <c r="C977" t="s">
        <v>138</v>
      </c>
      <c r="E977" s="21"/>
      <c r="G977" s="21"/>
      <c r="H977" s="7"/>
      <c r="I977" s="21"/>
      <c r="K977"/>
      <c r="L977" s="21">
        <f>(Table2[[#This Row],[H/Pace]]/100)*(VLOOKUP(Table2[[#This Row],[Home/Neutral]],home_lookup,8,FALSE)+VLOOKUP(Table2[[#This Row],[Home/Neutral]],OFR_lookup,2,FALSE)+VLOOKUP(Table2[[#This Row],[Visitor/Neutral]],def_diff_lookup,6,FALSE))</f>
        <v>115.53848060751254</v>
      </c>
      <c r="M977" s="21"/>
      <c r="N977" s="21">
        <f>(Table2[[#This Row],[A/Pace]]/100)*(VLOOKUP(Table2[[#This Row],[Visitor/Neutral]],OFR_lookup,2,FALSE)+VLOOKUP(Table2[[#This Row],[Home/Neutral]],def_diff_lookup,6,FALSE))</f>
        <v>92.113775000000004</v>
      </c>
      <c r="O977" s="21"/>
      <c r="P977" s="21"/>
      <c r="Q977">
        <f>VLOOKUP(Table2[[#This Row],[Home/Neutral]],pace_lookup,7,FALSE)</f>
        <v>96.4</v>
      </c>
      <c r="R977" s="5">
        <f>VLOOKUP(Table2[[#This Row],[Visitor/Neutral]],pace_lookup,7,FALSE)</f>
        <v>97.5</v>
      </c>
      <c r="S977" s="7"/>
      <c r="U977" s="15"/>
      <c r="W977" s="2">
        <f>-home-VLOOKUP(Table2[[#This Row],[Home/Neutral]],rtg_vlookup,4,FALSE)+VLOOKUP(Table2[[#This Row],[Visitor/Neutral]],rtg_vlookup,4,FALSE)</f>
        <v>-25.138688524590165</v>
      </c>
      <c r="X977" s="15"/>
      <c r="Y977" s="2"/>
      <c r="Z977" s="2">
        <f>Table2[[#This Row],[A/EV]]-Table2[[#This Row],[H/EV]]</f>
        <v>-23.424705607512536</v>
      </c>
      <c r="AA977" s="29"/>
      <c r="AB977" s="30"/>
      <c r="AC977" s="30"/>
      <c r="AD977" s="30"/>
      <c r="AE977" s="30"/>
      <c r="AF977" s="7" t="b">
        <f>IF(VLOOKUP(Table2[[#This Row],[Home/Neutral]],division_lookup,9,FALSE)=VLOOKUP(Table2[[#This Row],[Visitor/Neutral]],division_lookup,9,FALSE),TRUE,FALSE)</f>
        <v>0</v>
      </c>
      <c r="AG977" s="15" t="str">
        <f>VLOOKUP(Table2[[#This Row],[Home/Neutral]],division_lookup,9,FALSE)</f>
        <v>P</v>
      </c>
      <c r="AH977" s="15" t="str">
        <f>IF(Table2[[#This Row],[Total/EV]]&lt;Table2[[#This Row],[Total/V]],"UNDER","OVER")</f>
        <v>OVER</v>
      </c>
      <c r="AI977" s="26">
        <f>Table2[[#This Row],[SRS/Real]]-Table2[[#This Row],[Spread/V]]</f>
        <v>0</v>
      </c>
      <c r="AJ977" s="2">
        <f>Table2[[#This Row],[EV/Real]]-Table2[[#This Row],[Spread/V]]</f>
        <v>0</v>
      </c>
      <c r="AK977" s="2">
        <f>Table2[[#This Row],[SRS/Diff]]-Table2[[#This Row],[EV/Diff]]</f>
        <v>0</v>
      </c>
      <c r="AL977" s="18">
        <f>Table2[[#This Row],[SRS]]-Table2[[#This Row],[Spread]]</f>
        <v>-25.138688524590165</v>
      </c>
      <c r="AM977" s="21">
        <f>Table2[[#This Row],[(A) Err]]^2</f>
        <v>631.95366073636126</v>
      </c>
      <c r="AN977" s="6">
        <f>Table2[[#This Row],[EV]]-Table2[[#This Row],[Spread]]</f>
        <v>-23.424705607512536</v>
      </c>
      <c r="AO977" s="1">
        <f>Table2[[#This Row],[EV Err]]^2</f>
        <v>548.71683279862918</v>
      </c>
      <c r="AP977" s="1"/>
    </row>
    <row r="978" spans="1:42" x14ac:dyDescent="0.25">
      <c r="A978" s="34">
        <v>42806</v>
      </c>
      <c r="B978" t="s">
        <v>123</v>
      </c>
      <c r="C978" t="s">
        <v>109</v>
      </c>
      <c r="E978" s="21"/>
      <c r="G978" s="21"/>
      <c r="H978" s="7"/>
      <c r="I978" s="21"/>
      <c r="K978"/>
      <c r="L978" s="21">
        <f>(Table2[[#This Row],[H/Pace]]/100)*(VLOOKUP(Table2[[#This Row],[Home/Neutral]],home_lookup,8,FALSE)+VLOOKUP(Table2[[#This Row],[Home/Neutral]],OFR_lookup,2,FALSE)+VLOOKUP(Table2[[#This Row],[Visitor/Neutral]],def_diff_lookup,6,FALSE))</f>
        <v>95.399177095639189</v>
      </c>
      <c r="M978" s="21"/>
      <c r="N978" s="21">
        <f>(Table2[[#This Row],[A/Pace]]/100)*(VLOOKUP(Table2[[#This Row],[Visitor/Neutral]],OFR_lookup,2,FALSE)+VLOOKUP(Table2[[#This Row],[Home/Neutral]],def_diff_lookup,6,FALSE))</f>
        <v>97.737461333333314</v>
      </c>
      <c r="O978" s="21"/>
      <c r="P978" s="21"/>
      <c r="Q978">
        <f>VLOOKUP(Table2[[#This Row],[Home/Neutral]],pace_lookup,7,FALSE)</f>
        <v>92.5</v>
      </c>
      <c r="R978" s="5">
        <f>VLOOKUP(Table2[[#This Row],[Visitor/Neutral]],pace_lookup,7,FALSE)</f>
        <v>99.2</v>
      </c>
      <c r="S978" s="7"/>
      <c r="U978" s="15"/>
      <c r="W978" s="2">
        <f>-home-VLOOKUP(Table2[[#This Row],[Home/Neutral]],rtg_vlookup,4,FALSE)+VLOOKUP(Table2[[#This Row],[Visitor/Neutral]],rtg_vlookup,4,FALSE)</f>
        <v>-1.1786885245901657</v>
      </c>
      <c r="X978" s="15"/>
      <c r="Y978" s="2"/>
      <c r="Z978" s="2">
        <f>Table2[[#This Row],[A/EV]]-Table2[[#This Row],[H/EV]]</f>
        <v>2.3382842376941255</v>
      </c>
      <c r="AA978" s="29"/>
      <c r="AB978" s="30"/>
      <c r="AC978" s="30"/>
      <c r="AD978" s="30"/>
      <c r="AE978" s="30"/>
      <c r="AF978" s="7" t="b">
        <f>IF(VLOOKUP(Table2[[#This Row],[Home/Neutral]],division_lookup,9,FALSE)=VLOOKUP(Table2[[#This Row],[Visitor/Neutral]],division_lookup,9,FALSE),TRUE,FALSE)</f>
        <v>0</v>
      </c>
      <c r="AG978" s="15" t="str">
        <f>VLOOKUP(Table2[[#This Row],[Home/Neutral]],division_lookup,9,FALSE)</f>
        <v>SW</v>
      </c>
      <c r="AH978" s="15" t="str">
        <f>IF(Table2[[#This Row],[Total/EV]]&lt;Table2[[#This Row],[Total/V]],"UNDER","OVER")</f>
        <v>OVER</v>
      </c>
      <c r="AI978" s="26">
        <f>Table2[[#This Row],[SRS/Real]]-Table2[[#This Row],[Spread/V]]</f>
        <v>0</v>
      </c>
      <c r="AJ978" s="2">
        <f>Table2[[#This Row],[EV/Real]]-Table2[[#This Row],[Spread/V]]</f>
        <v>0</v>
      </c>
      <c r="AK978" s="2">
        <f>Table2[[#This Row],[SRS/Diff]]-Table2[[#This Row],[EV/Diff]]</f>
        <v>0</v>
      </c>
      <c r="AL978" s="18">
        <f>Table2[[#This Row],[SRS]]-Table2[[#This Row],[Spread]]</f>
        <v>-1.1786885245901657</v>
      </c>
      <c r="AM978" s="21">
        <f>Table2[[#This Row],[(A) Err]]^2</f>
        <v>1.3893066380005417</v>
      </c>
      <c r="AN978" s="6">
        <f>Table2[[#This Row],[EV]]-Table2[[#This Row],[Spread]]</f>
        <v>2.3382842376941255</v>
      </c>
      <c r="AO978" s="1">
        <f>Table2[[#This Row],[EV Err]]^2</f>
        <v>5.4675731762487976</v>
      </c>
      <c r="AP978" s="1"/>
    </row>
    <row r="979" spans="1:42" x14ac:dyDescent="0.25">
      <c r="A979" s="34">
        <v>42806</v>
      </c>
      <c r="B979" t="s">
        <v>124</v>
      </c>
      <c r="C979" t="s">
        <v>135</v>
      </c>
      <c r="E979" s="21"/>
      <c r="G979" s="21"/>
      <c r="H979" s="7"/>
      <c r="I979" s="21"/>
      <c r="K979"/>
      <c r="L979" s="21">
        <f>(Table2[[#This Row],[H/Pace]]/100)*(VLOOKUP(Table2[[#This Row],[Home/Neutral]],home_lookup,8,FALSE)+VLOOKUP(Table2[[#This Row],[Home/Neutral]],OFR_lookup,2,FALSE)+VLOOKUP(Table2[[#This Row],[Visitor/Neutral]],def_diff_lookup,6,FALSE))</f>
        <v>102.03523517723556</v>
      </c>
      <c r="M979" s="21"/>
      <c r="N979" s="21">
        <f>(Table2[[#This Row],[A/Pace]]/100)*(VLOOKUP(Table2[[#This Row],[Visitor/Neutral]],OFR_lookup,2,FALSE)+VLOOKUP(Table2[[#This Row],[Home/Neutral]],def_diff_lookup,6,FALSE))</f>
        <v>106.166526</v>
      </c>
      <c r="O979" s="21"/>
      <c r="P979" s="21"/>
      <c r="Q979">
        <f>VLOOKUP(Table2[[#This Row],[Home/Neutral]],pace_lookup,7,FALSE)</f>
        <v>93.7</v>
      </c>
      <c r="R979" s="5">
        <f>VLOOKUP(Table2[[#This Row],[Visitor/Neutral]],pace_lookup,7,FALSE)</f>
        <v>95.4</v>
      </c>
      <c r="S979" s="7"/>
      <c r="U979" s="15"/>
      <c r="W979" s="2">
        <f>-home-VLOOKUP(Table2[[#This Row],[Home/Neutral]],rtg_vlookup,4,FALSE)+VLOOKUP(Table2[[#This Row],[Visitor/Neutral]],rtg_vlookup,4,FALSE)</f>
        <v>4.3613114754098348</v>
      </c>
      <c r="X979" s="15"/>
      <c r="Y979" s="2"/>
      <c r="Z979" s="2">
        <f>Table2[[#This Row],[A/EV]]-Table2[[#This Row],[H/EV]]</f>
        <v>4.1312908227644414</v>
      </c>
      <c r="AA979" s="29"/>
      <c r="AB979" s="30"/>
      <c r="AC979" s="30"/>
      <c r="AD979" s="30"/>
      <c r="AE979" s="30"/>
      <c r="AF979" s="7" t="b">
        <f>IF(VLOOKUP(Table2[[#This Row],[Home/Neutral]],division_lookup,9,FALSE)=VLOOKUP(Table2[[#This Row],[Visitor/Neutral]],division_lookup,9,FALSE),TRUE,FALSE)</f>
        <v>0</v>
      </c>
      <c r="AG979" s="15" t="str">
        <f>VLOOKUP(Table2[[#This Row],[Home/Neutral]],division_lookup,9,FALSE)</f>
        <v>SE</v>
      </c>
      <c r="AH979" s="15" t="str">
        <f>IF(Table2[[#This Row],[Total/EV]]&lt;Table2[[#This Row],[Total/V]],"UNDER","OVER")</f>
        <v>OVER</v>
      </c>
      <c r="AI979" s="26">
        <f>Table2[[#This Row],[SRS/Real]]-Table2[[#This Row],[Spread/V]]</f>
        <v>0</v>
      </c>
      <c r="AJ979" s="2">
        <f>Table2[[#This Row],[EV/Real]]-Table2[[#This Row],[Spread/V]]</f>
        <v>0</v>
      </c>
      <c r="AK979" s="2">
        <f>Table2[[#This Row],[SRS/Diff]]-Table2[[#This Row],[EV/Diff]]</f>
        <v>0</v>
      </c>
      <c r="AL979" s="18">
        <f>Table2[[#This Row],[SRS]]-Table2[[#This Row],[Spread]]</f>
        <v>4.3613114754098348</v>
      </c>
      <c r="AM979" s="21">
        <f>Table2[[#This Row],[(A) Err]]^2</f>
        <v>19.021037785541509</v>
      </c>
      <c r="AN979" s="6">
        <f>Table2[[#This Row],[EV]]-Table2[[#This Row],[Spread]]</f>
        <v>4.1312908227644414</v>
      </c>
      <c r="AO979" s="1">
        <f>Table2[[#This Row],[EV Err]]^2</f>
        <v>17.067563862257696</v>
      </c>
      <c r="AP979" s="1"/>
    </row>
    <row r="980" spans="1:42" x14ac:dyDescent="0.25">
      <c r="A980" s="34">
        <v>42806</v>
      </c>
      <c r="B980" t="s">
        <v>125</v>
      </c>
      <c r="C980" t="s">
        <v>126</v>
      </c>
      <c r="E980" s="21"/>
      <c r="G980" s="21"/>
      <c r="H980" s="7"/>
      <c r="I980" s="21"/>
      <c r="K980"/>
      <c r="L980" s="21">
        <f>(Table2[[#This Row],[H/Pace]]/100)*(VLOOKUP(Table2[[#This Row],[Home/Neutral]],home_lookup,8,FALSE)+VLOOKUP(Table2[[#This Row],[Home/Neutral]],OFR_lookup,2,FALSE)+VLOOKUP(Table2[[#This Row],[Visitor/Neutral]],def_diff_lookup,6,FALSE))</f>
        <v>111.58248550061909</v>
      </c>
      <c r="M980" s="21"/>
      <c r="N980" s="21">
        <f>(Table2[[#This Row],[A/Pace]]/100)*(VLOOKUP(Table2[[#This Row],[Visitor/Neutral]],OFR_lookup,2,FALSE)+VLOOKUP(Table2[[#This Row],[Home/Neutral]],def_diff_lookup,6,FALSE))</f>
        <v>105.983603</v>
      </c>
      <c r="O980" s="21"/>
      <c r="P980" s="21"/>
      <c r="Q980">
        <f>VLOOKUP(Table2[[#This Row],[Home/Neutral]],pace_lookup,7,FALSE)</f>
        <v>96.1</v>
      </c>
      <c r="R980" s="5">
        <f>VLOOKUP(Table2[[#This Row],[Visitor/Neutral]],pace_lookup,7,FALSE)</f>
        <v>95.7</v>
      </c>
      <c r="S980" s="7"/>
      <c r="U980" s="15"/>
      <c r="W980" s="2">
        <f>-home-VLOOKUP(Table2[[#This Row],[Home/Neutral]],rtg_vlookup,4,FALSE)+VLOOKUP(Table2[[#This Row],[Visitor/Neutral]],rtg_vlookup,4,FALSE)</f>
        <v>-1.4786885245901658</v>
      </c>
      <c r="X980" s="15"/>
      <c r="Y980" s="2"/>
      <c r="Z980" s="2">
        <f>Table2[[#This Row],[A/EV]]-Table2[[#This Row],[H/EV]]</f>
        <v>-5.5988825006190837</v>
      </c>
      <c r="AA980" s="29"/>
      <c r="AB980" s="30"/>
      <c r="AC980" s="30"/>
      <c r="AD980" s="30"/>
      <c r="AE980" s="30"/>
      <c r="AF980" s="7" t="b">
        <f>IF(VLOOKUP(Table2[[#This Row],[Home/Neutral]],division_lookup,9,FALSE)=VLOOKUP(Table2[[#This Row],[Visitor/Neutral]],division_lookup,9,FALSE),TRUE,FALSE)</f>
        <v>0</v>
      </c>
      <c r="AG980" s="15" t="str">
        <f>VLOOKUP(Table2[[#This Row],[Home/Neutral]],division_lookup,9,FALSE)</f>
        <v>C</v>
      </c>
      <c r="AH980" s="15" t="str">
        <f>IF(Table2[[#This Row],[Total/EV]]&lt;Table2[[#This Row],[Total/V]],"UNDER","OVER")</f>
        <v>OVER</v>
      </c>
      <c r="AI980" s="26">
        <f>Table2[[#This Row],[SRS/Real]]-Table2[[#This Row],[Spread/V]]</f>
        <v>0</v>
      </c>
      <c r="AJ980" s="2">
        <f>Table2[[#This Row],[EV/Real]]-Table2[[#This Row],[Spread/V]]</f>
        <v>0</v>
      </c>
      <c r="AK980" s="2">
        <f>Table2[[#This Row],[SRS/Diff]]-Table2[[#This Row],[EV/Diff]]</f>
        <v>0</v>
      </c>
      <c r="AL980" s="18">
        <f>Table2[[#This Row],[SRS]]-Table2[[#This Row],[Spread]]</f>
        <v>-1.4786885245901658</v>
      </c>
      <c r="AM980" s="21">
        <f>Table2[[#This Row],[(A) Err]]^2</f>
        <v>2.1865197527546414</v>
      </c>
      <c r="AN980" s="6">
        <f>Table2[[#This Row],[EV]]-Table2[[#This Row],[Spread]]</f>
        <v>-5.5988825006190837</v>
      </c>
      <c r="AO980" s="1">
        <f>Table2[[#This Row],[EV Err]]^2</f>
        <v>31.347485255738604</v>
      </c>
      <c r="AP980" s="1"/>
    </row>
    <row r="981" spans="1:42" x14ac:dyDescent="0.25">
      <c r="A981" s="34">
        <v>42806</v>
      </c>
      <c r="B981" t="s">
        <v>129</v>
      </c>
      <c r="C981" t="s">
        <v>136</v>
      </c>
      <c r="E981" s="21"/>
      <c r="G981" s="21"/>
      <c r="H981" s="7"/>
      <c r="I981" s="21"/>
      <c r="K981"/>
      <c r="L981" s="21">
        <f>(Table2[[#This Row],[H/Pace]]/100)*(VLOOKUP(Table2[[#This Row],[Home/Neutral]],home_lookup,8,FALSE)+VLOOKUP(Table2[[#This Row],[Home/Neutral]],OFR_lookup,2,FALSE)+VLOOKUP(Table2[[#This Row],[Visitor/Neutral]],def_diff_lookup,6,FALSE))</f>
        <v>102.96620376890107</v>
      </c>
      <c r="M981" s="21"/>
      <c r="N981" s="21">
        <f>(Table2[[#This Row],[A/Pace]]/100)*(VLOOKUP(Table2[[#This Row],[Visitor/Neutral]],OFR_lookup,2,FALSE)+VLOOKUP(Table2[[#This Row],[Home/Neutral]],def_diff_lookup,6,FALSE))</f>
        <v>95.613534999999999</v>
      </c>
      <c r="O981" s="21"/>
      <c r="P981" s="21"/>
      <c r="Q981">
        <f>VLOOKUP(Table2[[#This Row],[Home/Neutral]],pace_lookup,7,FALSE)</f>
        <v>99</v>
      </c>
      <c r="R981" s="5">
        <f>VLOOKUP(Table2[[#This Row],[Visitor/Neutral]],pace_lookup,7,FALSE)</f>
        <v>91.5</v>
      </c>
      <c r="S981" s="7"/>
      <c r="U981" s="15"/>
      <c r="W981" s="2">
        <f>-home-VLOOKUP(Table2[[#This Row],[Home/Neutral]],rtg_vlookup,4,FALSE)+VLOOKUP(Table2[[#This Row],[Visitor/Neutral]],rtg_vlookup,4,FALSE)</f>
        <v>-3.8688524590165585E-2</v>
      </c>
      <c r="X981" s="15"/>
      <c r="Y981" s="2"/>
      <c r="Z981" s="2">
        <f>Table2[[#This Row],[A/EV]]-Table2[[#This Row],[H/EV]]</f>
        <v>-7.3526687689010686</v>
      </c>
      <c r="AA981" s="29"/>
      <c r="AB981" s="30"/>
      <c r="AC981" s="30"/>
      <c r="AD981" s="30"/>
      <c r="AE981" s="30"/>
      <c r="AF981" s="7" t="b">
        <f>IF(VLOOKUP(Table2[[#This Row],[Home/Neutral]],division_lookup,9,FALSE)=VLOOKUP(Table2[[#This Row],[Visitor/Neutral]],division_lookup,9,FALSE),TRUE,FALSE)</f>
        <v>1</v>
      </c>
      <c r="AG981" s="15" t="str">
        <f>VLOOKUP(Table2[[#This Row],[Home/Neutral]],division_lookup,9,FALSE)</f>
        <v>NW</v>
      </c>
      <c r="AH981" s="15" t="str">
        <f>IF(Table2[[#This Row],[Total/EV]]&lt;Table2[[#This Row],[Total/V]],"UNDER","OVER")</f>
        <v>OVER</v>
      </c>
      <c r="AI981" s="26">
        <f>Table2[[#This Row],[SRS/Real]]-Table2[[#This Row],[Spread/V]]</f>
        <v>0</v>
      </c>
      <c r="AJ981" s="2">
        <f>Table2[[#This Row],[EV/Real]]-Table2[[#This Row],[Spread/V]]</f>
        <v>0</v>
      </c>
      <c r="AK981" s="2">
        <f>Table2[[#This Row],[SRS/Diff]]-Table2[[#This Row],[EV/Diff]]</f>
        <v>0</v>
      </c>
      <c r="AL981" s="18">
        <f>Table2[[#This Row],[SRS]]-Table2[[#This Row],[Spread]]</f>
        <v>-3.8688524590165585E-2</v>
      </c>
      <c r="AM981" s="21">
        <f>Table2[[#This Row],[(A) Err]]^2</f>
        <v>1.4968019349638471E-3</v>
      </c>
      <c r="AN981" s="6">
        <f>Table2[[#This Row],[EV]]-Table2[[#This Row],[Spread]]</f>
        <v>-7.3526687689010686</v>
      </c>
      <c r="AO981" s="1">
        <f>Table2[[#This Row],[EV Err]]^2</f>
        <v>54.061738025173156</v>
      </c>
      <c r="AP981" s="1"/>
    </row>
    <row r="982" spans="1:42" x14ac:dyDescent="0.25">
      <c r="A982" s="34">
        <v>42806</v>
      </c>
      <c r="B982" t="s">
        <v>130</v>
      </c>
      <c r="C982" t="s">
        <v>114</v>
      </c>
      <c r="E982" s="21"/>
      <c r="G982" s="21"/>
      <c r="H982" s="7"/>
      <c r="I982" s="21"/>
      <c r="K982"/>
      <c r="L982" s="21">
        <f>(Table2[[#This Row],[H/Pace]]/100)*(VLOOKUP(Table2[[#This Row],[Home/Neutral]],home_lookup,8,FALSE)+VLOOKUP(Table2[[#This Row],[Home/Neutral]],OFR_lookup,2,FALSE)+VLOOKUP(Table2[[#This Row],[Visitor/Neutral]],def_diff_lookup,6,FALSE))</f>
        <v>95.988524967109399</v>
      </c>
      <c r="M982" s="21"/>
      <c r="N982" s="21">
        <f>(Table2[[#This Row],[A/Pace]]/100)*(VLOOKUP(Table2[[#This Row],[Visitor/Neutral]],OFR_lookup,2,FALSE)+VLOOKUP(Table2[[#This Row],[Home/Neutral]],def_diff_lookup,6,FALSE))</f>
        <v>111.49185366666666</v>
      </c>
      <c r="O982" s="21"/>
      <c r="P982" s="21"/>
      <c r="Q982">
        <f>VLOOKUP(Table2[[#This Row],[Home/Neutral]],pace_lookup,7,FALSE)</f>
        <v>94.2</v>
      </c>
      <c r="R982" s="5">
        <f>VLOOKUP(Table2[[#This Row],[Visitor/Neutral]],pace_lookup,7,FALSE)</f>
        <v>97.3</v>
      </c>
      <c r="S982" s="7"/>
      <c r="U982" s="15"/>
      <c r="W982" s="2">
        <f>-home-VLOOKUP(Table2[[#This Row],[Home/Neutral]],rtg_vlookup,4,FALSE)+VLOOKUP(Table2[[#This Row],[Visitor/Neutral]],rtg_vlookup,4,FALSE)</f>
        <v>14.501311475409835</v>
      </c>
      <c r="X982" s="15"/>
      <c r="Y982" s="2"/>
      <c r="Z982" s="2">
        <f>Table2[[#This Row],[A/EV]]-Table2[[#This Row],[H/EV]]</f>
        <v>15.503328699557258</v>
      </c>
      <c r="AA982" s="29"/>
      <c r="AB982" s="30"/>
      <c r="AC982" s="30"/>
      <c r="AD982" s="30"/>
      <c r="AE982" s="30"/>
      <c r="AF982" s="7" t="b">
        <f>IF(VLOOKUP(Table2[[#This Row],[Home/Neutral]],division_lookup,9,FALSE)=VLOOKUP(Table2[[#This Row],[Visitor/Neutral]],division_lookup,9,FALSE),TRUE,FALSE)</f>
        <v>0</v>
      </c>
      <c r="AG982" s="15" t="str">
        <f>VLOOKUP(Table2[[#This Row],[Home/Neutral]],division_lookup,9,FALSE)</f>
        <v>SE</v>
      </c>
      <c r="AH982" s="15" t="str">
        <f>IF(Table2[[#This Row],[Total/EV]]&lt;Table2[[#This Row],[Total/V]],"UNDER","OVER")</f>
        <v>OVER</v>
      </c>
      <c r="AI982" s="26">
        <f>Table2[[#This Row],[SRS/Real]]-Table2[[#This Row],[Spread/V]]</f>
        <v>0</v>
      </c>
      <c r="AJ982" s="2">
        <f>Table2[[#This Row],[EV/Real]]-Table2[[#This Row],[Spread/V]]</f>
        <v>0</v>
      </c>
      <c r="AK982" s="2">
        <f>Table2[[#This Row],[SRS/Diff]]-Table2[[#This Row],[EV/Diff]]</f>
        <v>0</v>
      </c>
      <c r="AL982" s="18">
        <f>Table2[[#This Row],[SRS]]-Table2[[#This Row],[Spread]]</f>
        <v>14.501311475409835</v>
      </c>
      <c r="AM982" s="21">
        <f>Table2[[#This Row],[(A) Err]]^2</f>
        <v>210.28803450685297</v>
      </c>
      <c r="AN982" s="6">
        <f>Table2[[#This Row],[EV]]-Table2[[#This Row],[Spread]]</f>
        <v>15.503328699557258</v>
      </c>
      <c r="AO982" s="1">
        <f>Table2[[#This Row],[EV Err]]^2</f>
        <v>240.35320076651576</v>
      </c>
      <c r="AP982" s="1"/>
    </row>
    <row r="983" spans="1:42" x14ac:dyDescent="0.25">
      <c r="A983" s="34">
        <v>42806</v>
      </c>
      <c r="B983" t="s">
        <v>132</v>
      </c>
      <c r="C983" t="s">
        <v>137</v>
      </c>
      <c r="E983" s="21"/>
      <c r="G983" s="21"/>
      <c r="H983" s="7"/>
      <c r="I983" s="21"/>
      <c r="K983"/>
      <c r="L983" s="21">
        <f>(Table2[[#This Row],[H/Pace]]/100)*(VLOOKUP(Table2[[#This Row],[Home/Neutral]],home_lookup,8,FALSE)+VLOOKUP(Table2[[#This Row],[Home/Neutral]],OFR_lookup,2,FALSE)+VLOOKUP(Table2[[#This Row],[Visitor/Neutral]],def_diff_lookup,6,FALSE))</f>
        <v>112.44250144606978</v>
      </c>
      <c r="M983" s="21"/>
      <c r="N983" s="21">
        <f>(Table2[[#This Row],[A/Pace]]/100)*(VLOOKUP(Table2[[#This Row],[Visitor/Neutral]],OFR_lookup,2,FALSE)+VLOOKUP(Table2[[#This Row],[Home/Neutral]],def_diff_lookup,6,FALSE))</f>
        <v>108.18783999999999</v>
      </c>
      <c r="O983" s="21"/>
      <c r="P983" s="21"/>
      <c r="Q983">
        <f>VLOOKUP(Table2[[#This Row],[Home/Neutral]],pace_lookup,7,FALSE)</f>
        <v>98.8</v>
      </c>
      <c r="R983" s="5">
        <f>VLOOKUP(Table2[[#This Row],[Visitor/Neutral]],pace_lookup,7,FALSE)</f>
        <v>96</v>
      </c>
      <c r="S983" s="7"/>
      <c r="U983" s="15"/>
      <c r="W983" s="2">
        <f>-home-VLOOKUP(Table2[[#This Row],[Home/Neutral]],rtg_vlookup,4,FALSE)+VLOOKUP(Table2[[#This Row],[Visitor/Neutral]],rtg_vlookup,4,FALSE)</f>
        <v>-3.3286885245901656</v>
      </c>
      <c r="X983" s="15"/>
      <c r="Y983" s="2"/>
      <c r="Z983" s="2">
        <f>Table2[[#This Row],[A/EV]]-Table2[[#This Row],[H/EV]]</f>
        <v>-4.2546614460697896</v>
      </c>
      <c r="AA983" s="29"/>
      <c r="AB983" s="30"/>
      <c r="AC983" s="30"/>
      <c r="AD983" s="30"/>
      <c r="AE983" s="30"/>
      <c r="AF983" s="7" t="b">
        <f>IF(VLOOKUP(Table2[[#This Row],[Home/Neutral]],division_lookup,9,FALSE)=VLOOKUP(Table2[[#This Row],[Visitor/Neutral]],division_lookup,9,FALSE),TRUE,FALSE)</f>
        <v>0</v>
      </c>
      <c r="AG983" s="15" t="str">
        <f>VLOOKUP(Table2[[#This Row],[Home/Neutral]],division_lookup,9,FALSE)</f>
        <v>NW</v>
      </c>
      <c r="AH983" s="15" t="str">
        <f>IF(Table2[[#This Row],[Total/EV]]&lt;Table2[[#This Row],[Total/V]],"UNDER","OVER")</f>
        <v>OVER</v>
      </c>
      <c r="AI983" s="26">
        <f>Table2[[#This Row],[SRS/Real]]-Table2[[#This Row],[Spread/V]]</f>
        <v>0</v>
      </c>
      <c r="AJ983" s="2">
        <f>Table2[[#This Row],[EV/Real]]-Table2[[#This Row],[Spread/V]]</f>
        <v>0</v>
      </c>
      <c r="AK983" s="2">
        <f>Table2[[#This Row],[SRS/Diff]]-Table2[[#This Row],[EV/Diff]]</f>
        <v>0</v>
      </c>
      <c r="AL983" s="18">
        <f>Table2[[#This Row],[SRS]]-Table2[[#This Row],[Spread]]</f>
        <v>-3.3286885245901656</v>
      </c>
      <c r="AM983" s="21">
        <f>Table2[[#This Row],[(A) Err]]^2</f>
        <v>11.080167293738254</v>
      </c>
      <c r="AN983" s="6">
        <f>Table2[[#This Row],[EV]]-Table2[[#This Row],[Spread]]</f>
        <v>-4.2546614460697896</v>
      </c>
      <c r="AO983" s="1">
        <f>Table2[[#This Row],[EV Err]]^2</f>
        <v>18.102144020672672</v>
      </c>
      <c r="AP983" s="1"/>
    </row>
    <row r="984" spans="1:42" x14ac:dyDescent="0.25">
      <c r="A984" s="34">
        <v>42806</v>
      </c>
      <c r="B984" t="s">
        <v>133</v>
      </c>
      <c r="C984" t="s">
        <v>116</v>
      </c>
      <c r="E984" s="21"/>
      <c r="G984" s="21"/>
      <c r="H984" s="7"/>
      <c r="I984" s="21"/>
      <c r="K984"/>
      <c r="L984" s="21">
        <f>(Table2[[#This Row],[H/Pace]]/100)*(VLOOKUP(Table2[[#This Row],[Home/Neutral]],home_lookup,8,FALSE)+VLOOKUP(Table2[[#This Row],[Home/Neutral]],OFR_lookup,2,FALSE)+VLOOKUP(Table2[[#This Row],[Visitor/Neutral]],def_diff_lookup,6,FALSE))</f>
        <v>108.28690748279979</v>
      </c>
      <c r="M984" s="21"/>
      <c r="N984" s="21">
        <f>(Table2[[#This Row],[A/Pace]]/100)*(VLOOKUP(Table2[[#This Row],[Visitor/Neutral]],OFR_lookup,2,FALSE)+VLOOKUP(Table2[[#This Row],[Home/Neutral]],def_diff_lookup,6,FALSE))</f>
        <v>108.43092566666667</v>
      </c>
      <c r="O984" s="21"/>
      <c r="P984" s="21"/>
      <c r="Q984">
        <f>VLOOKUP(Table2[[#This Row],[Home/Neutral]],pace_lookup,7,FALSE)</f>
        <v>94.2</v>
      </c>
      <c r="R984" s="5">
        <f>VLOOKUP(Table2[[#This Row],[Visitor/Neutral]],pace_lookup,7,FALSE)</f>
        <v>99.1</v>
      </c>
      <c r="S984" s="7"/>
      <c r="U984" s="15"/>
      <c r="W984" s="2">
        <f>-home-VLOOKUP(Table2[[#This Row],[Home/Neutral]],rtg_vlookup,4,FALSE)+VLOOKUP(Table2[[#This Row],[Visitor/Neutral]],rtg_vlookup,4,FALSE)</f>
        <v>-1.5986885245901656</v>
      </c>
      <c r="X984" s="15"/>
      <c r="Y984" s="2"/>
      <c r="Z984" s="2">
        <f>Table2[[#This Row],[A/EV]]-Table2[[#This Row],[H/EV]]</f>
        <v>0.14401818386687637</v>
      </c>
      <c r="AA984" s="29"/>
      <c r="AB984" s="30"/>
      <c r="AC984" s="30"/>
      <c r="AD984" s="30"/>
      <c r="AE984" s="30"/>
      <c r="AF984" s="7" t="b">
        <f>IF(VLOOKUP(Table2[[#This Row],[Home/Neutral]],division_lookup,9,FALSE)=VLOOKUP(Table2[[#This Row],[Visitor/Neutral]],division_lookup,9,FALSE),TRUE,FALSE)</f>
        <v>0</v>
      </c>
      <c r="AG984" s="15" t="str">
        <f>VLOOKUP(Table2[[#This Row],[Home/Neutral]],division_lookup,9,FALSE)</f>
        <v>P</v>
      </c>
      <c r="AH984" s="15" t="str">
        <f>IF(Table2[[#This Row],[Total/EV]]&lt;Table2[[#This Row],[Total/V]],"UNDER","OVER")</f>
        <v>OVER</v>
      </c>
      <c r="AI984" s="26">
        <f>Table2[[#This Row],[SRS/Real]]-Table2[[#This Row],[Spread/V]]</f>
        <v>0</v>
      </c>
      <c r="AJ984" s="2">
        <f>Table2[[#This Row],[EV/Real]]-Table2[[#This Row],[Spread/V]]</f>
        <v>0</v>
      </c>
      <c r="AK984" s="2">
        <f>Table2[[#This Row],[SRS/Diff]]-Table2[[#This Row],[EV/Diff]]</f>
        <v>0</v>
      </c>
      <c r="AL984" s="18">
        <f>Table2[[#This Row],[SRS]]-Table2[[#This Row],[Spread]]</f>
        <v>-1.5986885245901656</v>
      </c>
      <c r="AM984" s="21">
        <f>Table2[[#This Row],[(A) Err]]^2</f>
        <v>2.5558049986562805</v>
      </c>
      <c r="AN984" s="6">
        <f>Table2[[#This Row],[EV]]-Table2[[#This Row],[Spread]]</f>
        <v>0.14401818386687637</v>
      </c>
      <c r="AO984" s="1">
        <f>Table2[[#This Row],[EV Err]]^2</f>
        <v>2.0741237284313409E-2</v>
      </c>
      <c r="AP984" s="1"/>
    </row>
    <row r="985" spans="1:42" x14ac:dyDescent="0.25">
      <c r="A985" s="34">
        <v>42806</v>
      </c>
      <c r="B985" t="s">
        <v>134</v>
      </c>
      <c r="C985" t="s">
        <v>118</v>
      </c>
      <c r="E985" s="21"/>
      <c r="G985" s="21"/>
      <c r="H985" s="7"/>
      <c r="I985" s="21"/>
      <c r="K985"/>
      <c r="L985" s="21">
        <f>(Table2[[#This Row],[H/Pace]]/100)*(VLOOKUP(Table2[[#This Row],[Home/Neutral]],home_lookup,8,FALSE)+VLOOKUP(Table2[[#This Row],[Home/Neutral]],OFR_lookup,2,FALSE)+VLOOKUP(Table2[[#This Row],[Visitor/Neutral]],def_diff_lookup,6,FALSE))</f>
        <v>99.608713436381933</v>
      </c>
      <c r="M985" s="21"/>
      <c r="N985" s="21">
        <f>(Table2[[#This Row],[A/Pace]]/100)*(VLOOKUP(Table2[[#This Row],[Visitor/Neutral]],OFR_lookup,2,FALSE)+VLOOKUP(Table2[[#This Row],[Home/Neutral]],def_diff_lookup,6,FALSE))</f>
        <v>116.03796933333334</v>
      </c>
      <c r="O985" s="21"/>
      <c r="P985" s="21"/>
      <c r="Q985">
        <f>VLOOKUP(Table2[[#This Row],[Home/Neutral]],pace_lookup,7,FALSE)</f>
        <v>93.4</v>
      </c>
      <c r="R985" s="5">
        <f>VLOOKUP(Table2[[#This Row],[Visitor/Neutral]],pace_lookup,7,FALSE)</f>
        <v>100.4</v>
      </c>
      <c r="S985" s="7"/>
      <c r="U985" s="15"/>
      <c r="W985" s="2">
        <f>-home-VLOOKUP(Table2[[#This Row],[Home/Neutral]],rtg_vlookup,4,FALSE)+VLOOKUP(Table2[[#This Row],[Visitor/Neutral]],rtg_vlookup,4,FALSE)</f>
        <v>1.2513114754098353</v>
      </c>
      <c r="X985" s="15"/>
      <c r="Y985" s="2"/>
      <c r="Z985" s="2">
        <f>Table2[[#This Row],[A/EV]]-Table2[[#This Row],[H/EV]]</f>
        <v>16.429255896951403</v>
      </c>
      <c r="AA985" s="29"/>
      <c r="AB985" s="30"/>
      <c r="AC985" s="30"/>
      <c r="AD985" s="30"/>
      <c r="AE985" s="30"/>
      <c r="AF985" s="7" t="b">
        <f>IF(VLOOKUP(Table2[[#This Row],[Home/Neutral]],division_lookup,9,FALSE)=VLOOKUP(Table2[[#This Row],[Visitor/Neutral]],division_lookup,9,FALSE),TRUE,FALSE)</f>
        <v>0</v>
      </c>
      <c r="AG985" s="15" t="str">
        <f>VLOOKUP(Table2[[#This Row],[Home/Neutral]],division_lookup,9,FALSE)</f>
        <v>SW</v>
      </c>
      <c r="AH985" s="15" t="str">
        <f>IF(Table2[[#This Row],[Total/EV]]&lt;Table2[[#This Row],[Total/V]],"UNDER","OVER")</f>
        <v>OVER</v>
      </c>
      <c r="AI985" s="26">
        <f>Table2[[#This Row],[SRS/Real]]-Table2[[#This Row],[Spread/V]]</f>
        <v>0</v>
      </c>
      <c r="AJ985" s="2">
        <f>Table2[[#This Row],[EV/Real]]-Table2[[#This Row],[Spread/V]]</f>
        <v>0</v>
      </c>
      <c r="AK985" s="2">
        <f>Table2[[#This Row],[SRS/Diff]]-Table2[[#This Row],[EV/Diff]]</f>
        <v>0</v>
      </c>
      <c r="AL985" s="18">
        <f>Table2[[#This Row],[SRS]]-Table2[[#This Row],[Spread]]</f>
        <v>1.2513114754098353</v>
      </c>
      <c r="AM985" s="21">
        <f>Table2[[#This Row],[(A) Err]]^2</f>
        <v>1.565780408492339</v>
      </c>
      <c r="AN985" s="6">
        <f>Table2[[#This Row],[EV]]-Table2[[#This Row],[Spread]]</f>
        <v>16.429255896951403</v>
      </c>
      <c r="AO985" s="1">
        <f>Table2[[#This Row],[EV Err]]^2</f>
        <v>269.92044932751247</v>
      </c>
      <c r="AP985" s="1"/>
    </row>
    <row r="986" spans="1:42" x14ac:dyDescent="0.25">
      <c r="A986" s="34">
        <v>42807</v>
      </c>
      <c r="B986" t="s">
        <v>110</v>
      </c>
      <c r="C986" t="s">
        <v>113</v>
      </c>
      <c r="E986" s="21"/>
      <c r="G986" s="21"/>
      <c r="H986" s="7"/>
      <c r="I986" s="21"/>
      <c r="K986"/>
      <c r="L986" s="21">
        <f>(Table2[[#This Row],[H/Pace]]/100)*(VLOOKUP(Table2[[#This Row],[Home/Neutral]],home_lookup,8,FALSE)+VLOOKUP(Table2[[#This Row],[Home/Neutral]],OFR_lookup,2,FALSE)+VLOOKUP(Table2[[#This Row],[Visitor/Neutral]],def_diff_lookup,6,FALSE))</f>
        <v>105.33017118900941</v>
      </c>
      <c r="M986" s="21"/>
      <c r="N986" s="21">
        <f>(Table2[[#This Row],[A/Pace]]/100)*(VLOOKUP(Table2[[#This Row],[Visitor/Neutral]],OFR_lookup,2,FALSE)+VLOOKUP(Table2[[#This Row],[Home/Neutral]],def_diff_lookup,6,FALSE))</f>
        <v>106.098949</v>
      </c>
      <c r="O986" s="21"/>
      <c r="P986" s="21"/>
      <c r="Q986">
        <f>VLOOKUP(Table2[[#This Row],[Home/Neutral]],pace_lookup,7,FALSE)</f>
        <v>96.2</v>
      </c>
      <c r="R986" s="5">
        <f>VLOOKUP(Table2[[#This Row],[Visitor/Neutral]],pace_lookup,7,FALSE)</f>
        <v>95.1</v>
      </c>
      <c r="S986" s="7"/>
      <c r="U986" s="15"/>
      <c r="W986" s="2">
        <f>-home-VLOOKUP(Table2[[#This Row],[Home/Neutral]],rtg_vlookup,4,FALSE)+VLOOKUP(Table2[[#This Row],[Visitor/Neutral]],rtg_vlookup,4,FALSE)</f>
        <v>1.3913114754098346</v>
      </c>
      <c r="X986" s="15"/>
      <c r="Y986" s="2"/>
      <c r="Z986" s="2">
        <f>Table2[[#This Row],[A/EV]]-Table2[[#This Row],[H/EV]]</f>
        <v>0.76877781099059916</v>
      </c>
      <c r="AA986" s="29"/>
      <c r="AB986" s="30"/>
      <c r="AC986" s="30"/>
      <c r="AD986" s="30"/>
      <c r="AE986" s="30"/>
      <c r="AF986" s="7" t="b">
        <f>IF(VLOOKUP(Table2[[#This Row],[Home/Neutral]],division_lookup,9,FALSE)=VLOOKUP(Table2[[#This Row],[Visitor/Neutral]],division_lookup,9,FALSE),TRUE,FALSE)</f>
        <v>0</v>
      </c>
      <c r="AG986" s="15" t="str">
        <f>VLOOKUP(Table2[[#This Row],[Home/Neutral]],division_lookup,9,FALSE)</f>
        <v>A</v>
      </c>
      <c r="AH986" s="15" t="str">
        <f>IF(Table2[[#This Row],[Total/EV]]&lt;Table2[[#This Row],[Total/V]],"UNDER","OVER")</f>
        <v>OVER</v>
      </c>
      <c r="AI986" s="26">
        <f>Table2[[#This Row],[SRS/Real]]-Table2[[#This Row],[Spread/V]]</f>
        <v>0</v>
      </c>
      <c r="AJ986" s="2">
        <f>Table2[[#This Row],[EV/Real]]-Table2[[#This Row],[Spread/V]]</f>
        <v>0</v>
      </c>
      <c r="AK986" s="2">
        <f>Table2[[#This Row],[SRS/Diff]]-Table2[[#This Row],[EV/Diff]]</f>
        <v>0</v>
      </c>
      <c r="AL986" s="18">
        <f>Table2[[#This Row],[SRS]]-Table2[[#This Row],[Spread]]</f>
        <v>1.3913114754098346</v>
      </c>
      <c r="AM986" s="21">
        <f>Table2[[#This Row],[(A) Err]]^2</f>
        <v>1.9357476216070908</v>
      </c>
      <c r="AN986" s="6">
        <f>Table2[[#This Row],[EV]]-Table2[[#This Row],[Spread]]</f>
        <v>0.76877781099059916</v>
      </c>
      <c r="AO986" s="1">
        <f>Table2[[#This Row],[EV Err]]^2</f>
        <v>0.59101932267149737</v>
      </c>
      <c r="AP986" s="1"/>
    </row>
    <row r="987" spans="1:42" x14ac:dyDescent="0.25">
      <c r="A987" s="34">
        <v>42807</v>
      </c>
      <c r="B987" t="s">
        <v>111</v>
      </c>
      <c r="C987" t="s">
        <v>128</v>
      </c>
      <c r="E987" s="21"/>
      <c r="G987" s="21"/>
      <c r="H987" s="7"/>
      <c r="I987" s="21"/>
      <c r="K987"/>
      <c r="L987" s="21">
        <f>(Table2[[#This Row],[H/Pace]]/100)*(VLOOKUP(Table2[[#This Row],[Home/Neutral]],home_lookup,8,FALSE)+VLOOKUP(Table2[[#This Row],[Home/Neutral]],OFR_lookup,2,FALSE)+VLOOKUP(Table2[[#This Row],[Visitor/Neutral]],def_diff_lookup,6,FALSE))</f>
        <v>103.38401832771636</v>
      </c>
      <c r="M987" s="21"/>
      <c r="N987" s="21">
        <f>(Table2[[#This Row],[A/Pace]]/100)*(VLOOKUP(Table2[[#This Row],[Visitor/Neutral]],OFR_lookup,2,FALSE)+VLOOKUP(Table2[[#This Row],[Home/Neutral]],def_diff_lookup,6,FALSE))</f>
        <v>108.07331699999999</v>
      </c>
      <c r="O987" s="21"/>
      <c r="P987" s="21"/>
      <c r="Q987">
        <f>VLOOKUP(Table2[[#This Row],[Home/Neutral]],pace_lookup,7,FALSE)</f>
        <v>102</v>
      </c>
      <c r="R987" s="5">
        <f>VLOOKUP(Table2[[#This Row],[Visitor/Neutral]],pace_lookup,7,FALSE)</f>
        <v>96.3</v>
      </c>
      <c r="S987" s="7"/>
      <c r="U987" s="15"/>
      <c r="W987" s="2">
        <f>-home-VLOOKUP(Table2[[#This Row],[Home/Neutral]],rtg_vlookup,4,FALSE)+VLOOKUP(Table2[[#This Row],[Visitor/Neutral]],rtg_vlookup,4,FALSE)</f>
        <v>4.1413114754098341</v>
      </c>
      <c r="X987" s="15"/>
      <c r="Y987" s="2"/>
      <c r="Z987" s="2">
        <f>Table2[[#This Row],[A/EV]]-Table2[[#This Row],[H/EV]]</f>
        <v>4.689298672283627</v>
      </c>
      <c r="AA987" s="29"/>
      <c r="AB987" s="30"/>
      <c r="AC987" s="30"/>
      <c r="AD987" s="30"/>
      <c r="AE987" s="30"/>
      <c r="AF987" s="7" t="b">
        <f>IF(VLOOKUP(Table2[[#This Row],[Home/Neutral]],division_lookup,9,FALSE)=VLOOKUP(Table2[[#This Row],[Visitor/Neutral]],division_lookup,9,FALSE),TRUE,FALSE)</f>
        <v>1</v>
      </c>
      <c r="AG987" s="15" t="str">
        <f>VLOOKUP(Table2[[#This Row],[Home/Neutral]],division_lookup,9,FALSE)</f>
        <v>A</v>
      </c>
      <c r="AH987" s="15" t="str">
        <f>IF(Table2[[#This Row],[Total/EV]]&lt;Table2[[#This Row],[Total/V]],"UNDER","OVER")</f>
        <v>OVER</v>
      </c>
      <c r="AI987" s="26">
        <f>Table2[[#This Row],[SRS/Real]]-Table2[[#This Row],[Spread/V]]</f>
        <v>0</v>
      </c>
      <c r="AJ987" s="2">
        <f>Table2[[#This Row],[EV/Real]]-Table2[[#This Row],[Spread/V]]</f>
        <v>0</v>
      </c>
      <c r="AK987" s="2">
        <f>Table2[[#This Row],[SRS/Diff]]-Table2[[#This Row],[EV/Diff]]</f>
        <v>0</v>
      </c>
      <c r="AL987" s="18">
        <f>Table2[[#This Row],[SRS]]-Table2[[#This Row],[Spread]]</f>
        <v>4.1413114754098341</v>
      </c>
      <c r="AM987" s="21">
        <f>Table2[[#This Row],[(A) Err]]^2</f>
        <v>17.150460736361179</v>
      </c>
      <c r="AN987" s="6">
        <f>Table2[[#This Row],[EV]]-Table2[[#This Row],[Spread]]</f>
        <v>4.689298672283627</v>
      </c>
      <c r="AO987" s="1">
        <f>Table2[[#This Row],[EV Err]]^2</f>
        <v>21.989522037880988</v>
      </c>
      <c r="AP987" s="1"/>
    </row>
    <row r="988" spans="1:42" x14ac:dyDescent="0.25">
      <c r="A988" s="34">
        <v>42807</v>
      </c>
      <c r="B988" t="s">
        <v>119</v>
      </c>
      <c r="C988" t="s">
        <v>114</v>
      </c>
      <c r="E988" s="21"/>
      <c r="G988" s="21"/>
      <c r="H988" s="7"/>
      <c r="I988" s="21"/>
      <c r="K988"/>
      <c r="L988" s="21">
        <f>(Table2[[#This Row],[H/Pace]]/100)*(VLOOKUP(Table2[[#This Row],[Home/Neutral]],home_lookup,8,FALSE)+VLOOKUP(Table2[[#This Row],[Home/Neutral]],OFR_lookup,2,FALSE)+VLOOKUP(Table2[[#This Row],[Visitor/Neutral]],def_diff_lookup,6,FALSE))</f>
        <v>108.39624376977628</v>
      </c>
      <c r="M988" s="21"/>
      <c r="N988" s="21">
        <f>(Table2[[#This Row],[A/Pace]]/100)*(VLOOKUP(Table2[[#This Row],[Visitor/Neutral]],OFR_lookup,2,FALSE)+VLOOKUP(Table2[[#This Row],[Home/Neutral]],def_diff_lookup,6,FALSE))</f>
        <v>114.32328366666667</v>
      </c>
      <c r="O988" s="21"/>
      <c r="P988" s="21"/>
      <c r="Q988">
        <f>VLOOKUP(Table2[[#This Row],[Home/Neutral]],pace_lookup,7,FALSE)</f>
        <v>96.9</v>
      </c>
      <c r="R988" s="5">
        <f>VLOOKUP(Table2[[#This Row],[Visitor/Neutral]],pace_lookup,7,FALSE)</f>
        <v>97.3</v>
      </c>
      <c r="S988" s="7"/>
      <c r="U988" s="15"/>
      <c r="W988" s="2">
        <f>-home-VLOOKUP(Table2[[#This Row],[Home/Neutral]],rtg_vlookup,4,FALSE)+VLOOKUP(Table2[[#This Row],[Visitor/Neutral]],rtg_vlookup,4,FALSE)</f>
        <v>2.1913114754098348</v>
      </c>
      <c r="X988" s="15"/>
      <c r="Y988" s="2"/>
      <c r="Z988" s="2">
        <f>Table2[[#This Row],[A/EV]]-Table2[[#This Row],[H/EV]]</f>
        <v>5.9270398968903919</v>
      </c>
      <c r="AA988" s="29"/>
      <c r="AB988" s="30"/>
      <c r="AC988" s="30"/>
      <c r="AD988" s="30"/>
      <c r="AE988" s="30"/>
      <c r="AF988" s="7" t="b">
        <f>IF(VLOOKUP(Table2[[#This Row],[Home/Neutral]],division_lookup,9,FALSE)=VLOOKUP(Table2[[#This Row],[Visitor/Neutral]],division_lookup,9,FALSE),TRUE,FALSE)</f>
        <v>0</v>
      </c>
      <c r="AG988" s="15" t="str">
        <f>VLOOKUP(Table2[[#This Row],[Home/Neutral]],division_lookup,9,FALSE)</f>
        <v>SW</v>
      </c>
      <c r="AH988" s="15" t="str">
        <f>IF(Table2[[#This Row],[Total/EV]]&lt;Table2[[#This Row],[Total/V]],"UNDER","OVER")</f>
        <v>OVER</v>
      </c>
      <c r="AI988" s="26">
        <f>Table2[[#This Row],[SRS/Real]]-Table2[[#This Row],[Spread/V]]</f>
        <v>0</v>
      </c>
      <c r="AJ988" s="2">
        <f>Table2[[#This Row],[EV/Real]]-Table2[[#This Row],[Spread/V]]</f>
        <v>0</v>
      </c>
      <c r="AK988" s="2">
        <f>Table2[[#This Row],[SRS/Diff]]-Table2[[#This Row],[EV/Diff]]</f>
        <v>0</v>
      </c>
      <c r="AL988" s="18">
        <f>Table2[[#This Row],[SRS]]-Table2[[#This Row],[Spread]]</f>
        <v>2.1913114754098348</v>
      </c>
      <c r="AM988" s="21">
        <f>Table2[[#This Row],[(A) Err]]^2</f>
        <v>4.8018459822628268</v>
      </c>
      <c r="AN988" s="6">
        <f>Table2[[#This Row],[EV]]-Table2[[#This Row],[Spread]]</f>
        <v>5.9270398968903919</v>
      </c>
      <c r="AO988" s="1">
        <f>Table2[[#This Row],[EV Err]]^2</f>
        <v>35.12980193933047</v>
      </c>
      <c r="AP988" s="1"/>
    </row>
    <row r="989" spans="1:42" x14ac:dyDescent="0.25">
      <c r="A989" s="34">
        <v>42807</v>
      </c>
      <c r="B989" t="s">
        <v>120</v>
      </c>
      <c r="C989" t="s">
        <v>124</v>
      </c>
      <c r="E989" s="21"/>
      <c r="G989" s="21"/>
      <c r="H989" s="7"/>
      <c r="I989" s="21"/>
      <c r="K989"/>
      <c r="L989" s="21">
        <f>(Table2[[#This Row],[H/Pace]]/100)*(VLOOKUP(Table2[[#This Row],[Home/Neutral]],home_lookup,8,FALSE)+VLOOKUP(Table2[[#This Row],[Home/Neutral]],OFR_lookup,2,FALSE)+VLOOKUP(Table2[[#This Row],[Visitor/Neutral]],def_diff_lookup,6,FALSE))</f>
        <v>103.8133054293086</v>
      </c>
      <c r="M989" s="21"/>
      <c r="N989" s="21">
        <f>(Table2[[#This Row],[A/Pace]]/100)*(VLOOKUP(Table2[[#This Row],[Visitor/Neutral]],OFR_lookup,2,FALSE)+VLOOKUP(Table2[[#This Row],[Home/Neutral]],def_diff_lookup,6,FALSE))</f>
        <v>98.390309666666667</v>
      </c>
      <c r="O989" s="21"/>
      <c r="P989" s="21"/>
      <c r="Q989">
        <f>VLOOKUP(Table2[[#This Row],[Home/Neutral]],pace_lookup,7,FALSE)</f>
        <v>98.3</v>
      </c>
      <c r="R989" s="5">
        <f>VLOOKUP(Table2[[#This Row],[Visitor/Neutral]],pace_lookup,7,FALSE)</f>
        <v>93.7</v>
      </c>
      <c r="S989" s="7"/>
      <c r="U989" s="15"/>
      <c r="W989" s="2">
        <f>-home-VLOOKUP(Table2[[#This Row],[Home/Neutral]],rtg_vlookup,4,FALSE)+VLOOKUP(Table2[[#This Row],[Visitor/Neutral]],rtg_vlookup,4,FALSE)</f>
        <v>0.72131147540983442</v>
      </c>
      <c r="X989" s="15"/>
      <c r="Y989" s="2"/>
      <c r="Z989" s="2">
        <f>Table2[[#This Row],[A/EV]]-Table2[[#This Row],[H/EV]]</f>
        <v>-5.4229957626419321</v>
      </c>
      <c r="AA989" s="29"/>
      <c r="AB989" s="30"/>
      <c r="AC989" s="30"/>
      <c r="AD989" s="30"/>
      <c r="AE989" s="30"/>
      <c r="AF989" s="7" t="b">
        <f>IF(VLOOKUP(Table2[[#This Row],[Home/Neutral]],division_lookup,9,FALSE)=VLOOKUP(Table2[[#This Row],[Visitor/Neutral]],division_lookup,9,FALSE),TRUE,FALSE)</f>
        <v>0</v>
      </c>
      <c r="AG989" s="15" t="str">
        <f>VLOOKUP(Table2[[#This Row],[Home/Neutral]],division_lookup,9,FALSE)</f>
        <v>C</v>
      </c>
      <c r="AH989" s="15" t="str">
        <f>IF(Table2[[#This Row],[Total/EV]]&lt;Table2[[#This Row],[Total/V]],"UNDER","OVER")</f>
        <v>OVER</v>
      </c>
      <c r="AI989" s="26">
        <f>Table2[[#This Row],[SRS/Real]]-Table2[[#This Row],[Spread/V]]</f>
        <v>0</v>
      </c>
      <c r="AJ989" s="2">
        <f>Table2[[#This Row],[EV/Real]]-Table2[[#This Row],[Spread/V]]</f>
        <v>0</v>
      </c>
      <c r="AK989" s="2">
        <f>Table2[[#This Row],[SRS/Diff]]-Table2[[#This Row],[EV/Diff]]</f>
        <v>0</v>
      </c>
      <c r="AL989" s="18">
        <f>Table2[[#This Row],[SRS]]-Table2[[#This Row],[Spread]]</f>
        <v>0.72131147540983442</v>
      </c>
      <c r="AM989" s="21">
        <f>Table2[[#This Row],[(A) Err]]^2</f>
        <v>0.52029024455791217</v>
      </c>
      <c r="AN989" s="6">
        <f>Table2[[#This Row],[EV]]-Table2[[#This Row],[Spread]]</f>
        <v>-5.4229957626419321</v>
      </c>
      <c r="AO989" s="1">
        <f>Table2[[#This Row],[EV Err]]^2</f>
        <v>29.40888304163235</v>
      </c>
      <c r="AP989" s="1"/>
    </row>
    <row r="990" spans="1:42" x14ac:dyDescent="0.25">
      <c r="A990" s="34">
        <v>42807</v>
      </c>
      <c r="B990" t="s">
        <v>122</v>
      </c>
      <c r="C990" t="s">
        <v>138</v>
      </c>
      <c r="E990" s="21"/>
      <c r="G990" s="21"/>
      <c r="H990" s="7"/>
      <c r="I990" s="21"/>
      <c r="K990"/>
      <c r="L990" s="21">
        <f>(Table2[[#This Row],[H/Pace]]/100)*(VLOOKUP(Table2[[#This Row],[Home/Neutral]],home_lookup,8,FALSE)+VLOOKUP(Table2[[#This Row],[Home/Neutral]],OFR_lookup,2,FALSE)+VLOOKUP(Table2[[#This Row],[Visitor/Neutral]],def_diff_lookup,6,FALSE))</f>
        <v>111.53142832744732</v>
      </c>
      <c r="M990" s="21"/>
      <c r="N990" s="21">
        <f>(Table2[[#This Row],[A/Pace]]/100)*(VLOOKUP(Table2[[#This Row],[Visitor/Neutral]],OFR_lookup,2,FALSE)+VLOOKUP(Table2[[#This Row],[Home/Neutral]],def_diff_lookup,6,FALSE))</f>
        <v>100.73277499999999</v>
      </c>
      <c r="O990" s="21"/>
      <c r="P990" s="21"/>
      <c r="Q990">
        <f>VLOOKUP(Table2[[#This Row],[Home/Neutral]],pace_lookup,7,FALSE)</f>
        <v>100.2</v>
      </c>
      <c r="R990" s="5">
        <f>VLOOKUP(Table2[[#This Row],[Visitor/Neutral]],pace_lookup,7,FALSE)</f>
        <v>97.5</v>
      </c>
      <c r="S990" s="7"/>
      <c r="U990" s="15"/>
      <c r="W990" s="2">
        <f>-home-VLOOKUP(Table2[[#This Row],[Home/Neutral]],rtg_vlookup,4,FALSE)+VLOOKUP(Table2[[#This Row],[Visitor/Neutral]],rtg_vlookup,4,FALSE)</f>
        <v>-10.158688524590167</v>
      </c>
      <c r="X990" s="15"/>
      <c r="Y990" s="2"/>
      <c r="Z990" s="2">
        <f>Table2[[#This Row],[A/EV]]-Table2[[#This Row],[H/EV]]</f>
        <v>-10.798653327447326</v>
      </c>
      <c r="AA990" s="29"/>
      <c r="AB990" s="30"/>
      <c r="AC990" s="30"/>
      <c r="AD990" s="30"/>
      <c r="AE990" s="30"/>
      <c r="AF990" s="7" t="b">
        <f>IF(VLOOKUP(Table2[[#This Row],[Home/Neutral]],division_lookup,9,FALSE)=VLOOKUP(Table2[[#This Row],[Visitor/Neutral]],division_lookup,9,FALSE),TRUE,FALSE)</f>
        <v>0</v>
      </c>
      <c r="AG990" s="15" t="str">
        <f>VLOOKUP(Table2[[#This Row],[Home/Neutral]],division_lookup,9,FALSE)</f>
        <v>P</v>
      </c>
      <c r="AH990" s="15" t="str">
        <f>IF(Table2[[#This Row],[Total/EV]]&lt;Table2[[#This Row],[Total/V]],"UNDER","OVER")</f>
        <v>OVER</v>
      </c>
      <c r="AI990" s="26">
        <f>Table2[[#This Row],[SRS/Real]]-Table2[[#This Row],[Spread/V]]</f>
        <v>0</v>
      </c>
      <c r="AJ990" s="2">
        <f>Table2[[#This Row],[EV/Real]]-Table2[[#This Row],[Spread/V]]</f>
        <v>0</v>
      </c>
      <c r="AK990" s="2">
        <f>Table2[[#This Row],[SRS/Diff]]-Table2[[#This Row],[EV/Diff]]</f>
        <v>0</v>
      </c>
      <c r="AL990" s="18">
        <f>Table2[[#This Row],[SRS]]-Table2[[#This Row],[Spread]]</f>
        <v>-10.158688524590167</v>
      </c>
      <c r="AM990" s="21">
        <f>Table2[[#This Row],[(A) Err]]^2</f>
        <v>103.19895253963993</v>
      </c>
      <c r="AN990" s="6">
        <f>Table2[[#This Row],[EV]]-Table2[[#This Row],[Spread]]</f>
        <v>-10.798653327447326</v>
      </c>
      <c r="AO990" s="1">
        <f>Table2[[#This Row],[EV Err]]^2</f>
        <v>116.61091368638921</v>
      </c>
      <c r="AP990" s="1"/>
    </row>
    <row r="991" spans="1:42" x14ac:dyDescent="0.25">
      <c r="A991" s="34">
        <v>42807</v>
      </c>
      <c r="B991" t="s">
        <v>131</v>
      </c>
      <c r="C991" t="s">
        <v>132</v>
      </c>
      <c r="E991" s="21"/>
      <c r="G991" s="21"/>
      <c r="H991" s="7"/>
      <c r="I991" s="21"/>
      <c r="K991"/>
      <c r="L991" s="21">
        <f>(Table2[[#This Row],[H/Pace]]/100)*(VLOOKUP(Table2[[#This Row],[Home/Neutral]],home_lookup,8,FALSE)+VLOOKUP(Table2[[#This Row],[Home/Neutral]],OFR_lookup,2,FALSE)+VLOOKUP(Table2[[#This Row],[Visitor/Neutral]],def_diff_lookup,6,FALSE))</f>
        <v>102.57766979119766</v>
      </c>
      <c r="M991" s="21"/>
      <c r="N991" s="21">
        <f>(Table2[[#This Row],[A/Pace]]/100)*(VLOOKUP(Table2[[#This Row],[Visitor/Neutral]],OFR_lookup,2,FALSE)+VLOOKUP(Table2[[#This Row],[Home/Neutral]],def_diff_lookup,6,FALSE))</f>
        <v>109.53527866666667</v>
      </c>
      <c r="O991" s="21"/>
      <c r="P991" s="21"/>
      <c r="Q991">
        <f>VLOOKUP(Table2[[#This Row],[Home/Neutral]],pace_lookup,7,FALSE)</f>
        <v>101.7</v>
      </c>
      <c r="R991" s="5">
        <f>VLOOKUP(Table2[[#This Row],[Visitor/Neutral]],pace_lookup,7,FALSE)</f>
        <v>98.8</v>
      </c>
      <c r="S991" s="7"/>
      <c r="U991" s="15"/>
      <c r="W991" s="2">
        <f>-home-VLOOKUP(Table2[[#This Row],[Home/Neutral]],rtg_vlookup,4,FALSE)+VLOOKUP(Table2[[#This Row],[Visitor/Neutral]],rtg_vlookup,4,FALSE)</f>
        <v>1.1613114754098341</v>
      </c>
      <c r="X991" s="15"/>
      <c r="Y991" s="2"/>
      <c r="Z991" s="2">
        <f>Table2[[#This Row],[A/EV]]-Table2[[#This Row],[H/EV]]</f>
        <v>6.9576088754690062</v>
      </c>
      <c r="AA991" s="29"/>
      <c r="AB991" s="30"/>
      <c r="AC991" s="30"/>
      <c r="AD991" s="30"/>
      <c r="AE991" s="30"/>
      <c r="AF991" s="7" t="b">
        <f>IF(VLOOKUP(Table2[[#This Row],[Home/Neutral]],division_lookup,9,FALSE)=VLOOKUP(Table2[[#This Row],[Visitor/Neutral]],division_lookup,9,FALSE),TRUE,FALSE)</f>
        <v>0</v>
      </c>
      <c r="AG991" s="15" t="str">
        <f>VLOOKUP(Table2[[#This Row],[Home/Neutral]],division_lookup,9,FALSE)</f>
        <v>P</v>
      </c>
      <c r="AH991" s="15" t="str">
        <f>IF(Table2[[#This Row],[Total/EV]]&lt;Table2[[#This Row],[Total/V]],"UNDER","OVER")</f>
        <v>OVER</v>
      </c>
      <c r="AI991" s="26">
        <f>Table2[[#This Row],[SRS/Real]]-Table2[[#This Row],[Spread/V]]</f>
        <v>0</v>
      </c>
      <c r="AJ991" s="2">
        <f>Table2[[#This Row],[EV/Real]]-Table2[[#This Row],[Spread/V]]</f>
        <v>0</v>
      </c>
      <c r="AK991" s="2">
        <f>Table2[[#This Row],[SRS/Diff]]-Table2[[#This Row],[EV/Diff]]</f>
        <v>0</v>
      </c>
      <c r="AL991" s="18">
        <f>Table2[[#This Row],[SRS]]-Table2[[#This Row],[Spread]]</f>
        <v>1.1613114754098341</v>
      </c>
      <c r="AM991" s="21">
        <f>Table2[[#This Row],[(A) Err]]^2</f>
        <v>1.3486443429185657</v>
      </c>
      <c r="AN991" s="6">
        <f>Table2[[#This Row],[EV]]-Table2[[#This Row],[Spread]]</f>
        <v>6.9576088754690062</v>
      </c>
      <c r="AO991" s="1">
        <f>Table2[[#This Row],[EV Err]]^2</f>
        <v>48.408321264005089</v>
      </c>
      <c r="AP991" s="1"/>
    </row>
    <row r="992" spans="1:42" x14ac:dyDescent="0.25">
      <c r="A992" s="34">
        <v>42808</v>
      </c>
      <c r="B992" t="s">
        <v>112</v>
      </c>
      <c r="C992" t="s">
        <v>113</v>
      </c>
      <c r="E992" s="21"/>
      <c r="G992" s="21"/>
      <c r="H992" s="7"/>
      <c r="I992" s="21"/>
      <c r="K992"/>
      <c r="L992" s="21">
        <f>(Table2[[#This Row],[H/Pace]]/100)*(VLOOKUP(Table2[[#This Row],[Home/Neutral]],home_lookup,8,FALSE)+VLOOKUP(Table2[[#This Row],[Home/Neutral]],OFR_lookup,2,FALSE)+VLOOKUP(Table2[[#This Row],[Visitor/Neutral]],def_diff_lookup,6,FALSE))</f>
        <v>103.74146195313484</v>
      </c>
      <c r="M992" s="21"/>
      <c r="N992" s="21">
        <f>(Table2[[#This Row],[A/Pace]]/100)*(VLOOKUP(Table2[[#This Row],[Visitor/Neutral]],OFR_lookup,2,FALSE)+VLOOKUP(Table2[[#This Row],[Home/Neutral]],def_diff_lookup,6,FALSE))</f>
        <v>104.529799</v>
      </c>
      <c r="O992" s="21"/>
      <c r="P992" s="21"/>
      <c r="Q992">
        <f>VLOOKUP(Table2[[#This Row],[Home/Neutral]],pace_lookup,7,FALSE)</f>
        <v>97.4</v>
      </c>
      <c r="R992" s="5">
        <f>VLOOKUP(Table2[[#This Row],[Visitor/Neutral]],pace_lookup,7,FALSE)</f>
        <v>95.1</v>
      </c>
      <c r="S992" s="7"/>
      <c r="U992" s="15"/>
      <c r="W992" s="2">
        <f>-home-VLOOKUP(Table2[[#This Row],[Home/Neutral]],rtg_vlookup,4,FALSE)+VLOOKUP(Table2[[#This Row],[Visitor/Neutral]],rtg_vlookup,4,FALSE)</f>
        <v>-0.16868852459016548</v>
      </c>
      <c r="X992" s="15"/>
      <c r="Y992" s="2"/>
      <c r="Z992" s="2">
        <f>Table2[[#This Row],[A/EV]]-Table2[[#This Row],[H/EV]]</f>
        <v>0.78833704686515205</v>
      </c>
      <c r="AA992" s="29"/>
      <c r="AB992" s="30"/>
      <c r="AC992" s="30"/>
      <c r="AD992" s="30"/>
      <c r="AE992" s="30"/>
      <c r="AF992" s="7" t="b">
        <f>IF(VLOOKUP(Table2[[#This Row],[Home/Neutral]],division_lookup,9,FALSE)=VLOOKUP(Table2[[#This Row],[Visitor/Neutral]],division_lookup,9,FALSE),TRUE,FALSE)</f>
        <v>0</v>
      </c>
      <c r="AG992" s="15" t="str">
        <f>VLOOKUP(Table2[[#This Row],[Home/Neutral]],division_lookup,9,FALSE)</f>
        <v>SE</v>
      </c>
      <c r="AH992" s="15" t="str">
        <f>IF(Table2[[#This Row],[Total/EV]]&lt;Table2[[#This Row],[Total/V]],"UNDER","OVER")</f>
        <v>OVER</v>
      </c>
      <c r="AI992" s="26">
        <f>Table2[[#This Row],[SRS/Real]]-Table2[[#This Row],[Spread/V]]</f>
        <v>0</v>
      </c>
      <c r="AJ992" s="2">
        <f>Table2[[#This Row],[EV/Real]]-Table2[[#This Row],[Spread/V]]</f>
        <v>0</v>
      </c>
      <c r="AK992" s="2">
        <f>Table2[[#This Row],[SRS/Diff]]-Table2[[#This Row],[EV/Diff]]</f>
        <v>0</v>
      </c>
      <c r="AL992" s="18">
        <f>Table2[[#This Row],[SRS]]-Table2[[#This Row],[Spread]]</f>
        <v>-0.16868852459016548</v>
      </c>
      <c r="AM992" s="21">
        <f>Table2[[#This Row],[(A) Err]]^2</f>
        <v>2.8455818328406865E-2</v>
      </c>
      <c r="AN992" s="6">
        <f>Table2[[#This Row],[EV]]-Table2[[#This Row],[Spread]]</f>
        <v>0.78833704686515205</v>
      </c>
      <c r="AO992" s="1">
        <f>Table2[[#This Row],[EV Err]]^2</f>
        <v>0.62147529946006896</v>
      </c>
      <c r="AP992" s="1"/>
    </row>
    <row r="993" spans="1:42" x14ac:dyDescent="0.25">
      <c r="A993" s="34">
        <v>42808</v>
      </c>
      <c r="B993" t="s">
        <v>116</v>
      </c>
      <c r="C993" t="s">
        <v>122</v>
      </c>
      <c r="E993" s="21"/>
      <c r="G993" s="21"/>
      <c r="H993" s="7"/>
      <c r="I993" s="21"/>
      <c r="K993"/>
      <c r="L993" s="21">
        <f>(Table2[[#This Row],[H/Pace]]/100)*(VLOOKUP(Table2[[#This Row],[Home/Neutral]],home_lookup,8,FALSE)+VLOOKUP(Table2[[#This Row],[Home/Neutral]],OFR_lookup,2,FALSE)+VLOOKUP(Table2[[#This Row],[Visitor/Neutral]],def_diff_lookup,6,FALSE))</f>
        <v>109.43465470161863</v>
      </c>
      <c r="M993" s="21"/>
      <c r="N993" s="21">
        <f>(Table2[[#This Row],[A/Pace]]/100)*(VLOOKUP(Table2[[#This Row],[Visitor/Neutral]],OFR_lookup,2,FALSE)+VLOOKUP(Table2[[#This Row],[Home/Neutral]],def_diff_lookup,6,FALSE))</f>
        <v>109.44411799999999</v>
      </c>
      <c r="O993" s="21"/>
      <c r="P993" s="21"/>
      <c r="Q993">
        <f>VLOOKUP(Table2[[#This Row],[Home/Neutral]],pace_lookup,7,FALSE)</f>
        <v>99.1</v>
      </c>
      <c r="R993" s="5">
        <f>VLOOKUP(Table2[[#This Row],[Visitor/Neutral]],pace_lookup,7,FALSE)</f>
        <v>100.2</v>
      </c>
      <c r="S993" s="7"/>
      <c r="U993" s="15"/>
      <c r="W993" s="2">
        <f>-home-VLOOKUP(Table2[[#This Row],[Home/Neutral]],rtg_vlookup,4,FALSE)+VLOOKUP(Table2[[#This Row],[Visitor/Neutral]],rtg_vlookup,4,FALSE)</f>
        <v>-4.2886885245901656</v>
      </c>
      <c r="X993" s="15"/>
      <c r="Y993" s="2"/>
      <c r="Z993" s="2">
        <f>Table2[[#This Row],[A/EV]]-Table2[[#This Row],[H/EV]]</f>
        <v>9.463298381362506E-3</v>
      </c>
      <c r="AA993" s="29"/>
      <c r="AB993" s="30"/>
      <c r="AC993" s="30"/>
      <c r="AD993" s="30"/>
      <c r="AE993" s="30"/>
      <c r="AF993" s="7" t="b">
        <f>IF(VLOOKUP(Table2[[#This Row],[Home/Neutral]],division_lookup,9,FALSE)=VLOOKUP(Table2[[#This Row],[Visitor/Neutral]],division_lookup,9,FALSE),TRUE,FALSE)</f>
        <v>0</v>
      </c>
      <c r="AG993" s="15" t="str">
        <f>VLOOKUP(Table2[[#This Row],[Home/Neutral]],division_lookup,9,FALSE)</f>
        <v>NW</v>
      </c>
      <c r="AH993" s="15" t="str">
        <f>IF(Table2[[#This Row],[Total/EV]]&lt;Table2[[#This Row],[Total/V]],"UNDER","OVER")</f>
        <v>OVER</v>
      </c>
      <c r="AI993" s="26">
        <f>Table2[[#This Row],[SRS/Real]]-Table2[[#This Row],[Spread/V]]</f>
        <v>0</v>
      </c>
      <c r="AJ993" s="2">
        <f>Table2[[#This Row],[EV/Real]]-Table2[[#This Row],[Spread/V]]</f>
        <v>0</v>
      </c>
      <c r="AK993" s="2">
        <f>Table2[[#This Row],[SRS/Diff]]-Table2[[#This Row],[EV/Diff]]</f>
        <v>0</v>
      </c>
      <c r="AL993" s="18">
        <f>Table2[[#This Row],[SRS]]-Table2[[#This Row],[Spread]]</f>
        <v>-4.2886885245901656</v>
      </c>
      <c r="AM993" s="21">
        <f>Table2[[#This Row],[(A) Err]]^2</f>
        <v>18.392849260951373</v>
      </c>
      <c r="AN993" s="6">
        <f>Table2[[#This Row],[EV]]-Table2[[#This Row],[Spread]]</f>
        <v>9.463298381362506E-3</v>
      </c>
      <c r="AO993" s="1">
        <f>Table2[[#This Row],[EV Err]]^2</f>
        <v>8.955401625469822E-5</v>
      </c>
      <c r="AP993" s="1"/>
    </row>
    <row r="994" spans="1:42" x14ac:dyDescent="0.25">
      <c r="A994" s="34">
        <v>42808</v>
      </c>
      <c r="B994" t="s">
        <v>123</v>
      </c>
      <c r="C994" t="s">
        <v>125</v>
      </c>
      <c r="E994" s="21"/>
      <c r="G994" s="21"/>
      <c r="H994" s="7"/>
      <c r="I994" s="21"/>
      <c r="K994"/>
      <c r="L994" s="21">
        <f>(Table2[[#This Row],[H/Pace]]/100)*(VLOOKUP(Table2[[#This Row],[Home/Neutral]],home_lookup,8,FALSE)+VLOOKUP(Table2[[#This Row],[Home/Neutral]],OFR_lookup,2,FALSE)+VLOOKUP(Table2[[#This Row],[Visitor/Neutral]],def_diff_lookup,6,FALSE))</f>
        <v>103.66867709563918</v>
      </c>
      <c r="M994" s="21"/>
      <c r="N994" s="21">
        <f>(Table2[[#This Row],[A/Pace]]/100)*(VLOOKUP(Table2[[#This Row],[Visitor/Neutral]],OFR_lookup,2,FALSE)+VLOOKUP(Table2[[#This Row],[Home/Neutral]],def_diff_lookup,6,FALSE))</f>
        <v>98.690535666666648</v>
      </c>
      <c r="O994" s="21"/>
      <c r="P994" s="21"/>
      <c r="Q994">
        <f>VLOOKUP(Table2[[#This Row],[Home/Neutral]],pace_lookup,7,FALSE)</f>
        <v>92.5</v>
      </c>
      <c r="R994" s="5">
        <f>VLOOKUP(Table2[[#This Row],[Visitor/Neutral]],pace_lookup,7,FALSE)</f>
        <v>96.1</v>
      </c>
      <c r="S994" s="7"/>
      <c r="U994" s="15"/>
      <c r="W994" s="2">
        <f>-home-VLOOKUP(Table2[[#This Row],[Home/Neutral]],rtg_vlookup,4,FALSE)+VLOOKUP(Table2[[#This Row],[Visitor/Neutral]],rtg_vlookup,4,FALSE)</f>
        <v>-5.9386885245901659</v>
      </c>
      <c r="X994" s="15"/>
      <c r="Y994" s="2"/>
      <c r="Z994" s="2">
        <f>Table2[[#This Row],[A/EV]]-Table2[[#This Row],[H/EV]]</f>
        <v>-4.9781414289725348</v>
      </c>
      <c r="AA994" s="29"/>
      <c r="AB994" s="30"/>
      <c r="AC994" s="30"/>
      <c r="AD994" s="30"/>
      <c r="AE994" s="30"/>
      <c r="AF994" s="7" t="b">
        <f>IF(VLOOKUP(Table2[[#This Row],[Home/Neutral]],division_lookup,9,FALSE)=VLOOKUP(Table2[[#This Row],[Visitor/Neutral]],division_lookup,9,FALSE),TRUE,FALSE)</f>
        <v>0</v>
      </c>
      <c r="AG994" s="15" t="str">
        <f>VLOOKUP(Table2[[#This Row],[Home/Neutral]],division_lookup,9,FALSE)</f>
        <v>SW</v>
      </c>
      <c r="AH994" s="15" t="str">
        <f>IF(Table2[[#This Row],[Total/EV]]&lt;Table2[[#This Row],[Total/V]],"UNDER","OVER")</f>
        <v>OVER</v>
      </c>
      <c r="AI994" s="26">
        <f>Table2[[#This Row],[SRS/Real]]-Table2[[#This Row],[Spread/V]]</f>
        <v>0</v>
      </c>
      <c r="AJ994" s="2">
        <f>Table2[[#This Row],[EV/Real]]-Table2[[#This Row],[Spread/V]]</f>
        <v>0</v>
      </c>
      <c r="AK994" s="2">
        <f>Table2[[#This Row],[SRS/Diff]]-Table2[[#This Row],[EV/Diff]]</f>
        <v>0</v>
      </c>
      <c r="AL994" s="18">
        <f>Table2[[#This Row],[SRS]]-Table2[[#This Row],[Spread]]</f>
        <v>-5.9386885245901659</v>
      </c>
      <c r="AM994" s="21">
        <f>Table2[[#This Row],[(A) Err]]^2</f>
        <v>35.268021392098923</v>
      </c>
      <c r="AN994" s="6">
        <f>Table2[[#This Row],[EV]]-Table2[[#This Row],[Spread]]</f>
        <v>-4.9781414289725348</v>
      </c>
      <c r="AO994" s="1">
        <f>Table2[[#This Row],[EV Err]]^2</f>
        <v>24.781892086852711</v>
      </c>
      <c r="AP994" s="1"/>
    </row>
    <row r="995" spans="1:42" x14ac:dyDescent="0.25">
      <c r="A995" s="34">
        <v>42808</v>
      </c>
      <c r="B995" t="s">
        <v>126</v>
      </c>
      <c r="C995" t="s">
        <v>137</v>
      </c>
      <c r="E995" s="21"/>
      <c r="G995" s="21"/>
      <c r="H995" s="7"/>
      <c r="I995" s="21"/>
      <c r="K995"/>
      <c r="L995" s="21">
        <f>(Table2[[#This Row],[H/Pace]]/100)*(VLOOKUP(Table2[[#This Row],[Home/Neutral]],home_lookup,8,FALSE)+VLOOKUP(Table2[[#This Row],[Home/Neutral]],OFR_lookup,2,FALSE)+VLOOKUP(Table2[[#This Row],[Visitor/Neutral]],def_diff_lookup,6,FALSE))</f>
        <v>118.26152777050785</v>
      </c>
      <c r="M995" s="21"/>
      <c r="N995" s="21">
        <f>(Table2[[#This Row],[A/Pace]]/100)*(VLOOKUP(Table2[[#This Row],[Visitor/Neutral]],OFR_lookup,2,FALSE)+VLOOKUP(Table2[[#This Row],[Home/Neutral]],def_diff_lookup,6,FALSE))</f>
        <v>105.97023999999999</v>
      </c>
      <c r="O995" s="21"/>
      <c r="P995" s="21"/>
      <c r="Q995">
        <f>VLOOKUP(Table2[[#This Row],[Home/Neutral]],pace_lookup,7,FALSE)</f>
        <v>95.7</v>
      </c>
      <c r="R995" s="5">
        <f>VLOOKUP(Table2[[#This Row],[Visitor/Neutral]],pace_lookup,7,FALSE)</f>
        <v>96</v>
      </c>
      <c r="S995" s="7"/>
      <c r="U995" s="15"/>
      <c r="W995" s="2">
        <f>-home-VLOOKUP(Table2[[#This Row],[Home/Neutral]],rtg_vlookup,4,FALSE)+VLOOKUP(Table2[[#This Row],[Visitor/Neutral]],rtg_vlookup,4,FALSE)</f>
        <v>-4.5886885245901654</v>
      </c>
      <c r="X995" s="15"/>
      <c r="Y995" s="2"/>
      <c r="Z995" s="2">
        <f>Table2[[#This Row],[A/EV]]-Table2[[#This Row],[H/EV]]</f>
        <v>-12.291287770507864</v>
      </c>
      <c r="AA995" s="29"/>
      <c r="AB995" s="30"/>
      <c r="AC995" s="30"/>
      <c r="AD995" s="30"/>
      <c r="AE995" s="30"/>
      <c r="AF995" s="7" t="b">
        <f>IF(VLOOKUP(Table2[[#This Row],[Home/Neutral]],division_lookup,9,FALSE)=VLOOKUP(Table2[[#This Row],[Visitor/Neutral]],division_lookup,9,FALSE),TRUE,FALSE)</f>
        <v>0</v>
      </c>
      <c r="AG995" s="15" t="str">
        <f>VLOOKUP(Table2[[#This Row],[Home/Neutral]],division_lookup,9,FALSE)</f>
        <v>NW</v>
      </c>
      <c r="AH995" s="15" t="str">
        <f>IF(Table2[[#This Row],[Total/EV]]&lt;Table2[[#This Row],[Total/V]],"UNDER","OVER")</f>
        <v>OVER</v>
      </c>
      <c r="AI995" s="26">
        <f>Table2[[#This Row],[SRS/Real]]-Table2[[#This Row],[Spread/V]]</f>
        <v>0</v>
      </c>
      <c r="AJ995" s="2">
        <f>Table2[[#This Row],[EV/Real]]-Table2[[#This Row],[Spread/V]]</f>
        <v>0</v>
      </c>
      <c r="AK995" s="2">
        <f>Table2[[#This Row],[SRS/Diff]]-Table2[[#This Row],[EV/Diff]]</f>
        <v>0</v>
      </c>
      <c r="AL995" s="18">
        <f>Table2[[#This Row],[SRS]]-Table2[[#This Row],[Spread]]</f>
        <v>-4.5886885245901654</v>
      </c>
      <c r="AM995" s="21">
        <f>Table2[[#This Row],[(A) Err]]^2</f>
        <v>21.056062375705469</v>
      </c>
      <c r="AN995" s="6">
        <f>Table2[[#This Row],[EV]]-Table2[[#This Row],[Spread]]</f>
        <v>-12.291287770507864</v>
      </c>
      <c r="AO995" s="1">
        <f>Table2[[#This Row],[EV Err]]^2</f>
        <v>151.0757550574362</v>
      </c>
      <c r="AP995" s="1"/>
    </row>
    <row r="996" spans="1:42" x14ac:dyDescent="0.25">
      <c r="A996" s="34">
        <v>42808</v>
      </c>
      <c r="B996" t="s">
        <v>133</v>
      </c>
      <c r="C996" t="s">
        <v>130</v>
      </c>
      <c r="E996" s="21"/>
      <c r="G996" s="21"/>
      <c r="H996" s="7"/>
      <c r="I996" s="21"/>
      <c r="K996"/>
      <c r="L996" s="21">
        <f>(Table2[[#This Row],[H/Pace]]/100)*(VLOOKUP(Table2[[#This Row],[Home/Neutral]],home_lookup,8,FALSE)+VLOOKUP(Table2[[#This Row],[Home/Neutral]],OFR_lookup,2,FALSE)+VLOOKUP(Table2[[#This Row],[Visitor/Neutral]],def_diff_lookup,6,FALSE))</f>
        <v>107.86300748279979</v>
      </c>
      <c r="M996" s="21"/>
      <c r="N996" s="21">
        <f>(Table2[[#This Row],[A/Pace]]/100)*(VLOOKUP(Table2[[#This Row],[Visitor/Neutral]],OFR_lookup,2,FALSE)+VLOOKUP(Table2[[#This Row],[Home/Neutral]],def_diff_lookup,6,FALSE))</f>
        <v>95.203857999999997</v>
      </c>
      <c r="O996" s="21"/>
      <c r="P996" s="21"/>
      <c r="Q996">
        <f>VLOOKUP(Table2[[#This Row],[Home/Neutral]],pace_lookup,7,FALSE)</f>
        <v>94.2</v>
      </c>
      <c r="R996" s="5">
        <f>VLOOKUP(Table2[[#This Row],[Visitor/Neutral]],pace_lookup,7,FALSE)</f>
        <v>94.2</v>
      </c>
      <c r="S996" s="7"/>
      <c r="U996" s="15"/>
      <c r="W996" s="2">
        <f>-home-VLOOKUP(Table2[[#This Row],[Home/Neutral]],rtg_vlookup,4,FALSE)+VLOOKUP(Table2[[#This Row],[Visitor/Neutral]],rtg_vlookup,4,FALSE)</f>
        <v>-9.4886885245901667</v>
      </c>
      <c r="X996" s="15"/>
      <c r="Y996" s="2"/>
      <c r="Z996" s="2">
        <f>Table2[[#This Row],[A/EV]]-Table2[[#This Row],[H/EV]]</f>
        <v>-12.659149482799791</v>
      </c>
      <c r="AA996" s="29"/>
      <c r="AB996" s="30"/>
      <c r="AC996" s="30"/>
      <c r="AD996" s="30"/>
      <c r="AE996" s="30"/>
      <c r="AF996" s="7" t="b">
        <f>IF(VLOOKUP(Table2[[#This Row],[Home/Neutral]],division_lookup,9,FALSE)=VLOOKUP(Table2[[#This Row],[Visitor/Neutral]],division_lookup,9,FALSE),TRUE,FALSE)</f>
        <v>0</v>
      </c>
      <c r="AG996" s="15" t="str">
        <f>VLOOKUP(Table2[[#This Row],[Home/Neutral]],division_lookup,9,FALSE)</f>
        <v>P</v>
      </c>
      <c r="AH996" s="15" t="str">
        <f>IF(Table2[[#This Row],[Total/EV]]&lt;Table2[[#This Row],[Total/V]],"UNDER","OVER")</f>
        <v>OVER</v>
      </c>
      <c r="AI996" s="26">
        <f>Table2[[#This Row],[SRS/Real]]-Table2[[#This Row],[Spread/V]]</f>
        <v>0</v>
      </c>
      <c r="AJ996" s="2">
        <f>Table2[[#This Row],[EV/Real]]-Table2[[#This Row],[Spread/V]]</f>
        <v>0</v>
      </c>
      <c r="AK996" s="2">
        <f>Table2[[#This Row],[SRS/Diff]]-Table2[[#This Row],[EV/Diff]]</f>
        <v>0</v>
      </c>
      <c r="AL996" s="18">
        <f>Table2[[#This Row],[SRS]]-Table2[[#This Row],[Spread]]</f>
        <v>-9.4886885245901667</v>
      </c>
      <c r="AM996" s="21">
        <f>Table2[[#This Row],[(A) Err]]^2</f>
        <v>90.035209916689112</v>
      </c>
      <c r="AN996" s="6">
        <f>Table2[[#This Row],[EV]]-Table2[[#This Row],[Spread]]</f>
        <v>-12.659149482799791</v>
      </c>
      <c r="AO996" s="1">
        <f>Table2[[#This Row],[EV Err]]^2</f>
        <v>160.2540656278702</v>
      </c>
      <c r="AP996" s="1"/>
    </row>
    <row r="997" spans="1:42" x14ac:dyDescent="0.25">
      <c r="A997" s="34">
        <v>42808</v>
      </c>
      <c r="B997" t="s">
        <v>134</v>
      </c>
      <c r="C997" t="s">
        <v>109</v>
      </c>
      <c r="E997" s="21"/>
      <c r="G997" s="21"/>
      <c r="H997" s="7"/>
      <c r="I997" s="21"/>
      <c r="K997"/>
      <c r="L997" s="21">
        <f>(Table2[[#This Row],[H/Pace]]/100)*(VLOOKUP(Table2[[#This Row],[Home/Neutral]],home_lookup,8,FALSE)+VLOOKUP(Table2[[#This Row],[Home/Neutral]],OFR_lookup,2,FALSE)+VLOOKUP(Table2[[#This Row],[Visitor/Neutral]],def_diff_lookup,6,FALSE))</f>
        <v>94.25689343638193</v>
      </c>
      <c r="M997" s="21"/>
      <c r="N997" s="21">
        <f>(Table2[[#This Row],[A/Pace]]/100)*(VLOOKUP(Table2[[#This Row],[Visitor/Neutral]],OFR_lookup,2,FALSE)+VLOOKUP(Table2[[#This Row],[Home/Neutral]],def_diff_lookup,6,FALSE))</f>
        <v>99.909941333333336</v>
      </c>
      <c r="O997" s="21"/>
      <c r="P997" s="21"/>
      <c r="Q997">
        <f>VLOOKUP(Table2[[#This Row],[Home/Neutral]],pace_lookup,7,FALSE)</f>
        <v>93.4</v>
      </c>
      <c r="R997" s="5">
        <f>VLOOKUP(Table2[[#This Row],[Visitor/Neutral]],pace_lookup,7,FALSE)</f>
        <v>99.2</v>
      </c>
      <c r="S997" s="7"/>
      <c r="U997" s="15"/>
      <c r="W997" s="2">
        <f>-home-VLOOKUP(Table2[[#This Row],[Home/Neutral]],rtg_vlookup,4,FALSE)+VLOOKUP(Table2[[#This Row],[Visitor/Neutral]],rtg_vlookup,4,FALSE)</f>
        <v>-7.8886885245901643</v>
      </c>
      <c r="X997" s="15"/>
      <c r="Y997" s="2"/>
      <c r="Z997" s="2">
        <f>Table2[[#This Row],[A/EV]]-Table2[[#This Row],[H/EV]]</f>
        <v>5.6530478969514064</v>
      </c>
      <c r="AA997" s="29"/>
      <c r="AB997" s="30"/>
      <c r="AC997" s="30"/>
      <c r="AD997" s="30"/>
      <c r="AE997" s="30"/>
      <c r="AF997" s="7" t="b">
        <f>IF(VLOOKUP(Table2[[#This Row],[Home/Neutral]],division_lookup,9,FALSE)=VLOOKUP(Table2[[#This Row],[Visitor/Neutral]],division_lookup,9,FALSE),TRUE,FALSE)</f>
        <v>0</v>
      </c>
      <c r="AG997" s="15" t="str">
        <f>VLOOKUP(Table2[[#This Row],[Home/Neutral]],division_lookup,9,FALSE)</f>
        <v>SW</v>
      </c>
      <c r="AH997" s="15" t="str">
        <f>IF(Table2[[#This Row],[Total/EV]]&lt;Table2[[#This Row],[Total/V]],"UNDER","OVER")</f>
        <v>OVER</v>
      </c>
      <c r="AI997" s="26">
        <f>Table2[[#This Row],[SRS/Real]]-Table2[[#This Row],[Spread/V]]</f>
        <v>0</v>
      </c>
      <c r="AJ997" s="2">
        <f>Table2[[#This Row],[EV/Real]]-Table2[[#This Row],[Spread/V]]</f>
        <v>0</v>
      </c>
      <c r="AK997" s="2">
        <f>Table2[[#This Row],[SRS/Diff]]-Table2[[#This Row],[EV/Diff]]</f>
        <v>0</v>
      </c>
      <c r="AL997" s="18">
        <f>Table2[[#This Row],[SRS]]-Table2[[#This Row],[Spread]]</f>
        <v>-7.8886885245901643</v>
      </c>
      <c r="AM997" s="21">
        <f>Table2[[#This Row],[(A) Err]]^2</f>
        <v>62.231406638000543</v>
      </c>
      <c r="AN997" s="6">
        <f>Table2[[#This Row],[EV]]-Table2[[#This Row],[Spread]]</f>
        <v>5.6530478969514064</v>
      </c>
      <c r="AO997" s="1">
        <f>Table2[[#This Row],[EV Err]]^2</f>
        <v>31.95695052522672</v>
      </c>
      <c r="AP997" s="1"/>
    </row>
    <row r="998" spans="1:42" x14ac:dyDescent="0.25">
      <c r="A998" s="34">
        <v>42808</v>
      </c>
      <c r="B998" t="s">
        <v>135</v>
      </c>
      <c r="C998" t="s">
        <v>115</v>
      </c>
      <c r="E998" s="21"/>
      <c r="G998" s="21"/>
      <c r="H998" s="7"/>
      <c r="I998" s="21"/>
      <c r="K998"/>
      <c r="L998" s="21">
        <f>(Table2[[#This Row],[H/Pace]]/100)*(VLOOKUP(Table2[[#This Row],[Home/Neutral]],home_lookup,8,FALSE)+VLOOKUP(Table2[[#This Row],[Home/Neutral]],OFR_lookup,2,FALSE)+VLOOKUP(Table2[[#This Row],[Visitor/Neutral]],def_diff_lookup,6,FALSE))</f>
        <v>108.99120035324614</v>
      </c>
      <c r="M998" s="21"/>
      <c r="N998" s="21">
        <f>(Table2[[#This Row],[A/Pace]]/100)*(VLOOKUP(Table2[[#This Row],[Visitor/Neutral]],OFR_lookup,2,FALSE)+VLOOKUP(Table2[[#This Row],[Home/Neutral]],def_diff_lookup,6,FALSE))</f>
        <v>91.037974333333338</v>
      </c>
      <c r="O998" s="21"/>
      <c r="P998" s="21"/>
      <c r="Q998">
        <f>VLOOKUP(Table2[[#This Row],[Home/Neutral]],pace_lookup,7,FALSE)</f>
        <v>95.4</v>
      </c>
      <c r="R998" s="5">
        <f>VLOOKUP(Table2[[#This Row],[Visitor/Neutral]],pace_lookup,7,FALSE)</f>
        <v>92.9</v>
      </c>
      <c r="S998" s="7"/>
      <c r="U998" s="15"/>
      <c r="W998" s="2">
        <f>-home-VLOOKUP(Table2[[#This Row],[Home/Neutral]],rtg_vlookup,4,FALSE)+VLOOKUP(Table2[[#This Row],[Visitor/Neutral]],rtg_vlookup,4,FALSE)</f>
        <v>-17.578688524590163</v>
      </c>
      <c r="X998" s="15"/>
      <c r="Y998" s="2"/>
      <c r="Z998" s="2">
        <f>Table2[[#This Row],[A/EV]]-Table2[[#This Row],[H/EV]]</f>
        <v>-17.953226019912805</v>
      </c>
      <c r="AA998" s="29"/>
      <c r="AB998" s="30"/>
      <c r="AC998" s="30"/>
      <c r="AD998" s="30"/>
      <c r="AE998" s="30"/>
      <c r="AF998" s="7" t="b">
        <f>IF(VLOOKUP(Table2[[#This Row],[Home/Neutral]],division_lookup,9,FALSE)=VLOOKUP(Table2[[#This Row],[Visitor/Neutral]],division_lookup,9,FALSE),TRUE,FALSE)</f>
        <v>0</v>
      </c>
      <c r="AG998" s="15" t="str">
        <f>VLOOKUP(Table2[[#This Row],[Home/Neutral]],division_lookup,9,FALSE)</f>
        <v>A</v>
      </c>
      <c r="AH998" s="15" t="str">
        <f>IF(Table2[[#This Row],[Total/EV]]&lt;Table2[[#This Row],[Total/V]],"UNDER","OVER")</f>
        <v>OVER</v>
      </c>
      <c r="AI998" s="26">
        <f>Table2[[#This Row],[SRS/Real]]-Table2[[#This Row],[Spread/V]]</f>
        <v>0</v>
      </c>
      <c r="AJ998" s="2">
        <f>Table2[[#This Row],[EV/Real]]-Table2[[#This Row],[Spread/V]]</f>
        <v>0</v>
      </c>
      <c r="AK998" s="2">
        <f>Table2[[#This Row],[SRS/Diff]]-Table2[[#This Row],[EV/Diff]]</f>
        <v>0</v>
      </c>
      <c r="AL998" s="18">
        <f>Table2[[#This Row],[SRS]]-Table2[[#This Row],[Spread]]</f>
        <v>-17.578688524590163</v>
      </c>
      <c r="AM998" s="21">
        <f>Table2[[#This Row],[(A) Err]]^2</f>
        <v>309.01029024455789</v>
      </c>
      <c r="AN998" s="6">
        <f>Table2[[#This Row],[EV]]-Table2[[#This Row],[Spread]]</f>
        <v>-17.953226019912805</v>
      </c>
      <c r="AO998" s="1">
        <f>Table2[[#This Row],[EV Err]]^2</f>
        <v>322.31832452207419</v>
      </c>
      <c r="AP998" s="1"/>
    </row>
    <row r="999" spans="1:42" x14ac:dyDescent="0.25">
      <c r="A999" s="34">
        <v>42808</v>
      </c>
      <c r="B999" t="s">
        <v>136</v>
      </c>
      <c r="C999" t="s">
        <v>121</v>
      </c>
      <c r="E999" s="21"/>
      <c r="G999" s="21"/>
      <c r="H999" s="7"/>
      <c r="I999" s="21"/>
      <c r="K999"/>
      <c r="L999" s="21">
        <f>(Table2[[#This Row],[H/Pace]]/100)*(VLOOKUP(Table2[[#This Row],[Home/Neutral]],home_lookup,8,FALSE)+VLOOKUP(Table2[[#This Row],[Home/Neutral]],OFR_lookup,2,FALSE)+VLOOKUP(Table2[[#This Row],[Visitor/Neutral]],def_diff_lookup,6,FALSE))</f>
        <v>101.14093534991899</v>
      </c>
      <c r="M999" s="21"/>
      <c r="N999" s="21">
        <f>(Table2[[#This Row],[A/Pace]]/100)*(VLOOKUP(Table2[[#This Row],[Visitor/Neutral]],OFR_lookup,2,FALSE)+VLOOKUP(Table2[[#This Row],[Home/Neutral]],def_diff_lookup,6,FALSE))</f>
        <v>106.63350266666666</v>
      </c>
      <c r="O999" s="21"/>
      <c r="P999" s="21"/>
      <c r="Q999">
        <f>VLOOKUP(Table2[[#This Row],[Home/Neutral]],pace_lookup,7,FALSE)</f>
        <v>91.5</v>
      </c>
      <c r="R999" s="5">
        <f>VLOOKUP(Table2[[#This Row],[Visitor/Neutral]],pace_lookup,7,FALSE)</f>
        <v>96.4</v>
      </c>
      <c r="S999" s="7"/>
      <c r="U999" s="15"/>
      <c r="W999" s="2">
        <f>-home-VLOOKUP(Table2[[#This Row],[Home/Neutral]],rtg_vlookup,4,FALSE)+VLOOKUP(Table2[[#This Row],[Visitor/Neutral]],rtg_vlookup,4,FALSE)</f>
        <v>5.7013114754098346</v>
      </c>
      <c r="X999" s="15"/>
      <c r="Y999" s="2"/>
      <c r="Z999" s="2">
        <f>Table2[[#This Row],[A/EV]]-Table2[[#This Row],[H/EV]]</f>
        <v>5.4925673167476674</v>
      </c>
      <c r="AA999" s="29"/>
      <c r="AB999" s="30"/>
      <c r="AC999" s="30"/>
      <c r="AD999" s="30"/>
      <c r="AE999" s="30"/>
      <c r="AF999" s="7" t="b">
        <f>IF(VLOOKUP(Table2[[#This Row],[Home/Neutral]],division_lookup,9,FALSE)=VLOOKUP(Table2[[#This Row],[Visitor/Neutral]],division_lookup,9,FALSE),TRUE,FALSE)</f>
        <v>0</v>
      </c>
      <c r="AG999" s="15" t="str">
        <f>VLOOKUP(Table2[[#This Row],[Home/Neutral]],division_lookup,9,FALSE)</f>
        <v>NW</v>
      </c>
      <c r="AH999" s="15" t="str">
        <f>IF(Table2[[#This Row],[Total/EV]]&lt;Table2[[#This Row],[Total/V]],"UNDER","OVER")</f>
        <v>OVER</v>
      </c>
      <c r="AI999" s="26">
        <f>Table2[[#This Row],[SRS/Real]]-Table2[[#This Row],[Spread/V]]</f>
        <v>0</v>
      </c>
      <c r="AJ999" s="2">
        <f>Table2[[#This Row],[EV/Real]]-Table2[[#This Row],[Spread/V]]</f>
        <v>0</v>
      </c>
      <c r="AK999" s="2">
        <f>Table2[[#This Row],[SRS/Diff]]-Table2[[#This Row],[EV/Diff]]</f>
        <v>0</v>
      </c>
      <c r="AL999" s="18">
        <f>Table2[[#This Row],[SRS]]-Table2[[#This Row],[Spread]]</f>
        <v>5.7013114754098346</v>
      </c>
      <c r="AM999" s="21">
        <f>Table2[[#This Row],[(A) Err]]^2</f>
        <v>32.504952539639866</v>
      </c>
      <c r="AN999" s="6">
        <f>Table2[[#This Row],[EV]]-Table2[[#This Row],[Spread]]</f>
        <v>5.4925673167476674</v>
      </c>
      <c r="AO999" s="1">
        <f>Table2[[#This Row],[EV Err]]^2</f>
        <v>30.168295729004672</v>
      </c>
      <c r="AP999" s="1"/>
    </row>
    <row r="1000" spans="1:42" x14ac:dyDescent="0.25">
      <c r="A1000" s="34">
        <v>42809</v>
      </c>
      <c r="B1000" t="s">
        <v>111</v>
      </c>
      <c r="C1000" t="s">
        <v>129</v>
      </c>
      <c r="E1000" s="21"/>
      <c r="G1000" s="21"/>
      <c r="H1000" s="7"/>
      <c r="I1000" s="21"/>
      <c r="K1000"/>
      <c r="L1000" s="21">
        <f>(Table2[[#This Row],[H/Pace]]/100)*(VLOOKUP(Table2[[#This Row],[Home/Neutral]],home_lookup,8,FALSE)+VLOOKUP(Table2[[#This Row],[Home/Neutral]],OFR_lookup,2,FALSE)+VLOOKUP(Table2[[#This Row],[Visitor/Neutral]],def_diff_lookup,6,FALSE))</f>
        <v>98.222818327716354</v>
      </c>
      <c r="M1000" s="21"/>
      <c r="N1000" s="21">
        <f>(Table2[[#This Row],[A/Pace]]/100)*(VLOOKUP(Table2[[#This Row],[Visitor/Neutral]],OFR_lookup,2,FALSE)+VLOOKUP(Table2[[#This Row],[Home/Neutral]],def_diff_lookup,6,FALSE))</f>
        <v>109.43030999999999</v>
      </c>
      <c r="O1000" s="21"/>
      <c r="P1000" s="21"/>
      <c r="Q1000">
        <f>VLOOKUP(Table2[[#This Row],[Home/Neutral]],pace_lookup,7,FALSE)</f>
        <v>102</v>
      </c>
      <c r="R1000" s="5">
        <f>VLOOKUP(Table2[[#This Row],[Visitor/Neutral]],pace_lookup,7,FALSE)</f>
        <v>99</v>
      </c>
      <c r="S1000" s="7"/>
      <c r="U1000" s="15"/>
      <c r="W1000" s="2">
        <f>-home-VLOOKUP(Table2[[#This Row],[Home/Neutral]],rtg_vlookup,4,FALSE)+VLOOKUP(Table2[[#This Row],[Visitor/Neutral]],rtg_vlookup,4,FALSE)</f>
        <v>7.5113114754098333</v>
      </c>
      <c r="X1000" s="15"/>
      <c r="Y1000" s="2"/>
      <c r="Z1000" s="2">
        <f>Table2[[#This Row],[A/EV]]-Table2[[#This Row],[H/EV]]</f>
        <v>11.207491672283638</v>
      </c>
      <c r="AA1000" s="29"/>
      <c r="AB1000" s="30"/>
      <c r="AC1000" s="30"/>
      <c r="AD1000" s="30"/>
      <c r="AE1000" s="30"/>
      <c r="AF1000" s="7" t="b">
        <f>IF(VLOOKUP(Table2[[#This Row],[Home/Neutral]],division_lookup,9,FALSE)=VLOOKUP(Table2[[#This Row],[Visitor/Neutral]],division_lookup,9,FALSE),TRUE,FALSE)</f>
        <v>0</v>
      </c>
      <c r="AG1000" s="15" t="str">
        <f>VLOOKUP(Table2[[#This Row],[Home/Neutral]],division_lookup,9,FALSE)</f>
        <v>A</v>
      </c>
      <c r="AH1000" s="15" t="str">
        <f>IF(Table2[[#This Row],[Total/EV]]&lt;Table2[[#This Row],[Total/V]],"UNDER","OVER")</f>
        <v>OVER</v>
      </c>
      <c r="AI1000" s="26">
        <f>Table2[[#This Row],[SRS/Real]]-Table2[[#This Row],[Spread/V]]</f>
        <v>0</v>
      </c>
      <c r="AJ1000" s="2">
        <f>Table2[[#This Row],[EV/Real]]-Table2[[#This Row],[Spread/V]]</f>
        <v>0</v>
      </c>
      <c r="AK1000" s="2">
        <f>Table2[[#This Row],[SRS/Diff]]-Table2[[#This Row],[EV/Diff]]</f>
        <v>0</v>
      </c>
      <c r="AL1000" s="18">
        <f>Table2[[#This Row],[SRS]]-Table2[[#This Row],[Spread]]</f>
        <v>7.5113114754098333</v>
      </c>
      <c r="AM1000" s="21">
        <f>Table2[[#This Row],[(A) Err]]^2</f>
        <v>56.419800080623446</v>
      </c>
      <c r="AN1000" s="6">
        <f>Table2[[#This Row],[EV]]-Table2[[#This Row],[Spread]]</f>
        <v>11.207491672283638</v>
      </c>
      <c r="AO1000" s="1">
        <f>Table2[[#This Row],[EV Err]]^2</f>
        <v>125.6078695843071</v>
      </c>
      <c r="AP1000" s="1"/>
    </row>
    <row r="1001" spans="1:42" x14ac:dyDescent="0.25">
      <c r="A1001" s="34">
        <v>42809</v>
      </c>
      <c r="B1001" t="s">
        <v>114</v>
      </c>
      <c r="C1001" t="s">
        <v>117</v>
      </c>
      <c r="E1001" s="21"/>
      <c r="G1001" s="21"/>
      <c r="H1001" s="7"/>
      <c r="I1001" s="21"/>
      <c r="K1001"/>
      <c r="L1001" s="21">
        <f>(Table2[[#This Row],[H/Pace]]/100)*(VLOOKUP(Table2[[#This Row],[Home/Neutral]],home_lookup,8,FALSE)+VLOOKUP(Table2[[#This Row],[Home/Neutral]],OFR_lookup,2,FALSE)+VLOOKUP(Table2[[#This Row],[Visitor/Neutral]],def_diff_lookup,6,FALSE))</f>
        <v>110.48591276756467</v>
      </c>
      <c r="M1001" s="21"/>
      <c r="N1001" s="21">
        <f>(Table2[[#This Row],[A/Pace]]/100)*(VLOOKUP(Table2[[#This Row],[Visitor/Neutral]],OFR_lookup,2,FALSE)+VLOOKUP(Table2[[#This Row],[Home/Neutral]],def_diff_lookup,6,FALSE))</f>
        <v>97.567926666666651</v>
      </c>
      <c r="O1001" s="21"/>
      <c r="P1001" s="21"/>
      <c r="Q1001">
        <f>VLOOKUP(Table2[[#This Row],[Home/Neutral]],pace_lookup,7,FALSE)</f>
        <v>97.3</v>
      </c>
      <c r="R1001" s="5">
        <f>VLOOKUP(Table2[[#This Row],[Visitor/Neutral]],pace_lookup,7,FALSE)</f>
        <v>94</v>
      </c>
      <c r="S1001" s="7"/>
      <c r="U1001" s="15"/>
      <c r="W1001" s="2">
        <f>-home-VLOOKUP(Table2[[#This Row],[Home/Neutral]],rtg_vlookup,4,FALSE)+VLOOKUP(Table2[[#This Row],[Visitor/Neutral]],rtg_vlookup,4,FALSE)</f>
        <v>-9.8586885245901659</v>
      </c>
      <c r="X1001" s="15"/>
      <c r="Y1001" s="2"/>
      <c r="Z1001" s="2">
        <f>Table2[[#This Row],[A/EV]]-Table2[[#This Row],[H/EV]]</f>
        <v>-12.91798610089802</v>
      </c>
      <c r="AA1001" s="29"/>
      <c r="AB1001" s="30"/>
      <c r="AC1001" s="30"/>
      <c r="AD1001" s="30"/>
      <c r="AE1001" s="30"/>
      <c r="AF1001" s="7" t="b">
        <f>IF(VLOOKUP(Table2[[#This Row],[Home/Neutral]],division_lookup,9,FALSE)=VLOOKUP(Table2[[#This Row],[Visitor/Neutral]],division_lookup,9,FALSE),TRUE,FALSE)</f>
        <v>1</v>
      </c>
      <c r="AG1001" s="15" t="str">
        <f>VLOOKUP(Table2[[#This Row],[Home/Neutral]],division_lookup,9,FALSE)</f>
        <v>C</v>
      </c>
      <c r="AH1001" s="15" t="str">
        <f>IF(Table2[[#This Row],[Total/EV]]&lt;Table2[[#This Row],[Total/V]],"UNDER","OVER")</f>
        <v>OVER</v>
      </c>
      <c r="AI1001" s="26">
        <f>Table2[[#This Row],[SRS/Real]]-Table2[[#This Row],[Spread/V]]</f>
        <v>0</v>
      </c>
      <c r="AJ1001" s="2">
        <f>Table2[[#This Row],[EV/Real]]-Table2[[#This Row],[Spread/V]]</f>
        <v>0</v>
      </c>
      <c r="AK1001" s="2">
        <f>Table2[[#This Row],[SRS/Diff]]-Table2[[#This Row],[EV/Diff]]</f>
        <v>0</v>
      </c>
      <c r="AL1001" s="18">
        <f>Table2[[#This Row],[SRS]]-Table2[[#This Row],[Spread]]</f>
        <v>-9.8586885245901659</v>
      </c>
      <c r="AM1001" s="21">
        <f>Table2[[#This Row],[(A) Err]]^2</f>
        <v>97.19373942488582</v>
      </c>
      <c r="AN1001" s="6">
        <f>Table2[[#This Row],[EV]]-Table2[[#This Row],[Spread]]</f>
        <v>-12.91798610089802</v>
      </c>
      <c r="AO1001" s="1">
        <f>Table2[[#This Row],[EV Err]]^2</f>
        <v>166.87436490299442</v>
      </c>
      <c r="AP1001" s="1"/>
    </row>
    <row r="1002" spans="1:42" x14ac:dyDescent="0.25">
      <c r="A1002" s="34">
        <v>42809</v>
      </c>
      <c r="B1002" t="s">
        <v>118</v>
      </c>
      <c r="C1002" t="s">
        <v>138</v>
      </c>
      <c r="E1002" s="21"/>
      <c r="G1002" s="21"/>
      <c r="H1002" s="7"/>
      <c r="I1002" s="21"/>
      <c r="K1002"/>
      <c r="L1002" s="21">
        <f>(Table2[[#This Row],[H/Pace]]/100)*(VLOOKUP(Table2[[#This Row],[Home/Neutral]],home_lookup,8,FALSE)+VLOOKUP(Table2[[#This Row],[Home/Neutral]],OFR_lookup,2,FALSE)+VLOOKUP(Table2[[#This Row],[Visitor/Neutral]],def_diff_lookup,6,FALSE))</f>
        <v>116.47939838078238</v>
      </c>
      <c r="M1002" s="21"/>
      <c r="N1002" s="21">
        <f>(Table2[[#This Row],[A/Pace]]/100)*(VLOOKUP(Table2[[#This Row],[Visitor/Neutral]],OFR_lookup,2,FALSE)+VLOOKUP(Table2[[#This Row],[Home/Neutral]],def_diff_lookup,6,FALSE))</f>
        <v>95.175274999999999</v>
      </c>
      <c r="O1002" s="21"/>
      <c r="P1002" s="21"/>
      <c r="Q1002">
        <f>VLOOKUP(Table2[[#This Row],[Home/Neutral]],pace_lookup,7,FALSE)</f>
        <v>100.4</v>
      </c>
      <c r="R1002" s="5">
        <f>VLOOKUP(Table2[[#This Row],[Visitor/Neutral]],pace_lookup,7,FALSE)</f>
        <v>97.5</v>
      </c>
      <c r="S1002" s="7"/>
      <c r="U1002" s="15"/>
      <c r="W1002" s="2">
        <f>-home-VLOOKUP(Table2[[#This Row],[Home/Neutral]],rtg_vlookup,4,FALSE)+VLOOKUP(Table2[[#This Row],[Visitor/Neutral]],rtg_vlookup,4,FALSE)</f>
        <v>-23.828688524590167</v>
      </c>
      <c r="X1002" s="15"/>
      <c r="Y1002" s="2"/>
      <c r="Z1002" s="2">
        <f>Table2[[#This Row],[A/EV]]-Table2[[#This Row],[H/EV]]</f>
        <v>-21.304123380782386</v>
      </c>
      <c r="AA1002" s="29"/>
      <c r="AB1002" s="30"/>
      <c r="AC1002" s="30"/>
      <c r="AD1002" s="30"/>
      <c r="AE1002" s="30"/>
      <c r="AF1002" s="7" t="b">
        <f>IF(VLOOKUP(Table2[[#This Row],[Home/Neutral]],division_lookup,9,FALSE)=VLOOKUP(Table2[[#This Row],[Visitor/Neutral]],division_lookup,9,FALSE),TRUE,FALSE)</f>
        <v>0</v>
      </c>
      <c r="AG1002" s="15" t="str">
        <f>VLOOKUP(Table2[[#This Row],[Home/Neutral]],division_lookup,9,FALSE)</f>
        <v>P</v>
      </c>
      <c r="AH1002" s="15" t="str">
        <f>IF(Table2[[#This Row],[Total/EV]]&lt;Table2[[#This Row],[Total/V]],"UNDER","OVER")</f>
        <v>OVER</v>
      </c>
      <c r="AI1002" s="26">
        <f>Table2[[#This Row],[SRS/Real]]-Table2[[#This Row],[Spread/V]]</f>
        <v>0</v>
      </c>
      <c r="AJ1002" s="2">
        <f>Table2[[#This Row],[EV/Real]]-Table2[[#This Row],[Spread/V]]</f>
        <v>0</v>
      </c>
      <c r="AK1002" s="2">
        <f>Table2[[#This Row],[SRS/Diff]]-Table2[[#This Row],[EV/Diff]]</f>
        <v>0</v>
      </c>
      <c r="AL1002" s="18">
        <f>Table2[[#This Row],[SRS]]-Table2[[#This Row],[Spread]]</f>
        <v>-23.828688524590167</v>
      </c>
      <c r="AM1002" s="21">
        <f>Table2[[#This Row],[(A) Err]]^2</f>
        <v>567.80639680193508</v>
      </c>
      <c r="AN1002" s="6">
        <f>Table2[[#This Row],[EV]]-Table2[[#This Row],[Spread]]</f>
        <v>-21.304123380782386</v>
      </c>
      <c r="AO1002" s="1">
        <f>Table2[[#This Row],[EV Err]]^2</f>
        <v>453.86567302359873</v>
      </c>
      <c r="AP1002" s="1"/>
    </row>
    <row r="1003" spans="1:42" x14ac:dyDescent="0.25">
      <c r="A1003" s="34">
        <v>42809</v>
      </c>
      <c r="B1003" t="s">
        <v>127</v>
      </c>
      <c r="C1003" t="s">
        <v>132</v>
      </c>
      <c r="E1003" s="21"/>
      <c r="G1003" s="21"/>
      <c r="H1003" s="7"/>
      <c r="I1003" s="21"/>
      <c r="K1003"/>
      <c r="L1003" s="21">
        <f>(Table2[[#This Row],[H/Pace]]/100)*(VLOOKUP(Table2[[#This Row],[Home/Neutral]],home_lookup,8,FALSE)+VLOOKUP(Table2[[#This Row],[Home/Neutral]],OFR_lookup,2,FALSE)+VLOOKUP(Table2[[#This Row],[Visitor/Neutral]],def_diff_lookup,6,FALSE))</f>
        <v>108.16086493743047</v>
      </c>
      <c r="M1003" s="21"/>
      <c r="N1003" s="21">
        <f>(Table2[[#This Row],[A/Pace]]/100)*(VLOOKUP(Table2[[#This Row],[Visitor/Neutral]],OFR_lookup,2,FALSE)+VLOOKUP(Table2[[#This Row],[Home/Neutral]],def_diff_lookup,6,FALSE))</f>
        <v>107.13443866666667</v>
      </c>
      <c r="O1003" s="21"/>
      <c r="P1003" s="21"/>
      <c r="Q1003">
        <f>VLOOKUP(Table2[[#This Row],[Home/Neutral]],pace_lookup,7,FALSE)</f>
        <v>99.3</v>
      </c>
      <c r="R1003" s="5">
        <f>VLOOKUP(Table2[[#This Row],[Visitor/Neutral]],pace_lookup,7,FALSE)</f>
        <v>98.8</v>
      </c>
      <c r="S1003" s="7"/>
      <c r="U1003" s="15"/>
      <c r="W1003" s="2">
        <f>-home-VLOOKUP(Table2[[#This Row],[Home/Neutral]],rtg_vlookup,4,FALSE)+VLOOKUP(Table2[[#This Row],[Visitor/Neutral]],rtg_vlookup,4,FALSE)</f>
        <v>-2.5586885245901656</v>
      </c>
      <c r="X1003" s="15"/>
      <c r="Y1003" s="2"/>
      <c r="Z1003" s="2">
        <f>Table2[[#This Row],[A/EV]]-Table2[[#This Row],[H/EV]]</f>
        <v>-1.0264262707638068</v>
      </c>
      <c r="AA1003" s="29"/>
      <c r="AB1003" s="30"/>
      <c r="AC1003" s="30"/>
      <c r="AD1003" s="30"/>
      <c r="AE1003" s="30"/>
      <c r="AF1003" s="7" t="b">
        <f>IF(VLOOKUP(Table2[[#This Row],[Home/Neutral]],division_lookup,9,FALSE)=VLOOKUP(Table2[[#This Row],[Visitor/Neutral]],division_lookup,9,FALSE),TRUE,FALSE)</f>
        <v>0</v>
      </c>
      <c r="AG1003" s="15" t="str">
        <f>VLOOKUP(Table2[[#This Row],[Home/Neutral]],division_lookup,9,FALSE)</f>
        <v>SW</v>
      </c>
      <c r="AH1003" s="15" t="str">
        <f>IF(Table2[[#This Row],[Total/EV]]&lt;Table2[[#This Row],[Total/V]],"UNDER","OVER")</f>
        <v>OVER</v>
      </c>
      <c r="AI1003" s="26">
        <f>Table2[[#This Row],[SRS/Real]]-Table2[[#This Row],[Spread/V]]</f>
        <v>0</v>
      </c>
      <c r="AJ1003" s="2">
        <f>Table2[[#This Row],[EV/Real]]-Table2[[#This Row],[Spread/V]]</f>
        <v>0</v>
      </c>
      <c r="AK1003" s="2">
        <f>Table2[[#This Row],[SRS/Diff]]-Table2[[#This Row],[EV/Diff]]</f>
        <v>0</v>
      </c>
      <c r="AL1003" s="18">
        <f>Table2[[#This Row],[SRS]]-Table2[[#This Row],[Spread]]</f>
        <v>-2.5586885245901656</v>
      </c>
      <c r="AM1003" s="21">
        <f>Table2[[#This Row],[(A) Err]]^2</f>
        <v>6.5468869658693984</v>
      </c>
      <c r="AN1003" s="6">
        <f>Table2[[#This Row],[EV]]-Table2[[#This Row],[Spread]]</f>
        <v>-1.0264262707638068</v>
      </c>
      <c r="AO1003" s="1">
        <f>Table2[[#This Row],[EV Err]]^2</f>
        <v>1.0535508893140955</v>
      </c>
      <c r="AP1003" s="1"/>
    </row>
    <row r="1004" spans="1:42" x14ac:dyDescent="0.25">
      <c r="A1004" s="34">
        <v>42809</v>
      </c>
      <c r="B1004" t="s">
        <v>128</v>
      </c>
      <c r="C1004" t="s">
        <v>120</v>
      </c>
      <c r="E1004" s="21"/>
      <c r="G1004" s="21"/>
      <c r="H1004" s="7"/>
      <c r="I1004" s="21"/>
      <c r="K1004"/>
      <c r="L1004" s="21">
        <f>(Table2[[#This Row],[H/Pace]]/100)*(VLOOKUP(Table2[[#This Row],[Home/Neutral]],home_lookup,8,FALSE)+VLOOKUP(Table2[[#This Row],[Home/Neutral]],OFR_lookup,2,FALSE)+VLOOKUP(Table2[[#This Row],[Visitor/Neutral]],def_diff_lookup,6,FALSE))</f>
        <v>110.0887998778302</v>
      </c>
      <c r="M1004" s="21"/>
      <c r="N1004" s="21">
        <f>(Table2[[#This Row],[A/Pace]]/100)*(VLOOKUP(Table2[[#This Row],[Visitor/Neutral]],OFR_lookup,2,FALSE)+VLOOKUP(Table2[[#This Row],[Home/Neutral]],def_diff_lookup,6,FALSE))</f>
        <v>105.02929033333334</v>
      </c>
      <c r="O1004" s="21"/>
      <c r="P1004" s="21"/>
      <c r="Q1004">
        <f>VLOOKUP(Table2[[#This Row],[Home/Neutral]],pace_lookup,7,FALSE)</f>
        <v>96.3</v>
      </c>
      <c r="R1004" s="5">
        <f>VLOOKUP(Table2[[#This Row],[Visitor/Neutral]],pace_lookup,7,FALSE)</f>
        <v>98.3</v>
      </c>
      <c r="S1004" s="7"/>
      <c r="U1004" s="15"/>
      <c r="W1004" s="2">
        <f>-home-VLOOKUP(Table2[[#This Row],[Home/Neutral]],rtg_vlookup,4,FALSE)+VLOOKUP(Table2[[#This Row],[Visitor/Neutral]],rtg_vlookup,4,FALSE)</f>
        <v>-5.6186885245901657</v>
      </c>
      <c r="X1004" s="15"/>
      <c r="Y1004" s="2"/>
      <c r="Z1004" s="2">
        <f>Table2[[#This Row],[A/EV]]-Table2[[#This Row],[H/EV]]</f>
        <v>-5.0595095444968621</v>
      </c>
      <c r="AA1004" s="29"/>
      <c r="AB1004" s="30"/>
      <c r="AC1004" s="30"/>
      <c r="AD1004" s="30"/>
      <c r="AE1004" s="30"/>
      <c r="AF1004" s="7" t="b">
        <f>IF(VLOOKUP(Table2[[#This Row],[Home/Neutral]],division_lookup,9,FALSE)=VLOOKUP(Table2[[#This Row],[Visitor/Neutral]],division_lookup,9,FALSE),TRUE,FALSE)</f>
        <v>0</v>
      </c>
      <c r="AG1004" s="15" t="str">
        <f>VLOOKUP(Table2[[#This Row],[Home/Neutral]],division_lookup,9,FALSE)</f>
        <v>A</v>
      </c>
      <c r="AH1004" s="15" t="str">
        <f>IF(Table2[[#This Row],[Total/EV]]&lt;Table2[[#This Row],[Total/V]],"UNDER","OVER")</f>
        <v>OVER</v>
      </c>
      <c r="AI1004" s="26">
        <f>Table2[[#This Row],[SRS/Real]]-Table2[[#This Row],[Spread/V]]</f>
        <v>0</v>
      </c>
      <c r="AJ1004" s="2">
        <f>Table2[[#This Row],[EV/Real]]-Table2[[#This Row],[Spread/V]]</f>
        <v>0</v>
      </c>
      <c r="AK1004" s="2">
        <f>Table2[[#This Row],[SRS/Diff]]-Table2[[#This Row],[EV/Diff]]</f>
        <v>0</v>
      </c>
      <c r="AL1004" s="18">
        <f>Table2[[#This Row],[SRS]]-Table2[[#This Row],[Spread]]</f>
        <v>-5.6186885245901657</v>
      </c>
      <c r="AM1004" s="21">
        <f>Table2[[#This Row],[(A) Err]]^2</f>
        <v>31.569660736361211</v>
      </c>
      <c r="AN1004" s="6">
        <f>Table2[[#This Row],[EV]]-Table2[[#This Row],[Spread]]</f>
        <v>-5.0595095444968621</v>
      </c>
      <c r="AO1004" s="1">
        <f>Table2[[#This Row],[EV Err]]^2</f>
        <v>25.598636830854844</v>
      </c>
      <c r="AP1004" s="1"/>
    </row>
    <row r="1005" spans="1:42" x14ac:dyDescent="0.25">
      <c r="A1005" s="34">
        <v>42810</v>
      </c>
      <c r="B1005" t="s">
        <v>110</v>
      </c>
      <c r="C1005" t="s">
        <v>126</v>
      </c>
      <c r="E1005" s="21"/>
      <c r="G1005" s="21"/>
      <c r="H1005" s="7"/>
      <c r="I1005" s="21"/>
      <c r="K1005"/>
      <c r="L1005" s="21">
        <f>(Table2[[#This Row],[H/Pace]]/100)*(VLOOKUP(Table2[[#This Row],[Home/Neutral]],home_lookup,8,FALSE)+VLOOKUP(Table2[[#This Row],[Home/Neutral]],OFR_lookup,2,FALSE)+VLOOKUP(Table2[[#This Row],[Visitor/Neutral]],def_diff_lookup,6,FALSE))</f>
        <v>108.8510911890094</v>
      </c>
      <c r="M1005" s="21"/>
      <c r="N1005" s="21">
        <f>(Table2[[#This Row],[A/Pace]]/100)*(VLOOKUP(Table2[[#This Row],[Visitor/Neutral]],OFR_lookup,2,FALSE)+VLOOKUP(Table2[[#This Row],[Home/Neutral]],def_diff_lookup,6,FALSE))</f>
        <v>104.69165300000002</v>
      </c>
      <c r="O1005" s="21"/>
      <c r="P1005" s="21"/>
      <c r="Q1005">
        <f>VLOOKUP(Table2[[#This Row],[Home/Neutral]],pace_lookup,7,FALSE)</f>
        <v>96.2</v>
      </c>
      <c r="R1005" s="5">
        <f>VLOOKUP(Table2[[#This Row],[Visitor/Neutral]],pace_lookup,7,FALSE)</f>
        <v>95.7</v>
      </c>
      <c r="S1005" s="7"/>
      <c r="U1005" s="15"/>
      <c r="W1005" s="2">
        <f>-home-VLOOKUP(Table2[[#This Row],[Home/Neutral]],rtg_vlookup,4,FALSE)+VLOOKUP(Table2[[#This Row],[Visitor/Neutral]],rtg_vlookup,4,FALSE)</f>
        <v>-4.4386885245901659</v>
      </c>
      <c r="X1005" s="15"/>
      <c r="Y1005" s="2"/>
      <c r="Z1005" s="2">
        <f>Table2[[#This Row],[A/EV]]-Table2[[#This Row],[H/EV]]</f>
        <v>-4.1594381890093786</v>
      </c>
      <c r="AA1005" s="29"/>
      <c r="AB1005" s="30"/>
      <c r="AC1005" s="30"/>
      <c r="AD1005" s="30"/>
      <c r="AE1005" s="30"/>
      <c r="AF1005" s="7" t="b">
        <f>IF(VLOOKUP(Table2[[#This Row],[Home/Neutral]],division_lookup,9,FALSE)=VLOOKUP(Table2[[#This Row],[Visitor/Neutral]],division_lookup,9,FALSE),TRUE,FALSE)</f>
        <v>0</v>
      </c>
      <c r="AG1005" s="15" t="str">
        <f>VLOOKUP(Table2[[#This Row],[Home/Neutral]],division_lookup,9,FALSE)</f>
        <v>A</v>
      </c>
      <c r="AH1005" s="15" t="str">
        <f>IF(Table2[[#This Row],[Total/EV]]&lt;Table2[[#This Row],[Total/V]],"UNDER","OVER")</f>
        <v>OVER</v>
      </c>
      <c r="AI1005" s="26">
        <f>Table2[[#This Row],[SRS/Real]]-Table2[[#This Row],[Spread/V]]</f>
        <v>0</v>
      </c>
      <c r="AJ1005" s="2">
        <f>Table2[[#This Row],[EV/Real]]-Table2[[#This Row],[Spread/V]]</f>
        <v>0</v>
      </c>
      <c r="AK1005" s="2">
        <f>Table2[[#This Row],[SRS/Diff]]-Table2[[#This Row],[EV/Diff]]</f>
        <v>0</v>
      </c>
      <c r="AL1005" s="18">
        <f>Table2[[#This Row],[SRS]]-Table2[[#This Row],[Spread]]</f>
        <v>-4.4386885245901659</v>
      </c>
      <c r="AM1005" s="21">
        <f>Table2[[#This Row],[(A) Err]]^2</f>
        <v>19.701955818328425</v>
      </c>
      <c r="AN1005" s="6">
        <f>Table2[[#This Row],[EV]]-Table2[[#This Row],[Spread]]</f>
        <v>-4.1594381890093786</v>
      </c>
      <c r="AO1005" s="1">
        <f>Table2[[#This Row],[EV Err]]^2</f>
        <v>17.30092604818962</v>
      </c>
      <c r="AP1005" s="1"/>
    </row>
    <row r="1006" spans="1:42" x14ac:dyDescent="0.25">
      <c r="A1006" s="34">
        <v>42810</v>
      </c>
      <c r="B1006" t="s">
        <v>113</v>
      </c>
      <c r="C1006" t="s">
        <v>123</v>
      </c>
      <c r="E1006" s="21"/>
      <c r="G1006" s="21"/>
      <c r="H1006" s="7"/>
      <c r="I1006" s="21"/>
      <c r="K1006"/>
      <c r="L1006" s="21">
        <f>(Table2[[#This Row],[H/Pace]]/100)*(VLOOKUP(Table2[[#This Row],[Home/Neutral]],home_lookup,8,FALSE)+VLOOKUP(Table2[[#This Row],[Home/Neutral]],OFR_lookup,2,FALSE)+VLOOKUP(Table2[[#This Row],[Visitor/Neutral]],def_diff_lookup,6,FALSE))</f>
        <v>105.76192388016278</v>
      </c>
      <c r="M1006" s="21"/>
      <c r="N1006" s="21">
        <f>(Table2[[#This Row],[A/Pace]]/100)*(VLOOKUP(Table2[[#This Row],[Visitor/Neutral]],OFR_lookup,2,FALSE)+VLOOKUP(Table2[[#This Row],[Home/Neutral]],def_diff_lookup,6,FALSE))</f>
        <v>95.594741666666664</v>
      </c>
      <c r="O1006" s="21"/>
      <c r="P1006" s="21"/>
      <c r="Q1006">
        <f>VLOOKUP(Table2[[#This Row],[Home/Neutral]],pace_lookup,7,FALSE)</f>
        <v>95.1</v>
      </c>
      <c r="R1006" s="5">
        <f>VLOOKUP(Table2[[#This Row],[Visitor/Neutral]],pace_lookup,7,FALSE)</f>
        <v>92.5</v>
      </c>
      <c r="S1006" s="7"/>
      <c r="U1006" s="15"/>
      <c r="W1006" s="2">
        <f>-home-VLOOKUP(Table2[[#This Row],[Home/Neutral]],rtg_vlookup,4,FALSE)+VLOOKUP(Table2[[#This Row],[Visitor/Neutral]],rtg_vlookup,4,FALSE)</f>
        <v>-6.7486885245901664</v>
      </c>
      <c r="X1006" s="15"/>
      <c r="Y1006" s="2"/>
      <c r="Z1006" s="2">
        <f>Table2[[#This Row],[A/EV]]-Table2[[#This Row],[H/EV]]</f>
        <v>-10.167182213496119</v>
      </c>
      <c r="AA1006" s="29"/>
      <c r="AB1006" s="30"/>
      <c r="AC1006" s="30"/>
      <c r="AD1006" s="30"/>
      <c r="AE1006" s="30"/>
      <c r="AF1006" s="7" t="b">
        <f>IF(VLOOKUP(Table2[[#This Row],[Home/Neutral]],division_lookup,9,FALSE)=VLOOKUP(Table2[[#This Row],[Visitor/Neutral]],division_lookup,9,FALSE),TRUE,FALSE)</f>
        <v>0</v>
      </c>
      <c r="AG1006" s="15" t="str">
        <f>VLOOKUP(Table2[[#This Row],[Home/Neutral]],division_lookup,9,FALSE)</f>
        <v>C</v>
      </c>
      <c r="AH1006" s="15" t="str">
        <f>IF(Table2[[#This Row],[Total/EV]]&lt;Table2[[#This Row],[Total/V]],"UNDER","OVER")</f>
        <v>OVER</v>
      </c>
      <c r="AI1006" s="26">
        <f>Table2[[#This Row],[SRS/Real]]-Table2[[#This Row],[Spread/V]]</f>
        <v>0</v>
      </c>
      <c r="AJ1006" s="2">
        <f>Table2[[#This Row],[EV/Real]]-Table2[[#This Row],[Spread/V]]</f>
        <v>0</v>
      </c>
      <c r="AK1006" s="2">
        <f>Table2[[#This Row],[SRS/Diff]]-Table2[[#This Row],[EV/Diff]]</f>
        <v>0</v>
      </c>
      <c r="AL1006" s="18">
        <f>Table2[[#This Row],[SRS]]-Table2[[#This Row],[Spread]]</f>
        <v>-6.7486885245901664</v>
      </c>
      <c r="AM1006" s="21">
        <f>Table2[[#This Row],[(A) Err]]^2</f>
        <v>45.544796801935</v>
      </c>
      <c r="AN1006" s="6">
        <f>Table2[[#This Row],[EV]]-Table2[[#This Row],[Spread]]</f>
        <v>-10.167182213496119</v>
      </c>
      <c r="AO1006" s="1">
        <f>Table2[[#This Row],[EV Err]]^2</f>
        <v>103.37159416243185</v>
      </c>
      <c r="AP1006" s="1"/>
    </row>
    <row r="1007" spans="1:42" x14ac:dyDescent="0.25">
      <c r="A1007" s="34">
        <v>42810</v>
      </c>
      <c r="B1007" t="s">
        <v>117</v>
      </c>
      <c r="C1007" t="s">
        <v>136</v>
      </c>
      <c r="E1007" s="21"/>
      <c r="G1007" s="21"/>
      <c r="H1007" s="7"/>
      <c r="I1007" s="21"/>
      <c r="K1007"/>
      <c r="L1007" s="21">
        <f>(Table2[[#This Row],[H/Pace]]/100)*(VLOOKUP(Table2[[#This Row],[Home/Neutral]],home_lookup,8,FALSE)+VLOOKUP(Table2[[#This Row],[Home/Neutral]],OFR_lookup,2,FALSE)+VLOOKUP(Table2[[#This Row],[Visitor/Neutral]],def_diff_lookup,6,FALSE))</f>
        <v>108.01599591446428</v>
      </c>
      <c r="M1007" s="21"/>
      <c r="N1007" s="21">
        <f>(Table2[[#This Row],[A/Pace]]/100)*(VLOOKUP(Table2[[#This Row],[Visitor/Neutral]],OFR_lookup,2,FALSE)+VLOOKUP(Table2[[#This Row],[Home/Neutral]],def_diff_lookup,6,FALSE))</f>
        <v>93.801834999999997</v>
      </c>
      <c r="O1007" s="21"/>
      <c r="P1007" s="21"/>
      <c r="Q1007">
        <f>VLOOKUP(Table2[[#This Row],[Home/Neutral]],pace_lookup,7,FALSE)</f>
        <v>94</v>
      </c>
      <c r="R1007" s="5">
        <f>VLOOKUP(Table2[[#This Row],[Visitor/Neutral]],pace_lookup,7,FALSE)</f>
        <v>91.5</v>
      </c>
      <c r="S1007" s="7"/>
      <c r="U1007" s="15"/>
      <c r="W1007" s="2">
        <f>-home-VLOOKUP(Table2[[#This Row],[Home/Neutral]],rtg_vlookup,4,FALSE)+VLOOKUP(Table2[[#This Row],[Visitor/Neutral]],rtg_vlookup,4,FALSE)</f>
        <v>-9.8688524590166082E-2</v>
      </c>
      <c r="X1007" s="15"/>
      <c r="Y1007" s="2"/>
      <c r="Z1007" s="2">
        <f>Table2[[#This Row],[A/EV]]-Table2[[#This Row],[H/EV]]</f>
        <v>-14.214160914464287</v>
      </c>
      <c r="AA1007" s="29"/>
      <c r="AB1007" s="30"/>
      <c r="AC1007" s="30"/>
      <c r="AD1007" s="30"/>
      <c r="AE1007" s="30"/>
      <c r="AF1007" s="7" t="b">
        <f>IF(VLOOKUP(Table2[[#This Row],[Home/Neutral]],division_lookup,9,FALSE)=VLOOKUP(Table2[[#This Row],[Visitor/Neutral]],division_lookup,9,FALSE),TRUE,FALSE)</f>
        <v>0</v>
      </c>
      <c r="AG1007" s="15" t="str">
        <f>VLOOKUP(Table2[[#This Row],[Home/Neutral]],division_lookup,9,FALSE)</f>
        <v>C</v>
      </c>
      <c r="AH1007" s="15" t="str">
        <f>IF(Table2[[#This Row],[Total/EV]]&lt;Table2[[#This Row],[Total/V]],"UNDER","OVER")</f>
        <v>OVER</v>
      </c>
      <c r="AI1007" s="26">
        <f>Table2[[#This Row],[SRS/Real]]-Table2[[#This Row],[Spread/V]]</f>
        <v>0</v>
      </c>
      <c r="AJ1007" s="2">
        <f>Table2[[#This Row],[EV/Real]]-Table2[[#This Row],[Spread/V]]</f>
        <v>0</v>
      </c>
      <c r="AK1007" s="2">
        <f>Table2[[#This Row],[SRS/Diff]]-Table2[[#This Row],[EV/Diff]]</f>
        <v>0</v>
      </c>
      <c r="AL1007" s="18">
        <f>Table2[[#This Row],[SRS]]-Table2[[#This Row],[Spread]]</f>
        <v>-9.8688524590166082E-2</v>
      </c>
      <c r="AM1007" s="21">
        <f>Table2[[#This Row],[(A) Err]]^2</f>
        <v>9.7394248857838161E-3</v>
      </c>
      <c r="AN1007" s="6">
        <f>Table2[[#This Row],[EV]]-Table2[[#This Row],[Spread]]</f>
        <v>-14.214160914464287</v>
      </c>
      <c r="AO1007" s="1">
        <f>Table2[[#This Row],[EV Err]]^2</f>
        <v>202.04237050228423</v>
      </c>
      <c r="AP1007" s="1"/>
    </row>
    <row r="1008" spans="1:42" x14ac:dyDescent="0.25">
      <c r="A1008" s="34">
        <v>42810</v>
      </c>
      <c r="B1008" t="s">
        <v>119</v>
      </c>
      <c r="C1008" t="s">
        <v>122</v>
      </c>
      <c r="E1008" s="21"/>
      <c r="G1008" s="21"/>
      <c r="H1008" s="7"/>
      <c r="I1008" s="21"/>
      <c r="K1008"/>
      <c r="L1008" s="21">
        <f>(Table2[[#This Row],[H/Pace]]/100)*(VLOOKUP(Table2[[#This Row],[Home/Neutral]],home_lookup,8,FALSE)+VLOOKUP(Table2[[#This Row],[Home/Neutral]],OFR_lookup,2,FALSE)+VLOOKUP(Table2[[#This Row],[Visitor/Neutral]],def_diff_lookup,6,FALSE))</f>
        <v>113.32845376977627</v>
      </c>
      <c r="M1008" s="21"/>
      <c r="N1008" s="21">
        <f>(Table2[[#This Row],[A/Pace]]/100)*(VLOOKUP(Table2[[#This Row],[Visitor/Neutral]],OFR_lookup,2,FALSE)+VLOOKUP(Table2[[#This Row],[Home/Neutral]],def_diff_lookup,6,FALSE))</f>
        <v>111.909038</v>
      </c>
      <c r="O1008" s="21"/>
      <c r="P1008" s="21"/>
      <c r="Q1008">
        <f>VLOOKUP(Table2[[#This Row],[Home/Neutral]],pace_lookup,7,FALSE)</f>
        <v>96.9</v>
      </c>
      <c r="R1008" s="5">
        <f>VLOOKUP(Table2[[#This Row],[Visitor/Neutral]],pace_lookup,7,FALSE)</f>
        <v>100.2</v>
      </c>
      <c r="S1008" s="7"/>
      <c r="U1008" s="15"/>
      <c r="W1008" s="2">
        <f>-home-VLOOKUP(Table2[[#This Row],[Home/Neutral]],rtg_vlookup,4,FALSE)+VLOOKUP(Table2[[#This Row],[Visitor/Neutral]],rtg_vlookup,4,FALSE)</f>
        <v>-8.7086885245901655</v>
      </c>
      <c r="X1008" s="15"/>
      <c r="Y1008" s="2"/>
      <c r="Z1008" s="2">
        <f>Table2[[#This Row],[A/EV]]-Table2[[#This Row],[H/EV]]</f>
        <v>-1.419415769776279</v>
      </c>
      <c r="AA1008" s="29"/>
      <c r="AB1008" s="30"/>
      <c r="AC1008" s="30"/>
      <c r="AD1008" s="30"/>
      <c r="AE1008" s="30"/>
      <c r="AF1008" s="7" t="b">
        <f>IF(VLOOKUP(Table2[[#This Row],[Home/Neutral]],division_lookup,9,FALSE)=VLOOKUP(Table2[[#This Row],[Visitor/Neutral]],division_lookup,9,FALSE),TRUE,FALSE)</f>
        <v>0</v>
      </c>
      <c r="AG1008" s="15" t="str">
        <f>VLOOKUP(Table2[[#This Row],[Home/Neutral]],division_lookup,9,FALSE)</f>
        <v>SW</v>
      </c>
      <c r="AH1008" s="15" t="str">
        <f>IF(Table2[[#This Row],[Total/EV]]&lt;Table2[[#This Row],[Total/V]],"UNDER","OVER")</f>
        <v>OVER</v>
      </c>
      <c r="AI1008" s="26">
        <f>Table2[[#This Row],[SRS/Real]]-Table2[[#This Row],[Spread/V]]</f>
        <v>0</v>
      </c>
      <c r="AJ1008" s="2">
        <f>Table2[[#This Row],[EV/Real]]-Table2[[#This Row],[Spread/V]]</f>
        <v>0</v>
      </c>
      <c r="AK1008" s="2">
        <f>Table2[[#This Row],[SRS/Diff]]-Table2[[#This Row],[EV/Diff]]</f>
        <v>0</v>
      </c>
      <c r="AL1008" s="18">
        <f>Table2[[#This Row],[SRS]]-Table2[[#This Row],[Spread]]</f>
        <v>-8.7086885245901655</v>
      </c>
      <c r="AM1008" s="21">
        <f>Table2[[#This Row],[(A) Err]]^2</f>
        <v>75.841255818328435</v>
      </c>
      <c r="AN1008" s="6">
        <f>Table2[[#This Row],[EV]]-Table2[[#This Row],[Spread]]</f>
        <v>-1.419415769776279</v>
      </c>
      <c r="AO1008" s="1">
        <f>Table2[[#This Row],[EV Err]]^2</f>
        <v>2.0147411274895868</v>
      </c>
      <c r="AP1008" s="1"/>
    </row>
    <row r="1009" spans="1:42" x14ac:dyDescent="0.25">
      <c r="A1009" s="34">
        <v>42810</v>
      </c>
      <c r="B1009" t="s">
        <v>120</v>
      </c>
      <c r="C1009" t="s">
        <v>112</v>
      </c>
      <c r="E1009" s="21"/>
      <c r="G1009" s="21"/>
      <c r="H1009" s="7"/>
      <c r="I1009" s="21"/>
      <c r="K1009"/>
      <c r="L1009" s="21">
        <f>(Table2[[#This Row],[H/Pace]]/100)*(VLOOKUP(Table2[[#This Row],[Home/Neutral]],home_lookup,8,FALSE)+VLOOKUP(Table2[[#This Row],[Home/Neutral]],OFR_lookup,2,FALSE)+VLOOKUP(Table2[[#This Row],[Visitor/Neutral]],def_diff_lookup,6,FALSE))</f>
        <v>105.0715454293086</v>
      </c>
      <c r="M1009" s="21"/>
      <c r="N1009" s="21">
        <f>(Table2[[#This Row],[A/Pace]]/100)*(VLOOKUP(Table2[[#This Row],[Visitor/Neutral]],OFR_lookup,2,FALSE)+VLOOKUP(Table2[[#This Row],[Home/Neutral]],def_diff_lookup,6,FALSE))</f>
        <v>106.68773933333334</v>
      </c>
      <c r="O1009" s="21"/>
      <c r="P1009" s="21"/>
      <c r="Q1009">
        <f>VLOOKUP(Table2[[#This Row],[Home/Neutral]],pace_lookup,7,FALSE)</f>
        <v>98.3</v>
      </c>
      <c r="R1009" s="5">
        <f>VLOOKUP(Table2[[#This Row],[Visitor/Neutral]],pace_lookup,7,FALSE)</f>
        <v>97.4</v>
      </c>
      <c r="S1009" s="7"/>
      <c r="U1009" s="15"/>
      <c r="W1009" s="2">
        <f>-home-VLOOKUP(Table2[[#This Row],[Home/Neutral]],rtg_vlookup,4,FALSE)+VLOOKUP(Table2[[#This Row],[Visitor/Neutral]],rtg_vlookup,4,FALSE)</f>
        <v>3.9613114754098344</v>
      </c>
      <c r="X1009" s="15"/>
      <c r="Y1009" s="2"/>
      <c r="Z1009" s="2">
        <f>Table2[[#This Row],[A/EV]]-Table2[[#This Row],[H/EV]]</f>
        <v>1.6161939040247404</v>
      </c>
      <c r="AA1009" s="29"/>
      <c r="AB1009" s="30"/>
      <c r="AC1009" s="30"/>
      <c r="AD1009" s="30"/>
      <c r="AE1009" s="30"/>
      <c r="AF1009" s="7" t="b">
        <f>IF(VLOOKUP(Table2[[#This Row],[Home/Neutral]],division_lookup,9,FALSE)=VLOOKUP(Table2[[#This Row],[Visitor/Neutral]],division_lookup,9,FALSE),TRUE,FALSE)</f>
        <v>0</v>
      </c>
      <c r="AG1009" s="15" t="str">
        <f>VLOOKUP(Table2[[#This Row],[Home/Neutral]],division_lookup,9,FALSE)</f>
        <v>C</v>
      </c>
      <c r="AH1009" s="15" t="str">
        <f>IF(Table2[[#This Row],[Total/EV]]&lt;Table2[[#This Row],[Total/V]],"UNDER","OVER")</f>
        <v>OVER</v>
      </c>
      <c r="AI1009" s="26">
        <f>Table2[[#This Row],[SRS/Real]]-Table2[[#This Row],[Spread/V]]</f>
        <v>0</v>
      </c>
      <c r="AJ1009" s="2">
        <f>Table2[[#This Row],[EV/Real]]-Table2[[#This Row],[Spread/V]]</f>
        <v>0</v>
      </c>
      <c r="AK1009" s="2">
        <f>Table2[[#This Row],[SRS/Diff]]-Table2[[#This Row],[EV/Diff]]</f>
        <v>0</v>
      </c>
      <c r="AL1009" s="18">
        <f>Table2[[#This Row],[SRS]]-Table2[[#This Row],[Spread]]</f>
        <v>3.9613114754098344</v>
      </c>
      <c r="AM1009" s="21">
        <f>Table2[[#This Row],[(A) Err]]^2</f>
        <v>15.691988605213639</v>
      </c>
      <c r="AN1009" s="6">
        <f>Table2[[#This Row],[EV]]-Table2[[#This Row],[Spread]]</f>
        <v>1.6161939040247404</v>
      </c>
      <c r="AO1009" s="1">
        <f>Table2[[#This Row],[EV Err]]^2</f>
        <v>2.612082735406732</v>
      </c>
      <c r="AP1009" s="1"/>
    </row>
    <row r="1010" spans="1:42" x14ac:dyDescent="0.25">
      <c r="A1010" s="34">
        <v>42810</v>
      </c>
      <c r="B1010" t="s">
        <v>121</v>
      </c>
      <c r="C1010" t="s">
        <v>125</v>
      </c>
      <c r="E1010" s="21"/>
      <c r="G1010" s="21"/>
      <c r="H1010" s="7"/>
      <c r="I1010" s="21"/>
      <c r="K1010"/>
      <c r="L1010" s="21">
        <f>(Table2[[#This Row],[H/Pace]]/100)*(VLOOKUP(Table2[[#This Row],[Home/Neutral]],home_lookup,8,FALSE)+VLOOKUP(Table2[[#This Row],[Home/Neutral]],OFR_lookup,2,FALSE)+VLOOKUP(Table2[[#This Row],[Visitor/Neutral]],def_diff_lookup,6,FALSE))</f>
        <v>115.87588060751253</v>
      </c>
      <c r="M1010" s="21"/>
      <c r="N1010" s="21">
        <f>(Table2[[#This Row],[A/Pace]]/100)*(VLOOKUP(Table2[[#This Row],[Visitor/Neutral]],OFR_lookup,2,FALSE)+VLOOKUP(Table2[[#This Row],[Home/Neutral]],def_diff_lookup,6,FALSE))</f>
        <v>97.989005666666657</v>
      </c>
      <c r="O1010" s="21"/>
      <c r="P1010" s="21"/>
      <c r="Q1010">
        <f>VLOOKUP(Table2[[#This Row],[Home/Neutral]],pace_lookup,7,FALSE)</f>
        <v>96.4</v>
      </c>
      <c r="R1010" s="5">
        <f>VLOOKUP(Table2[[#This Row],[Visitor/Neutral]],pace_lookup,7,FALSE)</f>
        <v>96.1</v>
      </c>
      <c r="S1010" s="7"/>
      <c r="U1010" s="15"/>
      <c r="W1010" s="2">
        <f>-home-VLOOKUP(Table2[[#This Row],[Home/Neutral]],rtg_vlookup,4,FALSE)+VLOOKUP(Table2[[#This Row],[Visitor/Neutral]],rtg_vlookup,4,FALSE)</f>
        <v>-17.988688524590167</v>
      </c>
      <c r="X1010" s="15"/>
      <c r="Y1010" s="2"/>
      <c r="Z1010" s="2">
        <f>Table2[[#This Row],[A/EV]]-Table2[[#This Row],[H/EV]]</f>
        <v>-17.886874940845871</v>
      </c>
      <c r="AA1010" s="29"/>
      <c r="AB1010" s="30"/>
      <c r="AC1010" s="30"/>
      <c r="AD1010" s="30"/>
      <c r="AE1010" s="30"/>
      <c r="AF1010" s="7" t="b">
        <f>IF(VLOOKUP(Table2[[#This Row],[Home/Neutral]],division_lookup,9,FALSE)=VLOOKUP(Table2[[#This Row],[Visitor/Neutral]],division_lookup,9,FALSE),TRUE,FALSE)</f>
        <v>0</v>
      </c>
      <c r="AG1010" s="15" t="str">
        <f>VLOOKUP(Table2[[#This Row],[Home/Neutral]],division_lookup,9,FALSE)</f>
        <v>P</v>
      </c>
      <c r="AH1010" s="15" t="str">
        <f>IF(Table2[[#This Row],[Total/EV]]&lt;Table2[[#This Row],[Total/V]],"UNDER","OVER")</f>
        <v>OVER</v>
      </c>
      <c r="AI1010" s="26">
        <f>Table2[[#This Row],[SRS/Real]]-Table2[[#This Row],[Spread/V]]</f>
        <v>0</v>
      </c>
      <c r="AJ1010" s="2">
        <f>Table2[[#This Row],[EV/Real]]-Table2[[#This Row],[Spread/V]]</f>
        <v>0</v>
      </c>
      <c r="AK1010" s="2">
        <f>Table2[[#This Row],[SRS/Diff]]-Table2[[#This Row],[EV/Diff]]</f>
        <v>0</v>
      </c>
      <c r="AL1010" s="18">
        <f>Table2[[#This Row],[SRS]]-Table2[[#This Row],[Spread]]</f>
        <v>-17.988688524590167</v>
      </c>
      <c r="AM1010" s="21">
        <f>Table2[[#This Row],[(A) Err]]^2</f>
        <v>323.59291483472197</v>
      </c>
      <c r="AN1010" s="6">
        <f>Table2[[#This Row],[EV]]-Table2[[#This Row],[Spread]]</f>
        <v>-17.886874940845871</v>
      </c>
      <c r="AO1010" s="1">
        <f>Table2[[#This Row],[EV Err]]^2</f>
        <v>319.94029514945998</v>
      </c>
      <c r="AP1010" s="1"/>
    </row>
    <row r="1011" spans="1:42" x14ac:dyDescent="0.25">
      <c r="A1011" s="34">
        <v>42810</v>
      </c>
      <c r="B1011" t="s">
        <v>124</v>
      </c>
      <c r="C1011" t="s">
        <v>127</v>
      </c>
      <c r="E1011" s="21"/>
      <c r="G1011" s="21"/>
      <c r="H1011" s="7"/>
      <c r="I1011" s="21"/>
      <c r="K1011"/>
      <c r="L1011" s="21">
        <f>(Table2[[#This Row],[H/Pace]]/100)*(VLOOKUP(Table2[[#This Row],[Home/Neutral]],home_lookup,8,FALSE)+VLOOKUP(Table2[[#This Row],[Home/Neutral]],OFR_lookup,2,FALSE)+VLOOKUP(Table2[[#This Row],[Visitor/Neutral]],def_diff_lookup,6,FALSE))</f>
        <v>99.973835177235557</v>
      </c>
      <c r="M1011" s="21"/>
      <c r="N1011" s="21">
        <f>(Table2[[#This Row],[A/Pace]]/100)*(VLOOKUP(Table2[[#This Row],[Visitor/Neutral]],OFR_lookup,2,FALSE)+VLOOKUP(Table2[[#This Row],[Home/Neutral]],def_diff_lookup,6,FALSE))</f>
        <v>99.78226699999999</v>
      </c>
      <c r="O1011" s="21"/>
      <c r="P1011" s="21"/>
      <c r="Q1011">
        <f>VLOOKUP(Table2[[#This Row],[Home/Neutral]],pace_lookup,7,FALSE)</f>
        <v>93.7</v>
      </c>
      <c r="R1011" s="5">
        <f>VLOOKUP(Table2[[#This Row],[Visitor/Neutral]],pace_lookup,7,FALSE)</f>
        <v>99.3</v>
      </c>
      <c r="S1011" s="7"/>
      <c r="U1011" s="15"/>
      <c r="W1011" s="2">
        <f>-home-VLOOKUP(Table2[[#This Row],[Home/Neutral]],rtg_vlookup,4,FALSE)+VLOOKUP(Table2[[#This Row],[Visitor/Neutral]],rtg_vlookup,4,FALSE)</f>
        <v>-4.2386885245901658</v>
      </c>
      <c r="X1011" s="15"/>
      <c r="Y1011" s="2"/>
      <c r="Z1011" s="2">
        <f>Table2[[#This Row],[A/EV]]-Table2[[#This Row],[H/EV]]</f>
        <v>-0.19156817723556685</v>
      </c>
      <c r="AA1011" s="29"/>
      <c r="AB1011" s="30"/>
      <c r="AC1011" s="30"/>
      <c r="AD1011" s="30"/>
      <c r="AE1011" s="30"/>
      <c r="AF1011" s="7" t="b">
        <f>IF(VLOOKUP(Table2[[#This Row],[Home/Neutral]],division_lookup,9,FALSE)=VLOOKUP(Table2[[#This Row],[Visitor/Neutral]],division_lookup,9,FALSE),TRUE,FALSE)</f>
        <v>0</v>
      </c>
      <c r="AG1011" s="15" t="str">
        <f>VLOOKUP(Table2[[#This Row],[Home/Neutral]],division_lookup,9,FALSE)</f>
        <v>SE</v>
      </c>
      <c r="AH1011" s="15" t="str">
        <f>IF(Table2[[#This Row],[Total/EV]]&lt;Table2[[#This Row],[Total/V]],"UNDER","OVER")</f>
        <v>OVER</v>
      </c>
      <c r="AI1011" s="26">
        <f>Table2[[#This Row],[SRS/Real]]-Table2[[#This Row],[Spread/V]]</f>
        <v>0</v>
      </c>
      <c r="AJ1011" s="2">
        <f>Table2[[#This Row],[EV/Real]]-Table2[[#This Row],[Spread/V]]</f>
        <v>0</v>
      </c>
      <c r="AK1011" s="2">
        <f>Table2[[#This Row],[SRS/Diff]]-Table2[[#This Row],[EV/Diff]]</f>
        <v>0</v>
      </c>
      <c r="AL1011" s="18">
        <f>Table2[[#This Row],[SRS]]-Table2[[#This Row],[Spread]]</f>
        <v>-4.2386885245901658</v>
      </c>
      <c r="AM1011" s="21">
        <f>Table2[[#This Row],[(A) Err]]^2</f>
        <v>17.966480408492355</v>
      </c>
      <c r="AN1011" s="6">
        <f>Table2[[#This Row],[EV]]-Table2[[#This Row],[Spread]]</f>
        <v>-0.19156817723556685</v>
      </c>
      <c r="AO1011" s="1">
        <f>Table2[[#This Row],[EV Err]]^2</f>
        <v>3.6698366529357554E-2</v>
      </c>
      <c r="AP1011" s="1"/>
    </row>
    <row r="1012" spans="1:42" x14ac:dyDescent="0.25">
      <c r="A1012" s="34">
        <v>42810</v>
      </c>
      <c r="B1012" t="s">
        <v>131</v>
      </c>
      <c r="C1012" t="s">
        <v>133</v>
      </c>
      <c r="E1012" s="21"/>
      <c r="G1012" s="21"/>
      <c r="H1012" s="7"/>
      <c r="I1012" s="21"/>
      <c r="K1012"/>
      <c r="L1012" s="21">
        <f>(Table2[[#This Row],[H/Pace]]/100)*(VLOOKUP(Table2[[#This Row],[Home/Neutral]],home_lookup,8,FALSE)+VLOOKUP(Table2[[#This Row],[Home/Neutral]],OFR_lookup,2,FALSE)+VLOOKUP(Table2[[#This Row],[Visitor/Neutral]],def_diff_lookup,6,FALSE))</f>
        <v>100.25890979119767</v>
      </c>
      <c r="M1012" s="21"/>
      <c r="N1012" s="21">
        <f>(Table2[[#This Row],[A/Pace]]/100)*(VLOOKUP(Table2[[#This Row],[Visitor/Neutral]],OFR_lookup,2,FALSE)+VLOOKUP(Table2[[#This Row],[Home/Neutral]],def_diff_lookup,6,FALSE))</f>
        <v>102.77753800000001</v>
      </c>
      <c r="O1012" s="21"/>
      <c r="P1012" s="21"/>
      <c r="Q1012">
        <f>VLOOKUP(Table2[[#This Row],[Home/Neutral]],pace_lookup,7,FALSE)</f>
        <v>101.7</v>
      </c>
      <c r="R1012" s="5">
        <f>VLOOKUP(Table2[[#This Row],[Visitor/Neutral]],pace_lookup,7,FALSE)</f>
        <v>94.2</v>
      </c>
      <c r="S1012" s="7"/>
      <c r="U1012" s="15"/>
      <c r="W1012" s="2">
        <f>-home-VLOOKUP(Table2[[#This Row],[Home/Neutral]],rtg_vlookup,4,FALSE)+VLOOKUP(Table2[[#This Row],[Visitor/Neutral]],rtg_vlookup,4,FALSE)</f>
        <v>1.6813114754098342</v>
      </c>
      <c r="X1012" s="15"/>
      <c r="Y1012" s="2"/>
      <c r="Z1012" s="2">
        <f>Table2[[#This Row],[A/EV]]-Table2[[#This Row],[H/EV]]</f>
        <v>2.5186282088023404</v>
      </c>
      <c r="AA1012" s="29"/>
      <c r="AB1012" s="30"/>
      <c r="AC1012" s="30"/>
      <c r="AD1012" s="30"/>
      <c r="AE1012" s="30"/>
      <c r="AF1012" s="7" t="b">
        <f>IF(VLOOKUP(Table2[[#This Row],[Home/Neutral]],division_lookup,9,FALSE)=VLOOKUP(Table2[[#This Row],[Visitor/Neutral]],division_lookup,9,FALSE),TRUE,FALSE)</f>
        <v>1</v>
      </c>
      <c r="AG1012" s="15" t="str">
        <f>VLOOKUP(Table2[[#This Row],[Home/Neutral]],division_lookup,9,FALSE)</f>
        <v>P</v>
      </c>
      <c r="AH1012" s="15" t="str">
        <f>IF(Table2[[#This Row],[Total/EV]]&lt;Table2[[#This Row],[Total/V]],"UNDER","OVER")</f>
        <v>OVER</v>
      </c>
      <c r="AI1012" s="26">
        <f>Table2[[#This Row],[SRS/Real]]-Table2[[#This Row],[Spread/V]]</f>
        <v>0</v>
      </c>
      <c r="AJ1012" s="2">
        <f>Table2[[#This Row],[EV/Real]]-Table2[[#This Row],[Spread/V]]</f>
        <v>0</v>
      </c>
      <c r="AK1012" s="2">
        <f>Table2[[#This Row],[SRS/Diff]]-Table2[[#This Row],[EV/Diff]]</f>
        <v>0</v>
      </c>
      <c r="AL1012" s="18">
        <f>Table2[[#This Row],[SRS]]-Table2[[#This Row],[Spread]]</f>
        <v>1.6813114754098342</v>
      </c>
      <c r="AM1012" s="21">
        <f>Table2[[#This Row],[(A) Err]]^2</f>
        <v>2.8268082773447936</v>
      </c>
      <c r="AN1012" s="6">
        <f>Table2[[#This Row],[EV]]-Table2[[#This Row],[Spread]]</f>
        <v>2.5186282088023404</v>
      </c>
      <c r="AO1012" s="1">
        <f>Table2[[#This Row],[EV Err]]^2</f>
        <v>6.3434880541748857</v>
      </c>
      <c r="AP1012" s="1"/>
    </row>
    <row r="1013" spans="1:42" x14ac:dyDescent="0.25">
      <c r="A1013" s="34">
        <v>42810</v>
      </c>
      <c r="B1013" t="s">
        <v>134</v>
      </c>
      <c r="C1013" t="s">
        <v>132</v>
      </c>
      <c r="E1013" s="21"/>
      <c r="G1013" s="21"/>
      <c r="H1013" s="7"/>
      <c r="I1013" s="21"/>
      <c r="K1013"/>
      <c r="L1013" s="21">
        <f>(Table2[[#This Row],[H/Pace]]/100)*(VLOOKUP(Table2[[#This Row],[Home/Neutral]],home_lookup,8,FALSE)+VLOOKUP(Table2[[#This Row],[Home/Neutral]],OFR_lookup,2,FALSE)+VLOOKUP(Table2[[#This Row],[Visitor/Neutral]],def_diff_lookup,6,FALSE))</f>
        <v>105.82915343638193</v>
      </c>
      <c r="M1013" s="21"/>
      <c r="N1013" s="21">
        <f>(Table2[[#This Row],[A/Pace]]/100)*(VLOOKUP(Table2[[#This Row],[Visitor/Neutral]],OFR_lookup,2,FALSE)+VLOOKUP(Table2[[#This Row],[Home/Neutral]],def_diff_lookup,6,FALSE))</f>
        <v>107.07515866666667</v>
      </c>
      <c r="O1013" s="21"/>
      <c r="P1013" s="21"/>
      <c r="Q1013">
        <f>VLOOKUP(Table2[[#This Row],[Home/Neutral]],pace_lookup,7,FALSE)</f>
        <v>93.4</v>
      </c>
      <c r="R1013" s="5">
        <f>VLOOKUP(Table2[[#This Row],[Visitor/Neutral]],pace_lookup,7,FALSE)</f>
        <v>98.8</v>
      </c>
      <c r="S1013" s="7"/>
      <c r="U1013" s="15"/>
      <c r="W1013" s="2">
        <f>-home-VLOOKUP(Table2[[#This Row],[Home/Neutral]],rtg_vlookup,4,FALSE)+VLOOKUP(Table2[[#This Row],[Visitor/Neutral]],rtg_vlookup,4,FALSE)</f>
        <v>-12.608688524590164</v>
      </c>
      <c r="X1013" s="15"/>
      <c r="Y1013" s="2"/>
      <c r="Z1013" s="2">
        <f>Table2[[#This Row],[A/EV]]-Table2[[#This Row],[H/EV]]</f>
        <v>1.2460052302847373</v>
      </c>
      <c r="AA1013" s="29"/>
      <c r="AB1013" s="30"/>
      <c r="AC1013" s="30"/>
      <c r="AD1013" s="30"/>
      <c r="AE1013" s="30"/>
      <c r="AF1013" s="7" t="b">
        <f>IF(VLOOKUP(Table2[[#This Row],[Home/Neutral]],division_lookup,9,FALSE)=VLOOKUP(Table2[[#This Row],[Visitor/Neutral]],division_lookup,9,FALSE),TRUE,FALSE)</f>
        <v>0</v>
      </c>
      <c r="AG1013" s="15" t="str">
        <f>VLOOKUP(Table2[[#This Row],[Home/Neutral]],division_lookup,9,FALSE)</f>
        <v>SW</v>
      </c>
      <c r="AH1013" s="15" t="str">
        <f>IF(Table2[[#This Row],[Total/EV]]&lt;Table2[[#This Row],[Total/V]],"UNDER","OVER")</f>
        <v>OVER</v>
      </c>
      <c r="AI1013" s="26">
        <f>Table2[[#This Row],[SRS/Real]]-Table2[[#This Row],[Spread/V]]</f>
        <v>0</v>
      </c>
      <c r="AJ1013" s="2">
        <f>Table2[[#This Row],[EV/Real]]-Table2[[#This Row],[Spread/V]]</f>
        <v>0</v>
      </c>
      <c r="AK1013" s="2">
        <f>Table2[[#This Row],[SRS/Diff]]-Table2[[#This Row],[EV/Diff]]</f>
        <v>0</v>
      </c>
      <c r="AL1013" s="18">
        <f>Table2[[#This Row],[SRS]]-Table2[[#This Row],[Spread]]</f>
        <v>-12.608688524590164</v>
      </c>
      <c r="AM1013" s="21">
        <f>Table2[[#This Row],[(A) Err]]^2</f>
        <v>158.9790263101317</v>
      </c>
      <c r="AN1013" s="6">
        <f>Table2[[#This Row],[EV]]-Table2[[#This Row],[Spread]]</f>
        <v>1.2460052302847373</v>
      </c>
      <c r="AO1013" s="1">
        <f>Table2[[#This Row],[EV Err]]^2</f>
        <v>1.5525290338969213</v>
      </c>
      <c r="AP1013" s="1"/>
    </row>
    <row r="1014" spans="1:42" x14ac:dyDescent="0.25">
      <c r="A1014" s="34">
        <v>42810</v>
      </c>
      <c r="B1014" t="s">
        <v>137</v>
      </c>
      <c r="C1014" t="s">
        <v>115</v>
      </c>
      <c r="E1014" s="21"/>
      <c r="G1014" s="21"/>
      <c r="H1014" s="7"/>
      <c r="I1014" s="21"/>
      <c r="K1014"/>
      <c r="L1014" s="21">
        <f>(Table2[[#This Row],[H/Pace]]/100)*(VLOOKUP(Table2[[#This Row],[Home/Neutral]],home_lookup,8,FALSE)+VLOOKUP(Table2[[#This Row],[Home/Neutral]],OFR_lookup,2,FALSE)+VLOOKUP(Table2[[#This Row],[Visitor/Neutral]],def_diff_lookup,6,FALSE))</f>
        <v>107.22493255421871</v>
      </c>
      <c r="M1014" s="21"/>
      <c r="N1014" s="21">
        <f>(Table2[[#This Row],[A/Pace]]/100)*(VLOOKUP(Table2[[#This Row],[Visitor/Neutral]],OFR_lookup,2,FALSE)+VLOOKUP(Table2[[#This Row],[Home/Neutral]],def_diff_lookup,6,FALSE))</f>
        <v>93.462664333333336</v>
      </c>
      <c r="O1014" s="21"/>
      <c r="P1014" s="21"/>
      <c r="Q1014">
        <f>VLOOKUP(Table2[[#This Row],[Home/Neutral]],pace_lookup,7,FALSE)</f>
        <v>96</v>
      </c>
      <c r="R1014" s="5">
        <f>VLOOKUP(Table2[[#This Row],[Visitor/Neutral]],pace_lookup,7,FALSE)</f>
        <v>92.9</v>
      </c>
      <c r="S1014" s="7"/>
      <c r="U1014" s="15"/>
      <c r="W1014" s="2">
        <f>-home-VLOOKUP(Table2[[#This Row],[Home/Neutral]],rtg_vlookup,4,FALSE)+VLOOKUP(Table2[[#This Row],[Visitor/Neutral]],rtg_vlookup,4,FALSE)</f>
        <v>-8.648688524590165</v>
      </c>
      <c r="X1014" s="15"/>
      <c r="Y1014" s="2"/>
      <c r="Z1014" s="2">
        <f>Table2[[#This Row],[A/EV]]-Table2[[#This Row],[H/EV]]</f>
        <v>-13.762268220885375</v>
      </c>
      <c r="AA1014" s="29"/>
      <c r="AB1014" s="30"/>
      <c r="AC1014" s="30"/>
      <c r="AD1014" s="30"/>
      <c r="AE1014" s="30"/>
      <c r="AF1014" s="7" t="b">
        <f>IF(VLOOKUP(Table2[[#This Row],[Home/Neutral]],division_lookup,9,FALSE)=VLOOKUP(Table2[[#This Row],[Visitor/Neutral]],division_lookup,9,FALSE),TRUE,FALSE)</f>
        <v>0</v>
      </c>
      <c r="AG1014" s="15" t="str">
        <f>VLOOKUP(Table2[[#This Row],[Home/Neutral]],division_lookup,9,FALSE)</f>
        <v>SE</v>
      </c>
      <c r="AH1014" s="15" t="str">
        <f>IF(Table2[[#This Row],[Total/EV]]&lt;Table2[[#This Row],[Total/V]],"UNDER","OVER")</f>
        <v>OVER</v>
      </c>
      <c r="AI1014" s="26">
        <f>Table2[[#This Row],[SRS/Real]]-Table2[[#This Row],[Spread/V]]</f>
        <v>0</v>
      </c>
      <c r="AJ1014" s="2">
        <f>Table2[[#This Row],[EV/Real]]-Table2[[#This Row],[Spread/V]]</f>
        <v>0</v>
      </c>
      <c r="AK1014" s="2">
        <f>Table2[[#This Row],[SRS/Diff]]-Table2[[#This Row],[EV/Diff]]</f>
        <v>0</v>
      </c>
      <c r="AL1014" s="18">
        <f>Table2[[#This Row],[SRS]]-Table2[[#This Row],[Spread]]</f>
        <v>-8.648688524590165</v>
      </c>
      <c r="AM1014" s="21">
        <f>Table2[[#This Row],[(A) Err]]^2</f>
        <v>74.79981319537761</v>
      </c>
      <c r="AN1014" s="6">
        <f>Table2[[#This Row],[EV]]-Table2[[#This Row],[Spread]]</f>
        <v>-13.762268220885375</v>
      </c>
      <c r="AO1014" s="1">
        <f>Table2[[#This Row],[EV Err]]^2</f>
        <v>189.40002658359148</v>
      </c>
      <c r="AP1014" s="1"/>
    </row>
    <row r="1015" spans="1:42" x14ac:dyDescent="0.25">
      <c r="A1015" s="34">
        <v>42811</v>
      </c>
      <c r="B1015" t="s">
        <v>109</v>
      </c>
      <c r="C1015" t="s">
        <v>123</v>
      </c>
      <c r="E1015" s="21"/>
      <c r="G1015" s="21"/>
      <c r="H1015" s="7"/>
      <c r="I1015" s="21"/>
      <c r="K1015"/>
      <c r="L1015" s="21">
        <f>(Table2[[#This Row],[H/Pace]]/100)*(VLOOKUP(Table2[[#This Row],[Home/Neutral]],home_lookup,8,FALSE)+VLOOKUP(Table2[[#This Row],[Home/Neutral]],OFR_lookup,2,FALSE)+VLOOKUP(Table2[[#This Row],[Visitor/Neutral]],def_diff_lookup,6,FALSE))</f>
        <v>96.883846607286372</v>
      </c>
      <c r="M1015" s="21"/>
      <c r="N1015" s="21">
        <f>(Table2[[#This Row],[A/Pace]]/100)*(VLOOKUP(Table2[[#This Row],[Visitor/Neutral]],OFR_lookup,2,FALSE)+VLOOKUP(Table2[[#This Row],[Home/Neutral]],def_diff_lookup,6,FALSE))</f>
        <v>89.656241666666659</v>
      </c>
      <c r="O1015" s="21"/>
      <c r="P1015" s="21"/>
      <c r="Q1015">
        <f>VLOOKUP(Table2[[#This Row],[Home/Neutral]],pace_lookup,7,FALSE)</f>
        <v>99.2</v>
      </c>
      <c r="R1015" s="5">
        <f>VLOOKUP(Table2[[#This Row],[Visitor/Neutral]],pace_lookup,7,FALSE)</f>
        <v>92.5</v>
      </c>
      <c r="S1015" s="7"/>
      <c r="U1015" s="15"/>
      <c r="W1015" s="2">
        <f>-home-VLOOKUP(Table2[[#This Row],[Home/Neutral]],rtg_vlookup,4,FALSE)+VLOOKUP(Table2[[#This Row],[Visitor/Neutral]],rtg_vlookup,4,FALSE)</f>
        <v>-4.3786885245901663</v>
      </c>
      <c r="X1015" s="15"/>
      <c r="Y1015" s="2"/>
      <c r="Z1015" s="2">
        <f>Table2[[#This Row],[A/EV]]-Table2[[#This Row],[H/EV]]</f>
        <v>-7.2276049406197131</v>
      </c>
      <c r="AA1015" s="29"/>
      <c r="AB1015" s="30"/>
      <c r="AC1015" s="30"/>
      <c r="AD1015" s="30"/>
      <c r="AE1015" s="30"/>
      <c r="AF1015" s="7" t="b">
        <f>IF(VLOOKUP(Table2[[#This Row],[Home/Neutral]],division_lookup,9,FALSE)=VLOOKUP(Table2[[#This Row],[Visitor/Neutral]],division_lookup,9,FALSE),TRUE,FALSE)</f>
        <v>0</v>
      </c>
      <c r="AG1015" s="15" t="str">
        <f>VLOOKUP(Table2[[#This Row],[Home/Neutral]],division_lookup,9,FALSE)</f>
        <v>SE</v>
      </c>
      <c r="AH1015" s="15" t="str">
        <f>IF(Table2[[#This Row],[Total/EV]]&lt;Table2[[#This Row],[Total/V]],"UNDER","OVER")</f>
        <v>OVER</v>
      </c>
      <c r="AI1015" s="26">
        <f>Table2[[#This Row],[SRS/Real]]-Table2[[#This Row],[Spread/V]]</f>
        <v>0</v>
      </c>
      <c r="AJ1015" s="2">
        <f>Table2[[#This Row],[EV/Real]]-Table2[[#This Row],[Spread/V]]</f>
        <v>0</v>
      </c>
      <c r="AK1015" s="2">
        <f>Table2[[#This Row],[SRS/Diff]]-Table2[[#This Row],[EV/Diff]]</f>
        <v>0</v>
      </c>
      <c r="AL1015" s="18">
        <f>Table2[[#This Row],[SRS]]-Table2[[#This Row],[Spread]]</f>
        <v>-4.3786885245901663</v>
      </c>
      <c r="AM1015" s="21">
        <f>Table2[[#This Row],[(A) Err]]^2</f>
        <v>19.172913195377607</v>
      </c>
      <c r="AN1015" s="6">
        <f>Table2[[#This Row],[EV]]-Table2[[#This Row],[Spread]]</f>
        <v>-7.2276049406197131</v>
      </c>
      <c r="AO1015" s="1">
        <f>Table2[[#This Row],[EV Err]]^2</f>
        <v>52.238273177670486</v>
      </c>
      <c r="AP1015" s="1"/>
    </row>
    <row r="1016" spans="1:42" x14ac:dyDescent="0.25">
      <c r="A1016" s="34">
        <v>42811</v>
      </c>
      <c r="B1016" t="s">
        <v>114</v>
      </c>
      <c r="C1016" t="s">
        <v>136</v>
      </c>
      <c r="E1016" s="21"/>
      <c r="G1016" s="21"/>
      <c r="H1016" s="7"/>
      <c r="I1016" s="21"/>
      <c r="K1016"/>
      <c r="L1016" s="21">
        <f>(Table2[[#This Row],[H/Pace]]/100)*(VLOOKUP(Table2[[#This Row],[Home/Neutral]],home_lookup,8,FALSE)+VLOOKUP(Table2[[#This Row],[Home/Neutral]],OFR_lookup,2,FALSE)+VLOOKUP(Table2[[#This Row],[Visitor/Neutral]],def_diff_lookup,6,FALSE))</f>
        <v>109.91184276756466</v>
      </c>
      <c r="M1016" s="21"/>
      <c r="N1016" s="21">
        <f>(Table2[[#This Row],[A/Pace]]/100)*(VLOOKUP(Table2[[#This Row],[Visitor/Neutral]],OFR_lookup,2,FALSE)+VLOOKUP(Table2[[#This Row],[Home/Neutral]],def_diff_lookup,6,FALSE))</f>
        <v>96.885384999999999</v>
      </c>
      <c r="O1016" s="21"/>
      <c r="P1016" s="21"/>
      <c r="Q1016">
        <f>VLOOKUP(Table2[[#This Row],[Home/Neutral]],pace_lookup,7,FALSE)</f>
        <v>97.3</v>
      </c>
      <c r="R1016" s="5">
        <f>VLOOKUP(Table2[[#This Row],[Visitor/Neutral]],pace_lookup,7,FALSE)</f>
        <v>91.5</v>
      </c>
      <c r="S1016" s="7"/>
      <c r="U1016" s="15"/>
      <c r="W1016" s="2">
        <f>-home-VLOOKUP(Table2[[#This Row],[Home/Neutral]],rtg_vlookup,4,FALSE)+VLOOKUP(Table2[[#This Row],[Visitor/Neutral]],rtg_vlookup,4,FALSE)</f>
        <v>-7.1786885245901662</v>
      </c>
      <c r="X1016" s="15"/>
      <c r="Y1016" s="2"/>
      <c r="Z1016" s="2">
        <f>Table2[[#This Row],[A/EV]]-Table2[[#This Row],[H/EV]]</f>
        <v>-13.026457767564665</v>
      </c>
      <c r="AA1016" s="29"/>
      <c r="AB1016" s="30"/>
      <c r="AC1016" s="30"/>
      <c r="AD1016" s="30"/>
      <c r="AE1016" s="30"/>
      <c r="AF1016" s="7" t="b">
        <f>IF(VLOOKUP(Table2[[#This Row],[Home/Neutral]],division_lookup,9,FALSE)=VLOOKUP(Table2[[#This Row],[Visitor/Neutral]],division_lookup,9,FALSE),TRUE,FALSE)</f>
        <v>0</v>
      </c>
      <c r="AG1016" s="15" t="str">
        <f>VLOOKUP(Table2[[#This Row],[Home/Neutral]],division_lookup,9,FALSE)</f>
        <v>C</v>
      </c>
      <c r="AH1016" s="15" t="str">
        <f>IF(Table2[[#This Row],[Total/EV]]&lt;Table2[[#This Row],[Total/V]],"UNDER","OVER")</f>
        <v>OVER</v>
      </c>
      <c r="AI1016" s="26">
        <f>Table2[[#This Row],[SRS/Real]]-Table2[[#This Row],[Spread/V]]</f>
        <v>0</v>
      </c>
      <c r="AJ1016" s="2">
        <f>Table2[[#This Row],[EV/Real]]-Table2[[#This Row],[Spread/V]]</f>
        <v>0</v>
      </c>
      <c r="AK1016" s="2">
        <f>Table2[[#This Row],[SRS/Diff]]-Table2[[#This Row],[EV/Diff]]</f>
        <v>0</v>
      </c>
      <c r="AL1016" s="18">
        <f>Table2[[#This Row],[SRS]]-Table2[[#This Row],[Spread]]</f>
        <v>-7.1786885245901662</v>
      </c>
      <c r="AM1016" s="21">
        <f>Table2[[#This Row],[(A) Err]]^2</f>
        <v>51.533568933082535</v>
      </c>
      <c r="AN1016" s="6">
        <f>Table2[[#This Row],[EV]]-Table2[[#This Row],[Spread]]</f>
        <v>-13.026457767564665</v>
      </c>
      <c r="AO1016" s="1">
        <f>Table2[[#This Row],[EV Err]]^2</f>
        <v>169.68860197014578</v>
      </c>
      <c r="AP1016" s="1"/>
    </row>
    <row r="1017" spans="1:42" x14ac:dyDescent="0.25">
      <c r="A1017" s="34">
        <v>42811</v>
      </c>
      <c r="B1017" t="s">
        <v>116</v>
      </c>
      <c r="C1017" t="s">
        <v>121</v>
      </c>
      <c r="E1017" s="21"/>
      <c r="G1017" s="21"/>
      <c r="H1017" s="7"/>
      <c r="I1017" s="21"/>
      <c r="K1017"/>
      <c r="L1017" s="21">
        <f>(Table2[[#This Row],[H/Pace]]/100)*(VLOOKUP(Table2[[#This Row],[Home/Neutral]],home_lookup,8,FALSE)+VLOOKUP(Table2[[#This Row],[Home/Neutral]],OFR_lookup,2,FALSE)+VLOOKUP(Table2[[#This Row],[Visitor/Neutral]],def_diff_lookup,6,FALSE))</f>
        <v>100.67421470161864</v>
      </c>
      <c r="M1017" s="21"/>
      <c r="N1017" s="21">
        <f>(Table2[[#This Row],[A/Pace]]/100)*(VLOOKUP(Table2[[#This Row],[Visitor/Neutral]],OFR_lookup,2,FALSE)+VLOOKUP(Table2[[#This Row],[Home/Neutral]],def_diff_lookup,6,FALSE))</f>
        <v>111.21250266666667</v>
      </c>
      <c r="O1017" s="21"/>
      <c r="P1017" s="21"/>
      <c r="Q1017">
        <f>VLOOKUP(Table2[[#This Row],[Home/Neutral]],pace_lookup,7,FALSE)</f>
        <v>99.1</v>
      </c>
      <c r="R1017" s="5">
        <f>VLOOKUP(Table2[[#This Row],[Visitor/Neutral]],pace_lookup,7,FALSE)</f>
        <v>96.4</v>
      </c>
      <c r="S1017" s="7"/>
      <c r="U1017" s="15"/>
      <c r="W1017" s="2">
        <f>-home-VLOOKUP(Table2[[#This Row],[Home/Neutral]],rtg_vlookup,4,FALSE)+VLOOKUP(Table2[[#This Row],[Visitor/Neutral]],rtg_vlookup,4,FALSE)</f>
        <v>10.691311475409835</v>
      </c>
      <c r="X1017" s="15"/>
      <c r="Y1017" s="2"/>
      <c r="Z1017" s="2">
        <f>Table2[[#This Row],[A/EV]]-Table2[[#This Row],[H/EV]]</f>
        <v>10.538287965048028</v>
      </c>
      <c r="AA1017" s="29"/>
      <c r="AB1017" s="30"/>
      <c r="AC1017" s="30"/>
      <c r="AD1017" s="30"/>
      <c r="AE1017" s="30"/>
      <c r="AF1017" s="7" t="b">
        <f>IF(VLOOKUP(Table2[[#This Row],[Home/Neutral]],division_lookup,9,FALSE)=VLOOKUP(Table2[[#This Row],[Visitor/Neutral]],division_lookup,9,FALSE),TRUE,FALSE)</f>
        <v>0</v>
      </c>
      <c r="AG1017" s="15" t="str">
        <f>VLOOKUP(Table2[[#This Row],[Home/Neutral]],division_lookup,9,FALSE)</f>
        <v>NW</v>
      </c>
      <c r="AH1017" s="15" t="str">
        <f>IF(Table2[[#This Row],[Total/EV]]&lt;Table2[[#This Row],[Total/V]],"UNDER","OVER")</f>
        <v>OVER</v>
      </c>
      <c r="AI1017" s="26">
        <f>Table2[[#This Row],[SRS/Real]]-Table2[[#This Row],[Spread/V]]</f>
        <v>0</v>
      </c>
      <c r="AJ1017" s="2">
        <f>Table2[[#This Row],[EV/Real]]-Table2[[#This Row],[Spread/V]]</f>
        <v>0</v>
      </c>
      <c r="AK1017" s="2">
        <f>Table2[[#This Row],[SRS/Diff]]-Table2[[#This Row],[EV/Diff]]</f>
        <v>0</v>
      </c>
      <c r="AL1017" s="18">
        <f>Table2[[#This Row],[SRS]]-Table2[[#This Row],[Spread]]</f>
        <v>10.691311475409835</v>
      </c>
      <c r="AM1017" s="21">
        <f>Table2[[#This Row],[(A) Err]]^2</f>
        <v>114.30414106423002</v>
      </c>
      <c r="AN1017" s="6">
        <f>Table2[[#This Row],[EV]]-Table2[[#This Row],[Spread]]</f>
        <v>10.538287965048028</v>
      </c>
      <c r="AO1017" s="1">
        <f>Table2[[#This Row],[EV Err]]^2</f>
        <v>111.05551323427611</v>
      </c>
      <c r="AP1017" s="1"/>
    </row>
    <row r="1018" spans="1:42" x14ac:dyDescent="0.25">
      <c r="A1018" s="34">
        <v>42811</v>
      </c>
      <c r="B1018" t="s">
        <v>118</v>
      </c>
      <c r="C1018" t="s">
        <v>130</v>
      </c>
      <c r="E1018" s="21"/>
      <c r="G1018" s="21"/>
      <c r="H1018" s="7"/>
      <c r="I1018" s="21"/>
      <c r="K1018"/>
      <c r="L1018" s="21">
        <f>(Table2[[#This Row],[H/Pace]]/100)*(VLOOKUP(Table2[[#This Row],[Home/Neutral]],home_lookup,8,FALSE)+VLOOKUP(Table2[[#This Row],[Home/Neutral]],OFR_lookup,2,FALSE)+VLOOKUP(Table2[[#This Row],[Visitor/Neutral]],def_diff_lookup,6,FALSE))</f>
        <v>114.56175838078236</v>
      </c>
      <c r="M1018" s="21"/>
      <c r="N1018" s="21">
        <f>(Table2[[#This Row],[A/Pace]]/100)*(VLOOKUP(Table2[[#This Row],[Visitor/Neutral]],OFR_lookup,2,FALSE)+VLOOKUP(Table2[[#This Row],[Home/Neutral]],def_diff_lookup,6,FALSE))</f>
        <v>91.077898000000005</v>
      </c>
      <c r="O1018" s="21"/>
      <c r="P1018" s="21"/>
      <c r="Q1018">
        <f>VLOOKUP(Table2[[#This Row],[Home/Neutral]],pace_lookup,7,FALSE)</f>
        <v>100.4</v>
      </c>
      <c r="R1018" s="5">
        <f>VLOOKUP(Table2[[#This Row],[Visitor/Neutral]],pace_lookup,7,FALSE)</f>
        <v>94.2</v>
      </c>
      <c r="S1018" s="7"/>
      <c r="U1018" s="15"/>
      <c r="W1018" s="2">
        <f>-home-VLOOKUP(Table2[[#This Row],[Home/Neutral]],rtg_vlookup,4,FALSE)+VLOOKUP(Table2[[#This Row],[Visitor/Neutral]],rtg_vlookup,4,FALSE)</f>
        <v>-22.828688524590167</v>
      </c>
      <c r="X1018" s="15"/>
      <c r="Y1018" s="2"/>
      <c r="Z1018" s="2">
        <f>Table2[[#This Row],[A/EV]]-Table2[[#This Row],[H/EV]]</f>
        <v>-23.48386038078236</v>
      </c>
      <c r="AA1018" s="29"/>
      <c r="AB1018" s="30"/>
      <c r="AC1018" s="30"/>
      <c r="AD1018" s="30"/>
      <c r="AE1018" s="30"/>
      <c r="AF1018" s="7" t="b">
        <f>IF(VLOOKUP(Table2[[#This Row],[Home/Neutral]],division_lookup,9,FALSE)=VLOOKUP(Table2[[#This Row],[Visitor/Neutral]],division_lookup,9,FALSE),TRUE,FALSE)</f>
        <v>0</v>
      </c>
      <c r="AG1018" s="15" t="str">
        <f>VLOOKUP(Table2[[#This Row],[Home/Neutral]],division_lookup,9,FALSE)</f>
        <v>P</v>
      </c>
      <c r="AH1018" s="15" t="str">
        <f>IF(Table2[[#This Row],[Total/EV]]&lt;Table2[[#This Row],[Total/V]],"UNDER","OVER")</f>
        <v>OVER</v>
      </c>
      <c r="AI1018" s="26">
        <f>Table2[[#This Row],[SRS/Real]]-Table2[[#This Row],[Spread/V]]</f>
        <v>0</v>
      </c>
      <c r="AJ1018" s="2">
        <f>Table2[[#This Row],[EV/Real]]-Table2[[#This Row],[Spread/V]]</f>
        <v>0</v>
      </c>
      <c r="AK1018" s="2">
        <f>Table2[[#This Row],[SRS/Diff]]-Table2[[#This Row],[EV/Diff]]</f>
        <v>0</v>
      </c>
      <c r="AL1018" s="18">
        <f>Table2[[#This Row],[SRS]]-Table2[[#This Row],[Spread]]</f>
        <v>-22.828688524590167</v>
      </c>
      <c r="AM1018" s="21">
        <f>Table2[[#This Row],[(A) Err]]^2</f>
        <v>521.14901975275473</v>
      </c>
      <c r="AN1018" s="6">
        <f>Table2[[#This Row],[EV]]-Table2[[#This Row],[Spread]]</f>
        <v>-23.48386038078236</v>
      </c>
      <c r="AO1018" s="1">
        <f>Table2[[#This Row],[EV Err]]^2</f>
        <v>551.49169838407943</v>
      </c>
      <c r="AP1018" s="1"/>
    </row>
    <row r="1019" spans="1:42" x14ac:dyDescent="0.25">
      <c r="A1019" s="34">
        <v>42811</v>
      </c>
      <c r="B1019" t="s">
        <v>128</v>
      </c>
      <c r="C1019" t="s">
        <v>111</v>
      </c>
      <c r="E1019" s="21"/>
      <c r="G1019" s="21"/>
      <c r="H1019" s="7"/>
      <c r="I1019" s="21"/>
      <c r="K1019"/>
      <c r="L1019" s="21">
        <f>(Table2[[#This Row],[H/Pace]]/100)*(VLOOKUP(Table2[[#This Row],[Home/Neutral]],home_lookup,8,FALSE)+VLOOKUP(Table2[[#This Row],[Home/Neutral]],OFR_lookup,2,FALSE)+VLOOKUP(Table2[[#This Row],[Visitor/Neutral]],def_diff_lookup,6,FALSE))</f>
        <v>112.5251898778302</v>
      </c>
      <c r="M1019" s="21"/>
      <c r="N1019" s="21">
        <f>(Table2[[#This Row],[A/Pace]]/100)*(VLOOKUP(Table2[[#This Row],[Visitor/Neutral]],OFR_lookup,2,FALSE)+VLOOKUP(Table2[[#This Row],[Home/Neutral]],def_diff_lookup,6,FALSE))</f>
        <v>107.41178000000001</v>
      </c>
      <c r="O1019" s="21"/>
      <c r="P1019" s="21"/>
      <c r="Q1019">
        <f>VLOOKUP(Table2[[#This Row],[Home/Neutral]],pace_lookup,7,FALSE)</f>
        <v>96.3</v>
      </c>
      <c r="R1019" s="5">
        <f>VLOOKUP(Table2[[#This Row],[Visitor/Neutral]],pace_lookup,7,FALSE)</f>
        <v>102</v>
      </c>
      <c r="S1019" s="7"/>
      <c r="U1019" s="15"/>
      <c r="W1019" s="2">
        <f>-home-VLOOKUP(Table2[[#This Row],[Home/Neutral]],rtg_vlookup,4,FALSE)+VLOOKUP(Table2[[#This Row],[Visitor/Neutral]],rtg_vlookup,4,FALSE)</f>
        <v>-9.6986885245901657</v>
      </c>
      <c r="X1019" s="15"/>
      <c r="Y1019" s="2"/>
      <c r="Z1019" s="2">
        <f>Table2[[#This Row],[A/EV]]-Table2[[#This Row],[H/EV]]</f>
        <v>-5.1134098778301933</v>
      </c>
      <c r="AA1019" s="29"/>
      <c r="AB1019" s="30"/>
      <c r="AC1019" s="30"/>
      <c r="AD1019" s="30"/>
      <c r="AE1019" s="30"/>
      <c r="AF1019" s="7" t="b">
        <f>IF(VLOOKUP(Table2[[#This Row],[Home/Neutral]],division_lookup,9,FALSE)=VLOOKUP(Table2[[#This Row],[Visitor/Neutral]],division_lookup,9,FALSE),TRUE,FALSE)</f>
        <v>1</v>
      </c>
      <c r="AG1019" s="15" t="str">
        <f>VLOOKUP(Table2[[#This Row],[Home/Neutral]],division_lookup,9,FALSE)</f>
        <v>A</v>
      </c>
      <c r="AH1019" s="15" t="str">
        <f>IF(Table2[[#This Row],[Total/EV]]&lt;Table2[[#This Row],[Total/V]],"UNDER","OVER")</f>
        <v>OVER</v>
      </c>
      <c r="AI1019" s="26">
        <f>Table2[[#This Row],[SRS/Real]]-Table2[[#This Row],[Spread/V]]</f>
        <v>0</v>
      </c>
      <c r="AJ1019" s="2">
        <f>Table2[[#This Row],[EV/Real]]-Table2[[#This Row],[Spread/V]]</f>
        <v>0</v>
      </c>
      <c r="AK1019" s="2">
        <f>Table2[[#This Row],[SRS/Diff]]-Table2[[#This Row],[EV/Diff]]</f>
        <v>0</v>
      </c>
      <c r="AL1019" s="18">
        <f>Table2[[#This Row],[SRS]]-Table2[[#This Row],[Spread]]</f>
        <v>-9.6986885245901657</v>
      </c>
      <c r="AM1019" s="21">
        <f>Table2[[#This Row],[(A) Err]]^2</f>
        <v>94.064559097016968</v>
      </c>
      <c r="AN1019" s="6">
        <f>Table2[[#This Row],[EV]]-Table2[[#This Row],[Spread]]</f>
        <v>-5.1134098778301933</v>
      </c>
      <c r="AO1019" s="1">
        <f>Table2[[#This Row],[EV Err]]^2</f>
        <v>26.146960578691392</v>
      </c>
      <c r="AP1019" s="1"/>
    </row>
    <row r="1020" spans="1:42" x14ac:dyDescent="0.25">
      <c r="A1020" s="34">
        <v>42811</v>
      </c>
      <c r="B1020" t="s">
        <v>135</v>
      </c>
      <c r="C1020" t="s">
        <v>129</v>
      </c>
      <c r="E1020" s="21"/>
      <c r="G1020" s="21"/>
      <c r="H1020" s="7"/>
      <c r="I1020" s="21"/>
      <c r="K1020"/>
      <c r="L1020" s="21">
        <f>(Table2[[#This Row],[H/Pace]]/100)*(VLOOKUP(Table2[[#This Row],[Home/Neutral]],home_lookup,8,FALSE)+VLOOKUP(Table2[[#This Row],[Home/Neutral]],OFR_lookup,2,FALSE)+VLOOKUP(Table2[[#This Row],[Visitor/Neutral]],def_diff_lookup,6,FALSE))</f>
        <v>107.82732035324615</v>
      </c>
      <c r="M1020" s="21"/>
      <c r="N1020" s="21">
        <f>(Table2[[#This Row],[A/Pace]]/100)*(VLOOKUP(Table2[[#This Row],[Visitor/Neutral]],OFR_lookup,2,FALSE)+VLOOKUP(Table2[[#This Row],[Home/Neutral]],def_diff_lookup,6,FALSE))</f>
        <v>106.07420999999999</v>
      </c>
      <c r="O1020" s="21"/>
      <c r="P1020" s="21"/>
      <c r="Q1020">
        <f>VLOOKUP(Table2[[#This Row],[Home/Neutral]],pace_lookup,7,FALSE)</f>
        <v>95.4</v>
      </c>
      <c r="R1020" s="5">
        <f>VLOOKUP(Table2[[#This Row],[Visitor/Neutral]],pace_lookup,7,FALSE)</f>
        <v>99</v>
      </c>
      <c r="S1020" s="7"/>
      <c r="U1020" s="15"/>
      <c r="W1020" s="2">
        <f>-home-VLOOKUP(Table2[[#This Row],[Home/Neutral]],rtg_vlookup,4,FALSE)+VLOOKUP(Table2[[#This Row],[Visitor/Neutral]],rtg_vlookup,4,FALSE)</f>
        <v>-7.2086885245901655</v>
      </c>
      <c r="X1020" s="15"/>
      <c r="Y1020" s="2"/>
      <c r="Z1020" s="2">
        <f>Table2[[#This Row],[A/EV]]-Table2[[#This Row],[H/EV]]</f>
        <v>-1.7531103532461572</v>
      </c>
      <c r="AA1020" s="29"/>
      <c r="AB1020" s="30"/>
      <c r="AC1020" s="30"/>
      <c r="AD1020" s="30"/>
      <c r="AE1020" s="30"/>
      <c r="AF1020" s="7" t="b">
        <f>IF(VLOOKUP(Table2[[#This Row],[Home/Neutral]],division_lookup,9,FALSE)=VLOOKUP(Table2[[#This Row],[Visitor/Neutral]],division_lookup,9,FALSE),TRUE,FALSE)</f>
        <v>0</v>
      </c>
      <c r="AG1020" s="15" t="str">
        <f>VLOOKUP(Table2[[#This Row],[Home/Neutral]],division_lookup,9,FALSE)</f>
        <v>A</v>
      </c>
      <c r="AH1020" s="15" t="str">
        <f>IF(Table2[[#This Row],[Total/EV]]&lt;Table2[[#This Row],[Total/V]],"UNDER","OVER")</f>
        <v>OVER</v>
      </c>
      <c r="AI1020" s="26">
        <f>Table2[[#This Row],[SRS/Real]]-Table2[[#This Row],[Spread/V]]</f>
        <v>0</v>
      </c>
      <c r="AJ1020" s="2">
        <f>Table2[[#This Row],[EV/Real]]-Table2[[#This Row],[Spread/V]]</f>
        <v>0</v>
      </c>
      <c r="AK1020" s="2">
        <f>Table2[[#This Row],[SRS/Diff]]-Table2[[#This Row],[EV/Diff]]</f>
        <v>0</v>
      </c>
      <c r="AL1020" s="18">
        <f>Table2[[#This Row],[SRS]]-Table2[[#This Row],[Spread]]</f>
        <v>-7.2086885245901655</v>
      </c>
      <c r="AM1020" s="21">
        <f>Table2[[#This Row],[(A) Err]]^2</f>
        <v>51.965190244557938</v>
      </c>
      <c r="AN1020" s="6">
        <f>Table2[[#This Row],[EV]]-Table2[[#This Row],[Spread]]</f>
        <v>-1.7531103532461572</v>
      </c>
      <c r="AO1020" s="1">
        <f>Table2[[#This Row],[EV Err]]^2</f>
        <v>3.0733959106588657</v>
      </c>
      <c r="AP1020" s="1"/>
    </row>
    <row r="1021" spans="1:42" x14ac:dyDescent="0.25">
      <c r="A1021" s="34">
        <v>42812</v>
      </c>
      <c r="B1021" t="s">
        <v>111</v>
      </c>
      <c r="C1021" t="s">
        <v>110</v>
      </c>
      <c r="E1021" s="21"/>
      <c r="G1021" s="21"/>
      <c r="H1021" s="7"/>
      <c r="I1021" s="21"/>
      <c r="K1021"/>
      <c r="L1021" s="21">
        <f>(Table2[[#This Row],[H/Pace]]/100)*(VLOOKUP(Table2[[#This Row],[Home/Neutral]],home_lookup,8,FALSE)+VLOOKUP(Table2[[#This Row],[Home/Neutral]],OFR_lookup,2,FALSE)+VLOOKUP(Table2[[#This Row],[Visitor/Neutral]],def_diff_lookup,6,FALSE))</f>
        <v>100.91561832771636</v>
      </c>
      <c r="M1021" s="21"/>
      <c r="N1021" s="21">
        <f>(Table2[[#This Row],[A/Pace]]/100)*(VLOOKUP(Table2[[#This Row],[Visitor/Neutral]],OFR_lookup,2,FALSE)+VLOOKUP(Table2[[#This Row],[Home/Neutral]],def_diff_lookup,6,FALSE))</f>
        <v>107.87451133333334</v>
      </c>
      <c r="O1021" s="21"/>
      <c r="P1021" s="21"/>
      <c r="Q1021">
        <f>VLOOKUP(Table2[[#This Row],[Home/Neutral]],pace_lookup,7,FALSE)</f>
        <v>102</v>
      </c>
      <c r="R1021" s="5">
        <f>VLOOKUP(Table2[[#This Row],[Visitor/Neutral]],pace_lookup,7,FALSE)</f>
        <v>96.2</v>
      </c>
      <c r="S1021" s="7"/>
      <c r="U1021" s="15"/>
      <c r="W1021" s="2">
        <f>-home-VLOOKUP(Table2[[#This Row],[Home/Neutral]],rtg_vlookup,4,FALSE)+VLOOKUP(Table2[[#This Row],[Visitor/Neutral]],rtg_vlookup,4,FALSE)</f>
        <v>6.481311475409834</v>
      </c>
      <c r="X1021" s="15"/>
      <c r="Y1021" s="2"/>
      <c r="Z1021" s="2">
        <f>Table2[[#This Row],[A/EV]]-Table2[[#This Row],[H/EV]]</f>
        <v>6.9588930056169858</v>
      </c>
      <c r="AA1021" s="29"/>
      <c r="AB1021" s="30"/>
      <c r="AC1021" s="30"/>
      <c r="AD1021" s="30"/>
      <c r="AE1021" s="30"/>
      <c r="AF1021" s="7" t="b">
        <f>IF(VLOOKUP(Table2[[#This Row],[Home/Neutral]],division_lookup,9,FALSE)=VLOOKUP(Table2[[#This Row],[Visitor/Neutral]],division_lookup,9,FALSE),TRUE,FALSE)</f>
        <v>1</v>
      </c>
      <c r="AG1021" s="15" t="str">
        <f>VLOOKUP(Table2[[#This Row],[Home/Neutral]],division_lookup,9,FALSE)</f>
        <v>A</v>
      </c>
      <c r="AH1021" s="15" t="str">
        <f>IF(Table2[[#This Row],[Total/EV]]&lt;Table2[[#This Row],[Total/V]],"UNDER","OVER")</f>
        <v>OVER</v>
      </c>
      <c r="AI1021" s="26">
        <f>Table2[[#This Row],[SRS/Real]]-Table2[[#This Row],[Spread/V]]</f>
        <v>0</v>
      </c>
      <c r="AJ1021" s="2">
        <f>Table2[[#This Row],[EV/Real]]-Table2[[#This Row],[Spread/V]]</f>
        <v>0</v>
      </c>
      <c r="AK1021" s="2">
        <f>Table2[[#This Row],[SRS/Diff]]-Table2[[#This Row],[EV/Diff]]</f>
        <v>0</v>
      </c>
      <c r="AL1021" s="18">
        <f>Table2[[#This Row],[SRS]]-Table2[[#This Row],[Spread]]</f>
        <v>6.481311475409834</v>
      </c>
      <c r="AM1021" s="21">
        <f>Table2[[#This Row],[(A) Err]]^2</f>
        <v>42.0073984412792</v>
      </c>
      <c r="AN1021" s="6">
        <f>Table2[[#This Row],[EV]]-Table2[[#This Row],[Spread]]</f>
        <v>6.9588930056169858</v>
      </c>
      <c r="AO1021" s="1">
        <f>Table2[[#This Row],[EV Err]]^2</f>
        <v>48.426191863625007</v>
      </c>
      <c r="AP1021" s="1"/>
    </row>
    <row r="1022" spans="1:42" x14ac:dyDescent="0.25">
      <c r="A1022" s="34">
        <v>42812</v>
      </c>
      <c r="B1022" t="s">
        <v>117</v>
      </c>
      <c r="C1022" t="s">
        <v>135</v>
      </c>
      <c r="E1022" s="21"/>
      <c r="G1022" s="21"/>
      <c r="H1022" s="7"/>
      <c r="I1022" s="21"/>
      <c r="K1022"/>
      <c r="L1022" s="21">
        <f>(Table2[[#This Row],[H/Pace]]/100)*(VLOOKUP(Table2[[#This Row],[Home/Neutral]],home_lookup,8,FALSE)+VLOOKUP(Table2[[#This Row],[Home/Neutral]],OFR_lookup,2,FALSE)+VLOOKUP(Table2[[#This Row],[Visitor/Neutral]],def_diff_lookup,6,FALSE))</f>
        <v>113.08259591446428</v>
      </c>
      <c r="M1022" s="21"/>
      <c r="N1022" s="21">
        <f>(Table2[[#This Row],[A/Pace]]/100)*(VLOOKUP(Table2[[#This Row],[Visitor/Neutral]],OFR_lookup,2,FALSE)+VLOOKUP(Table2[[#This Row],[Home/Neutral]],def_diff_lookup,6,FALSE))</f>
        <v>104.554266</v>
      </c>
      <c r="O1022" s="21"/>
      <c r="P1022" s="21"/>
      <c r="Q1022">
        <f>VLOOKUP(Table2[[#This Row],[Home/Neutral]],pace_lookup,7,FALSE)</f>
        <v>94</v>
      </c>
      <c r="R1022" s="5">
        <f>VLOOKUP(Table2[[#This Row],[Visitor/Neutral]],pace_lookup,7,FALSE)</f>
        <v>95.4</v>
      </c>
      <c r="S1022" s="7"/>
      <c r="U1022" s="15"/>
      <c r="W1022" s="2">
        <f>-home-VLOOKUP(Table2[[#This Row],[Home/Neutral]],rtg_vlookup,4,FALSE)+VLOOKUP(Table2[[#This Row],[Visitor/Neutral]],rtg_vlookup,4,FALSE)</f>
        <v>1.5913114754098343</v>
      </c>
      <c r="X1022" s="15"/>
      <c r="Y1022" s="2"/>
      <c r="Z1022" s="2">
        <f>Table2[[#This Row],[A/EV]]-Table2[[#This Row],[H/EV]]</f>
        <v>-8.5283299144642797</v>
      </c>
      <c r="AA1022" s="29"/>
      <c r="AB1022" s="30"/>
      <c r="AC1022" s="30"/>
      <c r="AD1022" s="30"/>
      <c r="AE1022" s="30"/>
      <c r="AF1022" s="7" t="b">
        <f>IF(VLOOKUP(Table2[[#This Row],[Home/Neutral]],division_lookup,9,FALSE)=VLOOKUP(Table2[[#This Row],[Visitor/Neutral]],division_lookup,9,FALSE),TRUE,FALSE)</f>
        <v>0</v>
      </c>
      <c r="AG1022" s="15" t="str">
        <f>VLOOKUP(Table2[[#This Row],[Home/Neutral]],division_lookup,9,FALSE)</f>
        <v>C</v>
      </c>
      <c r="AH1022" s="15" t="str">
        <f>IF(Table2[[#This Row],[Total/EV]]&lt;Table2[[#This Row],[Total/V]],"UNDER","OVER")</f>
        <v>OVER</v>
      </c>
      <c r="AI1022" s="26">
        <f>Table2[[#This Row],[SRS/Real]]-Table2[[#This Row],[Spread/V]]</f>
        <v>0</v>
      </c>
      <c r="AJ1022" s="2">
        <f>Table2[[#This Row],[EV/Real]]-Table2[[#This Row],[Spread/V]]</f>
        <v>0</v>
      </c>
      <c r="AK1022" s="2">
        <f>Table2[[#This Row],[SRS/Diff]]-Table2[[#This Row],[EV/Diff]]</f>
        <v>0</v>
      </c>
      <c r="AL1022" s="18">
        <f>Table2[[#This Row],[SRS]]-Table2[[#This Row],[Spread]]</f>
        <v>1.5913114754098343</v>
      </c>
      <c r="AM1022" s="21">
        <f>Table2[[#This Row],[(A) Err]]^2</f>
        <v>2.5322722117710237</v>
      </c>
      <c r="AN1022" s="6">
        <f>Table2[[#This Row],[EV]]-Table2[[#This Row],[Spread]]</f>
        <v>-8.5283299144642797</v>
      </c>
      <c r="AO1022" s="1">
        <f>Table2[[#This Row],[EV Err]]^2</f>
        <v>72.732411129946314</v>
      </c>
      <c r="AP1022" s="1"/>
    </row>
    <row r="1023" spans="1:42" x14ac:dyDescent="0.25">
      <c r="A1023" s="34">
        <v>42812</v>
      </c>
      <c r="B1023" t="s">
        <v>122</v>
      </c>
      <c r="C1023" t="s">
        <v>125</v>
      </c>
      <c r="E1023" s="21"/>
      <c r="G1023" s="21"/>
      <c r="H1023" s="7"/>
      <c r="I1023" s="21"/>
      <c r="K1023"/>
      <c r="L1023" s="21">
        <f>(Table2[[#This Row],[H/Pace]]/100)*(VLOOKUP(Table2[[#This Row],[Home/Neutral]],home_lookup,8,FALSE)+VLOOKUP(Table2[[#This Row],[Home/Neutral]],OFR_lookup,2,FALSE)+VLOOKUP(Table2[[#This Row],[Visitor/Neutral]],def_diff_lookup,6,FALSE))</f>
        <v>111.8821283274473</v>
      </c>
      <c r="M1023" s="21"/>
      <c r="N1023" s="21">
        <f>(Table2[[#This Row],[A/Pace]]/100)*(VLOOKUP(Table2[[#This Row],[Visitor/Neutral]],OFR_lookup,2,FALSE)+VLOOKUP(Table2[[#This Row],[Home/Neutral]],def_diff_lookup,6,FALSE))</f>
        <v>106.48424566666665</v>
      </c>
      <c r="O1023" s="21"/>
      <c r="P1023" s="21"/>
      <c r="Q1023">
        <f>VLOOKUP(Table2[[#This Row],[Home/Neutral]],pace_lookup,7,FALSE)</f>
        <v>100.2</v>
      </c>
      <c r="R1023" s="5">
        <f>VLOOKUP(Table2[[#This Row],[Visitor/Neutral]],pace_lookup,7,FALSE)</f>
        <v>96.1</v>
      </c>
      <c r="S1023" s="7"/>
      <c r="U1023" s="15"/>
      <c r="W1023" s="2">
        <f>-home-VLOOKUP(Table2[[#This Row],[Home/Neutral]],rtg_vlookup,4,FALSE)+VLOOKUP(Table2[[#This Row],[Visitor/Neutral]],rtg_vlookup,4,FALSE)</f>
        <v>-3.0086885245901658</v>
      </c>
      <c r="X1023" s="15"/>
      <c r="Y1023" s="2"/>
      <c r="Z1023" s="2">
        <f>Table2[[#This Row],[A/EV]]-Table2[[#This Row],[H/EV]]</f>
        <v>-5.3978826607806525</v>
      </c>
      <c r="AA1023" s="29"/>
      <c r="AB1023" s="30"/>
      <c r="AC1023" s="30"/>
      <c r="AD1023" s="30"/>
      <c r="AE1023" s="30"/>
      <c r="AF1023" s="7" t="b">
        <f>IF(VLOOKUP(Table2[[#This Row],[Home/Neutral]],division_lookup,9,FALSE)=VLOOKUP(Table2[[#This Row],[Visitor/Neutral]],division_lookup,9,FALSE),TRUE,FALSE)</f>
        <v>0</v>
      </c>
      <c r="AG1023" s="15" t="str">
        <f>VLOOKUP(Table2[[#This Row],[Home/Neutral]],division_lookup,9,FALSE)</f>
        <v>P</v>
      </c>
      <c r="AH1023" s="15" t="str">
        <f>IF(Table2[[#This Row],[Total/EV]]&lt;Table2[[#This Row],[Total/V]],"UNDER","OVER")</f>
        <v>OVER</v>
      </c>
      <c r="AI1023" s="26">
        <f>Table2[[#This Row],[SRS/Real]]-Table2[[#This Row],[Spread/V]]</f>
        <v>0</v>
      </c>
      <c r="AJ1023" s="2">
        <f>Table2[[#This Row],[EV/Real]]-Table2[[#This Row],[Spread/V]]</f>
        <v>0</v>
      </c>
      <c r="AK1023" s="2">
        <f>Table2[[#This Row],[SRS/Diff]]-Table2[[#This Row],[EV/Diff]]</f>
        <v>0</v>
      </c>
      <c r="AL1023" s="18">
        <f>Table2[[#This Row],[SRS]]-Table2[[#This Row],[Spread]]</f>
        <v>-3.0086885245901658</v>
      </c>
      <c r="AM1023" s="21">
        <f>Table2[[#This Row],[(A) Err]]^2</f>
        <v>9.0522066380005484</v>
      </c>
      <c r="AN1023" s="6">
        <f>Table2[[#This Row],[EV]]-Table2[[#This Row],[Spread]]</f>
        <v>-5.3978826607806525</v>
      </c>
      <c r="AO1023" s="1">
        <f>Table2[[#This Row],[EV Err]]^2</f>
        <v>29.137137219556415</v>
      </c>
      <c r="AP1023" s="1"/>
    </row>
    <row r="1024" spans="1:42" x14ac:dyDescent="0.25">
      <c r="A1024" s="34">
        <v>42812</v>
      </c>
      <c r="B1024" t="s">
        <v>124</v>
      </c>
      <c r="C1024" t="s">
        <v>126</v>
      </c>
      <c r="E1024" s="21"/>
      <c r="G1024" s="21"/>
      <c r="H1024" s="7"/>
      <c r="I1024" s="21"/>
      <c r="K1024"/>
      <c r="L1024" s="21">
        <f>(Table2[[#This Row],[H/Pace]]/100)*(VLOOKUP(Table2[[#This Row],[Home/Neutral]],home_lookup,8,FALSE)+VLOOKUP(Table2[[#This Row],[Home/Neutral]],OFR_lookup,2,FALSE)+VLOOKUP(Table2[[#This Row],[Visitor/Neutral]],def_diff_lookup,6,FALSE))</f>
        <v>104.19970517723557</v>
      </c>
      <c r="M1024" s="21"/>
      <c r="N1024" s="21">
        <f>(Table2[[#This Row],[A/Pace]]/100)*(VLOOKUP(Table2[[#This Row],[Visitor/Neutral]],OFR_lookup,2,FALSE)+VLOOKUP(Table2[[#This Row],[Home/Neutral]],def_diff_lookup,6,FALSE))</f>
        <v>101.88764300000001</v>
      </c>
      <c r="O1024" s="21"/>
      <c r="P1024" s="21"/>
      <c r="Q1024">
        <f>VLOOKUP(Table2[[#This Row],[Home/Neutral]],pace_lookup,7,FALSE)</f>
        <v>93.7</v>
      </c>
      <c r="R1024" s="5">
        <f>VLOOKUP(Table2[[#This Row],[Visitor/Neutral]],pace_lookup,7,FALSE)</f>
        <v>95.7</v>
      </c>
      <c r="S1024" s="7"/>
      <c r="U1024" s="15"/>
      <c r="W1024" s="2">
        <f>-home-VLOOKUP(Table2[[#This Row],[Home/Neutral]],rtg_vlookup,4,FALSE)+VLOOKUP(Table2[[#This Row],[Visitor/Neutral]],rtg_vlookup,4,FALSE)</f>
        <v>-2.7586885245901658</v>
      </c>
      <c r="X1024" s="15"/>
      <c r="Y1024" s="2"/>
      <c r="Z1024" s="2">
        <f>Table2[[#This Row],[A/EV]]-Table2[[#This Row],[H/EV]]</f>
        <v>-2.3120621772355605</v>
      </c>
      <c r="AA1024" s="29"/>
      <c r="AB1024" s="30"/>
      <c r="AC1024" s="30"/>
      <c r="AD1024" s="30"/>
      <c r="AE1024" s="30"/>
      <c r="AF1024" s="7" t="b">
        <f>IF(VLOOKUP(Table2[[#This Row],[Home/Neutral]],division_lookup,9,FALSE)=VLOOKUP(Table2[[#This Row],[Visitor/Neutral]],division_lookup,9,FALSE),TRUE,FALSE)</f>
        <v>0</v>
      </c>
      <c r="AG1024" s="15" t="str">
        <f>VLOOKUP(Table2[[#This Row],[Home/Neutral]],division_lookup,9,FALSE)</f>
        <v>SE</v>
      </c>
      <c r="AH1024" s="15" t="str">
        <f>IF(Table2[[#This Row],[Total/EV]]&lt;Table2[[#This Row],[Total/V]],"UNDER","OVER")</f>
        <v>OVER</v>
      </c>
      <c r="AI1024" s="26">
        <f>Table2[[#This Row],[SRS/Real]]-Table2[[#This Row],[Spread/V]]</f>
        <v>0</v>
      </c>
      <c r="AJ1024" s="2">
        <f>Table2[[#This Row],[EV/Real]]-Table2[[#This Row],[Spread/V]]</f>
        <v>0</v>
      </c>
      <c r="AK1024" s="2">
        <f>Table2[[#This Row],[SRS/Diff]]-Table2[[#This Row],[EV/Diff]]</f>
        <v>0</v>
      </c>
      <c r="AL1024" s="18">
        <f>Table2[[#This Row],[SRS]]-Table2[[#This Row],[Spread]]</f>
        <v>-2.7586885245901658</v>
      </c>
      <c r="AM1024" s="21">
        <f>Table2[[#This Row],[(A) Err]]^2</f>
        <v>7.6103623757054661</v>
      </c>
      <c r="AN1024" s="6">
        <f>Table2[[#This Row],[EV]]-Table2[[#This Row],[Spread]]</f>
        <v>-2.3120621772355605</v>
      </c>
      <c r="AO1024" s="1">
        <f>Table2[[#This Row],[EV Err]]^2</f>
        <v>5.3456315114032407</v>
      </c>
      <c r="AP1024" s="1"/>
    </row>
    <row r="1025" spans="1:42" x14ac:dyDescent="0.25">
      <c r="A1025" s="34">
        <v>42812</v>
      </c>
      <c r="B1025" t="s">
        <v>127</v>
      </c>
      <c r="C1025" t="s">
        <v>119</v>
      </c>
      <c r="E1025" s="21"/>
      <c r="G1025" s="21"/>
      <c r="H1025" s="7"/>
      <c r="I1025" s="21"/>
      <c r="K1025"/>
      <c r="L1025" s="21">
        <f>(Table2[[#This Row],[H/Pace]]/100)*(VLOOKUP(Table2[[#This Row],[Home/Neutral]],home_lookup,8,FALSE)+VLOOKUP(Table2[[#This Row],[Home/Neutral]],OFR_lookup,2,FALSE)+VLOOKUP(Table2[[#This Row],[Visitor/Neutral]],def_diff_lookup,6,FALSE))</f>
        <v>105.38046493743049</v>
      </c>
      <c r="M1025" s="21"/>
      <c r="N1025" s="21">
        <f>(Table2[[#This Row],[A/Pace]]/100)*(VLOOKUP(Table2[[#This Row],[Visitor/Neutral]],OFR_lookup,2,FALSE)+VLOOKUP(Table2[[#This Row],[Home/Neutral]],def_diff_lookup,6,FALSE))</f>
        <v>108.291241</v>
      </c>
      <c r="O1025" s="21"/>
      <c r="P1025" s="21"/>
      <c r="Q1025">
        <f>VLOOKUP(Table2[[#This Row],[Home/Neutral]],pace_lookup,7,FALSE)</f>
        <v>99.3</v>
      </c>
      <c r="R1025" s="5">
        <f>VLOOKUP(Table2[[#This Row],[Visitor/Neutral]],pace_lookup,7,FALSE)</f>
        <v>96.9</v>
      </c>
      <c r="S1025" s="7"/>
      <c r="U1025" s="15"/>
      <c r="W1025" s="2">
        <f>-home-VLOOKUP(Table2[[#This Row],[Home/Neutral]],rtg_vlookup,4,FALSE)+VLOOKUP(Table2[[#This Row],[Visitor/Neutral]],rtg_vlookup,4,FALSE)</f>
        <v>3.5613114754098345</v>
      </c>
      <c r="X1025" s="15"/>
      <c r="Y1025" s="2"/>
      <c r="Z1025" s="2">
        <f>Table2[[#This Row],[A/EV]]-Table2[[#This Row],[H/EV]]</f>
        <v>2.9107760625695107</v>
      </c>
      <c r="AA1025" s="29"/>
      <c r="AB1025" s="30"/>
      <c r="AC1025" s="30"/>
      <c r="AD1025" s="30"/>
      <c r="AE1025" s="30"/>
      <c r="AF1025" s="7" t="b">
        <f>IF(VLOOKUP(Table2[[#This Row],[Home/Neutral]],division_lookup,9,FALSE)=VLOOKUP(Table2[[#This Row],[Visitor/Neutral]],division_lookup,9,FALSE),TRUE,FALSE)</f>
        <v>1</v>
      </c>
      <c r="AG1025" s="15" t="str">
        <f>VLOOKUP(Table2[[#This Row],[Home/Neutral]],division_lookup,9,FALSE)</f>
        <v>SW</v>
      </c>
      <c r="AH1025" s="15" t="str">
        <f>IF(Table2[[#This Row],[Total/EV]]&lt;Table2[[#This Row],[Total/V]],"UNDER","OVER")</f>
        <v>OVER</v>
      </c>
      <c r="AI1025" s="26">
        <f>Table2[[#This Row],[SRS/Real]]-Table2[[#This Row],[Spread/V]]</f>
        <v>0</v>
      </c>
      <c r="AJ1025" s="2">
        <f>Table2[[#This Row],[EV/Real]]-Table2[[#This Row],[Spread/V]]</f>
        <v>0</v>
      </c>
      <c r="AK1025" s="2">
        <f>Table2[[#This Row],[SRS/Diff]]-Table2[[#This Row],[EV/Diff]]</f>
        <v>0</v>
      </c>
      <c r="AL1025" s="18">
        <f>Table2[[#This Row],[SRS]]-Table2[[#This Row],[Spread]]</f>
        <v>3.5613114754098345</v>
      </c>
      <c r="AM1025" s="21">
        <f>Table2[[#This Row],[(A) Err]]^2</f>
        <v>12.682939424885772</v>
      </c>
      <c r="AN1025" s="6">
        <f>Table2[[#This Row],[EV]]-Table2[[#This Row],[Spread]]</f>
        <v>2.9107760625695107</v>
      </c>
      <c r="AO1025" s="1">
        <f>Table2[[#This Row],[EV Err]]^2</f>
        <v>8.4726172864276634</v>
      </c>
      <c r="AP1025" s="1"/>
    </row>
    <row r="1026" spans="1:42" x14ac:dyDescent="0.25">
      <c r="A1026" s="34">
        <v>42812</v>
      </c>
      <c r="B1026" t="s">
        <v>138</v>
      </c>
      <c r="C1026" t="s">
        <v>115</v>
      </c>
      <c r="E1026" s="21"/>
      <c r="G1026" s="21"/>
      <c r="H1026" s="7"/>
      <c r="I1026" s="21"/>
      <c r="K1026"/>
      <c r="L1026" s="21">
        <f>(Table2[[#This Row],[H/Pace]]/100)*(VLOOKUP(Table2[[#This Row],[Home/Neutral]],home_lookup,8,FALSE)+VLOOKUP(Table2[[#This Row],[Home/Neutral]],OFR_lookup,2,FALSE)+VLOOKUP(Table2[[#This Row],[Visitor/Neutral]],def_diff_lookup,6,FALSE))</f>
        <v>98.422533531240106</v>
      </c>
      <c r="M1026" s="21"/>
      <c r="N1026" s="21">
        <f>(Table2[[#This Row],[A/Pace]]/100)*(VLOOKUP(Table2[[#This Row],[Visitor/Neutral]],OFR_lookup,2,FALSE)+VLOOKUP(Table2[[#This Row],[Home/Neutral]],def_diff_lookup,6,FALSE))</f>
        <v>91.79975433333334</v>
      </c>
      <c r="O1026" s="21"/>
      <c r="P1026" s="21"/>
      <c r="Q1026">
        <f>VLOOKUP(Table2[[#This Row],[Home/Neutral]],pace_lookup,7,FALSE)</f>
        <v>97.5</v>
      </c>
      <c r="R1026" s="5">
        <f>VLOOKUP(Table2[[#This Row],[Visitor/Neutral]],pace_lookup,7,FALSE)</f>
        <v>92.9</v>
      </c>
      <c r="S1026" s="7"/>
      <c r="U1026" s="15"/>
      <c r="W1026" s="2">
        <f>-home-VLOOKUP(Table2[[#This Row],[Home/Neutral]],rtg_vlookup,4,FALSE)+VLOOKUP(Table2[[#This Row],[Visitor/Neutral]],rtg_vlookup,4,FALSE)</f>
        <v>-2.0086885245901644</v>
      </c>
      <c r="X1026" s="15"/>
      <c r="Y1026" s="2"/>
      <c r="Z1026" s="2">
        <f>Table2[[#This Row],[A/EV]]-Table2[[#This Row],[H/EV]]</f>
        <v>-6.6227791979067661</v>
      </c>
      <c r="AA1026" s="29"/>
      <c r="AB1026" s="30"/>
      <c r="AC1026" s="30"/>
      <c r="AD1026" s="30"/>
      <c r="AE1026" s="30"/>
      <c r="AF1026" s="7" t="b">
        <f>IF(VLOOKUP(Table2[[#This Row],[Home/Neutral]],division_lookup,9,FALSE)=VLOOKUP(Table2[[#This Row],[Visitor/Neutral]],division_lookup,9,FALSE),TRUE,FALSE)</f>
        <v>0</v>
      </c>
      <c r="AG1026" s="15" t="str">
        <f>VLOOKUP(Table2[[#This Row],[Home/Neutral]],division_lookup,9,FALSE)</f>
        <v>A</v>
      </c>
      <c r="AH1026" s="15" t="str">
        <f>IF(Table2[[#This Row],[Total/EV]]&lt;Table2[[#This Row],[Total/V]],"UNDER","OVER")</f>
        <v>OVER</v>
      </c>
      <c r="AI1026" s="26">
        <f>Table2[[#This Row],[SRS/Real]]-Table2[[#This Row],[Spread/V]]</f>
        <v>0</v>
      </c>
      <c r="AJ1026" s="2">
        <f>Table2[[#This Row],[EV/Real]]-Table2[[#This Row],[Spread/V]]</f>
        <v>0</v>
      </c>
      <c r="AK1026" s="2">
        <f>Table2[[#This Row],[SRS/Diff]]-Table2[[#This Row],[EV/Diff]]</f>
        <v>0</v>
      </c>
      <c r="AL1026" s="18">
        <f>Table2[[#This Row],[SRS]]-Table2[[#This Row],[Spread]]</f>
        <v>-2.0086885245901644</v>
      </c>
      <c r="AM1026" s="21">
        <f>Table2[[#This Row],[(A) Err]]^2</f>
        <v>4.0348295888202115</v>
      </c>
      <c r="AN1026" s="6">
        <f>Table2[[#This Row],[EV]]-Table2[[#This Row],[Spread]]</f>
        <v>-6.6227791979067661</v>
      </c>
      <c r="AO1026" s="1">
        <f>Table2[[#This Row],[EV Err]]^2</f>
        <v>43.86120430422659</v>
      </c>
      <c r="AP1026" s="1"/>
    </row>
    <row r="1027" spans="1:42" x14ac:dyDescent="0.25">
      <c r="A1027" s="34">
        <v>42812</v>
      </c>
      <c r="B1027" t="s">
        <v>131</v>
      </c>
      <c r="C1027" t="s">
        <v>130</v>
      </c>
      <c r="E1027" s="21"/>
      <c r="G1027" s="21"/>
      <c r="H1027" s="7"/>
      <c r="I1027" s="21"/>
      <c r="K1027"/>
      <c r="L1027" s="21">
        <f>(Table2[[#This Row],[H/Pace]]/100)*(VLOOKUP(Table2[[#This Row],[Home/Neutral]],home_lookup,8,FALSE)+VLOOKUP(Table2[[#This Row],[Home/Neutral]],OFR_lookup,2,FALSE)+VLOOKUP(Table2[[#This Row],[Visitor/Neutral]],def_diff_lookup,6,FALSE))</f>
        <v>96.770599791197654</v>
      </c>
      <c r="M1027" s="21"/>
      <c r="N1027" s="21">
        <f>(Table2[[#This Row],[A/Pace]]/100)*(VLOOKUP(Table2[[#This Row],[Visitor/Neutral]],OFR_lookup,2,FALSE)+VLOOKUP(Table2[[#This Row],[Home/Neutral]],def_diff_lookup,6,FALSE))</f>
        <v>93.216238000000004</v>
      </c>
      <c r="O1027" s="21"/>
      <c r="P1027" s="21"/>
      <c r="Q1027">
        <f>VLOOKUP(Table2[[#This Row],[Home/Neutral]],pace_lookup,7,FALSE)</f>
        <v>101.7</v>
      </c>
      <c r="R1027" s="5">
        <f>VLOOKUP(Table2[[#This Row],[Visitor/Neutral]],pace_lookup,7,FALSE)</f>
        <v>94.2</v>
      </c>
      <c r="S1027" s="7"/>
      <c r="U1027" s="15"/>
      <c r="W1027" s="2">
        <f>-home-VLOOKUP(Table2[[#This Row],[Home/Neutral]],rtg_vlookup,4,FALSE)+VLOOKUP(Table2[[#This Row],[Visitor/Neutral]],rtg_vlookup,4,FALSE)</f>
        <v>-5.0286885245901667</v>
      </c>
      <c r="X1027" s="15"/>
      <c r="Y1027" s="2"/>
      <c r="Z1027" s="2">
        <f>Table2[[#This Row],[A/EV]]-Table2[[#This Row],[H/EV]]</f>
        <v>-3.5543617911976497</v>
      </c>
      <c r="AA1027" s="29"/>
      <c r="AB1027" s="30"/>
      <c r="AC1027" s="30"/>
      <c r="AD1027" s="30"/>
      <c r="AE1027" s="30"/>
      <c r="AF1027" s="7" t="b">
        <f>IF(VLOOKUP(Table2[[#This Row],[Home/Neutral]],division_lookup,9,FALSE)=VLOOKUP(Table2[[#This Row],[Visitor/Neutral]],division_lookup,9,FALSE),TRUE,FALSE)</f>
        <v>0</v>
      </c>
      <c r="AG1027" s="15" t="str">
        <f>VLOOKUP(Table2[[#This Row],[Home/Neutral]],division_lookup,9,FALSE)</f>
        <v>P</v>
      </c>
      <c r="AH1027" s="15" t="str">
        <f>IF(Table2[[#This Row],[Total/EV]]&lt;Table2[[#This Row],[Total/V]],"UNDER","OVER")</f>
        <v>OVER</v>
      </c>
      <c r="AI1027" s="26">
        <f>Table2[[#This Row],[SRS/Real]]-Table2[[#This Row],[Spread/V]]</f>
        <v>0</v>
      </c>
      <c r="AJ1027" s="2">
        <f>Table2[[#This Row],[EV/Real]]-Table2[[#This Row],[Spread/V]]</f>
        <v>0</v>
      </c>
      <c r="AK1027" s="2">
        <f>Table2[[#This Row],[SRS/Diff]]-Table2[[#This Row],[EV/Diff]]</f>
        <v>0</v>
      </c>
      <c r="AL1027" s="18">
        <f>Table2[[#This Row],[SRS]]-Table2[[#This Row],[Spread]]</f>
        <v>-5.0286885245901667</v>
      </c>
      <c r="AM1027" s="21">
        <f>Table2[[#This Row],[(A) Err]]^2</f>
        <v>25.287708277344827</v>
      </c>
      <c r="AN1027" s="6">
        <f>Table2[[#This Row],[EV]]-Table2[[#This Row],[Spread]]</f>
        <v>-3.5543617911976497</v>
      </c>
      <c r="AO1027" s="1">
        <f>Table2[[#This Row],[EV Err]]^2</f>
        <v>12.633487742725764</v>
      </c>
      <c r="AP1027" s="1"/>
    </row>
    <row r="1028" spans="1:42" x14ac:dyDescent="0.25">
      <c r="A1028" s="34">
        <v>42812</v>
      </c>
      <c r="B1028" t="s">
        <v>137</v>
      </c>
      <c r="C1028" t="s">
        <v>113</v>
      </c>
      <c r="E1028" s="21"/>
      <c r="G1028" s="21"/>
      <c r="H1028" s="7"/>
      <c r="I1028" s="21"/>
      <c r="K1028"/>
      <c r="L1028" s="21">
        <f>(Table2[[#This Row],[H/Pace]]/100)*(VLOOKUP(Table2[[#This Row],[Home/Neutral]],home_lookup,8,FALSE)+VLOOKUP(Table2[[#This Row],[Home/Neutral]],OFR_lookup,2,FALSE)+VLOOKUP(Table2[[#This Row],[Visitor/Neutral]],def_diff_lookup,6,FALSE))</f>
        <v>107.46493255421871</v>
      </c>
      <c r="M1028" s="21"/>
      <c r="N1028" s="21">
        <f>(Table2[[#This Row],[A/Pace]]/100)*(VLOOKUP(Table2[[#This Row],[Visitor/Neutral]],OFR_lookup,2,FALSE)+VLOOKUP(Table2[[#This Row],[Home/Neutral]],def_diff_lookup,6,FALSE))</f>
        <v>108.75223899999999</v>
      </c>
      <c r="O1028" s="21"/>
      <c r="P1028" s="21"/>
      <c r="Q1028">
        <f>VLOOKUP(Table2[[#This Row],[Home/Neutral]],pace_lookup,7,FALSE)</f>
        <v>96</v>
      </c>
      <c r="R1028" s="5">
        <f>VLOOKUP(Table2[[#This Row],[Visitor/Neutral]],pace_lookup,7,FALSE)</f>
        <v>95.1</v>
      </c>
      <c r="S1028" s="7"/>
      <c r="U1028" s="15"/>
      <c r="W1028" s="2">
        <f>-home-VLOOKUP(Table2[[#This Row],[Home/Neutral]],rtg_vlookup,4,FALSE)+VLOOKUP(Table2[[#This Row],[Visitor/Neutral]],rtg_vlookup,4,FALSE)</f>
        <v>4.8613114754098348</v>
      </c>
      <c r="X1028" s="15"/>
      <c r="Y1028" s="2"/>
      <c r="Z1028" s="2">
        <f>Table2[[#This Row],[A/EV]]-Table2[[#This Row],[H/EV]]</f>
        <v>1.2873064457812831</v>
      </c>
      <c r="AA1028" s="29"/>
      <c r="AB1028" s="30"/>
      <c r="AC1028" s="30"/>
      <c r="AD1028" s="30"/>
      <c r="AE1028" s="30"/>
      <c r="AF1028" s="7" t="b">
        <f>IF(VLOOKUP(Table2[[#This Row],[Home/Neutral]],division_lookup,9,FALSE)=VLOOKUP(Table2[[#This Row],[Visitor/Neutral]],division_lookup,9,FALSE),TRUE,FALSE)</f>
        <v>0</v>
      </c>
      <c r="AG1028" s="15" t="str">
        <f>VLOOKUP(Table2[[#This Row],[Home/Neutral]],division_lookup,9,FALSE)</f>
        <v>SE</v>
      </c>
      <c r="AH1028" s="15" t="str">
        <f>IF(Table2[[#This Row],[Total/EV]]&lt;Table2[[#This Row],[Total/V]],"UNDER","OVER")</f>
        <v>OVER</v>
      </c>
      <c r="AI1028" s="26">
        <f>Table2[[#This Row],[SRS/Real]]-Table2[[#This Row],[Spread/V]]</f>
        <v>0</v>
      </c>
      <c r="AJ1028" s="2">
        <f>Table2[[#This Row],[EV/Real]]-Table2[[#This Row],[Spread/V]]</f>
        <v>0</v>
      </c>
      <c r="AK1028" s="2">
        <f>Table2[[#This Row],[SRS/Diff]]-Table2[[#This Row],[EV/Diff]]</f>
        <v>0</v>
      </c>
      <c r="AL1028" s="18">
        <f>Table2[[#This Row],[SRS]]-Table2[[#This Row],[Spread]]</f>
        <v>4.8613114754098348</v>
      </c>
      <c r="AM1028" s="21">
        <f>Table2[[#This Row],[(A) Err]]^2</f>
        <v>23.632349260951344</v>
      </c>
      <c r="AN1028" s="6">
        <f>Table2[[#This Row],[EV]]-Table2[[#This Row],[Spread]]</f>
        <v>1.2873064457812831</v>
      </c>
      <c r="AO1028" s="1">
        <f>Table2[[#This Row],[EV Err]]^2</f>
        <v>1.6571578853500395</v>
      </c>
      <c r="AP1028" s="1"/>
    </row>
    <row r="1029" spans="1:42" x14ac:dyDescent="0.25">
      <c r="A1029" s="34">
        <v>42813</v>
      </c>
      <c r="B1029" t="s">
        <v>109</v>
      </c>
      <c r="C1029" t="s">
        <v>132</v>
      </c>
      <c r="E1029" s="21"/>
      <c r="G1029" s="21"/>
      <c r="H1029" s="7"/>
      <c r="I1029" s="21"/>
      <c r="K1029"/>
      <c r="L1029" s="21">
        <f>(Table2[[#This Row],[H/Pace]]/100)*(VLOOKUP(Table2[[#This Row],[Home/Neutral]],home_lookup,8,FALSE)+VLOOKUP(Table2[[#This Row],[Home/Neutral]],OFR_lookup,2,FALSE)+VLOOKUP(Table2[[#This Row],[Visitor/Neutral]],def_diff_lookup,6,FALSE))</f>
        <v>105.88128660728638</v>
      </c>
      <c r="M1029" s="21"/>
      <c r="N1029" s="21">
        <f>(Table2[[#This Row],[A/Pace]]/100)*(VLOOKUP(Table2[[#This Row],[Visitor/Neutral]],OFR_lookup,2,FALSE)+VLOOKUP(Table2[[#This Row],[Home/Neutral]],def_diff_lookup,6,FALSE))</f>
        <v>101.63127866666667</v>
      </c>
      <c r="O1029" s="21"/>
      <c r="P1029" s="21"/>
      <c r="Q1029">
        <f>VLOOKUP(Table2[[#This Row],[Home/Neutral]],pace_lookup,7,FALSE)</f>
        <v>99.2</v>
      </c>
      <c r="R1029" s="5">
        <f>VLOOKUP(Table2[[#This Row],[Visitor/Neutral]],pace_lookup,7,FALSE)</f>
        <v>98.8</v>
      </c>
      <c r="S1029" s="7"/>
      <c r="U1029" s="15"/>
      <c r="W1029" s="2">
        <f>-home-VLOOKUP(Table2[[#This Row],[Home/Neutral]],rtg_vlookup,4,FALSE)+VLOOKUP(Table2[[#This Row],[Visitor/Neutral]],rtg_vlookup,4,FALSE)</f>
        <v>-7.4986885245901664</v>
      </c>
      <c r="X1029" s="15"/>
      <c r="Y1029" s="2"/>
      <c r="Z1029" s="2">
        <f>Table2[[#This Row],[A/EV]]-Table2[[#This Row],[H/EV]]</f>
        <v>-4.2500079406197102</v>
      </c>
      <c r="AA1029" s="29"/>
      <c r="AB1029" s="30"/>
      <c r="AC1029" s="30"/>
      <c r="AD1029" s="30"/>
      <c r="AE1029" s="30"/>
      <c r="AF1029" s="7" t="b">
        <f>IF(VLOOKUP(Table2[[#This Row],[Home/Neutral]],division_lookup,9,FALSE)=VLOOKUP(Table2[[#This Row],[Visitor/Neutral]],division_lookup,9,FALSE),TRUE,FALSE)</f>
        <v>0</v>
      </c>
      <c r="AG1029" s="15" t="str">
        <f>VLOOKUP(Table2[[#This Row],[Home/Neutral]],division_lookup,9,FALSE)</f>
        <v>SE</v>
      </c>
      <c r="AH1029" s="15" t="str">
        <f>IF(Table2[[#This Row],[Total/EV]]&lt;Table2[[#This Row],[Total/V]],"UNDER","OVER")</f>
        <v>OVER</v>
      </c>
      <c r="AI1029" s="26">
        <f>Table2[[#This Row],[SRS/Real]]-Table2[[#This Row],[Spread/V]]</f>
        <v>0</v>
      </c>
      <c r="AJ1029" s="2">
        <f>Table2[[#This Row],[EV/Real]]-Table2[[#This Row],[Spread/V]]</f>
        <v>0</v>
      </c>
      <c r="AK1029" s="2">
        <f>Table2[[#This Row],[SRS/Diff]]-Table2[[#This Row],[EV/Diff]]</f>
        <v>0</v>
      </c>
      <c r="AL1029" s="18">
        <f>Table2[[#This Row],[SRS]]-Table2[[#This Row],[Spread]]</f>
        <v>-7.4986885245901664</v>
      </c>
      <c r="AM1029" s="21">
        <f>Table2[[#This Row],[(A) Err]]^2</f>
        <v>56.230329588820247</v>
      </c>
      <c r="AN1029" s="6">
        <f>Table2[[#This Row],[EV]]-Table2[[#This Row],[Spread]]</f>
        <v>-4.2500079406197102</v>
      </c>
      <c r="AO1029" s="1">
        <f>Table2[[#This Row],[EV Err]]^2</f>
        <v>18.06256749533059</v>
      </c>
      <c r="AP1029" s="1"/>
    </row>
    <row r="1030" spans="1:42" x14ac:dyDescent="0.25">
      <c r="A1030" s="34">
        <v>42813</v>
      </c>
      <c r="B1030" t="s">
        <v>113</v>
      </c>
      <c r="C1030" t="s">
        <v>136</v>
      </c>
      <c r="E1030" s="21"/>
      <c r="G1030" s="21"/>
      <c r="H1030" s="7"/>
      <c r="I1030" s="21"/>
      <c r="K1030"/>
      <c r="L1030" s="21">
        <f>(Table2[[#This Row],[H/Pace]]/100)*(VLOOKUP(Table2[[#This Row],[Home/Neutral]],home_lookup,8,FALSE)+VLOOKUP(Table2[[#This Row],[Home/Neutral]],OFR_lookup,2,FALSE)+VLOOKUP(Table2[[#This Row],[Visitor/Neutral]],def_diff_lookup,6,FALSE))</f>
        <v>104.86798388016278</v>
      </c>
      <c r="M1030" s="21"/>
      <c r="N1030" s="21">
        <f>(Table2[[#This Row],[A/Pace]]/100)*(VLOOKUP(Table2[[#This Row],[Visitor/Neutral]],OFR_lookup,2,FALSE)+VLOOKUP(Table2[[#This Row],[Home/Neutral]],def_diff_lookup,6,FALSE))</f>
        <v>96.958584999999999</v>
      </c>
      <c r="O1030" s="21"/>
      <c r="P1030" s="21"/>
      <c r="Q1030">
        <f>VLOOKUP(Table2[[#This Row],[Home/Neutral]],pace_lookup,7,FALSE)</f>
        <v>95.1</v>
      </c>
      <c r="R1030" s="5">
        <f>VLOOKUP(Table2[[#This Row],[Visitor/Neutral]],pace_lookup,7,FALSE)</f>
        <v>91.5</v>
      </c>
      <c r="S1030" s="7"/>
      <c r="U1030" s="15"/>
      <c r="W1030" s="2">
        <f>-home-VLOOKUP(Table2[[#This Row],[Home/Neutral]],rtg_vlookup,4,FALSE)+VLOOKUP(Table2[[#This Row],[Visitor/Neutral]],rtg_vlookup,4,FALSE)</f>
        <v>-3.1786885245901662</v>
      </c>
      <c r="X1030" s="15"/>
      <c r="Y1030" s="2"/>
      <c r="Z1030" s="2">
        <f>Table2[[#This Row],[A/EV]]-Table2[[#This Row],[H/EV]]</f>
        <v>-7.909398880162783</v>
      </c>
      <c r="AA1030" s="29"/>
      <c r="AB1030" s="30"/>
      <c r="AC1030" s="30"/>
      <c r="AD1030" s="30"/>
      <c r="AE1030" s="30"/>
      <c r="AF1030" s="7" t="b">
        <f>IF(VLOOKUP(Table2[[#This Row],[Home/Neutral]],division_lookup,9,FALSE)=VLOOKUP(Table2[[#This Row],[Visitor/Neutral]],division_lookup,9,FALSE),TRUE,FALSE)</f>
        <v>0</v>
      </c>
      <c r="AG1030" s="15" t="str">
        <f>VLOOKUP(Table2[[#This Row],[Home/Neutral]],division_lookup,9,FALSE)</f>
        <v>C</v>
      </c>
      <c r="AH1030" s="15" t="str">
        <f>IF(Table2[[#This Row],[Total/EV]]&lt;Table2[[#This Row],[Total/V]],"UNDER","OVER")</f>
        <v>OVER</v>
      </c>
      <c r="AI1030" s="26">
        <f>Table2[[#This Row],[SRS/Real]]-Table2[[#This Row],[Spread/V]]</f>
        <v>0</v>
      </c>
      <c r="AJ1030" s="2">
        <f>Table2[[#This Row],[EV/Real]]-Table2[[#This Row],[Spread/V]]</f>
        <v>0</v>
      </c>
      <c r="AK1030" s="2">
        <f>Table2[[#This Row],[SRS/Diff]]-Table2[[#This Row],[EV/Diff]]</f>
        <v>0</v>
      </c>
      <c r="AL1030" s="18">
        <f>Table2[[#This Row],[SRS]]-Table2[[#This Row],[Spread]]</f>
        <v>-3.1786885245901662</v>
      </c>
      <c r="AM1030" s="21">
        <f>Table2[[#This Row],[(A) Err]]^2</f>
        <v>10.104060736361207</v>
      </c>
      <c r="AN1030" s="6">
        <f>Table2[[#This Row],[EV]]-Table2[[#This Row],[Spread]]</f>
        <v>-7.909398880162783</v>
      </c>
      <c r="AO1030" s="1">
        <f>Table2[[#This Row],[EV Err]]^2</f>
        <v>62.558590645520283</v>
      </c>
      <c r="AP1030" s="1"/>
    </row>
    <row r="1031" spans="1:42" x14ac:dyDescent="0.25">
      <c r="A1031" s="34">
        <v>42813</v>
      </c>
      <c r="B1031" t="s">
        <v>112</v>
      </c>
      <c r="C1031" t="s">
        <v>137</v>
      </c>
      <c r="E1031" s="21"/>
      <c r="G1031" s="21"/>
      <c r="H1031" s="7"/>
      <c r="I1031" s="21"/>
      <c r="K1031"/>
      <c r="L1031" s="21">
        <f>(Table2[[#This Row],[H/Pace]]/100)*(VLOOKUP(Table2[[#This Row],[Home/Neutral]],home_lookup,8,FALSE)+VLOOKUP(Table2[[#This Row],[Home/Neutral]],OFR_lookup,2,FALSE)+VLOOKUP(Table2[[#This Row],[Visitor/Neutral]],def_diff_lookup,6,FALSE))</f>
        <v>107.59850195313484</v>
      </c>
      <c r="M1031" s="21"/>
      <c r="N1031" s="21">
        <f>(Table2[[#This Row],[A/Pace]]/100)*(VLOOKUP(Table2[[#This Row],[Visitor/Neutral]],OFR_lookup,2,FALSE)+VLOOKUP(Table2[[#This Row],[Home/Neutral]],def_diff_lookup,6,FALSE))</f>
        <v>101.99584</v>
      </c>
      <c r="O1031" s="21"/>
      <c r="P1031" s="21"/>
      <c r="Q1031">
        <f>VLOOKUP(Table2[[#This Row],[Home/Neutral]],pace_lookup,7,FALSE)</f>
        <v>97.4</v>
      </c>
      <c r="R1031" s="5">
        <f>VLOOKUP(Table2[[#This Row],[Visitor/Neutral]],pace_lookup,7,FALSE)</f>
        <v>96</v>
      </c>
      <c r="S1031" s="7"/>
      <c r="U1031" s="15"/>
      <c r="W1031" s="2">
        <f>-home-VLOOKUP(Table2[[#This Row],[Home/Neutral]],rtg_vlookup,4,FALSE)+VLOOKUP(Table2[[#This Row],[Visitor/Neutral]],rtg_vlookup,4,FALSE)</f>
        <v>-7.8086885245901652</v>
      </c>
      <c r="X1031" s="15"/>
      <c r="Y1031" s="2"/>
      <c r="Z1031" s="2">
        <f>Table2[[#This Row],[A/EV]]-Table2[[#This Row],[H/EV]]</f>
        <v>-5.6026619531348416</v>
      </c>
      <c r="AA1031" s="29"/>
      <c r="AB1031" s="30"/>
      <c r="AC1031" s="30"/>
      <c r="AD1031" s="30"/>
      <c r="AE1031" s="30"/>
      <c r="AF1031" s="7" t="b">
        <f>IF(VLOOKUP(Table2[[#This Row],[Home/Neutral]],division_lookup,9,FALSE)=VLOOKUP(Table2[[#This Row],[Visitor/Neutral]],division_lookup,9,FALSE),TRUE,FALSE)</f>
        <v>1</v>
      </c>
      <c r="AG1031" s="15" t="str">
        <f>VLOOKUP(Table2[[#This Row],[Home/Neutral]],division_lookup,9,FALSE)</f>
        <v>SE</v>
      </c>
      <c r="AH1031" s="15" t="str">
        <f>IF(Table2[[#This Row],[Total/EV]]&lt;Table2[[#This Row],[Total/V]],"UNDER","OVER")</f>
        <v>OVER</v>
      </c>
      <c r="AI1031" s="26">
        <f>Table2[[#This Row],[SRS/Real]]-Table2[[#This Row],[Spread/V]]</f>
        <v>0</v>
      </c>
      <c r="AJ1031" s="2">
        <f>Table2[[#This Row],[EV/Real]]-Table2[[#This Row],[Spread/V]]</f>
        <v>0</v>
      </c>
      <c r="AK1031" s="2">
        <f>Table2[[#This Row],[SRS/Diff]]-Table2[[#This Row],[EV/Diff]]</f>
        <v>0</v>
      </c>
      <c r="AL1031" s="18">
        <f>Table2[[#This Row],[SRS]]-Table2[[#This Row],[Spread]]</f>
        <v>-7.8086885245901652</v>
      </c>
      <c r="AM1031" s="21">
        <f>Table2[[#This Row],[(A) Err]]^2</f>
        <v>60.975616474066129</v>
      </c>
      <c r="AN1031" s="6">
        <f>Table2[[#This Row],[EV]]-Table2[[#This Row],[Spread]]</f>
        <v>-5.6026619531348416</v>
      </c>
      <c r="AO1031" s="1">
        <f>Table2[[#This Row],[EV Err]]^2</f>
        <v>31.389820961104718</v>
      </c>
      <c r="AP1031" s="1"/>
    </row>
    <row r="1032" spans="1:42" x14ac:dyDescent="0.25">
      <c r="A1032" s="34">
        <v>42813</v>
      </c>
      <c r="B1032" t="s">
        <v>116</v>
      </c>
      <c r="C1032" t="s">
        <v>119</v>
      </c>
      <c r="E1032" s="21"/>
      <c r="G1032" s="21"/>
      <c r="H1032" s="7"/>
      <c r="I1032" s="21"/>
      <c r="K1032"/>
      <c r="L1032" s="21">
        <f>(Table2[[#This Row],[H/Pace]]/100)*(VLOOKUP(Table2[[#This Row],[Home/Neutral]],home_lookup,8,FALSE)+VLOOKUP(Table2[[#This Row],[Home/Neutral]],OFR_lookup,2,FALSE)+VLOOKUP(Table2[[#This Row],[Visitor/Neutral]],def_diff_lookup,6,FALSE))</f>
        <v>107.61121470161864</v>
      </c>
      <c r="M1032" s="21"/>
      <c r="N1032" s="21">
        <f>(Table2[[#This Row],[A/Pace]]/100)*(VLOOKUP(Table2[[#This Row],[Visitor/Neutral]],OFR_lookup,2,FALSE)+VLOOKUP(Table2[[#This Row],[Home/Neutral]],def_diff_lookup,6,FALSE))</f>
        <v>109.802881</v>
      </c>
      <c r="O1032" s="21"/>
      <c r="P1032" s="21"/>
      <c r="Q1032">
        <f>VLOOKUP(Table2[[#This Row],[Home/Neutral]],pace_lookup,7,FALSE)</f>
        <v>99.1</v>
      </c>
      <c r="R1032" s="5">
        <f>VLOOKUP(Table2[[#This Row],[Visitor/Neutral]],pace_lookup,7,FALSE)</f>
        <v>96.9</v>
      </c>
      <c r="S1032" s="7"/>
      <c r="U1032" s="15"/>
      <c r="W1032" s="2">
        <f>-home-VLOOKUP(Table2[[#This Row],[Home/Neutral]],rtg_vlookup,4,FALSE)+VLOOKUP(Table2[[#This Row],[Visitor/Neutral]],rtg_vlookup,4,FALSE)</f>
        <v>1.6413114754098341</v>
      </c>
      <c r="X1032" s="15"/>
      <c r="Y1032" s="2"/>
      <c r="Z1032" s="2">
        <f>Table2[[#This Row],[A/EV]]-Table2[[#This Row],[H/EV]]</f>
        <v>2.1916662983813637</v>
      </c>
      <c r="AA1032" s="29"/>
      <c r="AB1032" s="30"/>
      <c r="AC1032" s="30"/>
      <c r="AD1032" s="30"/>
      <c r="AE1032" s="30"/>
      <c r="AF1032" s="7" t="b">
        <f>IF(VLOOKUP(Table2[[#This Row],[Home/Neutral]],division_lookup,9,FALSE)=VLOOKUP(Table2[[#This Row],[Visitor/Neutral]],division_lookup,9,FALSE),TRUE,FALSE)</f>
        <v>0</v>
      </c>
      <c r="AG1032" s="15" t="str">
        <f>VLOOKUP(Table2[[#This Row],[Home/Neutral]],division_lookup,9,FALSE)</f>
        <v>NW</v>
      </c>
      <c r="AH1032" s="15" t="str">
        <f>IF(Table2[[#This Row],[Total/EV]]&lt;Table2[[#This Row],[Total/V]],"UNDER","OVER")</f>
        <v>OVER</v>
      </c>
      <c r="AI1032" s="26">
        <f>Table2[[#This Row],[SRS/Real]]-Table2[[#This Row],[Spread/V]]</f>
        <v>0</v>
      </c>
      <c r="AJ1032" s="2">
        <f>Table2[[#This Row],[EV/Real]]-Table2[[#This Row],[Spread/V]]</f>
        <v>0</v>
      </c>
      <c r="AK1032" s="2">
        <f>Table2[[#This Row],[SRS/Diff]]-Table2[[#This Row],[EV/Diff]]</f>
        <v>0</v>
      </c>
      <c r="AL1032" s="18">
        <f>Table2[[#This Row],[SRS]]-Table2[[#This Row],[Spread]]</f>
        <v>1.6413114754098341</v>
      </c>
      <c r="AM1032" s="21">
        <f>Table2[[#This Row],[(A) Err]]^2</f>
        <v>2.6939033593120065</v>
      </c>
      <c r="AN1032" s="6">
        <f>Table2[[#This Row],[EV]]-Table2[[#This Row],[Spread]]</f>
        <v>2.1916662983813637</v>
      </c>
      <c r="AO1032" s="1">
        <f>Table2[[#This Row],[EV Err]]^2</f>
        <v>4.803401163460669</v>
      </c>
      <c r="AP1032" s="1"/>
    </row>
    <row r="1033" spans="1:42" x14ac:dyDescent="0.25">
      <c r="A1033" s="34">
        <v>42813</v>
      </c>
      <c r="B1033" t="s">
        <v>118</v>
      </c>
      <c r="C1033" t="s">
        <v>125</v>
      </c>
      <c r="E1033" s="21"/>
      <c r="G1033" s="21"/>
      <c r="H1033" s="7"/>
      <c r="I1033" s="21"/>
      <c r="K1033"/>
      <c r="L1033" s="21">
        <f>(Table2[[#This Row],[H/Pace]]/100)*(VLOOKUP(Table2[[#This Row],[Home/Neutral]],home_lookup,8,FALSE)+VLOOKUP(Table2[[#This Row],[Home/Neutral]],OFR_lookup,2,FALSE)+VLOOKUP(Table2[[#This Row],[Visitor/Neutral]],def_diff_lookup,6,FALSE))</f>
        <v>116.83079838078237</v>
      </c>
      <c r="M1033" s="21"/>
      <c r="N1033" s="21">
        <f>(Table2[[#This Row],[A/Pace]]/100)*(VLOOKUP(Table2[[#This Row],[Visitor/Neutral]],OFR_lookup,2,FALSE)+VLOOKUP(Table2[[#This Row],[Home/Neutral]],def_diff_lookup,6,FALSE))</f>
        <v>101.00654566666667</v>
      </c>
      <c r="O1033" s="21"/>
      <c r="P1033" s="21"/>
      <c r="Q1033">
        <f>VLOOKUP(Table2[[#This Row],[Home/Neutral]],pace_lookup,7,FALSE)</f>
        <v>100.4</v>
      </c>
      <c r="R1033" s="5">
        <f>VLOOKUP(Table2[[#This Row],[Visitor/Neutral]],pace_lookup,7,FALSE)</f>
        <v>96.1</v>
      </c>
      <c r="S1033" s="7"/>
      <c r="U1033" s="15"/>
      <c r="W1033" s="2">
        <f>-home-VLOOKUP(Table2[[#This Row],[Home/Neutral]],rtg_vlookup,4,FALSE)+VLOOKUP(Table2[[#This Row],[Visitor/Neutral]],rtg_vlookup,4,FALSE)</f>
        <v>-16.678688524590164</v>
      </c>
      <c r="X1033" s="15"/>
      <c r="Y1033" s="2"/>
      <c r="Z1033" s="2">
        <f>Table2[[#This Row],[A/EV]]-Table2[[#This Row],[H/EV]]</f>
        <v>-15.824252714115701</v>
      </c>
      <c r="AA1033" s="29"/>
      <c r="AB1033" s="30"/>
      <c r="AC1033" s="30"/>
      <c r="AD1033" s="30"/>
      <c r="AE1033" s="30"/>
      <c r="AF1033" s="7" t="b">
        <f>IF(VLOOKUP(Table2[[#This Row],[Home/Neutral]],division_lookup,9,FALSE)=VLOOKUP(Table2[[#This Row],[Visitor/Neutral]],division_lookup,9,FALSE),TRUE,FALSE)</f>
        <v>0</v>
      </c>
      <c r="AG1033" s="15" t="str">
        <f>VLOOKUP(Table2[[#This Row],[Home/Neutral]],division_lookup,9,FALSE)</f>
        <v>P</v>
      </c>
      <c r="AH1033" s="15" t="str">
        <f>IF(Table2[[#This Row],[Total/EV]]&lt;Table2[[#This Row],[Total/V]],"UNDER","OVER")</f>
        <v>OVER</v>
      </c>
      <c r="AI1033" s="26">
        <f>Table2[[#This Row],[SRS/Real]]-Table2[[#This Row],[Spread/V]]</f>
        <v>0</v>
      </c>
      <c r="AJ1033" s="2">
        <f>Table2[[#This Row],[EV/Real]]-Table2[[#This Row],[Spread/V]]</f>
        <v>0</v>
      </c>
      <c r="AK1033" s="2">
        <f>Table2[[#This Row],[SRS/Diff]]-Table2[[#This Row],[EV/Diff]]</f>
        <v>0</v>
      </c>
      <c r="AL1033" s="18">
        <f>Table2[[#This Row],[SRS]]-Table2[[#This Row],[Spread]]</f>
        <v>-16.678688524590164</v>
      </c>
      <c r="AM1033" s="21">
        <f>Table2[[#This Row],[(A) Err]]^2</f>
        <v>278.17865090029562</v>
      </c>
      <c r="AN1033" s="6">
        <f>Table2[[#This Row],[EV]]-Table2[[#This Row],[Spread]]</f>
        <v>-15.824252714115701</v>
      </c>
      <c r="AO1033" s="1">
        <f>Table2[[#This Row],[EV Err]]^2</f>
        <v>250.40697396019814</v>
      </c>
      <c r="AP1033" s="1"/>
    </row>
    <row r="1034" spans="1:42" x14ac:dyDescent="0.25">
      <c r="A1034" s="34">
        <v>42813</v>
      </c>
      <c r="B1034" t="s">
        <v>121</v>
      </c>
      <c r="C1034" t="s">
        <v>114</v>
      </c>
      <c r="E1034" s="21"/>
      <c r="G1034" s="21"/>
      <c r="H1034" s="7"/>
      <c r="I1034" s="21"/>
      <c r="K1034"/>
      <c r="L1034" s="21">
        <f>(Table2[[#This Row],[H/Pace]]/100)*(VLOOKUP(Table2[[#This Row],[Home/Neutral]],home_lookup,8,FALSE)+VLOOKUP(Table2[[#This Row],[Home/Neutral]],OFR_lookup,2,FALSE)+VLOOKUP(Table2[[#This Row],[Visitor/Neutral]],def_diff_lookup,6,FALSE))</f>
        <v>113.36948060751253</v>
      </c>
      <c r="M1034" s="21"/>
      <c r="N1034" s="21">
        <f>(Table2[[#This Row],[A/Pace]]/100)*(VLOOKUP(Table2[[#This Row],[Visitor/Neutral]],OFR_lookup,2,FALSE)+VLOOKUP(Table2[[#This Row],[Home/Neutral]],def_diff_lookup,6,FALSE))</f>
        <v>107.51228366666666</v>
      </c>
      <c r="O1034" s="21"/>
      <c r="P1034" s="21"/>
      <c r="Q1034">
        <f>VLOOKUP(Table2[[#This Row],[Home/Neutral]],pace_lookup,7,FALSE)</f>
        <v>96.4</v>
      </c>
      <c r="R1034" s="5">
        <f>VLOOKUP(Table2[[#This Row],[Visitor/Neutral]],pace_lookup,7,FALSE)</f>
        <v>97.3</v>
      </c>
      <c r="S1034" s="7"/>
      <c r="U1034" s="15"/>
      <c r="W1034" s="2">
        <f>-home-VLOOKUP(Table2[[#This Row],[Home/Neutral]],rtg_vlookup,4,FALSE)+VLOOKUP(Table2[[#This Row],[Visitor/Neutral]],rtg_vlookup,4,FALSE)</f>
        <v>-6.8586885245901659</v>
      </c>
      <c r="X1034" s="15"/>
      <c r="Y1034" s="2"/>
      <c r="Z1034" s="2">
        <f>Table2[[#This Row],[A/EV]]-Table2[[#This Row],[H/EV]]</f>
        <v>-5.8571969408458671</v>
      </c>
      <c r="AA1034" s="29"/>
      <c r="AB1034" s="30"/>
      <c r="AC1034" s="30"/>
      <c r="AD1034" s="30"/>
      <c r="AE1034" s="30"/>
      <c r="AF1034" s="7" t="b">
        <f>IF(VLOOKUP(Table2[[#This Row],[Home/Neutral]],division_lookup,9,FALSE)=VLOOKUP(Table2[[#This Row],[Visitor/Neutral]],division_lookup,9,FALSE),TRUE,FALSE)</f>
        <v>0</v>
      </c>
      <c r="AG1034" s="15" t="str">
        <f>VLOOKUP(Table2[[#This Row],[Home/Neutral]],division_lookup,9,FALSE)</f>
        <v>P</v>
      </c>
      <c r="AH1034" s="15" t="str">
        <f>IF(Table2[[#This Row],[Total/EV]]&lt;Table2[[#This Row],[Total/V]],"UNDER","OVER")</f>
        <v>OVER</v>
      </c>
      <c r="AI1034" s="26">
        <f>Table2[[#This Row],[SRS/Real]]-Table2[[#This Row],[Spread/V]]</f>
        <v>0</v>
      </c>
      <c r="AJ1034" s="2">
        <f>Table2[[#This Row],[EV/Real]]-Table2[[#This Row],[Spread/V]]</f>
        <v>0</v>
      </c>
      <c r="AK1034" s="2">
        <f>Table2[[#This Row],[SRS/Diff]]-Table2[[#This Row],[EV/Diff]]</f>
        <v>0</v>
      </c>
      <c r="AL1034" s="18">
        <f>Table2[[#This Row],[SRS]]-Table2[[#This Row],[Spread]]</f>
        <v>-6.8586885245901659</v>
      </c>
      <c r="AM1034" s="21">
        <f>Table2[[#This Row],[(A) Err]]^2</f>
        <v>47.041608277344828</v>
      </c>
      <c r="AN1034" s="6">
        <f>Table2[[#This Row],[EV]]-Table2[[#This Row],[Spread]]</f>
        <v>-5.8571969408458671</v>
      </c>
      <c r="AO1034" s="1">
        <f>Table2[[#This Row],[EV Err]]^2</f>
        <v>34.306756003854183</v>
      </c>
      <c r="AP1034" s="1"/>
    </row>
    <row r="1035" spans="1:42" x14ac:dyDescent="0.25">
      <c r="A1035" s="34">
        <v>42813</v>
      </c>
      <c r="B1035" t="s">
        <v>123</v>
      </c>
      <c r="C1035" t="s">
        <v>134</v>
      </c>
      <c r="E1035" s="21"/>
      <c r="G1035" s="21"/>
      <c r="H1035" s="7"/>
      <c r="I1035" s="21"/>
      <c r="K1035"/>
      <c r="L1035" s="21">
        <f>(Table2[[#This Row],[H/Pace]]/100)*(VLOOKUP(Table2[[#This Row],[Home/Neutral]],home_lookup,8,FALSE)+VLOOKUP(Table2[[#This Row],[Home/Neutral]],OFR_lookup,2,FALSE)+VLOOKUP(Table2[[#This Row],[Visitor/Neutral]],def_diff_lookup,6,FALSE))</f>
        <v>100.49592709563919</v>
      </c>
      <c r="M1035" s="21"/>
      <c r="N1035" s="21">
        <f>(Table2[[#This Row],[A/Pace]]/100)*(VLOOKUP(Table2[[#This Row],[Visitor/Neutral]],OFR_lookup,2,FALSE)+VLOOKUP(Table2[[#This Row],[Home/Neutral]],def_diff_lookup,6,FALSE))</f>
        <v>101.93271266666666</v>
      </c>
      <c r="O1035" s="21"/>
      <c r="P1035" s="21"/>
      <c r="Q1035">
        <f>VLOOKUP(Table2[[#This Row],[Home/Neutral]],pace_lookup,7,FALSE)</f>
        <v>92.5</v>
      </c>
      <c r="R1035" s="5">
        <f>VLOOKUP(Table2[[#This Row],[Visitor/Neutral]],pace_lookup,7,FALSE)</f>
        <v>93.4</v>
      </c>
      <c r="S1035" s="7"/>
      <c r="U1035" s="15"/>
      <c r="W1035" s="2">
        <f>-home-VLOOKUP(Table2[[#This Row],[Home/Neutral]],rtg_vlookup,4,FALSE)+VLOOKUP(Table2[[#This Row],[Visitor/Neutral]],rtg_vlookup,4,FALSE)</f>
        <v>3.9313114754098337</v>
      </c>
      <c r="X1035" s="15"/>
      <c r="Y1035" s="2"/>
      <c r="Z1035" s="2">
        <f>Table2[[#This Row],[A/EV]]-Table2[[#This Row],[H/EV]]</f>
        <v>1.4367855710274711</v>
      </c>
      <c r="AA1035" s="29"/>
      <c r="AB1035" s="30"/>
      <c r="AC1035" s="30"/>
      <c r="AD1035" s="30"/>
      <c r="AE1035" s="30"/>
      <c r="AF1035" s="7" t="b">
        <f>IF(VLOOKUP(Table2[[#This Row],[Home/Neutral]],division_lookup,9,FALSE)=VLOOKUP(Table2[[#This Row],[Visitor/Neutral]],division_lookup,9,FALSE),TRUE,FALSE)</f>
        <v>1</v>
      </c>
      <c r="AG1035" s="15" t="str">
        <f>VLOOKUP(Table2[[#This Row],[Home/Neutral]],division_lookup,9,FALSE)</f>
        <v>SW</v>
      </c>
      <c r="AH1035" s="15" t="str">
        <f>IF(Table2[[#This Row],[Total/EV]]&lt;Table2[[#This Row],[Total/V]],"UNDER","OVER")</f>
        <v>OVER</v>
      </c>
      <c r="AI1035" s="26">
        <f>Table2[[#This Row],[SRS/Real]]-Table2[[#This Row],[Spread/V]]</f>
        <v>0</v>
      </c>
      <c r="AJ1035" s="2">
        <f>Table2[[#This Row],[EV/Real]]-Table2[[#This Row],[Spread/V]]</f>
        <v>0</v>
      </c>
      <c r="AK1035" s="2">
        <f>Table2[[#This Row],[SRS/Diff]]-Table2[[#This Row],[EV/Diff]]</f>
        <v>0</v>
      </c>
      <c r="AL1035" s="18">
        <f>Table2[[#This Row],[SRS]]-Table2[[#This Row],[Spread]]</f>
        <v>3.9313114754098337</v>
      </c>
      <c r="AM1035" s="21">
        <f>Table2[[#This Row],[(A) Err]]^2</f>
        <v>15.455209916689043</v>
      </c>
      <c r="AN1035" s="6">
        <f>Table2[[#This Row],[EV]]-Table2[[#This Row],[Spread]]</f>
        <v>1.4367855710274711</v>
      </c>
      <c r="AO1035" s="1">
        <f>Table2[[#This Row],[EV Err]]^2</f>
        <v>2.0643527771127359</v>
      </c>
      <c r="AP1035" s="1"/>
    </row>
    <row r="1036" spans="1:42" x14ac:dyDescent="0.25">
      <c r="A1036" s="34">
        <v>42813</v>
      </c>
      <c r="B1036" t="s">
        <v>129</v>
      </c>
      <c r="C1036" t="s">
        <v>133</v>
      </c>
      <c r="E1036" s="21"/>
      <c r="G1036" s="21"/>
      <c r="H1036" s="7"/>
      <c r="I1036" s="21"/>
      <c r="K1036"/>
      <c r="L1036" s="21">
        <f>(Table2[[#This Row],[H/Pace]]/100)*(VLOOKUP(Table2[[#This Row],[Home/Neutral]],home_lookup,8,FALSE)+VLOOKUP(Table2[[#This Row],[Home/Neutral]],OFR_lookup,2,FALSE)+VLOOKUP(Table2[[#This Row],[Visitor/Neutral]],def_diff_lookup,6,FALSE))</f>
        <v>110.61890376890108</v>
      </c>
      <c r="M1036" s="21"/>
      <c r="N1036" s="21">
        <f>(Table2[[#This Row],[A/Pace]]/100)*(VLOOKUP(Table2[[#This Row],[Visitor/Neutral]],OFR_lookup,2,FALSE)+VLOOKUP(Table2[[#This Row],[Home/Neutral]],def_diff_lookup,6,FALSE))</f>
        <v>99.904438000000013</v>
      </c>
      <c r="O1036" s="21"/>
      <c r="P1036" s="21"/>
      <c r="Q1036">
        <f>VLOOKUP(Table2[[#This Row],[Home/Neutral]],pace_lookup,7,FALSE)</f>
        <v>99</v>
      </c>
      <c r="R1036" s="5">
        <f>VLOOKUP(Table2[[#This Row],[Visitor/Neutral]],pace_lookup,7,FALSE)</f>
        <v>94.2</v>
      </c>
      <c r="S1036" s="7"/>
      <c r="U1036" s="15"/>
      <c r="W1036" s="2">
        <f>-home-VLOOKUP(Table2[[#This Row],[Home/Neutral]],rtg_vlookup,4,FALSE)+VLOOKUP(Table2[[#This Row],[Visitor/Neutral]],rtg_vlookup,4,FALSE)</f>
        <v>-6.2086885245901655</v>
      </c>
      <c r="X1036" s="15"/>
      <c r="Y1036" s="2"/>
      <c r="Z1036" s="2">
        <f>Table2[[#This Row],[A/EV]]-Table2[[#This Row],[H/EV]]</f>
        <v>-10.714465768901064</v>
      </c>
      <c r="AA1036" s="29"/>
      <c r="AB1036" s="30"/>
      <c r="AC1036" s="30"/>
      <c r="AD1036" s="30"/>
      <c r="AE1036" s="30"/>
      <c r="AF1036" s="7" t="b">
        <f>IF(VLOOKUP(Table2[[#This Row],[Home/Neutral]],division_lookup,9,FALSE)=VLOOKUP(Table2[[#This Row],[Visitor/Neutral]],division_lookup,9,FALSE),TRUE,FALSE)</f>
        <v>0</v>
      </c>
      <c r="AG1036" s="15" t="str">
        <f>VLOOKUP(Table2[[#This Row],[Home/Neutral]],division_lookup,9,FALSE)</f>
        <v>NW</v>
      </c>
      <c r="AH1036" s="15" t="str">
        <f>IF(Table2[[#This Row],[Total/EV]]&lt;Table2[[#This Row],[Total/V]],"UNDER","OVER")</f>
        <v>OVER</v>
      </c>
      <c r="AI1036" s="26">
        <f>Table2[[#This Row],[SRS/Real]]-Table2[[#This Row],[Spread/V]]</f>
        <v>0</v>
      </c>
      <c r="AJ1036" s="2">
        <f>Table2[[#This Row],[EV/Real]]-Table2[[#This Row],[Spread/V]]</f>
        <v>0</v>
      </c>
      <c r="AK1036" s="2">
        <f>Table2[[#This Row],[SRS/Diff]]-Table2[[#This Row],[EV/Diff]]</f>
        <v>0</v>
      </c>
      <c r="AL1036" s="18">
        <f>Table2[[#This Row],[SRS]]-Table2[[#This Row],[Spread]]</f>
        <v>-6.2086885245901655</v>
      </c>
      <c r="AM1036" s="21">
        <f>Table2[[#This Row],[(A) Err]]^2</f>
        <v>38.547813195377607</v>
      </c>
      <c r="AN1036" s="6">
        <f>Table2[[#This Row],[EV]]-Table2[[#This Row],[Spread]]</f>
        <v>-10.714465768901064</v>
      </c>
      <c r="AO1036" s="1">
        <f>Table2[[#This Row],[EV Err]]^2</f>
        <v>114.79977671295268</v>
      </c>
      <c r="AP1036" s="1"/>
    </row>
    <row r="1037" spans="1:42" x14ac:dyDescent="0.25">
      <c r="A1037" s="34">
        <v>42814</v>
      </c>
      <c r="B1037" t="s">
        <v>111</v>
      </c>
      <c r="C1037" t="s">
        <v>115</v>
      </c>
      <c r="E1037" s="21"/>
      <c r="G1037" s="21"/>
      <c r="H1037" s="7"/>
      <c r="I1037" s="21"/>
      <c r="K1037"/>
      <c r="L1037" s="21">
        <f>(Table2[[#This Row],[H/Pace]]/100)*(VLOOKUP(Table2[[#This Row],[Home/Neutral]],home_lookup,8,FALSE)+VLOOKUP(Table2[[#This Row],[Home/Neutral]],OFR_lookup,2,FALSE)+VLOOKUP(Table2[[#This Row],[Visitor/Neutral]],def_diff_lookup,6,FALSE))</f>
        <v>99.467218327716353</v>
      </c>
      <c r="M1037" s="21"/>
      <c r="N1037" s="21">
        <f>(Table2[[#This Row],[A/Pace]]/100)*(VLOOKUP(Table2[[#This Row],[Visitor/Neutral]],OFR_lookup,2,FALSE)+VLOOKUP(Table2[[#This Row],[Home/Neutral]],def_diff_lookup,6,FALSE))</f>
        <v>94.187284333333338</v>
      </c>
      <c r="O1037" s="21"/>
      <c r="P1037" s="21"/>
      <c r="Q1037">
        <f>VLOOKUP(Table2[[#This Row],[Home/Neutral]],pace_lookup,7,FALSE)</f>
        <v>102</v>
      </c>
      <c r="R1037" s="5">
        <f>VLOOKUP(Table2[[#This Row],[Visitor/Neutral]],pace_lookup,7,FALSE)</f>
        <v>92.9</v>
      </c>
      <c r="S1037" s="7"/>
      <c r="U1037" s="15"/>
      <c r="W1037" s="2">
        <f>-home-VLOOKUP(Table2[[#This Row],[Home/Neutral]],rtg_vlookup,4,FALSE)+VLOOKUP(Table2[[#This Row],[Visitor/Neutral]],rtg_vlookup,4,FALSE)</f>
        <v>-2.8586885245901659</v>
      </c>
      <c r="X1037" s="15"/>
      <c r="Y1037" s="2"/>
      <c r="Z1037" s="2">
        <f>Table2[[#This Row],[A/EV]]-Table2[[#This Row],[H/EV]]</f>
        <v>-5.2799339943830148</v>
      </c>
      <c r="AA1037" s="29"/>
      <c r="AB1037" s="30"/>
      <c r="AC1037" s="30"/>
      <c r="AD1037" s="30"/>
      <c r="AE1037" s="30"/>
      <c r="AF1037" s="7" t="b">
        <f>IF(VLOOKUP(Table2[[#This Row],[Home/Neutral]],division_lookup,9,FALSE)=VLOOKUP(Table2[[#This Row],[Visitor/Neutral]],division_lookup,9,FALSE),TRUE,FALSE)</f>
        <v>0</v>
      </c>
      <c r="AG1037" s="15" t="str">
        <f>VLOOKUP(Table2[[#This Row],[Home/Neutral]],division_lookup,9,FALSE)</f>
        <v>A</v>
      </c>
      <c r="AH1037" s="15" t="str">
        <f>IF(Table2[[#This Row],[Total/EV]]&lt;Table2[[#This Row],[Total/V]],"UNDER","OVER")</f>
        <v>OVER</v>
      </c>
      <c r="AI1037" s="26">
        <f>Table2[[#This Row],[SRS/Real]]-Table2[[#This Row],[Spread/V]]</f>
        <v>0</v>
      </c>
      <c r="AJ1037" s="2">
        <f>Table2[[#This Row],[EV/Real]]-Table2[[#This Row],[Spread/V]]</f>
        <v>0</v>
      </c>
      <c r="AK1037" s="2">
        <f>Table2[[#This Row],[SRS/Diff]]-Table2[[#This Row],[EV/Diff]]</f>
        <v>0</v>
      </c>
      <c r="AL1037" s="18">
        <f>Table2[[#This Row],[SRS]]-Table2[[#This Row],[Spread]]</f>
        <v>-2.8586885245901659</v>
      </c>
      <c r="AM1037" s="21">
        <f>Table2[[#This Row],[(A) Err]]^2</f>
        <v>8.1721000806234994</v>
      </c>
      <c r="AN1037" s="6">
        <f>Table2[[#This Row],[EV]]-Table2[[#This Row],[Spread]]</f>
        <v>-5.2799339943830148</v>
      </c>
      <c r="AO1037" s="1">
        <f>Table2[[#This Row],[EV Err]]^2</f>
        <v>27.877702985041378</v>
      </c>
      <c r="AP1037" s="1"/>
    </row>
    <row r="1038" spans="1:42" x14ac:dyDescent="0.25">
      <c r="A1038" s="34">
        <v>42814</v>
      </c>
      <c r="B1038" t="s">
        <v>117</v>
      </c>
      <c r="C1038" t="s">
        <v>131</v>
      </c>
      <c r="E1038" s="21"/>
      <c r="G1038" s="21"/>
      <c r="H1038" s="7"/>
      <c r="I1038" s="21"/>
      <c r="K1038"/>
      <c r="L1038" s="21">
        <f>(Table2[[#This Row],[H/Pace]]/100)*(VLOOKUP(Table2[[#This Row],[Home/Neutral]],home_lookup,8,FALSE)+VLOOKUP(Table2[[#This Row],[Home/Neutral]],OFR_lookup,2,FALSE)+VLOOKUP(Table2[[#This Row],[Visitor/Neutral]],def_diff_lookup,6,FALSE))</f>
        <v>113.29879591446429</v>
      </c>
      <c r="M1038" s="21"/>
      <c r="N1038" s="21">
        <f>(Table2[[#This Row],[A/Pace]]/100)*(VLOOKUP(Table2[[#This Row],[Visitor/Neutral]],OFR_lookup,2,FALSE)+VLOOKUP(Table2[[#This Row],[Home/Neutral]],def_diff_lookup,6,FALSE))</f>
        <v>99.163263000000001</v>
      </c>
      <c r="O1038" s="21"/>
      <c r="P1038" s="21"/>
      <c r="Q1038">
        <f>VLOOKUP(Table2[[#This Row],[Home/Neutral]],pace_lookup,7,FALSE)</f>
        <v>94</v>
      </c>
      <c r="R1038" s="5">
        <f>VLOOKUP(Table2[[#This Row],[Visitor/Neutral]],pace_lookup,7,FALSE)</f>
        <v>101.7</v>
      </c>
      <c r="S1038" s="7"/>
      <c r="U1038" s="15"/>
      <c r="W1038" s="2">
        <f>-home-VLOOKUP(Table2[[#This Row],[Home/Neutral]],rtg_vlookup,4,FALSE)+VLOOKUP(Table2[[#This Row],[Visitor/Neutral]],rtg_vlookup,4,FALSE)</f>
        <v>-10.728688524590165</v>
      </c>
      <c r="X1038" s="15"/>
      <c r="Y1038" s="2"/>
      <c r="Z1038" s="2">
        <f>Table2[[#This Row],[A/EV]]-Table2[[#This Row],[H/EV]]</f>
        <v>-14.135532914464292</v>
      </c>
      <c r="AA1038" s="29"/>
      <c r="AB1038" s="30"/>
      <c r="AC1038" s="30"/>
      <c r="AD1038" s="30"/>
      <c r="AE1038" s="30"/>
      <c r="AF1038" s="7" t="b">
        <f>IF(VLOOKUP(Table2[[#This Row],[Home/Neutral]],division_lookup,9,FALSE)=VLOOKUP(Table2[[#This Row],[Visitor/Neutral]],division_lookup,9,FALSE),TRUE,FALSE)</f>
        <v>0</v>
      </c>
      <c r="AG1038" s="15" t="str">
        <f>VLOOKUP(Table2[[#This Row],[Home/Neutral]],division_lookup,9,FALSE)</f>
        <v>C</v>
      </c>
      <c r="AH1038" s="15" t="str">
        <f>IF(Table2[[#This Row],[Total/EV]]&lt;Table2[[#This Row],[Total/V]],"UNDER","OVER")</f>
        <v>OVER</v>
      </c>
      <c r="AI1038" s="26">
        <f>Table2[[#This Row],[SRS/Real]]-Table2[[#This Row],[Spread/V]]</f>
        <v>0</v>
      </c>
      <c r="AJ1038" s="2">
        <f>Table2[[#This Row],[EV/Real]]-Table2[[#This Row],[Spread/V]]</f>
        <v>0</v>
      </c>
      <c r="AK1038" s="2">
        <f>Table2[[#This Row],[SRS/Diff]]-Table2[[#This Row],[EV/Diff]]</f>
        <v>0</v>
      </c>
      <c r="AL1038" s="18">
        <f>Table2[[#This Row],[SRS]]-Table2[[#This Row],[Spread]]</f>
        <v>-10.728688524590165</v>
      </c>
      <c r="AM1038" s="21">
        <f>Table2[[#This Row],[(A) Err]]^2</f>
        <v>115.10475745767269</v>
      </c>
      <c r="AN1038" s="6">
        <f>Table2[[#This Row],[EV]]-Table2[[#This Row],[Spread]]</f>
        <v>-14.135532914464292</v>
      </c>
      <c r="AO1038" s="1">
        <f>Table2[[#This Row],[EV Err]]^2</f>
        <v>199.81329077590337</v>
      </c>
      <c r="AP1038" s="1"/>
    </row>
    <row r="1039" spans="1:42" x14ac:dyDescent="0.25">
      <c r="A1039" s="34">
        <v>42814</v>
      </c>
      <c r="B1039" t="s">
        <v>122</v>
      </c>
      <c r="C1039" t="s">
        <v>114</v>
      </c>
      <c r="E1039" s="21"/>
      <c r="G1039" s="21"/>
      <c r="H1039" s="7"/>
      <c r="I1039" s="21"/>
      <c r="K1039"/>
      <c r="L1039" s="21">
        <f>(Table2[[#This Row],[H/Pace]]/100)*(VLOOKUP(Table2[[#This Row],[Home/Neutral]],home_lookup,8,FALSE)+VLOOKUP(Table2[[#This Row],[Home/Neutral]],OFR_lookup,2,FALSE)+VLOOKUP(Table2[[#This Row],[Visitor/Neutral]],def_diff_lookup,6,FALSE))</f>
        <v>109.27692832744732</v>
      </c>
      <c r="M1039" s="21"/>
      <c r="N1039" s="21">
        <f>(Table2[[#This Row],[A/Pace]]/100)*(VLOOKUP(Table2[[#This Row],[Visitor/Neutral]],OFR_lookup,2,FALSE)+VLOOKUP(Table2[[#This Row],[Home/Neutral]],def_diff_lookup,6,FALSE))</f>
        <v>116.11360366666665</v>
      </c>
      <c r="O1039" s="21"/>
      <c r="P1039" s="21"/>
      <c r="Q1039">
        <f>VLOOKUP(Table2[[#This Row],[Home/Neutral]],pace_lookup,7,FALSE)</f>
        <v>100.2</v>
      </c>
      <c r="R1039" s="5">
        <f>VLOOKUP(Table2[[#This Row],[Visitor/Neutral]],pace_lookup,7,FALSE)</f>
        <v>97.3</v>
      </c>
      <c r="S1039" s="7"/>
      <c r="U1039" s="15"/>
      <c r="W1039" s="2">
        <f>-home-VLOOKUP(Table2[[#This Row],[Home/Neutral]],rtg_vlookup,4,FALSE)+VLOOKUP(Table2[[#This Row],[Visitor/Neutral]],rtg_vlookup,4,FALSE)</f>
        <v>8.1213114754098346</v>
      </c>
      <c r="X1039" s="15"/>
      <c r="Y1039" s="2"/>
      <c r="Z1039" s="2">
        <f>Table2[[#This Row],[A/EV]]-Table2[[#This Row],[H/EV]]</f>
        <v>6.836675339219326</v>
      </c>
      <c r="AA1039" s="29"/>
      <c r="AB1039" s="30"/>
      <c r="AC1039" s="30"/>
      <c r="AD1039" s="30"/>
      <c r="AE1039" s="30"/>
      <c r="AF1039" s="7" t="b">
        <f>IF(VLOOKUP(Table2[[#This Row],[Home/Neutral]],division_lookup,9,FALSE)=VLOOKUP(Table2[[#This Row],[Visitor/Neutral]],division_lookup,9,FALSE),TRUE,FALSE)</f>
        <v>0</v>
      </c>
      <c r="AG1039" s="15" t="str">
        <f>VLOOKUP(Table2[[#This Row],[Home/Neutral]],division_lookup,9,FALSE)</f>
        <v>P</v>
      </c>
      <c r="AH1039" s="15" t="str">
        <f>IF(Table2[[#This Row],[Total/EV]]&lt;Table2[[#This Row],[Total/V]],"UNDER","OVER")</f>
        <v>OVER</v>
      </c>
      <c r="AI1039" s="26">
        <f>Table2[[#This Row],[SRS/Real]]-Table2[[#This Row],[Spread/V]]</f>
        <v>0</v>
      </c>
      <c r="AJ1039" s="2">
        <f>Table2[[#This Row],[EV/Real]]-Table2[[#This Row],[Spread/V]]</f>
        <v>0</v>
      </c>
      <c r="AK1039" s="2">
        <f>Table2[[#This Row],[SRS/Diff]]-Table2[[#This Row],[EV/Diff]]</f>
        <v>0</v>
      </c>
      <c r="AL1039" s="18">
        <f>Table2[[#This Row],[SRS]]-Table2[[#This Row],[Spread]]</f>
        <v>8.1213114754098346</v>
      </c>
      <c r="AM1039" s="21">
        <f>Table2[[#This Row],[(A) Err]]^2</f>
        <v>65.955700080623458</v>
      </c>
      <c r="AN1039" s="6">
        <f>Table2[[#This Row],[EV]]-Table2[[#This Row],[Spread]]</f>
        <v>6.836675339219326</v>
      </c>
      <c r="AO1039" s="1">
        <f>Table2[[#This Row],[EV Err]]^2</f>
        <v>46.740129693889685</v>
      </c>
      <c r="AP1039" s="1"/>
    </row>
    <row r="1040" spans="1:42" x14ac:dyDescent="0.25">
      <c r="A1040" s="34">
        <v>42814</v>
      </c>
      <c r="B1040" t="s">
        <v>124</v>
      </c>
      <c r="C1040" t="s">
        <v>132</v>
      </c>
      <c r="E1040" s="21"/>
      <c r="G1040" s="21"/>
      <c r="H1040" s="7"/>
      <c r="I1040" s="21"/>
      <c r="K1040"/>
      <c r="L1040" s="21">
        <f>(Table2[[#This Row],[H/Pace]]/100)*(VLOOKUP(Table2[[#This Row],[Home/Neutral]],home_lookup,8,FALSE)+VLOOKUP(Table2[[#This Row],[Home/Neutral]],OFR_lookup,2,FALSE)+VLOOKUP(Table2[[#This Row],[Visitor/Neutral]],def_diff_lookup,6,FALSE))</f>
        <v>106.36417517723557</v>
      </c>
      <c r="M1040" s="21"/>
      <c r="N1040" s="21">
        <f>(Table2[[#This Row],[A/Pace]]/100)*(VLOOKUP(Table2[[#This Row],[Visitor/Neutral]],OFR_lookup,2,FALSE)+VLOOKUP(Table2[[#This Row],[Home/Neutral]],def_diff_lookup,6,FALSE))</f>
        <v>106.23535866666667</v>
      </c>
      <c r="O1040" s="21"/>
      <c r="P1040" s="21"/>
      <c r="Q1040">
        <f>VLOOKUP(Table2[[#This Row],[Home/Neutral]],pace_lookup,7,FALSE)</f>
        <v>93.7</v>
      </c>
      <c r="R1040" s="5">
        <f>VLOOKUP(Table2[[#This Row],[Visitor/Neutral]],pace_lookup,7,FALSE)</f>
        <v>98.8</v>
      </c>
      <c r="S1040" s="7"/>
      <c r="U1040" s="15"/>
      <c r="W1040" s="2">
        <f>-home-VLOOKUP(Table2[[#This Row],[Home/Neutral]],rtg_vlookup,4,FALSE)+VLOOKUP(Table2[[#This Row],[Visitor/Neutral]],rtg_vlookup,4,FALSE)</f>
        <v>-4.018688524590166</v>
      </c>
      <c r="X1040" s="15"/>
      <c r="Y1040" s="2"/>
      <c r="Z1040" s="2">
        <f>Table2[[#This Row],[A/EV]]-Table2[[#This Row],[H/EV]]</f>
        <v>-0.12881651056889609</v>
      </c>
      <c r="AA1040" s="29"/>
      <c r="AB1040" s="30"/>
      <c r="AC1040" s="30"/>
      <c r="AD1040" s="30"/>
      <c r="AE1040" s="30"/>
      <c r="AF1040" s="7" t="b">
        <f>IF(VLOOKUP(Table2[[#This Row],[Home/Neutral]],division_lookup,9,FALSE)=VLOOKUP(Table2[[#This Row],[Visitor/Neutral]],division_lookup,9,FALSE),TRUE,FALSE)</f>
        <v>0</v>
      </c>
      <c r="AG1040" s="15" t="str">
        <f>VLOOKUP(Table2[[#This Row],[Home/Neutral]],division_lookup,9,FALSE)</f>
        <v>SE</v>
      </c>
      <c r="AH1040" s="15" t="str">
        <f>IF(Table2[[#This Row],[Total/EV]]&lt;Table2[[#This Row],[Total/V]],"UNDER","OVER")</f>
        <v>OVER</v>
      </c>
      <c r="AI1040" s="26">
        <f>Table2[[#This Row],[SRS/Real]]-Table2[[#This Row],[Spread/V]]</f>
        <v>0</v>
      </c>
      <c r="AJ1040" s="2">
        <f>Table2[[#This Row],[EV/Real]]-Table2[[#This Row],[Spread/V]]</f>
        <v>0</v>
      </c>
      <c r="AK1040" s="2">
        <f>Table2[[#This Row],[SRS/Diff]]-Table2[[#This Row],[EV/Diff]]</f>
        <v>0</v>
      </c>
      <c r="AL1040" s="18">
        <f>Table2[[#This Row],[SRS]]-Table2[[#This Row],[Spread]]</f>
        <v>-4.018688524590166</v>
      </c>
      <c r="AM1040" s="21">
        <f>Table2[[#This Row],[(A) Err]]^2</f>
        <v>16.149857457672685</v>
      </c>
      <c r="AN1040" s="6">
        <f>Table2[[#This Row],[EV]]-Table2[[#This Row],[Spread]]</f>
        <v>-0.12881651056889609</v>
      </c>
      <c r="AO1040" s="1">
        <f>Table2[[#This Row],[EV Err]]^2</f>
        <v>1.6593693395146519E-2</v>
      </c>
      <c r="AP1040" s="1"/>
    </row>
    <row r="1041" spans="1:42" x14ac:dyDescent="0.25">
      <c r="A1041" s="34">
        <v>42814</v>
      </c>
      <c r="B1041" t="s">
        <v>127</v>
      </c>
      <c r="C1041" t="s">
        <v>126</v>
      </c>
      <c r="E1041" s="21"/>
      <c r="G1041" s="21"/>
      <c r="H1041" s="7"/>
      <c r="I1041" s="21"/>
      <c r="K1041"/>
      <c r="L1041" s="21">
        <f>(Table2[[#This Row],[H/Pace]]/100)*(VLOOKUP(Table2[[#This Row],[Home/Neutral]],home_lookup,8,FALSE)+VLOOKUP(Table2[[#This Row],[Home/Neutral]],OFR_lookup,2,FALSE)+VLOOKUP(Table2[[#This Row],[Visitor/Neutral]],def_diff_lookup,6,FALSE))</f>
        <v>105.86703493743047</v>
      </c>
      <c r="M1041" s="21"/>
      <c r="N1041" s="21">
        <f>(Table2[[#This Row],[A/Pace]]/100)*(VLOOKUP(Table2[[#This Row],[Visitor/Neutral]],OFR_lookup,2,FALSE)+VLOOKUP(Table2[[#This Row],[Home/Neutral]],def_diff_lookup,6,FALSE))</f>
        <v>102.75851300000001</v>
      </c>
      <c r="O1041" s="21"/>
      <c r="P1041" s="21"/>
      <c r="Q1041">
        <f>VLOOKUP(Table2[[#This Row],[Home/Neutral]],pace_lookup,7,FALSE)</f>
        <v>99.3</v>
      </c>
      <c r="R1041" s="5">
        <f>VLOOKUP(Table2[[#This Row],[Visitor/Neutral]],pace_lookup,7,FALSE)</f>
        <v>95.7</v>
      </c>
      <c r="S1041" s="7"/>
      <c r="U1041" s="15"/>
      <c r="W1041" s="2">
        <f>-home-VLOOKUP(Table2[[#This Row],[Home/Neutral]],rtg_vlookup,4,FALSE)+VLOOKUP(Table2[[#This Row],[Visitor/Neutral]],rtg_vlookup,4,FALSE)</f>
        <v>-1.2986885245901656</v>
      </c>
      <c r="X1041" s="15"/>
      <c r="Y1041" s="2"/>
      <c r="Z1041" s="2">
        <f>Table2[[#This Row],[A/EV]]-Table2[[#This Row],[H/EV]]</f>
        <v>-3.1085219374304671</v>
      </c>
      <c r="AA1041" s="29"/>
      <c r="AB1041" s="30"/>
      <c r="AC1041" s="30"/>
      <c r="AD1041" s="30"/>
      <c r="AE1041" s="30"/>
      <c r="AF1041" s="7" t="b">
        <f>IF(VLOOKUP(Table2[[#This Row],[Home/Neutral]],division_lookup,9,FALSE)=VLOOKUP(Table2[[#This Row],[Visitor/Neutral]],division_lookup,9,FALSE),TRUE,FALSE)</f>
        <v>0</v>
      </c>
      <c r="AG1041" s="15" t="str">
        <f>VLOOKUP(Table2[[#This Row],[Home/Neutral]],division_lookup,9,FALSE)</f>
        <v>SW</v>
      </c>
      <c r="AH1041" s="15" t="str">
        <f>IF(Table2[[#This Row],[Total/EV]]&lt;Table2[[#This Row],[Total/V]],"UNDER","OVER")</f>
        <v>OVER</v>
      </c>
      <c r="AI1041" s="26">
        <f>Table2[[#This Row],[SRS/Real]]-Table2[[#This Row],[Spread/V]]</f>
        <v>0</v>
      </c>
      <c r="AJ1041" s="2">
        <f>Table2[[#This Row],[EV/Real]]-Table2[[#This Row],[Spread/V]]</f>
        <v>0</v>
      </c>
      <c r="AK1041" s="2">
        <f>Table2[[#This Row],[SRS/Diff]]-Table2[[#This Row],[EV/Diff]]</f>
        <v>0</v>
      </c>
      <c r="AL1041" s="18">
        <f>Table2[[#This Row],[SRS]]-Table2[[#This Row],[Spread]]</f>
        <v>-1.2986885245901656</v>
      </c>
      <c r="AM1041" s="21">
        <f>Table2[[#This Row],[(A) Err]]^2</f>
        <v>1.6865918839021812</v>
      </c>
      <c r="AN1041" s="6">
        <f>Table2[[#This Row],[EV]]-Table2[[#This Row],[Spread]]</f>
        <v>-3.1085219374304671</v>
      </c>
      <c r="AO1041" s="1">
        <f>Table2[[#This Row],[EV Err]]^2</f>
        <v>9.6629086354864651</v>
      </c>
      <c r="AP1041" s="1"/>
    </row>
    <row r="1042" spans="1:42" x14ac:dyDescent="0.25">
      <c r="A1042" s="34">
        <v>42814</v>
      </c>
      <c r="B1042" t="s">
        <v>138</v>
      </c>
      <c r="C1042" t="s">
        <v>110</v>
      </c>
      <c r="E1042" s="21"/>
      <c r="G1042" s="21"/>
      <c r="H1042" s="7"/>
      <c r="I1042" s="21"/>
      <c r="K1042"/>
      <c r="L1042" s="21">
        <f>(Table2[[#This Row],[H/Pace]]/100)*(VLOOKUP(Table2[[#This Row],[Home/Neutral]],home_lookup,8,FALSE)+VLOOKUP(Table2[[#This Row],[Home/Neutral]],OFR_lookup,2,FALSE)+VLOOKUP(Table2[[#This Row],[Visitor/Neutral]],def_diff_lookup,6,FALSE))</f>
        <v>99.807033531240108</v>
      </c>
      <c r="M1042" s="21"/>
      <c r="N1042" s="21">
        <f>(Table2[[#This Row],[A/Pace]]/100)*(VLOOKUP(Table2[[#This Row],[Visitor/Neutral]],OFR_lookup,2,FALSE)+VLOOKUP(Table2[[#This Row],[Home/Neutral]],def_diff_lookup,6,FALSE))</f>
        <v>105.40217133333334</v>
      </c>
      <c r="O1042" s="21"/>
      <c r="P1042" s="21"/>
      <c r="Q1042">
        <f>VLOOKUP(Table2[[#This Row],[Home/Neutral]],pace_lookup,7,FALSE)</f>
        <v>97.5</v>
      </c>
      <c r="R1042" s="5">
        <f>VLOOKUP(Table2[[#This Row],[Visitor/Neutral]],pace_lookup,7,FALSE)</f>
        <v>96.2</v>
      </c>
      <c r="S1042" s="7"/>
      <c r="U1042" s="15"/>
      <c r="W1042" s="2">
        <f>-home-VLOOKUP(Table2[[#This Row],[Home/Neutral]],rtg_vlookup,4,FALSE)+VLOOKUP(Table2[[#This Row],[Visitor/Neutral]],rtg_vlookup,4,FALSE)</f>
        <v>7.3313114754098354</v>
      </c>
      <c r="X1042" s="15"/>
      <c r="Y1042" s="2"/>
      <c r="Z1042" s="2">
        <f>Table2[[#This Row],[A/EV]]-Table2[[#This Row],[H/EV]]</f>
        <v>5.5951378020932339</v>
      </c>
      <c r="AA1042" s="29"/>
      <c r="AB1042" s="30"/>
      <c r="AC1042" s="30"/>
      <c r="AD1042" s="30"/>
      <c r="AE1042" s="30"/>
      <c r="AF1042" s="7" t="b">
        <f>IF(VLOOKUP(Table2[[#This Row],[Home/Neutral]],division_lookup,9,FALSE)=VLOOKUP(Table2[[#This Row],[Visitor/Neutral]],division_lookup,9,FALSE),TRUE,FALSE)</f>
        <v>1</v>
      </c>
      <c r="AG1042" s="15" t="str">
        <f>VLOOKUP(Table2[[#This Row],[Home/Neutral]],division_lookup,9,FALSE)</f>
        <v>A</v>
      </c>
      <c r="AH1042" s="15" t="str">
        <f>IF(Table2[[#This Row],[Total/EV]]&lt;Table2[[#This Row],[Total/V]],"UNDER","OVER")</f>
        <v>OVER</v>
      </c>
      <c r="AI1042" s="26">
        <f>Table2[[#This Row],[SRS/Real]]-Table2[[#This Row],[Spread/V]]</f>
        <v>0</v>
      </c>
      <c r="AJ1042" s="2">
        <f>Table2[[#This Row],[EV/Real]]-Table2[[#This Row],[Spread/V]]</f>
        <v>0</v>
      </c>
      <c r="AK1042" s="2">
        <f>Table2[[#This Row],[SRS/Diff]]-Table2[[#This Row],[EV/Diff]]</f>
        <v>0</v>
      </c>
      <c r="AL1042" s="18">
        <f>Table2[[#This Row],[SRS]]-Table2[[#This Row],[Spread]]</f>
        <v>7.3313114754098354</v>
      </c>
      <c r="AM1042" s="21">
        <f>Table2[[#This Row],[(A) Err]]^2</f>
        <v>53.748127949475936</v>
      </c>
      <c r="AN1042" s="6">
        <f>Table2[[#This Row],[EV]]-Table2[[#This Row],[Spread]]</f>
        <v>5.5951378020932339</v>
      </c>
      <c r="AO1042" s="1">
        <f>Table2[[#This Row],[EV Err]]^2</f>
        <v>31.305567024412703</v>
      </c>
      <c r="AP1042" s="1"/>
    </row>
    <row r="1043" spans="1:42" x14ac:dyDescent="0.25">
      <c r="A1043" s="34">
        <v>42814</v>
      </c>
      <c r="B1043" t="s">
        <v>134</v>
      </c>
      <c r="C1043" t="s">
        <v>133</v>
      </c>
      <c r="E1043" s="21"/>
      <c r="G1043" s="21"/>
      <c r="H1043" s="7"/>
      <c r="I1043" s="21"/>
      <c r="K1043"/>
      <c r="L1043" s="21">
        <f>(Table2[[#This Row],[H/Pace]]/100)*(VLOOKUP(Table2[[#This Row],[Home/Neutral]],home_lookup,8,FALSE)+VLOOKUP(Table2[[#This Row],[Home/Neutral]],OFR_lookup,2,FALSE)+VLOOKUP(Table2[[#This Row],[Visitor/Neutral]],def_diff_lookup,6,FALSE))</f>
        <v>103.69963343638193</v>
      </c>
      <c r="M1043" s="21"/>
      <c r="N1043" s="21">
        <f>(Table2[[#This Row],[A/Pace]]/100)*(VLOOKUP(Table2[[#This Row],[Visitor/Neutral]],OFR_lookup,2,FALSE)+VLOOKUP(Table2[[#This Row],[Home/Neutral]],def_diff_lookup,6,FALSE))</f>
        <v>100.43195800000001</v>
      </c>
      <c r="O1043" s="21"/>
      <c r="P1043" s="21"/>
      <c r="Q1043">
        <f>VLOOKUP(Table2[[#This Row],[Home/Neutral]],pace_lookup,7,FALSE)</f>
        <v>93.4</v>
      </c>
      <c r="R1043" s="5">
        <f>VLOOKUP(Table2[[#This Row],[Visitor/Neutral]],pace_lookup,7,FALSE)</f>
        <v>94.2</v>
      </c>
      <c r="S1043" s="7"/>
      <c r="U1043" s="15"/>
      <c r="W1043" s="2">
        <f>-home-VLOOKUP(Table2[[#This Row],[Home/Neutral]],rtg_vlookup,4,FALSE)+VLOOKUP(Table2[[#This Row],[Visitor/Neutral]],rtg_vlookup,4,FALSE)</f>
        <v>-12.088688524590165</v>
      </c>
      <c r="X1043" s="15"/>
      <c r="Y1043" s="2"/>
      <c r="Z1043" s="2">
        <f>Table2[[#This Row],[A/EV]]-Table2[[#This Row],[H/EV]]</f>
        <v>-3.2676754363819214</v>
      </c>
      <c r="AA1043" s="29"/>
      <c r="AB1043" s="30"/>
      <c r="AC1043" s="30"/>
      <c r="AD1043" s="30"/>
      <c r="AE1043" s="30"/>
      <c r="AF1043" s="7" t="b">
        <f>IF(VLOOKUP(Table2[[#This Row],[Home/Neutral]],division_lookup,9,FALSE)=VLOOKUP(Table2[[#This Row],[Visitor/Neutral]],division_lookup,9,FALSE),TRUE,FALSE)</f>
        <v>0</v>
      </c>
      <c r="AG1043" s="15" t="str">
        <f>VLOOKUP(Table2[[#This Row],[Home/Neutral]],division_lookup,9,FALSE)</f>
        <v>SW</v>
      </c>
      <c r="AH1043" s="15" t="str">
        <f>IF(Table2[[#This Row],[Total/EV]]&lt;Table2[[#This Row],[Total/V]],"UNDER","OVER")</f>
        <v>OVER</v>
      </c>
      <c r="AI1043" s="26">
        <f>Table2[[#This Row],[SRS/Real]]-Table2[[#This Row],[Spread/V]]</f>
        <v>0</v>
      </c>
      <c r="AJ1043" s="2">
        <f>Table2[[#This Row],[EV/Real]]-Table2[[#This Row],[Spread/V]]</f>
        <v>0</v>
      </c>
      <c r="AK1043" s="2">
        <f>Table2[[#This Row],[SRS/Diff]]-Table2[[#This Row],[EV/Diff]]</f>
        <v>0</v>
      </c>
      <c r="AL1043" s="18">
        <f>Table2[[#This Row],[SRS]]-Table2[[#This Row],[Spread]]</f>
        <v>-12.088688524590165</v>
      </c>
      <c r="AM1043" s="21">
        <f>Table2[[#This Row],[(A) Err]]^2</f>
        <v>146.13639024455793</v>
      </c>
      <c r="AN1043" s="6">
        <f>Table2[[#This Row],[EV]]-Table2[[#This Row],[Spread]]</f>
        <v>-3.2676754363819214</v>
      </c>
      <c r="AO1043" s="1">
        <f>Table2[[#This Row],[EV Err]]^2</f>
        <v>10.67770275753378</v>
      </c>
      <c r="AP1043" s="1"/>
    </row>
    <row r="1044" spans="1:42" x14ac:dyDescent="0.25">
      <c r="A1044" s="34">
        <v>42814</v>
      </c>
      <c r="B1044" t="s">
        <v>135</v>
      </c>
      <c r="C1044" t="s">
        <v>120</v>
      </c>
      <c r="E1044" s="21"/>
      <c r="G1044" s="21"/>
      <c r="H1044" s="7"/>
      <c r="I1044" s="21"/>
      <c r="K1044"/>
      <c r="L1044" s="21">
        <f>(Table2[[#This Row],[H/Pace]]/100)*(VLOOKUP(Table2[[#This Row],[Home/Neutral]],home_lookup,8,FALSE)+VLOOKUP(Table2[[#This Row],[Home/Neutral]],OFR_lookup,2,FALSE)+VLOOKUP(Table2[[#This Row],[Visitor/Neutral]],def_diff_lookup,6,FALSE))</f>
        <v>111.33804035324614</v>
      </c>
      <c r="M1044" s="21"/>
      <c r="N1044" s="21">
        <f>(Table2[[#This Row],[A/Pace]]/100)*(VLOOKUP(Table2[[#This Row],[Visitor/Neutral]],OFR_lookup,2,FALSE)+VLOOKUP(Table2[[#This Row],[Home/Neutral]],def_diff_lookup,6,FALSE))</f>
        <v>102.82737033333333</v>
      </c>
      <c r="O1044" s="21"/>
      <c r="P1044" s="21"/>
      <c r="Q1044">
        <f>VLOOKUP(Table2[[#This Row],[Home/Neutral]],pace_lookup,7,FALSE)</f>
        <v>95.4</v>
      </c>
      <c r="R1044" s="5">
        <f>VLOOKUP(Table2[[#This Row],[Visitor/Neutral]],pace_lookup,7,FALSE)</f>
        <v>98.3</v>
      </c>
      <c r="S1044" s="7"/>
      <c r="U1044" s="15"/>
      <c r="W1044" s="2">
        <f>-home-VLOOKUP(Table2[[#This Row],[Home/Neutral]],rtg_vlookup,4,FALSE)+VLOOKUP(Table2[[#This Row],[Visitor/Neutral]],rtg_vlookup,4,FALSE)</f>
        <v>-13.418688524590166</v>
      </c>
      <c r="X1044" s="15"/>
      <c r="Y1044" s="2"/>
      <c r="Z1044" s="2">
        <f>Table2[[#This Row],[A/EV]]-Table2[[#This Row],[H/EV]]</f>
        <v>-8.5106700199128085</v>
      </c>
      <c r="AA1044" s="29"/>
      <c r="AB1044" s="30"/>
      <c r="AC1044" s="30"/>
      <c r="AD1044" s="30"/>
      <c r="AE1044" s="30"/>
      <c r="AF1044" s="7" t="b">
        <f>IF(VLOOKUP(Table2[[#This Row],[Home/Neutral]],division_lookup,9,FALSE)=VLOOKUP(Table2[[#This Row],[Visitor/Neutral]],division_lookup,9,FALSE),TRUE,FALSE)</f>
        <v>0</v>
      </c>
      <c r="AG1044" s="15" t="str">
        <f>VLOOKUP(Table2[[#This Row],[Home/Neutral]],division_lookup,9,FALSE)</f>
        <v>A</v>
      </c>
      <c r="AH1044" s="15" t="str">
        <f>IF(Table2[[#This Row],[Total/EV]]&lt;Table2[[#This Row],[Total/V]],"UNDER","OVER")</f>
        <v>OVER</v>
      </c>
      <c r="AI1044" s="26">
        <f>Table2[[#This Row],[SRS/Real]]-Table2[[#This Row],[Spread/V]]</f>
        <v>0</v>
      </c>
      <c r="AJ1044" s="2">
        <f>Table2[[#This Row],[EV/Real]]-Table2[[#This Row],[Spread/V]]</f>
        <v>0</v>
      </c>
      <c r="AK1044" s="2">
        <f>Table2[[#This Row],[SRS/Diff]]-Table2[[#This Row],[EV/Diff]]</f>
        <v>0</v>
      </c>
      <c r="AL1044" s="18">
        <f>Table2[[#This Row],[SRS]]-Table2[[#This Row],[Spread]]</f>
        <v>-13.418688524590166</v>
      </c>
      <c r="AM1044" s="21">
        <f>Table2[[#This Row],[(A) Err]]^2</f>
        <v>180.06120171996781</v>
      </c>
      <c r="AN1044" s="6">
        <f>Table2[[#This Row],[EV]]-Table2[[#This Row],[Spread]]</f>
        <v>-8.5106700199128085</v>
      </c>
      <c r="AO1044" s="1">
        <f>Table2[[#This Row],[EV Err]]^2</f>
        <v>72.431504187842677</v>
      </c>
      <c r="AP1044" s="1"/>
    </row>
    <row r="1045" spans="1:42" x14ac:dyDescent="0.25">
      <c r="A1045" s="34">
        <v>42815</v>
      </c>
      <c r="B1045" t="s">
        <v>110</v>
      </c>
      <c r="C1045" t="s">
        <v>137</v>
      </c>
      <c r="E1045" s="21"/>
      <c r="G1045" s="21"/>
      <c r="H1045" s="7"/>
      <c r="I1045" s="21"/>
      <c r="K1045"/>
      <c r="L1045" s="21">
        <f>(Table2[[#This Row],[H/Pace]]/100)*(VLOOKUP(Table2[[#This Row],[Home/Neutral]],home_lookup,8,FALSE)+VLOOKUP(Table2[[#This Row],[Home/Neutral]],OFR_lookup,2,FALSE)+VLOOKUP(Table2[[#This Row],[Visitor/Neutral]],def_diff_lookup,6,FALSE))</f>
        <v>109.1396911890094</v>
      </c>
      <c r="M1045" s="21"/>
      <c r="N1045" s="21">
        <f>(Table2[[#This Row],[A/Pace]]/100)*(VLOOKUP(Table2[[#This Row],[Visitor/Neutral]],OFR_lookup,2,FALSE)+VLOOKUP(Table2[[#This Row],[Home/Neutral]],def_diff_lookup,6,FALSE))</f>
        <v>103.57984</v>
      </c>
      <c r="O1045" s="21"/>
      <c r="P1045" s="21"/>
      <c r="Q1045">
        <f>VLOOKUP(Table2[[#This Row],[Home/Neutral]],pace_lookup,7,FALSE)</f>
        <v>96.2</v>
      </c>
      <c r="R1045" s="5">
        <f>VLOOKUP(Table2[[#This Row],[Visitor/Neutral]],pace_lookup,7,FALSE)</f>
        <v>96</v>
      </c>
      <c r="S1045" s="7"/>
      <c r="U1045" s="15"/>
      <c r="W1045" s="2">
        <f>-home-VLOOKUP(Table2[[#This Row],[Home/Neutral]],rtg_vlookup,4,FALSE)+VLOOKUP(Table2[[#This Row],[Visitor/Neutral]],rtg_vlookup,4,FALSE)</f>
        <v>-6.2486885245901655</v>
      </c>
      <c r="X1045" s="15"/>
      <c r="Y1045" s="2"/>
      <c r="Z1045" s="2">
        <f>Table2[[#This Row],[A/EV]]-Table2[[#This Row],[H/EV]]</f>
        <v>-5.5598511890093931</v>
      </c>
      <c r="AA1045" s="29"/>
      <c r="AB1045" s="30"/>
      <c r="AC1045" s="30"/>
      <c r="AD1045" s="30"/>
      <c r="AE1045" s="30"/>
      <c r="AF1045" s="7" t="b">
        <f>IF(VLOOKUP(Table2[[#This Row],[Home/Neutral]],division_lookup,9,FALSE)=VLOOKUP(Table2[[#This Row],[Visitor/Neutral]],division_lookup,9,FALSE),TRUE,FALSE)</f>
        <v>0</v>
      </c>
      <c r="AG1045" s="15" t="str">
        <f>VLOOKUP(Table2[[#This Row],[Home/Neutral]],division_lookup,9,FALSE)</f>
        <v>A</v>
      </c>
      <c r="AH1045" s="15" t="str">
        <f>IF(Table2[[#This Row],[Total/EV]]&lt;Table2[[#This Row],[Total/V]],"UNDER","OVER")</f>
        <v>OVER</v>
      </c>
      <c r="AI1045" s="26">
        <f>Table2[[#This Row],[SRS/Real]]-Table2[[#This Row],[Spread/V]]</f>
        <v>0</v>
      </c>
      <c r="AJ1045" s="2">
        <f>Table2[[#This Row],[EV/Real]]-Table2[[#This Row],[Spread/V]]</f>
        <v>0</v>
      </c>
      <c r="AK1045" s="2">
        <f>Table2[[#This Row],[SRS/Diff]]-Table2[[#This Row],[EV/Diff]]</f>
        <v>0</v>
      </c>
      <c r="AL1045" s="18">
        <f>Table2[[#This Row],[SRS]]-Table2[[#This Row],[Spread]]</f>
        <v>-6.2486885245901655</v>
      </c>
      <c r="AM1045" s="21">
        <f>Table2[[#This Row],[(A) Err]]^2</f>
        <v>39.046108277344821</v>
      </c>
      <c r="AN1045" s="6">
        <f>Table2[[#This Row],[EV]]-Table2[[#This Row],[Spread]]</f>
        <v>-5.5598511890093931</v>
      </c>
      <c r="AO1045" s="1">
        <f>Table2[[#This Row],[EV Err]]^2</f>
        <v>30.911945243929164</v>
      </c>
      <c r="AP1045" s="1"/>
    </row>
    <row r="1046" spans="1:42" x14ac:dyDescent="0.25">
      <c r="A1046" s="34">
        <v>42815</v>
      </c>
      <c r="B1046" t="s">
        <v>112</v>
      </c>
      <c r="C1046" t="s">
        <v>109</v>
      </c>
      <c r="E1046" s="21"/>
      <c r="G1046" s="21"/>
      <c r="H1046" s="7"/>
      <c r="I1046" s="21"/>
      <c r="K1046"/>
      <c r="L1046" s="21">
        <f>(Table2[[#This Row],[H/Pace]]/100)*(VLOOKUP(Table2[[#This Row],[Home/Neutral]],home_lookup,8,FALSE)+VLOOKUP(Table2[[#This Row],[Home/Neutral]],OFR_lookup,2,FALSE)+VLOOKUP(Table2[[#This Row],[Visitor/Neutral]],def_diff_lookup,6,FALSE))</f>
        <v>97.488381953134834</v>
      </c>
      <c r="M1046" s="21"/>
      <c r="N1046" s="21">
        <f>(Table2[[#This Row],[A/Pace]]/100)*(VLOOKUP(Table2[[#This Row],[Visitor/Neutral]],OFR_lookup,2,FALSE)+VLOOKUP(Table2[[#This Row],[Home/Neutral]],def_diff_lookup,6,FALSE))</f>
        <v>100.33650133333332</v>
      </c>
      <c r="O1046" s="21"/>
      <c r="P1046" s="21"/>
      <c r="Q1046">
        <f>VLOOKUP(Table2[[#This Row],[Home/Neutral]],pace_lookup,7,FALSE)</f>
        <v>97.4</v>
      </c>
      <c r="R1046" s="5">
        <f>VLOOKUP(Table2[[#This Row],[Visitor/Neutral]],pace_lookup,7,FALSE)</f>
        <v>99.2</v>
      </c>
      <c r="S1046" s="7"/>
      <c r="U1046" s="15"/>
      <c r="W1046" s="2">
        <f>-home-VLOOKUP(Table2[[#This Row],[Home/Neutral]],rtg_vlookup,4,FALSE)+VLOOKUP(Table2[[#This Row],[Visitor/Neutral]],rtg_vlookup,4,FALSE)</f>
        <v>-2.5386885245901656</v>
      </c>
      <c r="X1046" s="15"/>
      <c r="Y1046" s="2"/>
      <c r="Z1046" s="2">
        <f>Table2[[#This Row],[A/EV]]-Table2[[#This Row],[H/EV]]</f>
        <v>2.848119380198483</v>
      </c>
      <c r="AA1046" s="29"/>
      <c r="AB1046" s="30"/>
      <c r="AC1046" s="30"/>
      <c r="AD1046" s="30"/>
      <c r="AE1046" s="30"/>
      <c r="AF1046" s="7" t="b">
        <f>IF(VLOOKUP(Table2[[#This Row],[Home/Neutral]],division_lookup,9,FALSE)=VLOOKUP(Table2[[#This Row],[Visitor/Neutral]],division_lookup,9,FALSE),TRUE,FALSE)</f>
        <v>1</v>
      </c>
      <c r="AG1046" s="15" t="str">
        <f>VLOOKUP(Table2[[#This Row],[Home/Neutral]],division_lookup,9,FALSE)</f>
        <v>SE</v>
      </c>
      <c r="AH1046" s="15" t="str">
        <f>IF(Table2[[#This Row],[Total/EV]]&lt;Table2[[#This Row],[Total/V]],"UNDER","OVER")</f>
        <v>OVER</v>
      </c>
      <c r="AI1046" s="26">
        <f>Table2[[#This Row],[SRS/Real]]-Table2[[#This Row],[Spread/V]]</f>
        <v>0</v>
      </c>
      <c r="AJ1046" s="2">
        <f>Table2[[#This Row],[EV/Real]]-Table2[[#This Row],[Spread/V]]</f>
        <v>0</v>
      </c>
      <c r="AK1046" s="2">
        <f>Table2[[#This Row],[SRS/Diff]]-Table2[[#This Row],[EV/Diff]]</f>
        <v>0</v>
      </c>
      <c r="AL1046" s="18">
        <f>Table2[[#This Row],[SRS]]-Table2[[#This Row],[Spread]]</f>
        <v>-2.5386885245901656</v>
      </c>
      <c r="AM1046" s="21">
        <f>Table2[[#This Row],[(A) Err]]^2</f>
        <v>6.4449394248857921</v>
      </c>
      <c r="AN1046" s="6">
        <f>Table2[[#This Row],[EV]]-Table2[[#This Row],[Spread]]</f>
        <v>2.848119380198483</v>
      </c>
      <c r="AO1046" s="1">
        <f>Table2[[#This Row],[EV Err]]^2</f>
        <v>8.1117840038621907</v>
      </c>
      <c r="AP1046" s="1"/>
    </row>
    <row r="1047" spans="1:42" x14ac:dyDescent="0.25">
      <c r="A1047" s="34">
        <v>42815</v>
      </c>
      <c r="B1047" t="s">
        <v>119</v>
      </c>
      <c r="C1047" t="s">
        <v>116</v>
      </c>
      <c r="E1047" s="21"/>
      <c r="G1047" s="21"/>
      <c r="H1047" s="7"/>
      <c r="I1047" s="21"/>
      <c r="K1047"/>
      <c r="L1047" s="21">
        <f>(Table2[[#This Row],[H/Pace]]/100)*(VLOOKUP(Table2[[#This Row],[Home/Neutral]],home_lookup,8,FALSE)+VLOOKUP(Table2[[#This Row],[Home/Neutral]],OFR_lookup,2,FALSE)+VLOOKUP(Table2[[#This Row],[Visitor/Neutral]],def_diff_lookup,6,FALSE))</f>
        <v>109.16175376977627</v>
      </c>
      <c r="M1047" s="21"/>
      <c r="N1047" s="21">
        <f>(Table2[[#This Row],[A/Pace]]/100)*(VLOOKUP(Table2[[#This Row],[Visitor/Neutral]],OFR_lookup,2,FALSE)+VLOOKUP(Table2[[#This Row],[Home/Neutral]],def_diff_lookup,6,FALSE))</f>
        <v>107.91560566666666</v>
      </c>
      <c r="O1047" s="21"/>
      <c r="P1047" s="21"/>
      <c r="Q1047">
        <f>VLOOKUP(Table2[[#This Row],[Home/Neutral]],pace_lookup,7,FALSE)</f>
        <v>96.9</v>
      </c>
      <c r="R1047" s="5">
        <f>VLOOKUP(Table2[[#This Row],[Visitor/Neutral]],pace_lookup,7,FALSE)</f>
        <v>99.1</v>
      </c>
      <c r="S1047" s="7"/>
      <c r="U1047" s="15"/>
      <c r="W1047" s="2">
        <f>-home-VLOOKUP(Table2[[#This Row],[Home/Neutral]],rtg_vlookup,4,FALSE)+VLOOKUP(Table2[[#This Row],[Visitor/Neutral]],rtg_vlookup,4,FALSE)</f>
        <v>-7.1986885245901657</v>
      </c>
      <c r="X1047" s="15"/>
      <c r="Y1047" s="2"/>
      <c r="Z1047" s="2">
        <f>Table2[[#This Row],[A/EV]]-Table2[[#This Row],[H/EV]]</f>
        <v>-1.2461481031096042</v>
      </c>
      <c r="AA1047" s="29"/>
      <c r="AB1047" s="30"/>
      <c r="AC1047" s="30"/>
      <c r="AD1047" s="30"/>
      <c r="AE1047" s="30"/>
      <c r="AF1047" s="7" t="b">
        <f>IF(VLOOKUP(Table2[[#This Row],[Home/Neutral]],division_lookup,9,FALSE)=VLOOKUP(Table2[[#This Row],[Visitor/Neutral]],division_lookup,9,FALSE),TRUE,FALSE)</f>
        <v>0</v>
      </c>
      <c r="AG1047" s="15" t="str">
        <f>VLOOKUP(Table2[[#This Row],[Home/Neutral]],division_lookup,9,FALSE)</f>
        <v>SW</v>
      </c>
      <c r="AH1047" s="15" t="str">
        <f>IF(Table2[[#This Row],[Total/EV]]&lt;Table2[[#This Row],[Total/V]],"UNDER","OVER")</f>
        <v>OVER</v>
      </c>
      <c r="AI1047" s="26">
        <f>Table2[[#This Row],[SRS/Real]]-Table2[[#This Row],[Spread/V]]</f>
        <v>0</v>
      </c>
      <c r="AJ1047" s="2">
        <f>Table2[[#This Row],[EV/Real]]-Table2[[#This Row],[Spread/V]]</f>
        <v>0</v>
      </c>
      <c r="AK1047" s="2">
        <f>Table2[[#This Row],[SRS/Diff]]-Table2[[#This Row],[EV/Diff]]</f>
        <v>0</v>
      </c>
      <c r="AL1047" s="18">
        <f>Table2[[#This Row],[SRS]]-Table2[[#This Row],[Spread]]</f>
        <v>-7.1986885245901657</v>
      </c>
      <c r="AM1047" s="21">
        <f>Table2[[#This Row],[(A) Err]]^2</f>
        <v>51.821116474066137</v>
      </c>
      <c r="AN1047" s="6">
        <f>Table2[[#This Row],[EV]]-Table2[[#This Row],[Spread]]</f>
        <v>-1.2461481031096042</v>
      </c>
      <c r="AO1047" s="1">
        <f>Table2[[#This Row],[EV Err]]^2</f>
        <v>1.5528850948836648</v>
      </c>
      <c r="AP1047" s="1"/>
    </row>
    <row r="1048" spans="1:42" x14ac:dyDescent="0.25">
      <c r="A1048" s="34">
        <v>42815</v>
      </c>
      <c r="B1048" t="s">
        <v>120</v>
      </c>
      <c r="C1048" t="s">
        <v>136</v>
      </c>
      <c r="E1048" s="21"/>
      <c r="G1048" s="21"/>
      <c r="H1048" s="7"/>
      <c r="I1048" s="21"/>
      <c r="K1048"/>
      <c r="L1048" s="21">
        <f>(Table2[[#This Row],[H/Pace]]/100)*(VLOOKUP(Table2[[#This Row],[Home/Neutral]],home_lookup,8,FALSE)+VLOOKUP(Table2[[#This Row],[Home/Neutral]],OFR_lookup,2,FALSE)+VLOOKUP(Table2[[#This Row],[Visitor/Neutral]],def_diff_lookup,6,FALSE))</f>
        <v>101.57206542930861</v>
      </c>
      <c r="M1048" s="21"/>
      <c r="N1048" s="21">
        <f>(Table2[[#This Row],[A/Pace]]/100)*(VLOOKUP(Table2[[#This Row],[Visitor/Neutral]],OFR_lookup,2,FALSE)+VLOOKUP(Table2[[#This Row],[Home/Neutral]],def_diff_lookup,6,FALSE))</f>
        <v>98.980734999999996</v>
      </c>
      <c r="O1048" s="21"/>
      <c r="P1048" s="21"/>
      <c r="Q1048">
        <f>VLOOKUP(Table2[[#This Row],[Home/Neutral]],pace_lookup,7,FALSE)</f>
        <v>98.3</v>
      </c>
      <c r="R1048" s="5">
        <f>VLOOKUP(Table2[[#This Row],[Visitor/Neutral]],pace_lookup,7,FALSE)</f>
        <v>91.5</v>
      </c>
      <c r="S1048" s="7"/>
      <c r="U1048" s="15"/>
      <c r="W1048" s="2">
        <f>-home-VLOOKUP(Table2[[#This Row],[Home/Neutral]],rtg_vlookup,4,FALSE)+VLOOKUP(Table2[[#This Row],[Visitor/Neutral]],rtg_vlookup,4,FALSE)</f>
        <v>6.1713114754098344</v>
      </c>
      <c r="X1048" s="15"/>
      <c r="Y1048" s="2"/>
      <c r="Z1048" s="2">
        <f>Table2[[#This Row],[A/EV]]-Table2[[#This Row],[H/EV]]</f>
        <v>-2.5913304293086128</v>
      </c>
      <c r="AA1048" s="29"/>
      <c r="AB1048" s="30"/>
      <c r="AC1048" s="30"/>
      <c r="AD1048" s="30"/>
      <c r="AE1048" s="30"/>
      <c r="AF1048" s="7" t="b">
        <f>IF(VLOOKUP(Table2[[#This Row],[Home/Neutral]],division_lookup,9,FALSE)=VLOOKUP(Table2[[#This Row],[Visitor/Neutral]],division_lookup,9,FALSE),TRUE,FALSE)</f>
        <v>0</v>
      </c>
      <c r="AG1048" s="15" t="str">
        <f>VLOOKUP(Table2[[#This Row],[Home/Neutral]],division_lookup,9,FALSE)</f>
        <v>C</v>
      </c>
      <c r="AH1048" s="15" t="str">
        <f>IF(Table2[[#This Row],[Total/EV]]&lt;Table2[[#This Row],[Total/V]],"UNDER","OVER")</f>
        <v>OVER</v>
      </c>
      <c r="AI1048" s="26">
        <f>Table2[[#This Row],[SRS/Real]]-Table2[[#This Row],[Spread/V]]</f>
        <v>0</v>
      </c>
      <c r="AJ1048" s="2">
        <f>Table2[[#This Row],[EV/Real]]-Table2[[#This Row],[Spread/V]]</f>
        <v>0</v>
      </c>
      <c r="AK1048" s="2">
        <f>Table2[[#This Row],[SRS/Diff]]-Table2[[#This Row],[EV/Diff]]</f>
        <v>0</v>
      </c>
      <c r="AL1048" s="18">
        <f>Table2[[#This Row],[SRS]]-Table2[[#This Row],[Spread]]</f>
        <v>6.1713114754098344</v>
      </c>
      <c r="AM1048" s="21">
        <f>Table2[[#This Row],[(A) Err]]^2</f>
        <v>38.08508532652511</v>
      </c>
      <c r="AN1048" s="6">
        <f>Table2[[#This Row],[EV]]-Table2[[#This Row],[Spread]]</f>
        <v>-2.5913304293086128</v>
      </c>
      <c r="AO1048" s="1">
        <f>Table2[[#This Row],[EV Err]]^2</f>
        <v>6.7149933938607598</v>
      </c>
      <c r="AP1048" s="1"/>
    </row>
    <row r="1049" spans="1:42" x14ac:dyDescent="0.25">
      <c r="A1049" s="34">
        <v>42815</v>
      </c>
      <c r="B1049" t="s">
        <v>121</v>
      </c>
      <c r="C1049" t="s">
        <v>128</v>
      </c>
      <c r="E1049" s="21"/>
      <c r="G1049" s="21"/>
      <c r="H1049" s="7"/>
      <c r="I1049" s="21"/>
      <c r="K1049"/>
      <c r="L1049" s="21">
        <f>(Table2[[#This Row],[H/Pace]]/100)*(VLOOKUP(Table2[[#This Row],[Home/Neutral]],home_lookup,8,FALSE)+VLOOKUP(Table2[[#This Row],[Home/Neutral]],OFR_lookup,2,FALSE)+VLOOKUP(Table2[[#This Row],[Visitor/Neutral]],def_diff_lookup,6,FALSE))</f>
        <v>116.90736060751253</v>
      </c>
      <c r="M1049" s="21"/>
      <c r="N1049" s="21">
        <f>(Table2[[#This Row],[A/Pace]]/100)*(VLOOKUP(Table2[[#This Row],[Visitor/Neutral]],OFR_lookup,2,FALSE)+VLOOKUP(Table2[[#This Row],[Home/Neutral]],def_diff_lookup,6,FALSE))</f>
        <v>99.820406999999989</v>
      </c>
      <c r="O1049" s="21"/>
      <c r="P1049" s="21"/>
      <c r="Q1049">
        <f>VLOOKUP(Table2[[#This Row],[Home/Neutral]],pace_lookup,7,FALSE)</f>
        <v>96.4</v>
      </c>
      <c r="R1049" s="5">
        <f>VLOOKUP(Table2[[#This Row],[Visitor/Neutral]],pace_lookup,7,FALSE)</f>
        <v>96.3</v>
      </c>
      <c r="S1049" s="7"/>
      <c r="U1049" s="15"/>
      <c r="W1049" s="2">
        <f>-home-VLOOKUP(Table2[[#This Row],[Home/Neutral]],rtg_vlookup,4,FALSE)+VLOOKUP(Table2[[#This Row],[Visitor/Neutral]],rtg_vlookup,4,FALSE)</f>
        <v>-17.368688524590166</v>
      </c>
      <c r="X1049" s="15"/>
      <c r="Y1049" s="2"/>
      <c r="Z1049" s="2">
        <f>Table2[[#This Row],[A/EV]]-Table2[[#This Row],[H/EV]]</f>
        <v>-17.086953607512541</v>
      </c>
      <c r="AA1049" s="29"/>
      <c r="AB1049" s="30"/>
      <c r="AC1049" s="30"/>
      <c r="AD1049" s="30"/>
      <c r="AE1049" s="30"/>
      <c r="AF1049" s="7" t="b">
        <f>IF(VLOOKUP(Table2[[#This Row],[Home/Neutral]],division_lookup,9,FALSE)=VLOOKUP(Table2[[#This Row],[Visitor/Neutral]],division_lookup,9,FALSE),TRUE,FALSE)</f>
        <v>0</v>
      </c>
      <c r="AG1049" s="15" t="str">
        <f>VLOOKUP(Table2[[#This Row],[Home/Neutral]],division_lookup,9,FALSE)</f>
        <v>P</v>
      </c>
      <c r="AH1049" s="15" t="str">
        <f>IF(Table2[[#This Row],[Total/EV]]&lt;Table2[[#This Row],[Total/V]],"UNDER","OVER")</f>
        <v>OVER</v>
      </c>
      <c r="AI1049" s="26">
        <f>Table2[[#This Row],[SRS/Real]]-Table2[[#This Row],[Spread/V]]</f>
        <v>0</v>
      </c>
      <c r="AJ1049" s="2">
        <f>Table2[[#This Row],[EV/Real]]-Table2[[#This Row],[Spread/V]]</f>
        <v>0</v>
      </c>
      <c r="AK1049" s="2">
        <f>Table2[[#This Row],[SRS/Diff]]-Table2[[#This Row],[EV/Diff]]</f>
        <v>0</v>
      </c>
      <c r="AL1049" s="18">
        <f>Table2[[#This Row],[SRS]]-Table2[[#This Row],[Spread]]</f>
        <v>-17.368688524590166</v>
      </c>
      <c r="AM1049" s="21">
        <f>Table2[[#This Row],[(A) Err]]^2</f>
        <v>301.67134106423009</v>
      </c>
      <c r="AN1049" s="6">
        <f>Table2[[#This Row],[EV]]-Table2[[#This Row],[Spread]]</f>
        <v>-17.086953607512541</v>
      </c>
      <c r="AO1049" s="1">
        <f>Table2[[#This Row],[EV Err]]^2</f>
        <v>291.96398358528586</v>
      </c>
      <c r="AP1049" s="1"/>
    </row>
    <row r="1050" spans="1:42" x14ac:dyDescent="0.25">
      <c r="A1050" s="34">
        <v>42815</v>
      </c>
      <c r="B1050" t="s">
        <v>129</v>
      </c>
      <c r="C1050" t="s">
        <v>118</v>
      </c>
      <c r="E1050" s="21"/>
      <c r="G1050" s="21"/>
      <c r="H1050" s="7"/>
      <c r="I1050" s="21"/>
      <c r="K1050"/>
      <c r="L1050" s="21">
        <f>(Table2[[#This Row],[H/Pace]]/100)*(VLOOKUP(Table2[[#This Row],[Home/Neutral]],home_lookup,8,FALSE)+VLOOKUP(Table2[[#This Row],[Home/Neutral]],OFR_lookup,2,FALSE)+VLOOKUP(Table2[[#This Row],[Visitor/Neutral]],def_diff_lookup,6,FALSE))</f>
        <v>106.28270376890109</v>
      </c>
      <c r="M1050" s="21"/>
      <c r="N1050" s="21">
        <f>(Table2[[#This Row],[A/Pace]]/100)*(VLOOKUP(Table2[[#This Row],[Visitor/Neutral]],OFR_lookup,2,FALSE)+VLOOKUP(Table2[[#This Row],[Home/Neutral]],def_diff_lookup,6,FALSE))</f>
        <v>115.47572933333333</v>
      </c>
      <c r="O1050" s="21"/>
      <c r="P1050" s="21"/>
      <c r="Q1050">
        <f>VLOOKUP(Table2[[#This Row],[Home/Neutral]],pace_lookup,7,FALSE)</f>
        <v>99</v>
      </c>
      <c r="R1050" s="5">
        <f>VLOOKUP(Table2[[#This Row],[Visitor/Neutral]],pace_lookup,7,FALSE)</f>
        <v>100.4</v>
      </c>
      <c r="S1050" s="7"/>
      <c r="U1050" s="15"/>
      <c r="W1050" s="2">
        <f>-home-VLOOKUP(Table2[[#This Row],[Home/Neutral]],rtg_vlookup,4,FALSE)+VLOOKUP(Table2[[#This Row],[Visitor/Neutral]],rtg_vlookup,4,FALSE)</f>
        <v>7.1313114754098343</v>
      </c>
      <c r="X1050" s="15"/>
      <c r="Y1050" s="2"/>
      <c r="Z1050" s="2">
        <f>Table2[[#This Row],[A/EV]]-Table2[[#This Row],[H/EV]]</f>
        <v>9.1930255644322472</v>
      </c>
      <c r="AA1050" s="29"/>
      <c r="AB1050" s="30"/>
      <c r="AC1050" s="30"/>
      <c r="AD1050" s="30"/>
      <c r="AE1050" s="30"/>
      <c r="AF1050" s="7" t="b">
        <f>IF(VLOOKUP(Table2[[#This Row],[Home/Neutral]],division_lookup,9,FALSE)=VLOOKUP(Table2[[#This Row],[Visitor/Neutral]],division_lookup,9,FALSE),TRUE,FALSE)</f>
        <v>0</v>
      </c>
      <c r="AG1050" s="15" t="str">
        <f>VLOOKUP(Table2[[#This Row],[Home/Neutral]],division_lookup,9,FALSE)</f>
        <v>NW</v>
      </c>
      <c r="AH1050" s="15" t="str">
        <f>IF(Table2[[#This Row],[Total/EV]]&lt;Table2[[#This Row],[Total/V]],"UNDER","OVER")</f>
        <v>OVER</v>
      </c>
      <c r="AI1050" s="26">
        <f>Table2[[#This Row],[SRS/Real]]-Table2[[#This Row],[Spread/V]]</f>
        <v>0</v>
      </c>
      <c r="AJ1050" s="2">
        <f>Table2[[#This Row],[EV/Real]]-Table2[[#This Row],[Spread/V]]</f>
        <v>0</v>
      </c>
      <c r="AK1050" s="2">
        <f>Table2[[#This Row],[SRS/Diff]]-Table2[[#This Row],[EV/Diff]]</f>
        <v>0</v>
      </c>
      <c r="AL1050" s="18">
        <f>Table2[[#This Row],[SRS]]-Table2[[#This Row],[Spread]]</f>
        <v>7.1313114754098343</v>
      </c>
      <c r="AM1050" s="21">
        <f>Table2[[#This Row],[(A) Err]]^2</f>
        <v>50.855603359311985</v>
      </c>
      <c r="AN1050" s="6">
        <f>Table2[[#This Row],[EV]]-Table2[[#This Row],[Spread]]</f>
        <v>9.1930255644322472</v>
      </c>
      <c r="AO1050" s="1">
        <f>Table2[[#This Row],[EV Err]]^2</f>
        <v>84.511719028304839</v>
      </c>
      <c r="AP1050" s="1"/>
    </row>
    <row r="1051" spans="1:42" x14ac:dyDescent="0.25">
      <c r="A1051" s="34">
        <v>42815</v>
      </c>
      <c r="B1051" t="s">
        <v>130</v>
      </c>
      <c r="C1051" t="s">
        <v>138</v>
      </c>
      <c r="E1051" s="21"/>
      <c r="G1051" s="21"/>
      <c r="H1051" s="7"/>
      <c r="I1051" s="21"/>
      <c r="K1051"/>
      <c r="L1051" s="21">
        <f>(Table2[[#This Row],[H/Pace]]/100)*(VLOOKUP(Table2[[#This Row],[Home/Neutral]],home_lookup,8,FALSE)+VLOOKUP(Table2[[#This Row],[Home/Neutral]],OFR_lookup,2,FALSE)+VLOOKUP(Table2[[#This Row],[Visitor/Neutral]],def_diff_lookup,6,FALSE))</f>
        <v>98.108024967109401</v>
      </c>
      <c r="M1051" s="21"/>
      <c r="N1051" s="21">
        <f>(Table2[[#This Row],[A/Pace]]/100)*(VLOOKUP(Table2[[#This Row],[Visitor/Neutral]],OFR_lookup,2,FALSE)+VLOOKUP(Table2[[#This Row],[Home/Neutral]],def_diff_lookup,6,FALSE))</f>
        <v>96.101524999999995</v>
      </c>
      <c r="O1051" s="21"/>
      <c r="P1051" s="21"/>
      <c r="Q1051">
        <f>VLOOKUP(Table2[[#This Row],[Home/Neutral]],pace_lookup,7,FALSE)</f>
        <v>94.2</v>
      </c>
      <c r="R1051" s="5">
        <f>VLOOKUP(Table2[[#This Row],[Visitor/Neutral]],pace_lookup,7,FALSE)</f>
        <v>97.5</v>
      </c>
      <c r="S1051" s="7"/>
      <c r="U1051" s="15"/>
      <c r="W1051" s="2">
        <f>-home-VLOOKUP(Table2[[#This Row],[Home/Neutral]],rtg_vlookup,4,FALSE)+VLOOKUP(Table2[[#This Row],[Visitor/Neutral]],rtg_vlookup,4,FALSE)</f>
        <v>-3.7786885245901658</v>
      </c>
      <c r="X1051" s="15"/>
      <c r="Y1051" s="2"/>
      <c r="Z1051" s="2">
        <f>Table2[[#This Row],[A/EV]]-Table2[[#This Row],[H/EV]]</f>
        <v>-2.0064999671094057</v>
      </c>
      <c r="AA1051" s="29"/>
      <c r="AB1051" s="30"/>
      <c r="AC1051" s="30"/>
      <c r="AD1051" s="30"/>
      <c r="AE1051" s="30"/>
      <c r="AF1051" s="7" t="b">
        <f>IF(VLOOKUP(Table2[[#This Row],[Home/Neutral]],division_lookup,9,FALSE)=VLOOKUP(Table2[[#This Row],[Visitor/Neutral]],division_lookup,9,FALSE),TRUE,FALSE)</f>
        <v>0</v>
      </c>
      <c r="AG1051" s="15" t="str">
        <f>VLOOKUP(Table2[[#This Row],[Home/Neutral]],division_lookup,9,FALSE)</f>
        <v>SE</v>
      </c>
      <c r="AH1051" s="15" t="str">
        <f>IF(Table2[[#This Row],[Total/EV]]&lt;Table2[[#This Row],[Total/V]],"UNDER","OVER")</f>
        <v>OVER</v>
      </c>
      <c r="AI1051" s="26">
        <f>Table2[[#This Row],[SRS/Real]]-Table2[[#This Row],[Spread/V]]</f>
        <v>0</v>
      </c>
      <c r="AJ1051" s="2">
        <f>Table2[[#This Row],[EV/Real]]-Table2[[#This Row],[Spread/V]]</f>
        <v>0</v>
      </c>
      <c r="AK1051" s="2">
        <f>Table2[[#This Row],[SRS/Diff]]-Table2[[#This Row],[EV/Diff]]</f>
        <v>0</v>
      </c>
      <c r="AL1051" s="18">
        <f>Table2[[#This Row],[SRS]]-Table2[[#This Row],[Spread]]</f>
        <v>-3.7786885245901658</v>
      </c>
      <c r="AM1051" s="21">
        <f>Table2[[#This Row],[(A) Err]]^2</f>
        <v>14.278486965869405</v>
      </c>
      <c r="AN1051" s="6">
        <f>Table2[[#This Row],[EV]]-Table2[[#This Row],[Spread]]</f>
        <v>-2.0064999671094057</v>
      </c>
      <c r="AO1051" s="1">
        <f>Table2[[#This Row],[EV Err]]^2</f>
        <v>4.0260421180100465</v>
      </c>
      <c r="AP1051" s="1"/>
    </row>
    <row r="1052" spans="1:42" x14ac:dyDescent="0.25">
      <c r="A1052" s="34">
        <v>42816</v>
      </c>
      <c r="B1052" t="s">
        <v>111</v>
      </c>
      <c r="C1052" t="s">
        <v>117</v>
      </c>
      <c r="E1052" s="21"/>
      <c r="G1052" s="21"/>
      <c r="H1052" s="7"/>
      <c r="I1052" s="21"/>
      <c r="K1052"/>
      <c r="L1052" s="21">
        <f>(Table2[[#This Row],[H/Pace]]/100)*(VLOOKUP(Table2[[#This Row],[Home/Neutral]],home_lookup,8,FALSE)+VLOOKUP(Table2[[#This Row],[Home/Neutral]],OFR_lookup,2,FALSE)+VLOOKUP(Table2[[#This Row],[Visitor/Neutral]],def_diff_lookup,6,FALSE))</f>
        <v>96.203218327716357</v>
      </c>
      <c r="M1052" s="21"/>
      <c r="N1052" s="21">
        <f>(Table2[[#This Row],[A/Pace]]/100)*(VLOOKUP(Table2[[#This Row],[Visitor/Neutral]],OFR_lookup,2,FALSE)+VLOOKUP(Table2[[#This Row],[Home/Neutral]],def_diff_lookup,6,FALSE))</f>
        <v>102.09872666666665</v>
      </c>
      <c r="O1052" s="21"/>
      <c r="P1052" s="21"/>
      <c r="Q1052">
        <f>VLOOKUP(Table2[[#This Row],[Home/Neutral]],pace_lookup,7,FALSE)</f>
        <v>102</v>
      </c>
      <c r="R1052" s="5">
        <f>VLOOKUP(Table2[[#This Row],[Visitor/Neutral]],pace_lookup,7,FALSE)</f>
        <v>94</v>
      </c>
      <c r="S1052" s="7"/>
      <c r="U1052" s="15"/>
      <c r="W1052" s="2">
        <f>-home-VLOOKUP(Table2[[#This Row],[Home/Neutral]],rtg_vlookup,4,FALSE)+VLOOKUP(Table2[[#This Row],[Visitor/Neutral]],rtg_vlookup,4,FALSE)</f>
        <v>7.5713114754098338</v>
      </c>
      <c r="X1052" s="15"/>
      <c r="Y1052" s="2"/>
      <c r="Z1052" s="2">
        <f>Table2[[#This Row],[A/EV]]-Table2[[#This Row],[H/EV]]</f>
        <v>5.8955083389502931</v>
      </c>
      <c r="AA1052" s="29"/>
      <c r="AB1052" s="30"/>
      <c r="AC1052" s="30"/>
      <c r="AD1052" s="30"/>
      <c r="AE1052" s="30"/>
      <c r="AF1052" s="7" t="b">
        <f>IF(VLOOKUP(Table2[[#This Row],[Home/Neutral]],division_lookup,9,FALSE)=VLOOKUP(Table2[[#This Row],[Visitor/Neutral]],division_lookup,9,FALSE),TRUE,FALSE)</f>
        <v>0</v>
      </c>
      <c r="AG1052" s="15" t="str">
        <f>VLOOKUP(Table2[[#This Row],[Home/Neutral]],division_lookup,9,FALSE)</f>
        <v>A</v>
      </c>
      <c r="AH1052" s="15" t="str">
        <f>IF(Table2[[#This Row],[Total/EV]]&lt;Table2[[#This Row],[Total/V]],"UNDER","OVER")</f>
        <v>OVER</v>
      </c>
      <c r="AI1052" s="26">
        <f>Table2[[#This Row],[SRS/Real]]-Table2[[#This Row],[Spread/V]]</f>
        <v>0</v>
      </c>
      <c r="AJ1052" s="2">
        <f>Table2[[#This Row],[EV/Real]]-Table2[[#This Row],[Spread/V]]</f>
        <v>0</v>
      </c>
      <c r="AK1052" s="2">
        <f>Table2[[#This Row],[SRS/Diff]]-Table2[[#This Row],[EV/Diff]]</f>
        <v>0</v>
      </c>
      <c r="AL1052" s="18">
        <f>Table2[[#This Row],[SRS]]-Table2[[#This Row],[Spread]]</f>
        <v>7.5713114754098338</v>
      </c>
      <c r="AM1052" s="21">
        <f>Table2[[#This Row],[(A) Err]]^2</f>
        <v>57.324757457672632</v>
      </c>
      <c r="AN1052" s="6">
        <f>Table2[[#This Row],[EV]]-Table2[[#This Row],[Spread]]</f>
        <v>5.8955083389502931</v>
      </c>
      <c r="AO1052" s="1">
        <f>Table2[[#This Row],[EV Err]]^2</f>
        <v>34.757018574632447</v>
      </c>
      <c r="AP1052" s="1"/>
    </row>
    <row r="1053" spans="1:42" x14ac:dyDescent="0.25">
      <c r="A1053" s="34">
        <v>42816</v>
      </c>
      <c r="B1053" t="s">
        <v>115</v>
      </c>
      <c r="C1053" t="s">
        <v>118</v>
      </c>
      <c r="E1053" s="21"/>
      <c r="G1053" s="21"/>
      <c r="H1053" s="7"/>
      <c r="I1053" s="21"/>
      <c r="K1053"/>
      <c r="L1053" s="21">
        <f>(Table2[[#This Row],[H/Pace]]/100)*(VLOOKUP(Table2[[#This Row],[Home/Neutral]],home_lookup,8,FALSE)+VLOOKUP(Table2[[#This Row],[Home/Neutral]],OFR_lookup,2,FALSE)+VLOOKUP(Table2[[#This Row],[Visitor/Neutral]],def_diff_lookup,6,FALSE))</f>
        <v>94.34661311596777</v>
      </c>
      <c r="M1053" s="21"/>
      <c r="N1053" s="21">
        <f>(Table2[[#This Row],[A/Pace]]/100)*(VLOOKUP(Table2[[#This Row],[Visitor/Neutral]],OFR_lookup,2,FALSE)+VLOOKUP(Table2[[#This Row],[Home/Neutral]],def_diff_lookup,6,FALSE))</f>
        <v>116.70060933333333</v>
      </c>
      <c r="O1053" s="21"/>
      <c r="P1053" s="21"/>
      <c r="Q1053">
        <f>VLOOKUP(Table2[[#This Row],[Home/Neutral]],pace_lookup,7,FALSE)</f>
        <v>92.9</v>
      </c>
      <c r="R1053" s="5">
        <f>VLOOKUP(Table2[[#This Row],[Visitor/Neutral]],pace_lookup,7,FALSE)</f>
        <v>100.4</v>
      </c>
      <c r="S1053" s="7"/>
      <c r="U1053" s="15"/>
      <c r="W1053" s="2">
        <f>-home-VLOOKUP(Table2[[#This Row],[Home/Neutral]],rtg_vlookup,4,FALSE)+VLOOKUP(Table2[[#This Row],[Visitor/Neutral]],rtg_vlookup,4,FALSE)</f>
        <v>17.501311475409835</v>
      </c>
      <c r="X1053" s="15"/>
      <c r="Y1053" s="2"/>
      <c r="Z1053" s="2">
        <f>Table2[[#This Row],[A/EV]]-Table2[[#This Row],[H/EV]]</f>
        <v>22.353996217365562</v>
      </c>
      <c r="AA1053" s="29"/>
      <c r="AB1053" s="30"/>
      <c r="AC1053" s="30"/>
      <c r="AD1053" s="30"/>
      <c r="AE1053" s="30"/>
      <c r="AF1053" s="7" t="b">
        <f>IF(VLOOKUP(Table2[[#This Row],[Home/Neutral]],division_lookup,9,FALSE)=VLOOKUP(Table2[[#This Row],[Visitor/Neutral]],division_lookup,9,FALSE),TRUE,FALSE)</f>
        <v>0</v>
      </c>
      <c r="AG1053" s="15" t="str">
        <f>VLOOKUP(Table2[[#This Row],[Home/Neutral]],division_lookup,9,FALSE)</f>
        <v>SW</v>
      </c>
      <c r="AH1053" s="15" t="str">
        <f>IF(Table2[[#This Row],[Total/EV]]&lt;Table2[[#This Row],[Total/V]],"UNDER","OVER")</f>
        <v>OVER</v>
      </c>
      <c r="AI1053" s="26">
        <f>Table2[[#This Row],[SRS/Real]]-Table2[[#This Row],[Spread/V]]</f>
        <v>0</v>
      </c>
      <c r="AJ1053" s="2">
        <f>Table2[[#This Row],[EV/Real]]-Table2[[#This Row],[Spread/V]]</f>
        <v>0</v>
      </c>
      <c r="AK1053" s="2">
        <f>Table2[[#This Row],[SRS/Diff]]-Table2[[#This Row],[EV/Diff]]</f>
        <v>0</v>
      </c>
      <c r="AL1053" s="18">
        <f>Table2[[#This Row],[SRS]]-Table2[[#This Row],[Spread]]</f>
        <v>17.501311475409835</v>
      </c>
      <c r="AM1053" s="21">
        <f>Table2[[#This Row],[(A) Err]]^2</f>
        <v>306.29590335931198</v>
      </c>
      <c r="AN1053" s="6">
        <f>Table2[[#This Row],[EV]]-Table2[[#This Row],[Spread]]</f>
        <v>22.353996217365562</v>
      </c>
      <c r="AO1053" s="1">
        <f>Table2[[#This Row],[EV Err]]^2</f>
        <v>499.70114688599386</v>
      </c>
      <c r="AP1053" s="1"/>
    </row>
    <row r="1054" spans="1:42" x14ac:dyDescent="0.25">
      <c r="A1054" s="34">
        <v>42816</v>
      </c>
      <c r="B1054" t="s">
        <v>122</v>
      </c>
      <c r="C1054" t="s">
        <v>121</v>
      </c>
      <c r="E1054" s="21"/>
      <c r="G1054" s="21"/>
      <c r="H1054" s="7"/>
      <c r="I1054" s="21"/>
      <c r="K1054"/>
      <c r="L1054" s="21">
        <f>(Table2[[#This Row],[H/Pace]]/100)*(VLOOKUP(Table2[[#This Row],[Home/Neutral]],home_lookup,8,FALSE)+VLOOKUP(Table2[[#This Row],[Home/Neutral]],OFR_lookup,2,FALSE)+VLOOKUP(Table2[[#This Row],[Visitor/Neutral]],def_diff_lookup,6,FALSE))</f>
        <v>105.51942832744732</v>
      </c>
      <c r="M1054" s="21"/>
      <c r="N1054" s="21">
        <f>(Table2[[#This Row],[A/Pace]]/100)*(VLOOKUP(Table2[[#This Row],[Visitor/Neutral]],OFR_lookup,2,FALSE)+VLOOKUP(Table2[[#This Row],[Home/Neutral]],def_diff_lookup,6,FALSE))</f>
        <v>115.35770266666667</v>
      </c>
      <c r="O1054" s="21"/>
      <c r="P1054" s="21"/>
      <c r="Q1054">
        <f>VLOOKUP(Table2[[#This Row],[Home/Neutral]],pace_lookup,7,FALSE)</f>
        <v>100.2</v>
      </c>
      <c r="R1054" s="5">
        <f>VLOOKUP(Table2[[#This Row],[Visitor/Neutral]],pace_lookup,7,FALSE)</f>
        <v>96.4</v>
      </c>
      <c r="S1054" s="7"/>
      <c r="U1054" s="15"/>
      <c r="W1054" s="2">
        <f>-home-VLOOKUP(Table2[[#This Row],[Home/Neutral]],rtg_vlookup,4,FALSE)+VLOOKUP(Table2[[#This Row],[Visitor/Neutral]],rtg_vlookup,4,FALSE)</f>
        <v>12.201311475409835</v>
      </c>
      <c r="X1054" s="15"/>
      <c r="Y1054" s="2"/>
      <c r="Z1054" s="2">
        <f>Table2[[#This Row],[A/EV]]-Table2[[#This Row],[H/EV]]</f>
        <v>9.8382743392193532</v>
      </c>
      <c r="AA1054" s="29"/>
      <c r="AB1054" s="30"/>
      <c r="AC1054" s="30"/>
      <c r="AD1054" s="30"/>
      <c r="AE1054" s="30"/>
      <c r="AF1054" s="7" t="b">
        <f>IF(VLOOKUP(Table2[[#This Row],[Home/Neutral]],division_lookup,9,FALSE)=VLOOKUP(Table2[[#This Row],[Visitor/Neutral]],division_lookup,9,FALSE),TRUE,FALSE)</f>
        <v>1</v>
      </c>
      <c r="AG1054" s="15" t="str">
        <f>VLOOKUP(Table2[[#This Row],[Home/Neutral]],division_lookup,9,FALSE)</f>
        <v>P</v>
      </c>
      <c r="AH1054" s="15" t="str">
        <f>IF(Table2[[#This Row],[Total/EV]]&lt;Table2[[#This Row],[Total/V]],"UNDER","OVER")</f>
        <v>OVER</v>
      </c>
      <c r="AI1054" s="26">
        <f>Table2[[#This Row],[SRS/Real]]-Table2[[#This Row],[Spread/V]]</f>
        <v>0</v>
      </c>
      <c r="AJ1054" s="2">
        <f>Table2[[#This Row],[EV/Real]]-Table2[[#This Row],[Spread/V]]</f>
        <v>0</v>
      </c>
      <c r="AK1054" s="2">
        <f>Table2[[#This Row],[SRS/Diff]]-Table2[[#This Row],[EV/Diff]]</f>
        <v>0</v>
      </c>
      <c r="AL1054" s="18">
        <f>Table2[[#This Row],[SRS]]-Table2[[#This Row],[Spread]]</f>
        <v>12.201311475409835</v>
      </c>
      <c r="AM1054" s="21">
        <f>Table2[[#This Row],[(A) Err]]^2</f>
        <v>148.87200171996773</v>
      </c>
      <c r="AN1054" s="6">
        <f>Table2[[#This Row],[EV]]-Table2[[#This Row],[Spread]]</f>
        <v>9.8382743392193532</v>
      </c>
      <c r="AO1054" s="1">
        <f>Table2[[#This Row],[EV Err]]^2</f>
        <v>96.791641973742003</v>
      </c>
      <c r="AP1054" s="1"/>
    </row>
    <row r="1055" spans="1:42" x14ac:dyDescent="0.25">
      <c r="A1055" s="34">
        <v>42816</v>
      </c>
      <c r="B1055" t="s">
        <v>124</v>
      </c>
      <c r="C1055" t="s">
        <v>131</v>
      </c>
      <c r="E1055" s="21"/>
      <c r="G1055" s="21"/>
      <c r="H1055" s="7"/>
      <c r="I1055" s="21"/>
      <c r="K1055"/>
      <c r="L1055" s="21">
        <f>(Table2[[#This Row],[H/Pace]]/100)*(VLOOKUP(Table2[[#This Row],[Home/Neutral]],home_lookup,8,FALSE)+VLOOKUP(Table2[[#This Row],[Home/Neutral]],OFR_lookup,2,FALSE)+VLOOKUP(Table2[[#This Row],[Visitor/Neutral]],def_diff_lookup,6,FALSE))</f>
        <v>102.25074517723557</v>
      </c>
      <c r="M1055" s="21"/>
      <c r="N1055" s="21">
        <f>(Table2[[#This Row],[A/Pace]]/100)*(VLOOKUP(Table2[[#This Row],[Visitor/Neutral]],OFR_lookup,2,FALSE)+VLOOKUP(Table2[[#This Row],[Home/Neutral]],def_diff_lookup,6,FALSE))</f>
        <v>100.88199299999999</v>
      </c>
      <c r="O1055" s="21"/>
      <c r="P1055" s="21"/>
      <c r="Q1055">
        <f>VLOOKUP(Table2[[#This Row],[Home/Neutral]],pace_lookup,7,FALSE)</f>
        <v>93.7</v>
      </c>
      <c r="R1055" s="5">
        <f>VLOOKUP(Table2[[#This Row],[Visitor/Neutral]],pace_lookup,7,FALSE)</f>
        <v>101.7</v>
      </c>
      <c r="S1055" s="7"/>
      <c r="U1055" s="15"/>
      <c r="W1055" s="2">
        <f>-home-VLOOKUP(Table2[[#This Row],[Home/Neutral]],rtg_vlookup,4,FALSE)+VLOOKUP(Table2[[#This Row],[Visitor/Neutral]],rtg_vlookup,4,FALSE)</f>
        <v>-7.9586885245901655</v>
      </c>
      <c r="X1055" s="15"/>
      <c r="Y1055" s="2"/>
      <c r="Z1055" s="2">
        <f>Table2[[#This Row],[A/EV]]-Table2[[#This Row],[H/EV]]</f>
        <v>-1.368752177235578</v>
      </c>
      <c r="AA1055" s="29"/>
      <c r="AB1055" s="30"/>
      <c r="AC1055" s="30"/>
      <c r="AD1055" s="30"/>
      <c r="AE1055" s="30"/>
      <c r="AF1055" s="7" t="b">
        <f>IF(VLOOKUP(Table2[[#This Row],[Home/Neutral]],division_lookup,9,FALSE)=VLOOKUP(Table2[[#This Row],[Visitor/Neutral]],division_lookup,9,FALSE),TRUE,FALSE)</f>
        <v>0</v>
      </c>
      <c r="AG1055" s="15" t="str">
        <f>VLOOKUP(Table2[[#This Row],[Home/Neutral]],division_lookup,9,FALSE)</f>
        <v>SE</v>
      </c>
      <c r="AH1055" s="15" t="str">
        <f>IF(Table2[[#This Row],[Total/EV]]&lt;Table2[[#This Row],[Total/V]],"UNDER","OVER")</f>
        <v>OVER</v>
      </c>
      <c r="AI1055" s="26">
        <f>Table2[[#This Row],[SRS/Real]]-Table2[[#This Row],[Spread/V]]</f>
        <v>0</v>
      </c>
      <c r="AJ1055" s="2">
        <f>Table2[[#This Row],[EV/Real]]-Table2[[#This Row],[Spread/V]]</f>
        <v>0</v>
      </c>
      <c r="AK1055" s="2">
        <f>Table2[[#This Row],[SRS/Diff]]-Table2[[#This Row],[EV/Diff]]</f>
        <v>0</v>
      </c>
      <c r="AL1055" s="18">
        <f>Table2[[#This Row],[SRS]]-Table2[[#This Row],[Spread]]</f>
        <v>-7.9586885245901655</v>
      </c>
      <c r="AM1055" s="21">
        <f>Table2[[#This Row],[(A) Err]]^2</f>
        <v>63.340723031443183</v>
      </c>
      <c r="AN1055" s="6">
        <f>Table2[[#This Row],[EV]]-Table2[[#This Row],[Spread]]</f>
        <v>-1.368752177235578</v>
      </c>
      <c r="AO1055" s="1">
        <f>Table2[[#This Row],[EV Err]]^2</f>
        <v>1.873482522687135</v>
      </c>
      <c r="AP1055" s="1"/>
    </row>
    <row r="1056" spans="1:42" x14ac:dyDescent="0.25">
      <c r="A1056" s="34">
        <v>42816</v>
      </c>
      <c r="B1056" t="s">
        <v>126</v>
      </c>
      <c r="C1056" t="s">
        <v>134</v>
      </c>
      <c r="E1056" s="21"/>
      <c r="G1056" s="21"/>
      <c r="H1056" s="7"/>
      <c r="I1056" s="21"/>
      <c r="K1056"/>
      <c r="L1056" s="21">
        <f>(Table2[[#This Row],[H/Pace]]/100)*(VLOOKUP(Table2[[#This Row],[Home/Neutral]],home_lookup,8,FALSE)+VLOOKUP(Table2[[#This Row],[Home/Neutral]],OFR_lookup,2,FALSE)+VLOOKUP(Table2[[#This Row],[Visitor/Neutral]],def_diff_lookup,6,FALSE))</f>
        <v>113.60093777050787</v>
      </c>
      <c r="M1056" s="21"/>
      <c r="N1056" s="21">
        <f>(Table2[[#This Row],[A/Pace]]/100)*(VLOOKUP(Table2[[#This Row],[Visitor/Neutral]],OFR_lookup,2,FALSE)+VLOOKUP(Table2[[#This Row],[Home/Neutral]],def_diff_lookup,6,FALSE))</f>
        <v>108.24655266666666</v>
      </c>
      <c r="O1056" s="21"/>
      <c r="P1056" s="21"/>
      <c r="Q1056">
        <f>VLOOKUP(Table2[[#This Row],[Home/Neutral]],pace_lookup,7,FALSE)</f>
        <v>95.7</v>
      </c>
      <c r="R1056" s="5">
        <f>VLOOKUP(Table2[[#This Row],[Visitor/Neutral]],pace_lookup,7,FALSE)</f>
        <v>93.4</v>
      </c>
      <c r="S1056" s="7"/>
      <c r="U1056" s="15"/>
      <c r="W1056" s="2">
        <f>-home-VLOOKUP(Table2[[#This Row],[Home/Neutral]],rtg_vlookup,4,FALSE)+VLOOKUP(Table2[[#This Row],[Visitor/Neutral]],rtg_vlookup,4,FALSE)</f>
        <v>5.7913114754098336</v>
      </c>
      <c r="X1056" s="15"/>
      <c r="Y1056" s="2"/>
      <c r="Z1056" s="2">
        <f>Table2[[#This Row],[A/EV]]-Table2[[#This Row],[H/EV]]</f>
        <v>-5.35438510384121</v>
      </c>
      <c r="AA1056" s="29"/>
      <c r="AB1056" s="30"/>
      <c r="AC1056" s="30"/>
      <c r="AD1056" s="30"/>
      <c r="AE1056" s="30"/>
      <c r="AF1056" s="7" t="b">
        <f>IF(VLOOKUP(Table2[[#This Row],[Home/Neutral]],division_lookup,9,FALSE)=VLOOKUP(Table2[[#This Row],[Visitor/Neutral]],division_lookup,9,FALSE),TRUE,FALSE)</f>
        <v>0</v>
      </c>
      <c r="AG1056" s="15" t="str">
        <f>VLOOKUP(Table2[[#This Row],[Home/Neutral]],division_lookup,9,FALSE)</f>
        <v>NW</v>
      </c>
      <c r="AH1056" s="15" t="str">
        <f>IF(Table2[[#This Row],[Total/EV]]&lt;Table2[[#This Row],[Total/V]],"UNDER","OVER")</f>
        <v>OVER</v>
      </c>
      <c r="AI1056" s="26">
        <f>Table2[[#This Row],[SRS/Real]]-Table2[[#This Row],[Spread/V]]</f>
        <v>0</v>
      </c>
      <c r="AJ1056" s="2">
        <f>Table2[[#This Row],[EV/Real]]-Table2[[#This Row],[Spread/V]]</f>
        <v>0</v>
      </c>
      <c r="AK1056" s="2">
        <f>Table2[[#This Row],[SRS/Diff]]-Table2[[#This Row],[EV/Diff]]</f>
        <v>0</v>
      </c>
      <c r="AL1056" s="18">
        <f>Table2[[#This Row],[SRS]]-Table2[[#This Row],[Spread]]</f>
        <v>5.7913114754098336</v>
      </c>
      <c r="AM1056" s="21">
        <f>Table2[[#This Row],[(A) Err]]^2</f>
        <v>33.539288605213621</v>
      </c>
      <c r="AN1056" s="6">
        <f>Table2[[#This Row],[EV]]-Table2[[#This Row],[Spread]]</f>
        <v>-5.35438510384121</v>
      </c>
      <c r="AO1056" s="1">
        <f>Table2[[#This Row],[EV Err]]^2</f>
        <v>28.669439840236645</v>
      </c>
      <c r="AP1056" s="1"/>
    </row>
    <row r="1057" spans="1:42" x14ac:dyDescent="0.25">
      <c r="A1057" s="34">
        <v>42816</v>
      </c>
      <c r="B1057" t="s">
        <v>127</v>
      </c>
      <c r="C1057" t="s">
        <v>123</v>
      </c>
      <c r="E1057" s="21"/>
      <c r="G1057" s="21"/>
      <c r="H1057" s="7"/>
      <c r="I1057" s="21"/>
      <c r="K1057"/>
      <c r="L1057" s="21">
        <f>(Table2[[#This Row],[H/Pace]]/100)*(VLOOKUP(Table2[[#This Row],[Home/Neutral]],home_lookup,8,FALSE)+VLOOKUP(Table2[[#This Row],[Home/Neutral]],OFR_lookup,2,FALSE)+VLOOKUP(Table2[[#This Row],[Visitor/Neutral]],def_diff_lookup,6,FALSE))</f>
        <v>99.154354937430469</v>
      </c>
      <c r="M1057" s="21"/>
      <c r="N1057" s="21">
        <f>(Table2[[#This Row],[A/Pace]]/100)*(VLOOKUP(Table2[[#This Row],[Visitor/Neutral]],OFR_lookup,2,FALSE)+VLOOKUP(Table2[[#This Row],[Home/Neutral]],def_diff_lookup,6,FALSE))</f>
        <v>94.808491666666654</v>
      </c>
      <c r="O1057" s="21"/>
      <c r="P1057" s="21"/>
      <c r="Q1057">
        <f>VLOOKUP(Table2[[#This Row],[Home/Neutral]],pace_lookup,7,FALSE)</f>
        <v>99.3</v>
      </c>
      <c r="R1057" s="5">
        <f>VLOOKUP(Table2[[#This Row],[Visitor/Neutral]],pace_lookup,7,FALSE)</f>
        <v>92.5</v>
      </c>
      <c r="S1057" s="7"/>
      <c r="U1057" s="15"/>
      <c r="W1057" s="2">
        <f>-home-VLOOKUP(Table2[[#This Row],[Home/Neutral]],rtg_vlookup,4,FALSE)+VLOOKUP(Table2[[#This Row],[Visitor/Neutral]],rtg_vlookup,4,FALSE)</f>
        <v>0.56131147540983439</v>
      </c>
      <c r="X1057" s="15"/>
      <c r="Y1057" s="2"/>
      <c r="Z1057" s="2">
        <f>Table2[[#This Row],[A/EV]]-Table2[[#This Row],[H/EV]]</f>
        <v>-4.3458632707638145</v>
      </c>
      <c r="AA1057" s="29"/>
      <c r="AB1057" s="30"/>
      <c r="AC1057" s="30"/>
      <c r="AD1057" s="30"/>
      <c r="AE1057" s="30"/>
      <c r="AF1057" s="7" t="b">
        <f>IF(VLOOKUP(Table2[[#This Row],[Home/Neutral]],division_lookup,9,FALSE)=VLOOKUP(Table2[[#This Row],[Visitor/Neutral]],division_lookup,9,FALSE),TRUE,FALSE)</f>
        <v>1</v>
      </c>
      <c r="AG1057" s="15" t="str">
        <f>VLOOKUP(Table2[[#This Row],[Home/Neutral]],division_lookup,9,FALSE)</f>
        <v>SW</v>
      </c>
      <c r="AH1057" s="15" t="str">
        <f>IF(Table2[[#This Row],[Total/EV]]&lt;Table2[[#This Row],[Total/V]],"UNDER","OVER")</f>
        <v>OVER</v>
      </c>
      <c r="AI1057" s="26">
        <f>Table2[[#This Row],[SRS/Real]]-Table2[[#This Row],[Spread/V]]</f>
        <v>0</v>
      </c>
      <c r="AJ1057" s="2">
        <f>Table2[[#This Row],[EV/Real]]-Table2[[#This Row],[Spread/V]]</f>
        <v>0</v>
      </c>
      <c r="AK1057" s="2">
        <f>Table2[[#This Row],[SRS/Diff]]-Table2[[#This Row],[EV/Diff]]</f>
        <v>0</v>
      </c>
      <c r="AL1057" s="18">
        <f>Table2[[#This Row],[SRS]]-Table2[[#This Row],[Spread]]</f>
        <v>0.56131147540983439</v>
      </c>
      <c r="AM1057" s="21">
        <f>Table2[[#This Row],[(A) Err]]^2</f>
        <v>0.31507057242676512</v>
      </c>
      <c r="AN1057" s="6">
        <f>Table2[[#This Row],[EV]]-Table2[[#This Row],[Spread]]</f>
        <v>-4.3458632707638145</v>
      </c>
      <c r="AO1057" s="1">
        <f>Table2[[#This Row],[EV Err]]^2</f>
        <v>18.88652756817396</v>
      </c>
      <c r="AP1057" s="1"/>
    </row>
    <row r="1058" spans="1:42" x14ac:dyDescent="0.25">
      <c r="A1058" s="34">
        <v>42816</v>
      </c>
      <c r="B1058" t="s">
        <v>132</v>
      </c>
      <c r="C1058" t="s">
        <v>125</v>
      </c>
      <c r="E1058" s="21"/>
      <c r="G1058" s="21"/>
      <c r="H1058" s="7"/>
      <c r="I1058" s="21"/>
      <c r="K1058"/>
      <c r="L1058" s="21">
        <f>(Table2[[#This Row],[H/Pace]]/100)*(VLOOKUP(Table2[[#This Row],[Home/Neutral]],home_lookup,8,FALSE)+VLOOKUP(Table2[[#This Row],[Home/Neutral]],OFR_lookup,2,FALSE)+VLOOKUP(Table2[[#This Row],[Visitor/Neutral]],def_diff_lookup,6,FALSE))</f>
        <v>111.01978144606979</v>
      </c>
      <c r="M1058" s="21"/>
      <c r="N1058" s="21">
        <f>(Table2[[#This Row],[A/Pace]]/100)*(VLOOKUP(Table2[[#This Row],[Visitor/Neutral]],OFR_lookup,2,FALSE)+VLOOKUP(Table2[[#This Row],[Home/Neutral]],def_diff_lookup,6,FALSE))</f>
        <v>107.40680566666666</v>
      </c>
      <c r="O1058" s="21"/>
      <c r="P1058" s="21"/>
      <c r="Q1058">
        <f>VLOOKUP(Table2[[#This Row],[Home/Neutral]],pace_lookup,7,FALSE)</f>
        <v>98.8</v>
      </c>
      <c r="R1058" s="5">
        <f>VLOOKUP(Table2[[#This Row],[Visitor/Neutral]],pace_lookup,7,FALSE)</f>
        <v>96.1</v>
      </c>
      <c r="S1058" s="7"/>
      <c r="U1058" s="15"/>
      <c r="W1058" s="2">
        <f>-home-VLOOKUP(Table2[[#This Row],[Home/Neutral]],rtg_vlookup,4,FALSE)+VLOOKUP(Table2[[#This Row],[Visitor/Neutral]],rtg_vlookup,4,FALSE)</f>
        <v>-2.8186885245901658</v>
      </c>
      <c r="X1058" s="15"/>
      <c r="Y1058" s="2"/>
      <c r="Z1058" s="2">
        <f>Table2[[#This Row],[A/EV]]-Table2[[#This Row],[H/EV]]</f>
        <v>-3.6129757794031292</v>
      </c>
      <c r="AA1058" s="29"/>
      <c r="AB1058" s="30"/>
      <c r="AC1058" s="30"/>
      <c r="AD1058" s="30"/>
      <c r="AE1058" s="30"/>
      <c r="AF1058" s="7" t="b">
        <f>IF(VLOOKUP(Table2[[#This Row],[Home/Neutral]],division_lookup,9,FALSE)=VLOOKUP(Table2[[#This Row],[Visitor/Neutral]],division_lookup,9,FALSE),TRUE,FALSE)</f>
        <v>0</v>
      </c>
      <c r="AG1058" s="15" t="str">
        <f>VLOOKUP(Table2[[#This Row],[Home/Neutral]],division_lookup,9,FALSE)</f>
        <v>NW</v>
      </c>
      <c r="AH1058" s="15" t="str">
        <f>IF(Table2[[#This Row],[Total/EV]]&lt;Table2[[#This Row],[Total/V]],"UNDER","OVER")</f>
        <v>OVER</v>
      </c>
      <c r="AI1058" s="26">
        <f>Table2[[#This Row],[SRS/Real]]-Table2[[#This Row],[Spread/V]]</f>
        <v>0</v>
      </c>
      <c r="AJ1058" s="2">
        <f>Table2[[#This Row],[EV/Real]]-Table2[[#This Row],[Spread/V]]</f>
        <v>0</v>
      </c>
      <c r="AK1058" s="2">
        <f>Table2[[#This Row],[SRS/Diff]]-Table2[[#This Row],[EV/Diff]]</f>
        <v>0</v>
      </c>
      <c r="AL1058" s="18">
        <f>Table2[[#This Row],[SRS]]-Table2[[#This Row],[Spread]]</f>
        <v>-2.8186885245901658</v>
      </c>
      <c r="AM1058" s="21">
        <f>Table2[[#This Row],[(A) Err]]^2</f>
        <v>7.9450049986562856</v>
      </c>
      <c r="AN1058" s="6">
        <f>Table2[[#This Row],[EV]]-Table2[[#This Row],[Spread]]</f>
        <v>-3.6129757794031292</v>
      </c>
      <c r="AO1058" s="1">
        <f>Table2[[#This Row],[EV Err]]^2</f>
        <v>13.053593982553648</v>
      </c>
      <c r="AP1058" s="1"/>
    </row>
    <row r="1059" spans="1:42" x14ac:dyDescent="0.25">
      <c r="A1059" s="34">
        <v>42816</v>
      </c>
      <c r="B1059" t="s">
        <v>135</v>
      </c>
      <c r="C1059" t="s">
        <v>113</v>
      </c>
      <c r="E1059" s="21"/>
      <c r="G1059" s="21"/>
      <c r="H1059" s="7"/>
      <c r="I1059" s="21"/>
      <c r="K1059"/>
      <c r="L1059" s="21">
        <f>(Table2[[#This Row],[H/Pace]]/100)*(VLOOKUP(Table2[[#This Row],[Home/Neutral]],home_lookup,8,FALSE)+VLOOKUP(Table2[[#This Row],[Home/Neutral]],OFR_lookup,2,FALSE)+VLOOKUP(Table2[[#This Row],[Visitor/Neutral]],def_diff_lookup,6,FALSE))</f>
        <v>109.22970035324614</v>
      </c>
      <c r="M1059" s="21"/>
      <c r="N1059" s="21">
        <f>(Table2[[#This Row],[A/Pace]]/100)*(VLOOKUP(Table2[[#This Row],[Visitor/Neutral]],OFR_lookup,2,FALSE)+VLOOKUP(Table2[[#This Row],[Home/Neutral]],def_diff_lookup,6,FALSE))</f>
        <v>106.270129</v>
      </c>
      <c r="O1059" s="21"/>
      <c r="P1059" s="21"/>
      <c r="Q1059">
        <f>VLOOKUP(Table2[[#This Row],[Home/Neutral]],pace_lookup,7,FALSE)</f>
        <v>95.4</v>
      </c>
      <c r="R1059" s="5">
        <f>VLOOKUP(Table2[[#This Row],[Visitor/Neutral]],pace_lookup,7,FALSE)</f>
        <v>95.1</v>
      </c>
      <c r="S1059" s="7"/>
      <c r="U1059" s="15"/>
      <c r="W1059" s="2">
        <f>-home-VLOOKUP(Table2[[#This Row],[Home/Neutral]],rtg_vlookup,4,FALSE)+VLOOKUP(Table2[[#This Row],[Visitor/Neutral]],rtg_vlookup,4,FALSE)</f>
        <v>-4.0686885245901649</v>
      </c>
      <c r="X1059" s="15"/>
      <c r="Y1059" s="2"/>
      <c r="Z1059" s="2">
        <f>Table2[[#This Row],[A/EV]]-Table2[[#This Row],[H/EV]]</f>
        <v>-2.9595713532461474</v>
      </c>
      <c r="AA1059" s="29"/>
      <c r="AB1059" s="30"/>
      <c r="AC1059" s="30"/>
      <c r="AD1059" s="30"/>
      <c r="AE1059" s="30"/>
      <c r="AF1059" s="7" t="b">
        <f>IF(VLOOKUP(Table2[[#This Row],[Home/Neutral]],division_lookup,9,FALSE)=VLOOKUP(Table2[[#This Row],[Visitor/Neutral]],division_lookup,9,FALSE),TRUE,FALSE)</f>
        <v>0</v>
      </c>
      <c r="AG1059" s="15" t="str">
        <f>VLOOKUP(Table2[[#This Row],[Home/Neutral]],division_lookup,9,FALSE)</f>
        <v>A</v>
      </c>
      <c r="AH1059" s="15" t="str">
        <f>IF(Table2[[#This Row],[Total/EV]]&lt;Table2[[#This Row],[Total/V]],"UNDER","OVER")</f>
        <v>OVER</v>
      </c>
      <c r="AI1059" s="26">
        <f>Table2[[#This Row],[SRS/Real]]-Table2[[#This Row],[Spread/V]]</f>
        <v>0</v>
      </c>
      <c r="AJ1059" s="2">
        <f>Table2[[#This Row],[EV/Real]]-Table2[[#This Row],[Spread/V]]</f>
        <v>0</v>
      </c>
      <c r="AK1059" s="2">
        <f>Table2[[#This Row],[SRS/Diff]]-Table2[[#This Row],[EV/Diff]]</f>
        <v>0</v>
      </c>
      <c r="AL1059" s="18">
        <f>Table2[[#This Row],[SRS]]-Table2[[#This Row],[Spread]]</f>
        <v>-4.0686885245901649</v>
      </c>
      <c r="AM1059" s="21">
        <f>Table2[[#This Row],[(A) Err]]^2</f>
        <v>16.554226310131693</v>
      </c>
      <c r="AN1059" s="6">
        <f>Table2[[#This Row],[EV]]-Table2[[#This Row],[Spread]]</f>
        <v>-2.9595713532461474</v>
      </c>
      <c r="AO1059" s="1">
        <f>Table2[[#This Row],[EV Err]]^2</f>
        <v>8.7590625949552319</v>
      </c>
      <c r="AP1059" s="1"/>
    </row>
    <row r="1060" spans="1:42" x14ac:dyDescent="0.25">
      <c r="A1060" s="34">
        <v>42817</v>
      </c>
      <c r="B1060" t="s">
        <v>110</v>
      </c>
      <c r="C1060" t="s">
        <v>120</v>
      </c>
      <c r="E1060" s="21"/>
      <c r="G1060" s="21"/>
      <c r="H1060" s="7"/>
      <c r="I1060" s="21"/>
      <c r="K1060"/>
      <c r="L1060" s="21">
        <f>(Table2[[#This Row],[H/Pace]]/100)*(VLOOKUP(Table2[[#This Row],[Home/Neutral]],home_lookup,8,FALSE)+VLOOKUP(Table2[[#This Row],[Home/Neutral]],OFR_lookup,2,FALSE)+VLOOKUP(Table2[[#This Row],[Visitor/Neutral]],def_diff_lookup,6,FALSE))</f>
        <v>107.45619118900939</v>
      </c>
      <c r="M1060" s="21"/>
      <c r="N1060" s="21">
        <f>(Table2[[#This Row],[A/Pace]]/100)*(VLOOKUP(Table2[[#This Row],[Visitor/Neutral]],OFR_lookup,2,FALSE)+VLOOKUP(Table2[[#This Row],[Home/Neutral]],def_diff_lookup,6,FALSE))</f>
        <v>102.65043033333333</v>
      </c>
      <c r="O1060" s="21"/>
      <c r="P1060" s="21"/>
      <c r="Q1060">
        <f>VLOOKUP(Table2[[#This Row],[Home/Neutral]],pace_lookup,7,FALSE)</f>
        <v>96.2</v>
      </c>
      <c r="R1060" s="5">
        <f>VLOOKUP(Table2[[#This Row],[Visitor/Neutral]],pace_lookup,7,FALSE)</f>
        <v>98.3</v>
      </c>
      <c r="S1060" s="7"/>
      <c r="U1060" s="15"/>
      <c r="W1060" s="2">
        <f>-home-VLOOKUP(Table2[[#This Row],[Home/Neutral]],rtg_vlookup,4,FALSE)+VLOOKUP(Table2[[#This Row],[Visitor/Neutral]],rtg_vlookup,4,FALSE)</f>
        <v>-7.9586885245901655</v>
      </c>
      <c r="X1060" s="15"/>
      <c r="Y1060" s="2"/>
      <c r="Z1060" s="2">
        <f>Table2[[#This Row],[A/EV]]-Table2[[#This Row],[H/EV]]</f>
        <v>-4.8057608556760556</v>
      </c>
      <c r="AA1060" s="29"/>
      <c r="AB1060" s="30"/>
      <c r="AC1060" s="30"/>
      <c r="AD1060" s="30"/>
      <c r="AE1060" s="30"/>
      <c r="AF1060" s="7" t="b">
        <f>IF(VLOOKUP(Table2[[#This Row],[Home/Neutral]],division_lookup,9,FALSE)=VLOOKUP(Table2[[#This Row],[Visitor/Neutral]],division_lookup,9,FALSE),TRUE,FALSE)</f>
        <v>0</v>
      </c>
      <c r="AG1060" s="15" t="str">
        <f>VLOOKUP(Table2[[#This Row],[Home/Neutral]],division_lookup,9,FALSE)</f>
        <v>A</v>
      </c>
      <c r="AH1060" s="15" t="str">
        <f>IF(Table2[[#This Row],[Total/EV]]&lt;Table2[[#This Row],[Total/V]],"UNDER","OVER")</f>
        <v>OVER</v>
      </c>
      <c r="AI1060" s="26">
        <f>Table2[[#This Row],[SRS/Real]]-Table2[[#This Row],[Spread/V]]</f>
        <v>0</v>
      </c>
      <c r="AJ1060" s="2">
        <f>Table2[[#This Row],[EV/Real]]-Table2[[#This Row],[Spread/V]]</f>
        <v>0</v>
      </c>
      <c r="AK1060" s="2">
        <f>Table2[[#This Row],[SRS/Diff]]-Table2[[#This Row],[EV/Diff]]</f>
        <v>0</v>
      </c>
      <c r="AL1060" s="18">
        <f>Table2[[#This Row],[SRS]]-Table2[[#This Row],[Spread]]</f>
        <v>-7.9586885245901655</v>
      </c>
      <c r="AM1060" s="21">
        <f>Table2[[#This Row],[(A) Err]]^2</f>
        <v>63.340723031443183</v>
      </c>
      <c r="AN1060" s="6">
        <f>Table2[[#This Row],[EV]]-Table2[[#This Row],[Spread]]</f>
        <v>-4.8057608556760556</v>
      </c>
      <c r="AO1060" s="1">
        <f>Table2[[#This Row],[EV Err]]^2</f>
        <v>23.095337401948253</v>
      </c>
      <c r="AP1060" s="1"/>
    </row>
    <row r="1061" spans="1:42" x14ac:dyDescent="0.25">
      <c r="A1061" s="34">
        <v>42817</v>
      </c>
      <c r="B1061" t="s">
        <v>113</v>
      </c>
      <c r="C1061" t="s">
        <v>117</v>
      </c>
      <c r="E1061" s="21"/>
      <c r="G1061" s="21"/>
      <c r="H1061" s="7"/>
      <c r="I1061" s="21"/>
      <c r="K1061"/>
      <c r="L1061" s="21">
        <f>(Table2[[#This Row],[H/Pace]]/100)*(VLOOKUP(Table2[[#This Row],[Home/Neutral]],home_lookup,8,FALSE)+VLOOKUP(Table2[[#This Row],[Home/Neutral]],OFR_lookup,2,FALSE)+VLOOKUP(Table2[[#This Row],[Visitor/Neutral]],def_diff_lookup,6,FALSE))</f>
        <v>105.42907388016279</v>
      </c>
      <c r="M1061" s="21"/>
      <c r="N1061" s="21">
        <f>(Table2[[#This Row],[A/Pace]]/100)*(VLOOKUP(Table2[[#This Row],[Visitor/Neutral]],OFR_lookup,2,FALSE)+VLOOKUP(Table2[[#This Row],[Home/Neutral]],def_diff_lookup,6,FALSE))</f>
        <v>97.64312666666666</v>
      </c>
      <c r="O1061" s="21"/>
      <c r="P1061" s="21"/>
      <c r="Q1061">
        <f>VLOOKUP(Table2[[#This Row],[Home/Neutral]],pace_lookup,7,FALSE)</f>
        <v>95.1</v>
      </c>
      <c r="R1061" s="5">
        <f>VLOOKUP(Table2[[#This Row],[Visitor/Neutral]],pace_lookup,7,FALSE)</f>
        <v>94</v>
      </c>
      <c r="S1061" s="7"/>
      <c r="U1061" s="15"/>
      <c r="W1061" s="2">
        <f>-home-VLOOKUP(Table2[[#This Row],[Home/Neutral]],rtg_vlookup,4,FALSE)+VLOOKUP(Table2[[#This Row],[Visitor/Neutral]],rtg_vlookup,4,FALSE)</f>
        <v>-5.8586885245901659</v>
      </c>
      <c r="X1061" s="15"/>
      <c r="Y1061" s="2"/>
      <c r="Z1061" s="2">
        <f>Table2[[#This Row],[A/EV]]-Table2[[#This Row],[H/EV]]</f>
        <v>-7.7859472134961294</v>
      </c>
      <c r="AA1061" s="29"/>
      <c r="AB1061" s="30"/>
      <c r="AC1061" s="30"/>
      <c r="AD1061" s="30"/>
      <c r="AE1061" s="30"/>
      <c r="AF1061" s="7" t="b">
        <f>IF(VLOOKUP(Table2[[#This Row],[Home/Neutral]],division_lookup,9,FALSE)=VLOOKUP(Table2[[#This Row],[Visitor/Neutral]],division_lookup,9,FALSE),TRUE,FALSE)</f>
        <v>1</v>
      </c>
      <c r="AG1061" s="15" t="str">
        <f>VLOOKUP(Table2[[#This Row],[Home/Neutral]],division_lookup,9,FALSE)</f>
        <v>C</v>
      </c>
      <c r="AH1061" s="15" t="str">
        <f>IF(Table2[[#This Row],[Total/EV]]&lt;Table2[[#This Row],[Total/V]],"UNDER","OVER")</f>
        <v>OVER</v>
      </c>
      <c r="AI1061" s="26">
        <f>Table2[[#This Row],[SRS/Real]]-Table2[[#This Row],[Spread/V]]</f>
        <v>0</v>
      </c>
      <c r="AJ1061" s="2">
        <f>Table2[[#This Row],[EV/Real]]-Table2[[#This Row],[Spread/V]]</f>
        <v>0</v>
      </c>
      <c r="AK1061" s="2">
        <f>Table2[[#This Row],[SRS/Diff]]-Table2[[#This Row],[EV/Diff]]</f>
        <v>0</v>
      </c>
      <c r="AL1061" s="18">
        <f>Table2[[#This Row],[SRS]]-Table2[[#This Row],[Spread]]</f>
        <v>-5.8586885245901659</v>
      </c>
      <c r="AM1061" s="21">
        <f>Table2[[#This Row],[(A) Err]]^2</f>
        <v>34.324231228164493</v>
      </c>
      <c r="AN1061" s="6">
        <f>Table2[[#This Row],[EV]]-Table2[[#This Row],[Spread]]</f>
        <v>-7.7859472134961294</v>
      </c>
      <c r="AO1061" s="1">
        <f>Table2[[#This Row],[EV Err]]^2</f>
        <v>60.620974011348139</v>
      </c>
      <c r="AP1061" s="1"/>
    </row>
    <row r="1062" spans="1:42" x14ac:dyDescent="0.25">
      <c r="A1062" s="34">
        <v>42817</v>
      </c>
      <c r="B1062" t="s">
        <v>116</v>
      </c>
      <c r="C1062" t="s">
        <v>114</v>
      </c>
      <c r="E1062" s="21"/>
      <c r="G1062" s="21"/>
      <c r="H1062" s="7"/>
      <c r="I1062" s="21"/>
      <c r="K1062"/>
      <c r="L1062" s="21">
        <f>(Table2[[#This Row],[H/Pace]]/100)*(VLOOKUP(Table2[[#This Row],[Home/Neutral]],home_lookup,8,FALSE)+VLOOKUP(Table2[[#This Row],[Home/Neutral]],OFR_lookup,2,FALSE)+VLOOKUP(Table2[[#This Row],[Visitor/Neutral]],def_diff_lookup,6,FALSE))</f>
        <v>104.39046470161864</v>
      </c>
      <c r="M1062" s="21"/>
      <c r="N1062" s="21">
        <f>(Table2[[#This Row],[A/Pace]]/100)*(VLOOKUP(Table2[[#This Row],[Visitor/Neutral]],OFR_lookup,2,FALSE)+VLOOKUP(Table2[[#This Row],[Home/Neutral]],def_diff_lookup,6,FALSE))</f>
        <v>111.92970366666665</v>
      </c>
      <c r="O1062" s="21"/>
      <c r="P1062" s="21"/>
      <c r="Q1062">
        <f>VLOOKUP(Table2[[#This Row],[Home/Neutral]],pace_lookup,7,FALSE)</f>
        <v>99.1</v>
      </c>
      <c r="R1062" s="5">
        <f>VLOOKUP(Table2[[#This Row],[Visitor/Neutral]],pace_lookup,7,FALSE)</f>
        <v>97.3</v>
      </c>
      <c r="S1062" s="7"/>
      <c r="U1062" s="15"/>
      <c r="W1062" s="2">
        <f>-home-VLOOKUP(Table2[[#This Row],[Home/Neutral]],rtg_vlookup,4,FALSE)+VLOOKUP(Table2[[#This Row],[Visitor/Neutral]],rtg_vlookup,4,FALSE)</f>
        <v>6.6113114754098348</v>
      </c>
      <c r="X1062" s="15"/>
      <c r="Y1062" s="2"/>
      <c r="Z1062" s="2">
        <f>Table2[[#This Row],[A/EV]]-Table2[[#This Row],[H/EV]]</f>
        <v>7.5392389650480141</v>
      </c>
      <c r="AA1062" s="29"/>
      <c r="AB1062" s="30"/>
      <c r="AC1062" s="30"/>
      <c r="AD1062" s="30"/>
      <c r="AE1062" s="30"/>
      <c r="AF1062" s="7" t="b">
        <f>IF(VLOOKUP(Table2[[#This Row],[Home/Neutral]],division_lookup,9,FALSE)=VLOOKUP(Table2[[#This Row],[Visitor/Neutral]],division_lookup,9,FALSE),TRUE,FALSE)</f>
        <v>0</v>
      </c>
      <c r="AG1062" s="15" t="str">
        <f>VLOOKUP(Table2[[#This Row],[Home/Neutral]],division_lookup,9,FALSE)</f>
        <v>NW</v>
      </c>
      <c r="AH1062" s="15" t="str">
        <f>IF(Table2[[#This Row],[Total/EV]]&lt;Table2[[#This Row],[Total/V]],"UNDER","OVER")</f>
        <v>OVER</v>
      </c>
      <c r="AI1062" s="26">
        <f>Table2[[#This Row],[SRS/Real]]-Table2[[#This Row],[Spread/V]]</f>
        <v>0</v>
      </c>
      <c r="AJ1062" s="2">
        <f>Table2[[#This Row],[EV/Real]]-Table2[[#This Row],[Spread/V]]</f>
        <v>0</v>
      </c>
      <c r="AK1062" s="2">
        <f>Table2[[#This Row],[SRS/Diff]]-Table2[[#This Row],[EV/Diff]]</f>
        <v>0</v>
      </c>
      <c r="AL1062" s="18">
        <f>Table2[[#This Row],[SRS]]-Table2[[#This Row],[Spread]]</f>
        <v>6.6113114754098348</v>
      </c>
      <c r="AM1062" s="21">
        <f>Table2[[#This Row],[(A) Err]]^2</f>
        <v>43.709439424885765</v>
      </c>
      <c r="AN1062" s="6">
        <f>Table2[[#This Row],[EV]]-Table2[[#This Row],[Spread]]</f>
        <v>7.5392389650480141</v>
      </c>
      <c r="AO1062" s="1">
        <f>Table2[[#This Row],[EV Err]]^2</f>
        <v>56.84012417209825</v>
      </c>
      <c r="AP1062" s="1"/>
    </row>
    <row r="1063" spans="1:42" x14ac:dyDescent="0.25">
      <c r="A1063" s="34">
        <v>42817</v>
      </c>
      <c r="B1063" t="s">
        <v>129</v>
      </c>
      <c r="C1063" t="s">
        <v>138</v>
      </c>
      <c r="E1063" s="21"/>
      <c r="G1063" s="21"/>
      <c r="H1063" s="7"/>
      <c r="I1063" s="21"/>
      <c r="K1063"/>
      <c r="L1063" s="21">
        <f>(Table2[[#This Row],[H/Pace]]/100)*(VLOOKUP(Table2[[#This Row],[Home/Neutral]],home_lookup,8,FALSE)+VLOOKUP(Table2[[#This Row],[Home/Neutral]],OFR_lookup,2,FALSE)+VLOOKUP(Table2[[#This Row],[Visitor/Neutral]],def_diff_lookup,6,FALSE))</f>
        <v>109.11410376890107</v>
      </c>
      <c r="M1063" s="21"/>
      <c r="N1063" s="21">
        <f>(Table2[[#This Row],[A/Pace]]/100)*(VLOOKUP(Table2[[#This Row],[Visitor/Neutral]],OFR_lookup,2,FALSE)+VLOOKUP(Table2[[#This Row],[Home/Neutral]],def_diff_lookup,6,FALSE))</f>
        <v>94.414775000000006</v>
      </c>
      <c r="O1063" s="21"/>
      <c r="P1063" s="21"/>
      <c r="Q1063">
        <f>VLOOKUP(Table2[[#This Row],[Home/Neutral]],pace_lookup,7,FALSE)</f>
        <v>99</v>
      </c>
      <c r="R1063" s="5">
        <f>VLOOKUP(Table2[[#This Row],[Visitor/Neutral]],pace_lookup,7,FALSE)</f>
        <v>97.5</v>
      </c>
      <c r="S1063" s="7"/>
      <c r="U1063" s="15"/>
      <c r="W1063" s="2">
        <f>-home-VLOOKUP(Table2[[#This Row],[Home/Neutral]],rtg_vlookup,4,FALSE)+VLOOKUP(Table2[[#This Row],[Visitor/Neutral]],rtg_vlookup,4,FALSE)</f>
        <v>-13.918688524590166</v>
      </c>
      <c r="X1063" s="15"/>
      <c r="Y1063" s="2"/>
      <c r="Z1063" s="2">
        <f>Table2[[#This Row],[A/EV]]-Table2[[#This Row],[H/EV]]</f>
        <v>-14.699328768901069</v>
      </c>
      <c r="AA1063" s="29"/>
      <c r="AB1063" s="30"/>
      <c r="AC1063" s="30"/>
      <c r="AD1063" s="30"/>
      <c r="AE1063" s="30"/>
      <c r="AF1063" s="7" t="b">
        <f>IF(VLOOKUP(Table2[[#This Row],[Home/Neutral]],division_lookup,9,FALSE)=VLOOKUP(Table2[[#This Row],[Visitor/Neutral]],division_lookup,9,FALSE),TRUE,FALSE)</f>
        <v>0</v>
      </c>
      <c r="AG1063" s="15" t="str">
        <f>VLOOKUP(Table2[[#This Row],[Home/Neutral]],division_lookup,9,FALSE)</f>
        <v>NW</v>
      </c>
      <c r="AH1063" s="15" t="str">
        <f>IF(Table2[[#This Row],[Total/EV]]&lt;Table2[[#This Row],[Total/V]],"UNDER","OVER")</f>
        <v>OVER</v>
      </c>
      <c r="AI1063" s="26">
        <f>Table2[[#This Row],[SRS/Real]]-Table2[[#This Row],[Spread/V]]</f>
        <v>0</v>
      </c>
      <c r="AJ1063" s="2">
        <f>Table2[[#This Row],[EV/Real]]-Table2[[#This Row],[Spread/V]]</f>
        <v>0</v>
      </c>
      <c r="AK1063" s="2">
        <f>Table2[[#This Row],[SRS/Diff]]-Table2[[#This Row],[EV/Diff]]</f>
        <v>0</v>
      </c>
      <c r="AL1063" s="18">
        <f>Table2[[#This Row],[SRS]]-Table2[[#This Row],[Spread]]</f>
        <v>-13.918688524590166</v>
      </c>
      <c r="AM1063" s="21">
        <f>Table2[[#This Row],[(A) Err]]^2</f>
        <v>193.72989024455799</v>
      </c>
      <c r="AN1063" s="6">
        <f>Table2[[#This Row],[EV]]-Table2[[#This Row],[Spread]]</f>
        <v>-14.699328768901069</v>
      </c>
      <c r="AO1063" s="1">
        <f>Table2[[#This Row],[EV Err]]^2</f>
        <v>216.0702662562426</v>
      </c>
      <c r="AP1063" s="1"/>
    </row>
    <row r="1064" spans="1:42" x14ac:dyDescent="0.25">
      <c r="A1064" s="34">
        <v>42817</v>
      </c>
      <c r="B1064" t="s">
        <v>130</v>
      </c>
      <c r="C1064" t="s">
        <v>112</v>
      </c>
      <c r="E1064" s="21"/>
      <c r="G1064" s="21"/>
      <c r="H1064" s="7"/>
      <c r="I1064" s="21"/>
      <c r="K1064"/>
      <c r="L1064" s="21">
        <f>(Table2[[#This Row],[H/Pace]]/100)*(VLOOKUP(Table2[[#This Row],[Home/Neutral]],home_lookup,8,FALSE)+VLOOKUP(Table2[[#This Row],[Home/Neutral]],OFR_lookup,2,FALSE)+VLOOKUP(Table2[[#This Row],[Visitor/Neutral]],def_diff_lookup,6,FALSE))</f>
        <v>95.611724967109396</v>
      </c>
      <c r="M1064" s="21"/>
      <c r="N1064" s="21">
        <f>(Table2[[#This Row],[A/Pace]]/100)*(VLOOKUP(Table2[[#This Row],[Visitor/Neutral]],OFR_lookup,2,FALSE)+VLOOKUP(Table2[[#This Row],[Home/Neutral]],def_diff_lookup,6,FALSE))</f>
        <v>104.78843933333333</v>
      </c>
      <c r="O1064" s="21"/>
      <c r="P1064" s="21"/>
      <c r="Q1064">
        <f>VLOOKUP(Table2[[#This Row],[Home/Neutral]],pace_lookup,7,FALSE)</f>
        <v>94.2</v>
      </c>
      <c r="R1064" s="5">
        <f>VLOOKUP(Table2[[#This Row],[Visitor/Neutral]],pace_lookup,7,FALSE)</f>
        <v>97.4</v>
      </c>
      <c r="S1064" s="7"/>
      <c r="U1064" s="15"/>
      <c r="W1064" s="2">
        <f>-home-VLOOKUP(Table2[[#This Row],[Home/Neutral]],rtg_vlookup,4,FALSE)+VLOOKUP(Table2[[#This Row],[Visitor/Neutral]],rtg_vlookup,4,FALSE)</f>
        <v>7.891311475409835</v>
      </c>
      <c r="X1064" s="15"/>
      <c r="Y1064" s="2"/>
      <c r="Z1064" s="2">
        <f>Table2[[#This Row],[A/EV]]-Table2[[#This Row],[H/EV]]</f>
        <v>9.1767143662239334</v>
      </c>
      <c r="AA1064" s="29"/>
      <c r="AB1064" s="30"/>
      <c r="AC1064" s="30"/>
      <c r="AD1064" s="30"/>
      <c r="AE1064" s="30"/>
      <c r="AF1064" s="7" t="b">
        <f>IF(VLOOKUP(Table2[[#This Row],[Home/Neutral]],division_lookup,9,FALSE)=VLOOKUP(Table2[[#This Row],[Visitor/Neutral]],division_lookup,9,FALSE),TRUE,FALSE)</f>
        <v>1</v>
      </c>
      <c r="AG1064" s="15" t="str">
        <f>VLOOKUP(Table2[[#This Row],[Home/Neutral]],division_lookup,9,FALSE)</f>
        <v>SE</v>
      </c>
      <c r="AH1064" s="15" t="str">
        <f>IF(Table2[[#This Row],[Total/EV]]&lt;Table2[[#This Row],[Total/V]],"UNDER","OVER")</f>
        <v>OVER</v>
      </c>
      <c r="AI1064" s="26">
        <f>Table2[[#This Row],[SRS/Real]]-Table2[[#This Row],[Spread/V]]</f>
        <v>0</v>
      </c>
      <c r="AJ1064" s="2">
        <f>Table2[[#This Row],[EV/Real]]-Table2[[#This Row],[Spread/V]]</f>
        <v>0</v>
      </c>
      <c r="AK1064" s="2">
        <f>Table2[[#This Row],[SRS/Diff]]-Table2[[#This Row],[EV/Diff]]</f>
        <v>0</v>
      </c>
      <c r="AL1064" s="18">
        <f>Table2[[#This Row],[SRS]]-Table2[[#This Row],[Spread]]</f>
        <v>7.891311475409835</v>
      </c>
      <c r="AM1064" s="21">
        <f>Table2[[#This Row],[(A) Err]]^2</f>
        <v>62.272796801934945</v>
      </c>
      <c r="AN1064" s="6">
        <f>Table2[[#This Row],[EV]]-Table2[[#This Row],[Spread]]</f>
        <v>9.1767143662239334</v>
      </c>
      <c r="AO1064" s="1">
        <f>Table2[[#This Row],[EV Err]]^2</f>
        <v>84.212086559260726</v>
      </c>
      <c r="AP1064" s="1"/>
    </row>
    <row r="1065" spans="1:42" x14ac:dyDescent="0.25">
      <c r="A1065" s="34">
        <v>42817</v>
      </c>
      <c r="B1065" t="s">
        <v>133</v>
      </c>
      <c r="C1065" t="s">
        <v>125</v>
      </c>
      <c r="E1065" s="21"/>
      <c r="G1065" s="21"/>
      <c r="H1065" s="7"/>
      <c r="I1065" s="21"/>
      <c r="K1065"/>
      <c r="L1065" s="21">
        <f>(Table2[[#This Row],[H/Pace]]/100)*(VLOOKUP(Table2[[#This Row],[Home/Neutral]],home_lookup,8,FALSE)+VLOOKUP(Table2[[#This Row],[Home/Neutral]],OFR_lookup,2,FALSE)+VLOOKUP(Table2[[#This Row],[Visitor/Neutral]],def_diff_lookup,6,FALSE))</f>
        <v>109.9919274827998</v>
      </c>
      <c r="M1065" s="21"/>
      <c r="N1065" s="21">
        <f>(Table2[[#This Row],[A/Pace]]/100)*(VLOOKUP(Table2[[#This Row],[Visitor/Neutral]],OFR_lookup,2,FALSE)+VLOOKUP(Table2[[#This Row],[Home/Neutral]],def_diff_lookup,6,FALSE))</f>
        <v>105.21572566666666</v>
      </c>
      <c r="O1065" s="21"/>
      <c r="P1065" s="21"/>
      <c r="Q1065">
        <f>VLOOKUP(Table2[[#This Row],[Home/Neutral]],pace_lookup,7,FALSE)</f>
        <v>94.2</v>
      </c>
      <c r="R1065" s="5">
        <f>VLOOKUP(Table2[[#This Row],[Visitor/Neutral]],pace_lookup,7,FALSE)</f>
        <v>96.1</v>
      </c>
      <c r="S1065" s="7"/>
      <c r="U1065" s="15"/>
      <c r="W1065" s="2">
        <f>-home-VLOOKUP(Table2[[#This Row],[Home/Neutral]],rtg_vlookup,4,FALSE)+VLOOKUP(Table2[[#This Row],[Visitor/Neutral]],rtg_vlookup,4,FALSE)</f>
        <v>-3.3386885245901659</v>
      </c>
      <c r="X1065" s="15"/>
      <c r="Y1065" s="2"/>
      <c r="Z1065" s="2">
        <f>Table2[[#This Row],[A/EV]]-Table2[[#This Row],[H/EV]]</f>
        <v>-4.7762018161331383</v>
      </c>
      <c r="AA1065" s="29"/>
      <c r="AB1065" s="30"/>
      <c r="AC1065" s="30"/>
      <c r="AD1065" s="30"/>
      <c r="AE1065" s="30"/>
      <c r="AF1065" s="7" t="b">
        <f>IF(VLOOKUP(Table2[[#This Row],[Home/Neutral]],division_lookup,9,FALSE)=VLOOKUP(Table2[[#This Row],[Visitor/Neutral]],division_lookup,9,FALSE),TRUE,FALSE)</f>
        <v>0</v>
      </c>
      <c r="AG1065" s="15" t="str">
        <f>VLOOKUP(Table2[[#This Row],[Home/Neutral]],division_lookup,9,FALSE)</f>
        <v>P</v>
      </c>
      <c r="AH1065" s="15" t="str">
        <f>IF(Table2[[#This Row],[Total/EV]]&lt;Table2[[#This Row],[Total/V]],"UNDER","OVER")</f>
        <v>OVER</v>
      </c>
      <c r="AI1065" s="26">
        <f>Table2[[#This Row],[SRS/Real]]-Table2[[#This Row],[Spread/V]]</f>
        <v>0</v>
      </c>
      <c r="AJ1065" s="2">
        <f>Table2[[#This Row],[EV/Real]]-Table2[[#This Row],[Spread/V]]</f>
        <v>0</v>
      </c>
      <c r="AK1065" s="2">
        <f>Table2[[#This Row],[SRS/Diff]]-Table2[[#This Row],[EV/Diff]]</f>
        <v>0</v>
      </c>
      <c r="AL1065" s="18">
        <f>Table2[[#This Row],[SRS]]-Table2[[#This Row],[Spread]]</f>
        <v>-3.3386885245901659</v>
      </c>
      <c r="AM1065" s="21">
        <f>Table2[[#This Row],[(A) Err]]^2</f>
        <v>11.146841064230058</v>
      </c>
      <c r="AN1065" s="6">
        <f>Table2[[#This Row],[EV]]-Table2[[#This Row],[Spread]]</f>
        <v>-4.7762018161331383</v>
      </c>
      <c r="AO1065" s="1">
        <f>Table2[[#This Row],[EV Err]]^2</f>
        <v>22.81210378843349</v>
      </c>
      <c r="AP1065" s="1"/>
    </row>
    <row r="1066" spans="1:42" x14ac:dyDescent="0.25">
      <c r="A1066" s="34">
        <v>42817</v>
      </c>
      <c r="B1066" t="s">
        <v>136</v>
      </c>
      <c r="C1066" t="s">
        <v>128</v>
      </c>
      <c r="E1066" s="21"/>
      <c r="G1066" s="21"/>
      <c r="H1066" s="7"/>
      <c r="I1066" s="21"/>
      <c r="K1066"/>
      <c r="L1066" s="21">
        <f>(Table2[[#This Row],[H/Pace]]/100)*(VLOOKUP(Table2[[#This Row],[Home/Neutral]],home_lookup,8,FALSE)+VLOOKUP(Table2[[#This Row],[Home/Neutral]],OFR_lookup,2,FALSE)+VLOOKUP(Table2[[#This Row],[Visitor/Neutral]],def_diff_lookup,6,FALSE))</f>
        <v>107.930235349919</v>
      </c>
      <c r="M1066" s="21"/>
      <c r="N1066" s="21">
        <f>(Table2[[#This Row],[A/Pace]]/100)*(VLOOKUP(Table2[[#This Row],[Visitor/Neutral]],OFR_lookup,2,FALSE)+VLOOKUP(Table2[[#This Row],[Home/Neutral]],def_diff_lookup,6,FALSE))</f>
        <v>99.618176999999989</v>
      </c>
      <c r="O1066" s="21"/>
      <c r="P1066" s="21"/>
      <c r="Q1066">
        <f>VLOOKUP(Table2[[#This Row],[Home/Neutral]],pace_lookup,7,FALSE)</f>
        <v>91.5</v>
      </c>
      <c r="R1066" s="5">
        <f>VLOOKUP(Table2[[#This Row],[Visitor/Neutral]],pace_lookup,7,FALSE)</f>
        <v>96.3</v>
      </c>
      <c r="S1066" s="7"/>
      <c r="U1066" s="15"/>
      <c r="W1066" s="2">
        <f>-home-VLOOKUP(Table2[[#This Row],[Home/Neutral]],rtg_vlookup,4,FALSE)+VLOOKUP(Table2[[#This Row],[Visitor/Neutral]],rtg_vlookup,4,FALSE)</f>
        <v>-8.8886885245901652</v>
      </c>
      <c r="X1066" s="15"/>
      <c r="Y1066" s="2"/>
      <c r="Z1066" s="2">
        <f>Table2[[#This Row],[A/EV]]-Table2[[#This Row],[H/EV]]</f>
        <v>-8.3120583499190133</v>
      </c>
      <c r="AA1066" s="29"/>
      <c r="AB1066" s="30"/>
      <c r="AC1066" s="30"/>
      <c r="AD1066" s="30"/>
      <c r="AE1066" s="30"/>
      <c r="AF1066" s="7" t="b">
        <f>IF(VLOOKUP(Table2[[#This Row],[Home/Neutral]],division_lookup,9,FALSE)=VLOOKUP(Table2[[#This Row],[Visitor/Neutral]],division_lookup,9,FALSE),TRUE,FALSE)</f>
        <v>0</v>
      </c>
      <c r="AG1066" s="15" t="str">
        <f>VLOOKUP(Table2[[#This Row],[Home/Neutral]],division_lookup,9,FALSE)</f>
        <v>NW</v>
      </c>
      <c r="AH1066" s="15" t="str">
        <f>IF(Table2[[#This Row],[Total/EV]]&lt;Table2[[#This Row],[Total/V]],"UNDER","OVER")</f>
        <v>OVER</v>
      </c>
      <c r="AI1066" s="26">
        <f>Table2[[#This Row],[SRS/Real]]-Table2[[#This Row],[Spread/V]]</f>
        <v>0</v>
      </c>
      <c r="AJ1066" s="2">
        <f>Table2[[#This Row],[EV/Real]]-Table2[[#This Row],[Spread/V]]</f>
        <v>0</v>
      </c>
      <c r="AK1066" s="2">
        <f>Table2[[#This Row],[SRS/Diff]]-Table2[[#This Row],[EV/Diff]]</f>
        <v>0</v>
      </c>
      <c r="AL1066" s="18">
        <f>Table2[[#This Row],[SRS]]-Table2[[#This Row],[Spread]]</f>
        <v>-8.8886885245901652</v>
      </c>
      <c r="AM1066" s="21">
        <f>Table2[[#This Row],[(A) Err]]^2</f>
        <v>79.008783687180895</v>
      </c>
      <c r="AN1066" s="6">
        <f>Table2[[#This Row],[EV]]-Table2[[#This Row],[Spread]]</f>
        <v>-8.3120583499190133</v>
      </c>
      <c r="AO1066" s="1">
        <f>Table2[[#This Row],[EV Err]]^2</f>
        <v>69.090314012458393</v>
      </c>
      <c r="AP1066" s="1"/>
    </row>
    <row r="1067" spans="1:42" x14ac:dyDescent="0.25">
      <c r="A1067" s="34">
        <v>42817</v>
      </c>
      <c r="B1067" t="s">
        <v>137</v>
      </c>
      <c r="C1067" t="s">
        <v>109</v>
      </c>
      <c r="E1067" s="21"/>
      <c r="G1067" s="21"/>
      <c r="H1067" s="7"/>
      <c r="I1067" s="21"/>
      <c r="K1067"/>
      <c r="L1067" s="21">
        <f>(Table2[[#This Row],[H/Pace]]/100)*(VLOOKUP(Table2[[#This Row],[Home/Neutral]],home_lookup,8,FALSE)+VLOOKUP(Table2[[#This Row],[Home/Neutral]],OFR_lookup,2,FALSE)+VLOOKUP(Table2[[#This Row],[Visitor/Neutral]],def_diff_lookup,6,FALSE))</f>
        <v>101.3017325542187</v>
      </c>
      <c r="M1067" s="21"/>
      <c r="N1067" s="21">
        <f>(Table2[[#This Row],[A/Pace]]/100)*(VLOOKUP(Table2[[#This Row],[Visitor/Neutral]],OFR_lookup,2,FALSE)+VLOOKUP(Table2[[#This Row],[Home/Neutral]],def_diff_lookup,6,FALSE))</f>
        <v>104.74098133333332</v>
      </c>
      <c r="O1067" s="21"/>
      <c r="P1067" s="21"/>
      <c r="Q1067">
        <f>VLOOKUP(Table2[[#This Row],[Home/Neutral]],pace_lookup,7,FALSE)</f>
        <v>96</v>
      </c>
      <c r="R1067" s="5">
        <f>VLOOKUP(Table2[[#This Row],[Visitor/Neutral]],pace_lookup,7,FALSE)</f>
        <v>99.2</v>
      </c>
      <c r="S1067" s="7"/>
      <c r="U1067" s="15"/>
      <c r="W1067" s="2">
        <f>-home-VLOOKUP(Table2[[#This Row],[Home/Neutral]],rtg_vlookup,4,FALSE)+VLOOKUP(Table2[[#This Row],[Visitor/Neutral]],rtg_vlookup,4,FALSE)</f>
        <v>2.4913114754098342</v>
      </c>
      <c r="X1067" s="15"/>
      <c r="Y1067" s="2"/>
      <c r="Z1067" s="2">
        <f>Table2[[#This Row],[A/EV]]-Table2[[#This Row],[H/EV]]</f>
        <v>3.4392487791146209</v>
      </c>
      <c r="AA1067" s="29"/>
      <c r="AB1067" s="30"/>
      <c r="AC1067" s="30"/>
      <c r="AD1067" s="30"/>
      <c r="AE1067" s="30"/>
      <c r="AF1067" s="7" t="b">
        <f>IF(VLOOKUP(Table2[[#This Row],[Home/Neutral]],division_lookup,9,FALSE)=VLOOKUP(Table2[[#This Row],[Visitor/Neutral]],division_lookup,9,FALSE),TRUE,FALSE)</f>
        <v>1</v>
      </c>
      <c r="AG1067" s="15" t="str">
        <f>VLOOKUP(Table2[[#This Row],[Home/Neutral]],division_lookup,9,FALSE)</f>
        <v>SE</v>
      </c>
      <c r="AH1067" s="15" t="str">
        <f>IF(Table2[[#This Row],[Total/EV]]&lt;Table2[[#This Row],[Total/V]],"UNDER","OVER")</f>
        <v>OVER</v>
      </c>
      <c r="AI1067" s="26">
        <f>Table2[[#This Row],[SRS/Real]]-Table2[[#This Row],[Spread/V]]</f>
        <v>0</v>
      </c>
      <c r="AJ1067" s="2">
        <f>Table2[[#This Row],[EV/Real]]-Table2[[#This Row],[Spread/V]]</f>
        <v>0</v>
      </c>
      <c r="AK1067" s="2">
        <f>Table2[[#This Row],[SRS/Diff]]-Table2[[#This Row],[EV/Diff]]</f>
        <v>0</v>
      </c>
      <c r="AL1067" s="18">
        <f>Table2[[#This Row],[SRS]]-Table2[[#This Row],[Spread]]</f>
        <v>2.4913114754098342</v>
      </c>
      <c r="AM1067" s="21">
        <f>Table2[[#This Row],[(A) Err]]^2</f>
        <v>6.2066328675087252</v>
      </c>
      <c r="AN1067" s="6">
        <f>Table2[[#This Row],[EV]]-Table2[[#This Row],[Spread]]</f>
        <v>3.4392487791146209</v>
      </c>
      <c r="AO1067" s="1">
        <f>Table2[[#This Row],[EV Err]]^2</f>
        <v>11.828432164641411</v>
      </c>
      <c r="AP1067" s="1"/>
    </row>
    <row r="1068" spans="1:42" x14ac:dyDescent="0.25">
      <c r="A1068" s="34">
        <v>42818</v>
      </c>
      <c r="B1068" t="s">
        <v>111</v>
      </c>
      <c r="C1068" t="s">
        <v>131</v>
      </c>
      <c r="E1068" s="21"/>
      <c r="G1068" s="21"/>
      <c r="H1068" s="7"/>
      <c r="I1068" s="21"/>
      <c r="K1068"/>
      <c r="L1068" s="21">
        <f>(Table2[[#This Row],[H/Pace]]/100)*(VLOOKUP(Table2[[#This Row],[Home/Neutral]],home_lookup,8,FALSE)+VLOOKUP(Table2[[#This Row],[Home/Neutral]],OFR_lookup,2,FALSE)+VLOOKUP(Table2[[#This Row],[Visitor/Neutral]],def_diff_lookup,6,FALSE))</f>
        <v>101.33381832771636</v>
      </c>
      <c r="M1068" s="21"/>
      <c r="N1068" s="21">
        <f>(Table2[[#This Row],[A/Pace]]/100)*(VLOOKUP(Table2[[#This Row],[Visitor/Neutral]],OFR_lookup,2,FALSE)+VLOOKUP(Table2[[#This Row],[Home/Neutral]],def_diff_lookup,6,FALSE))</f>
        <v>107.492493</v>
      </c>
      <c r="O1068" s="21"/>
      <c r="P1068" s="21"/>
      <c r="Q1068">
        <f>VLOOKUP(Table2[[#This Row],[Home/Neutral]],pace_lookup,7,FALSE)</f>
        <v>102</v>
      </c>
      <c r="R1068" s="5">
        <f>VLOOKUP(Table2[[#This Row],[Visitor/Neutral]],pace_lookup,7,FALSE)</f>
        <v>101.7</v>
      </c>
      <c r="S1068" s="7"/>
      <c r="U1068" s="15"/>
      <c r="W1068" s="2">
        <f>-home-VLOOKUP(Table2[[#This Row],[Home/Neutral]],rtg_vlookup,4,FALSE)+VLOOKUP(Table2[[#This Row],[Visitor/Neutral]],rtg_vlookup,4,FALSE)</f>
        <v>-0.37868852459016633</v>
      </c>
      <c r="X1068" s="15"/>
      <c r="Y1068" s="2"/>
      <c r="Z1068" s="2">
        <f>Table2[[#This Row],[A/EV]]-Table2[[#This Row],[H/EV]]</f>
        <v>6.1586746722836381</v>
      </c>
      <c r="AA1068" s="29"/>
      <c r="AB1068" s="30"/>
      <c r="AC1068" s="30"/>
      <c r="AD1068" s="30"/>
      <c r="AE1068" s="30"/>
      <c r="AF1068" s="7" t="b">
        <f>IF(VLOOKUP(Table2[[#This Row],[Home/Neutral]],division_lookup,9,FALSE)=VLOOKUP(Table2[[#This Row],[Visitor/Neutral]],division_lookup,9,FALSE),TRUE,FALSE)</f>
        <v>0</v>
      </c>
      <c r="AG1068" s="15" t="str">
        <f>VLOOKUP(Table2[[#This Row],[Home/Neutral]],division_lookup,9,FALSE)</f>
        <v>A</v>
      </c>
      <c r="AH1068" s="15" t="str">
        <f>IF(Table2[[#This Row],[Total/EV]]&lt;Table2[[#This Row],[Total/V]],"UNDER","OVER")</f>
        <v>OVER</v>
      </c>
      <c r="AI1068" s="26">
        <f>Table2[[#This Row],[SRS/Real]]-Table2[[#This Row],[Spread/V]]</f>
        <v>0</v>
      </c>
      <c r="AJ1068" s="2">
        <f>Table2[[#This Row],[EV/Real]]-Table2[[#This Row],[Spread/V]]</f>
        <v>0</v>
      </c>
      <c r="AK1068" s="2">
        <f>Table2[[#This Row],[SRS/Diff]]-Table2[[#This Row],[EV/Diff]]</f>
        <v>0</v>
      </c>
      <c r="AL1068" s="18">
        <f>Table2[[#This Row],[SRS]]-Table2[[#This Row],[Spread]]</f>
        <v>-0.37868852459016633</v>
      </c>
      <c r="AM1068" s="21">
        <f>Table2[[#This Row],[(A) Err]]^2</f>
        <v>0.14340499865627701</v>
      </c>
      <c r="AN1068" s="6">
        <f>Table2[[#This Row],[EV]]-Table2[[#This Row],[Spread]]</f>
        <v>6.1586746722836381</v>
      </c>
      <c r="AO1068" s="1">
        <f>Table2[[#This Row],[EV Err]]^2</f>
        <v>37.929273719027975</v>
      </c>
      <c r="AP1068" s="1"/>
    </row>
    <row r="1069" spans="1:42" x14ac:dyDescent="0.25">
      <c r="A1069" s="34">
        <v>42818</v>
      </c>
      <c r="B1069" t="s">
        <v>115</v>
      </c>
      <c r="C1069" t="s">
        <v>121</v>
      </c>
      <c r="E1069" s="21"/>
      <c r="G1069" s="21"/>
      <c r="H1069" s="7"/>
      <c r="I1069" s="21"/>
      <c r="K1069"/>
      <c r="L1069" s="21">
        <f>(Table2[[#This Row],[H/Pace]]/100)*(VLOOKUP(Table2[[#This Row],[Home/Neutral]],home_lookup,8,FALSE)+VLOOKUP(Table2[[#This Row],[Home/Neutral]],OFR_lookup,2,FALSE)+VLOOKUP(Table2[[#This Row],[Visitor/Neutral]],def_diff_lookup,6,FALSE))</f>
        <v>91.429553115967764</v>
      </c>
      <c r="M1069" s="21"/>
      <c r="N1069" s="21">
        <f>(Table2[[#This Row],[A/Pace]]/100)*(VLOOKUP(Table2[[#This Row],[Visitor/Neutral]],OFR_lookup,2,FALSE)+VLOOKUP(Table2[[#This Row],[Home/Neutral]],def_diff_lookup,6,FALSE))</f>
        <v>110.28706266666667</v>
      </c>
      <c r="O1069" s="21"/>
      <c r="P1069" s="21"/>
      <c r="Q1069">
        <f>VLOOKUP(Table2[[#This Row],[Home/Neutral]],pace_lookup,7,FALSE)</f>
        <v>92.9</v>
      </c>
      <c r="R1069" s="5">
        <f>VLOOKUP(Table2[[#This Row],[Visitor/Neutral]],pace_lookup,7,FALSE)</f>
        <v>96.4</v>
      </c>
      <c r="S1069" s="7"/>
      <c r="U1069" s="15"/>
      <c r="W1069" s="2">
        <f>-home-VLOOKUP(Table2[[#This Row],[Home/Neutral]],rtg_vlookup,4,FALSE)+VLOOKUP(Table2[[#This Row],[Visitor/Neutral]],rtg_vlookup,4,FALSE)</f>
        <v>18.811311475409834</v>
      </c>
      <c r="X1069" s="15"/>
      <c r="Y1069" s="2"/>
      <c r="Z1069" s="2">
        <f>Table2[[#This Row],[A/EV]]-Table2[[#This Row],[H/EV]]</f>
        <v>18.857509550698907</v>
      </c>
      <c r="AA1069" s="29"/>
      <c r="AB1069" s="30"/>
      <c r="AC1069" s="30"/>
      <c r="AD1069" s="30"/>
      <c r="AE1069" s="30"/>
      <c r="AF1069" s="7" t="b">
        <f>IF(VLOOKUP(Table2[[#This Row],[Home/Neutral]],division_lookup,9,FALSE)=VLOOKUP(Table2[[#This Row],[Visitor/Neutral]],division_lookup,9,FALSE),TRUE,FALSE)</f>
        <v>0</v>
      </c>
      <c r="AG1069" s="15" t="str">
        <f>VLOOKUP(Table2[[#This Row],[Home/Neutral]],division_lookup,9,FALSE)</f>
        <v>SW</v>
      </c>
      <c r="AH1069" s="15" t="str">
        <f>IF(Table2[[#This Row],[Total/EV]]&lt;Table2[[#This Row],[Total/V]],"UNDER","OVER")</f>
        <v>OVER</v>
      </c>
      <c r="AI1069" s="26">
        <f>Table2[[#This Row],[SRS/Real]]-Table2[[#This Row],[Spread/V]]</f>
        <v>0</v>
      </c>
      <c r="AJ1069" s="2">
        <f>Table2[[#This Row],[EV/Real]]-Table2[[#This Row],[Spread/V]]</f>
        <v>0</v>
      </c>
      <c r="AK1069" s="2">
        <f>Table2[[#This Row],[SRS/Diff]]-Table2[[#This Row],[EV/Diff]]</f>
        <v>0</v>
      </c>
      <c r="AL1069" s="18">
        <f>Table2[[#This Row],[SRS]]-Table2[[#This Row],[Spread]]</f>
        <v>18.811311475409834</v>
      </c>
      <c r="AM1069" s="21">
        <f>Table2[[#This Row],[(A) Err]]^2</f>
        <v>353.86543942488572</v>
      </c>
      <c r="AN1069" s="6">
        <f>Table2[[#This Row],[EV]]-Table2[[#This Row],[Spread]]</f>
        <v>18.857509550698907</v>
      </c>
      <c r="AO1069" s="1">
        <f>Table2[[#This Row],[EV Err]]^2</f>
        <v>355.6056664547005</v>
      </c>
      <c r="AP1069" s="1"/>
    </row>
    <row r="1070" spans="1:42" x14ac:dyDescent="0.25">
      <c r="A1070" s="34">
        <v>42818</v>
      </c>
      <c r="B1070" t="s">
        <v>124</v>
      </c>
      <c r="C1070" t="s">
        <v>135</v>
      </c>
      <c r="E1070" s="21"/>
      <c r="G1070" s="21"/>
      <c r="H1070" s="7"/>
      <c r="I1070" s="21"/>
      <c r="K1070"/>
      <c r="L1070" s="21">
        <f>(Table2[[#This Row],[H/Pace]]/100)*(VLOOKUP(Table2[[#This Row],[Home/Neutral]],home_lookup,8,FALSE)+VLOOKUP(Table2[[#This Row],[Home/Neutral]],OFR_lookup,2,FALSE)+VLOOKUP(Table2[[#This Row],[Visitor/Neutral]],def_diff_lookup,6,FALSE))</f>
        <v>102.03523517723556</v>
      </c>
      <c r="M1070" s="21"/>
      <c r="N1070" s="21">
        <f>(Table2[[#This Row],[A/Pace]]/100)*(VLOOKUP(Table2[[#This Row],[Visitor/Neutral]],OFR_lookup,2,FALSE)+VLOOKUP(Table2[[#This Row],[Home/Neutral]],def_diff_lookup,6,FALSE))</f>
        <v>106.166526</v>
      </c>
      <c r="O1070" s="21"/>
      <c r="P1070" s="21"/>
      <c r="Q1070">
        <f>VLOOKUP(Table2[[#This Row],[Home/Neutral]],pace_lookup,7,FALSE)</f>
        <v>93.7</v>
      </c>
      <c r="R1070" s="5">
        <f>VLOOKUP(Table2[[#This Row],[Visitor/Neutral]],pace_lookup,7,FALSE)</f>
        <v>95.4</v>
      </c>
      <c r="S1070" s="7"/>
      <c r="U1070" s="15"/>
      <c r="W1070" s="2">
        <f>-home-VLOOKUP(Table2[[#This Row],[Home/Neutral]],rtg_vlookup,4,FALSE)+VLOOKUP(Table2[[#This Row],[Visitor/Neutral]],rtg_vlookup,4,FALSE)</f>
        <v>4.3613114754098348</v>
      </c>
      <c r="X1070" s="15"/>
      <c r="Y1070" s="2"/>
      <c r="Z1070" s="2">
        <f>Table2[[#This Row],[A/EV]]-Table2[[#This Row],[H/EV]]</f>
        <v>4.1312908227644414</v>
      </c>
      <c r="AA1070" s="29"/>
      <c r="AB1070" s="30"/>
      <c r="AC1070" s="30"/>
      <c r="AD1070" s="30"/>
      <c r="AE1070" s="30"/>
      <c r="AF1070" s="7" t="b">
        <f>IF(VLOOKUP(Table2[[#This Row],[Home/Neutral]],division_lookup,9,FALSE)=VLOOKUP(Table2[[#This Row],[Visitor/Neutral]],division_lookup,9,FALSE),TRUE,FALSE)</f>
        <v>0</v>
      </c>
      <c r="AG1070" s="15" t="str">
        <f>VLOOKUP(Table2[[#This Row],[Home/Neutral]],division_lookup,9,FALSE)</f>
        <v>SE</v>
      </c>
      <c r="AH1070" s="15" t="str">
        <f>IF(Table2[[#This Row],[Total/EV]]&lt;Table2[[#This Row],[Total/V]],"UNDER","OVER")</f>
        <v>OVER</v>
      </c>
      <c r="AI1070" s="26">
        <f>Table2[[#This Row],[SRS/Real]]-Table2[[#This Row],[Spread/V]]</f>
        <v>0</v>
      </c>
      <c r="AJ1070" s="2">
        <f>Table2[[#This Row],[EV/Real]]-Table2[[#This Row],[Spread/V]]</f>
        <v>0</v>
      </c>
      <c r="AK1070" s="2">
        <f>Table2[[#This Row],[SRS/Diff]]-Table2[[#This Row],[EV/Diff]]</f>
        <v>0</v>
      </c>
      <c r="AL1070" s="18">
        <f>Table2[[#This Row],[SRS]]-Table2[[#This Row],[Spread]]</f>
        <v>4.3613114754098348</v>
      </c>
      <c r="AM1070" s="21">
        <f>Table2[[#This Row],[(A) Err]]^2</f>
        <v>19.021037785541509</v>
      </c>
      <c r="AN1070" s="6">
        <f>Table2[[#This Row],[EV]]-Table2[[#This Row],[Spread]]</f>
        <v>4.1312908227644414</v>
      </c>
      <c r="AO1070" s="1">
        <f>Table2[[#This Row],[EV Err]]^2</f>
        <v>17.067563862257696</v>
      </c>
      <c r="AP1070" s="1"/>
    </row>
    <row r="1071" spans="1:42" x14ac:dyDescent="0.25">
      <c r="A1071" s="34">
        <v>42818</v>
      </c>
      <c r="B1071" t="s">
        <v>132</v>
      </c>
      <c r="C1071" t="s">
        <v>128</v>
      </c>
      <c r="E1071" s="21"/>
      <c r="G1071" s="21"/>
      <c r="H1071" s="7"/>
      <c r="I1071" s="21"/>
      <c r="K1071"/>
      <c r="L1071" s="21">
        <f>(Table2[[#This Row],[H/Pace]]/100)*(VLOOKUP(Table2[[#This Row],[Home/Neutral]],home_lookup,8,FALSE)+VLOOKUP(Table2[[#This Row],[Home/Neutral]],OFR_lookup,2,FALSE)+VLOOKUP(Table2[[#This Row],[Visitor/Neutral]],def_diff_lookup,6,FALSE))</f>
        <v>112.0769414460698</v>
      </c>
      <c r="M1071" s="21"/>
      <c r="N1071" s="21">
        <f>(Table2[[#This Row],[A/Pace]]/100)*(VLOOKUP(Table2[[#This Row],[Visitor/Neutral]],OFR_lookup,2,FALSE)+VLOOKUP(Table2[[#This Row],[Home/Neutral]],def_diff_lookup,6,FALSE))</f>
        <v>109.25780699999999</v>
      </c>
      <c r="O1071" s="21"/>
      <c r="P1071" s="21"/>
      <c r="Q1071">
        <f>VLOOKUP(Table2[[#This Row],[Home/Neutral]],pace_lookup,7,FALSE)</f>
        <v>98.8</v>
      </c>
      <c r="R1071" s="5">
        <f>VLOOKUP(Table2[[#This Row],[Visitor/Neutral]],pace_lookup,7,FALSE)</f>
        <v>96.3</v>
      </c>
      <c r="S1071" s="7"/>
      <c r="U1071" s="15"/>
      <c r="W1071" s="2">
        <f>-home-VLOOKUP(Table2[[#This Row],[Home/Neutral]],rtg_vlookup,4,FALSE)+VLOOKUP(Table2[[#This Row],[Visitor/Neutral]],rtg_vlookup,4,FALSE)</f>
        <v>-2.1986885245901657</v>
      </c>
      <c r="X1071" s="15"/>
      <c r="Y1071" s="2"/>
      <c r="Z1071" s="2">
        <f>Table2[[#This Row],[A/EV]]-Table2[[#This Row],[H/EV]]</f>
        <v>-2.8191344460698105</v>
      </c>
      <c r="AA1071" s="29"/>
      <c r="AB1071" s="30"/>
      <c r="AC1071" s="30"/>
      <c r="AD1071" s="30"/>
      <c r="AE1071" s="30"/>
      <c r="AF1071" s="7" t="b">
        <f>IF(VLOOKUP(Table2[[#This Row],[Home/Neutral]],division_lookup,9,FALSE)=VLOOKUP(Table2[[#This Row],[Visitor/Neutral]],division_lookup,9,FALSE),TRUE,FALSE)</f>
        <v>0</v>
      </c>
      <c r="AG1071" s="15" t="str">
        <f>VLOOKUP(Table2[[#This Row],[Home/Neutral]],division_lookup,9,FALSE)</f>
        <v>NW</v>
      </c>
      <c r="AH1071" s="15" t="str">
        <f>IF(Table2[[#This Row],[Total/EV]]&lt;Table2[[#This Row],[Total/V]],"UNDER","OVER")</f>
        <v>OVER</v>
      </c>
      <c r="AI1071" s="26">
        <f>Table2[[#This Row],[SRS/Real]]-Table2[[#This Row],[Spread/V]]</f>
        <v>0</v>
      </c>
      <c r="AJ1071" s="2">
        <f>Table2[[#This Row],[EV/Real]]-Table2[[#This Row],[Spread/V]]</f>
        <v>0</v>
      </c>
      <c r="AK1071" s="2">
        <f>Table2[[#This Row],[SRS/Diff]]-Table2[[#This Row],[EV/Diff]]</f>
        <v>0</v>
      </c>
      <c r="AL1071" s="18">
        <f>Table2[[#This Row],[SRS]]-Table2[[#This Row],[Spread]]</f>
        <v>-2.1986885245901657</v>
      </c>
      <c r="AM1071" s="21">
        <f>Table2[[#This Row],[(A) Err]]^2</f>
        <v>4.8342312281644801</v>
      </c>
      <c r="AN1071" s="6">
        <f>Table2[[#This Row],[EV]]-Table2[[#This Row],[Spread]]</f>
        <v>-2.8191344460698105</v>
      </c>
      <c r="AO1071" s="1">
        <f>Table2[[#This Row],[EV Err]]^2</f>
        <v>7.9475190250173373</v>
      </c>
      <c r="AP1071" s="1"/>
    </row>
    <row r="1072" spans="1:42" x14ac:dyDescent="0.25">
      <c r="A1072" s="34">
        <v>42818</v>
      </c>
      <c r="B1072" t="s">
        <v>134</v>
      </c>
      <c r="C1072" t="s">
        <v>123</v>
      </c>
      <c r="E1072" s="21"/>
      <c r="G1072" s="21"/>
      <c r="H1072" s="7"/>
      <c r="I1072" s="21"/>
      <c r="K1072"/>
      <c r="L1072" s="21">
        <f>(Table2[[#This Row],[H/Pace]]/100)*(VLOOKUP(Table2[[#This Row],[Home/Neutral]],home_lookup,8,FALSE)+VLOOKUP(Table2[[#This Row],[Home/Neutral]],OFR_lookup,2,FALSE)+VLOOKUP(Table2[[#This Row],[Visitor/Neutral]],def_diff_lookup,6,FALSE))</f>
        <v>97.357773436381933</v>
      </c>
      <c r="M1072" s="21"/>
      <c r="N1072" s="21">
        <f>(Table2[[#This Row],[A/Pace]]/100)*(VLOOKUP(Table2[[#This Row],[Visitor/Neutral]],OFR_lookup,2,FALSE)+VLOOKUP(Table2[[#This Row],[Home/Neutral]],def_diff_lookup,6,FALSE))</f>
        <v>94.752991666666674</v>
      </c>
      <c r="O1072" s="21"/>
      <c r="P1072" s="21"/>
      <c r="Q1072">
        <f>VLOOKUP(Table2[[#This Row],[Home/Neutral]],pace_lookup,7,FALSE)</f>
        <v>93.4</v>
      </c>
      <c r="R1072" s="5">
        <f>VLOOKUP(Table2[[#This Row],[Visitor/Neutral]],pace_lookup,7,FALSE)</f>
        <v>92.5</v>
      </c>
      <c r="S1072" s="7"/>
      <c r="U1072" s="15"/>
      <c r="W1072" s="2">
        <f>-home-VLOOKUP(Table2[[#This Row],[Home/Neutral]],rtg_vlookup,4,FALSE)+VLOOKUP(Table2[[#This Row],[Visitor/Neutral]],rtg_vlookup,4,FALSE)</f>
        <v>-9.4886885245901649</v>
      </c>
      <c r="X1072" s="15"/>
      <c r="Y1072" s="2"/>
      <c r="Z1072" s="2">
        <f>Table2[[#This Row],[A/EV]]-Table2[[#This Row],[H/EV]]</f>
        <v>-2.6047817697152595</v>
      </c>
      <c r="AA1072" s="29"/>
      <c r="AB1072" s="30"/>
      <c r="AC1072" s="30"/>
      <c r="AD1072" s="30"/>
      <c r="AE1072" s="30"/>
      <c r="AF1072" s="7" t="b">
        <f>IF(VLOOKUP(Table2[[#This Row],[Home/Neutral]],division_lookup,9,FALSE)=VLOOKUP(Table2[[#This Row],[Visitor/Neutral]],division_lookup,9,FALSE),TRUE,FALSE)</f>
        <v>1</v>
      </c>
      <c r="AG1072" s="15" t="str">
        <f>VLOOKUP(Table2[[#This Row],[Home/Neutral]],division_lookup,9,FALSE)</f>
        <v>SW</v>
      </c>
      <c r="AH1072" s="15" t="str">
        <f>IF(Table2[[#This Row],[Total/EV]]&lt;Table2[[#This Row],[Total/V]],"UNDER","OVER")</f>
        <v>OVER</v>
      </c>
      <c r="AI1072" s="26">
        <f>Table2[[#This Row],[SRS/Real]]-Table2[[#This Row],[Spread/V]]</f>
        <v>0</v>
      </c>
      <c r="AJ1072" s="2">
        <f>Table2[[#This Row],[EV/Real]]-Table2[[#This Row],[Spread/V]]</f>
        <v>0</v>
      </c>
      <c r="AK1072" s="2">
        <f>Table2[[#This Row],[SRS/Diff]]-Table2[[#This Row],[EV/Diff]]</f>
        <v>0</v>
      </c>
      <c r="AL1072" s="18">
        <f>Table2[[#This Row],[SRS]]-Table2[[#This Row],[Spread]]</f>
        <v>-9.4886885245901649</v>
      </c>
      <c r="AM1072" s="21">
        <f>Table2[[#This Row],[(A) Err]]^2</f>
        <v>90.035209916689084</v>
      </c>
      <c r="AN1072" s="6">
        <f>Table2[[#This Row],[EV]]-Table2[[#This Row],[Spread]]</f>
        <v>-2.6047817697152595</v>
      </c>
      <c r="AO1072" s="1">
        <f>Table2[[#This Row],[EV Err]]^2</f>
        <v>6.7848880678409591</v>
      </c>
      <c r="AP1072" s="1"/>
    </row>
    <row r="1073" spans="1:42" x14ac:dyDescent="0.25">
      <c r="A1073" s="34">
        <v>42819</v>
      </c>
      <c r="B1073" t="s">
        <v>110</v>
      </c>
      <c r="C1073" t="s">
        <v>131</v>
      </c>
      <c r="E1073" s="21"/>
      <c r="G1073" s="21"/>
      <c r="H1073" s="7"/>
      <c r="I1073" s="21"/>
      <c r="K1073"/>
      <c r="L1073" s="21">
        <f>(Table2[[#This Row],[H/Pace]]/100)*(VLOOKUP(Table2[[#This Row],[Home/Neutral]],home_lookup,8,FALSE)+VLOOKUP(Table2[[#This Row],[Home/Neutral]],OFR_lookup,2,FALSE)+VLOOKUP(Table2[[#This Row],[Visitor/Neutral]],def_diff_lookup,6,FALSE))</f>
        <v>106.8501311890094</v>
      </c>
      <c r="M1073" s="21"/>
      <c r="N1073" s="21">
        <f>(Table2[[#This Row],[A/Pace]]/100)*(VLOOKUP(Table2[[#This Row],[Visitor/Neutral]],OFR_lookup,2,FALSE)+VLOOKUP(Table2[[#This Row],[Home/Neutral]],def_diff_lookup,6,FALSE))</f>
        <v>103.86180300000001</v>
      </c>
      <c r="O1073" s="21"/>
      <c r="P1073" s="21"/>
      <c r="Q1073">
        <f>VLOOKUP(Table2[[#This Row],[Home/Neutral]],pace_lookup,7,FALSE)</f>
        <v>96.2</v>
      </c>
      <c r="R1073" s="5">
        <f>VLOOKUP(Table2[[#This Row],[Visitor/Neutral]],pace_lookup,7,FALSE)</f>
        <v>101.7</v>
      </c>
      <c r="S1073" s="7"/>
      <c r="U1073" s="15"/>
      <c r="W1073" s="2">
        <f>-home-VLOOKUP(Table2[[#This Row],[Home/Neutral]],rtg_vlookup,4,FALSE)+VLOOKUP(Table2[[#This Row],[Visitor/Neutral]],rtg_vlookup,4,FALSE)</f>
        <v>-9.6386885245901652</v>
      </c>
      <c r="X1073" s="15"/>
      <c r="Y1073" s="2"/>
      <c r="Z1073" s="2">
        <f>Table2[[#This Row],[A/EV]]-Table2[[#This Row],[H/EV]]</f>
        <v>-2.988328189009394</v>
      </c>
      <c r="AA1073" s="29"/>
      <c r="AB1073" s="30"/>
      <c r="AC1073" s="30"/>
      <c r="AD1073" s="30"/>
      <c r="AE1073" s="30"/>
      <c r="AF1073" s="7" t="b">
        <f>IF(VLOOKUP(Table2[[#This Row],[Home/Neutral]],division_lookup,9,FALSE)=VLOOKUP(Table2[[#This Row],[Visitor/Neutral]],division_lookup,9,FALSE),TRUE,FALSE)</f>
        <v>0</v>
      </c>
      <c r="AG1073" s="15" t="str">
        <f>VLOOKUP(Table2[[#This Row],[Home/Neutral]],division_lookup,9,FALSE)</f>
        <v>A</v>
      </c>
      <c r="AH1073" s="15" t="str">
        <f>IF(Table2[[#This Row],[Total/EV]]&lt;Table2[[#This Row],[Total/V]],"UNDER","OVER")</f>
        <v>OVER</v>
      </c>
      <c r="AI1073" s="26">
        <f>Table2[[#This Row],[SRS/Real]]-Table2[[#This Row],[Spread/V]]</f>
        <v>0</v>
      </c>
      <c r="AJ1073" s="2">
        <f>Table2[[#This Row],[EV/Real]]-Table2[[#This Row],[Spread/V]]</f>
        <v>0</v>
      </c>
      <c r="AK1073" s="2">
        <f>Table2[[#This Row],[SRS/Diff]]-Table2[[#This Row],[EV/Diff]]</f>
        <v>0</v>
      </c>
      <c r="AL1073" s="18">
        <f>Table2[[#This Row],[SRS]]-Table2[[#This Row],[Spread]]</f>
        <v>-9.6386885245901652</v>
      </c>
      <c r="AM1073" s="21">
        <f>Table2[[#This Row],[(A) Err]]^2</f>
        <v>92.904316474066135</v>
      </c>
      <c r="AN1073" s="6">
        <f>Table2[[#This Row],[EV]]-Table2[[#This Row],[Spread]]</f>
        <v>-2.988328189009394</v>
      </c>
      <c r="AO1073" s="1">
        <f>Table2[[#This Row],[EV Err]]^2</f>
        <v>8.9301053652281652</v>
      </c>
      <c r="AP1073" s="1"/>
    </row>
    <row r="1074" spans="1:42" x14ac:dyDescent="0.25">
      <c r="A1074" s="34">
        <v>42819</v>
      </c>
      <c r="B1074" t="s">
        <v>113</v>
      </c>
      <c r="C1074" t="s">
        <v>138</v>
      </c>
      <c r="E1074" s="21"/>
      <c r="G1074" s="21"/>
      <c r="H1074" s="7"/>
      <c r="I1074" s="21"/>
      <c r="K1074"/>
      <c r="L1074" s="21">
        <f>(Table2[[#This Row],[H/Pace]]/100)*(VLOOKUP(Table2[[#This Row],[Home/Neutral]],home_lookup,8,FALSE)+VLOOKUP(Table2[[#This Row],[Home/Neutral]],OFR_lookup,2,FALSE)+VLOOKUP(Table2[[#This Row],[Visitor/Neutral]],def_diff_lookup,6,FALSE))</f>
        <v>110.7736938801628</v>
      </c>
      <c r="M1074" s="21"/>
      <c r="N1074" s="21">
        <f>(Table2[[#This Row],[A/Pace]]/100)*(VLOOKUP(Table2[[#This Row],[Visitor/Neutral]],OFR_lookup,2,FALSE)+VLOOKUP(Table2[[#This Row],[Home/Neutral]],def_diff_lookup,6,FALSE))</f>
        <v>95.848024999999993</v>
      </c>
      <c r="O1074" s="21"/>
      <c r="P1074" s="21"/>
      <c r="Q1074">
        <f>VLOOKUP(Table2[[#This Row],[Home/Neutral]],pace_lookup,7,FALSE)</f>
        <v>95.1</v>
      </c>
      <c r="R1074" s="5">
        <f>VLOOKUP(Table2[[#This Row],[Visitor/Neutral]],pace_lookup,7,FALSE)</f>
        <v>97.5</v>
      </c>
      <c r="S1074" s="7"/>
      <c r="U1074" s="15"/>
      <c r="W1074" s="2">
        <f>-home-VLOOKUP(Table2[[#This Row],[Home/Neutral]],rtg_vlookup,4,FALSE)+VLOOKUP(Table2[[#This Row],[Visitor/Neutral]],rtg_vlookup,4,FALSE)</f>
        <v>-17.058688524590167</v>
      </c>
      <c r="X1074" s="15"/>
      <c r="Y1074" s="2"/>
      <c r="Z1074" s="2">
        <f>Table2[[#This Row],[A/EV]]-Table2[[#This Row],[H/EV]]</f>
        <v>-14.925668880162803</v>
      </c>
      <c r="AA1074" s="29"/>
      <c r="AB1074" s="30"/>
      <c r="AC1074" s="30"/>
      <c r="AD1074" s="30"/>
      <c r="AE1074" s="30"/>
      <c r="AF1074" s="7" t="b">
        <f>IF(VLOOKUP(Table2[[#This Row],[Home/Neutral]],division_lookup,9,FALSE)=VLOOKUP(Table2[[#This Row],[Visitor/Neutral]],division_lookup,9,FALSE),TRUE,FALSE)</f>
        <v>0</v>
      </c>
      <c r="AG1074" s="15" t="str">
        <f>VLOOKUP(Table2[[#This Row],[Home/Neutral]],division_lookup,9,FALSE)</f>
        <v>C</v>
      </c>
      <c r="AH1074" s="15" t="str">
        <f>IF(Table2[[#This Row],[Total/EV]]&lt;Table2[[#This Row],[Total/V]],"UNDER","OVER")</f>
        <v>OVER</v>
      </c>
      <c r="AI1074" s="26">
        <f>Table2[[#This Row],[SRS/Real]]-Table2[[#This Row],[Spread/V]]</f>
        <v>0</v>
      </c>
      <c r="AJ1074" s="2">
        <f>Table2[[#This Row],[EV/Real]]-Table2[[#This Row],[Spread/V]]</f>
        <v>0</v>
      </c>
      <c r="AK1074" s="2">
        <f>Table2[[#This Row],[SRS/Diff]]-Table2[[#This Row],[EV/Diff]]</f>
        <v>0</v>
      </c>
      <c r="AL1074" s="18">
        <f>Table2[[#This Row],[SRS]]-Table2[[#This Row],[Spread]]</f>
        <v>-17.058688524590167</v>
      </c>
      <c r="AM1074" s="21">
        <f>Table2[[#This Row],[(A) Err]]^2</f>
        <v>290.99885417898423</v>
      </c>
      <c r="AN1074" s="6">
        <f>Table2[[#This Row],[EV]]-Table2[[#This Row],[Spread]]</f>
        <v>-14.925668880162803</v>
      </c>
      <c r="AO1074" s="1">
        <f>Table2[[#This Row],[EV Err]]^2</f>
        <v>222.77559152026035</v>
      </c>
      <c r="AP1074" s="1"/>
    </row>
    <row r="1075" spans="1:42" x14ac:dyDescent="0.25">
      <c r="A1075" s="34">
        <v>42819</v>
      </c>
      <c r="B1075" t="s">
        <v>112</v>
      </c>
      <c r="C1075" t="s">
        <v>114</v>
      </c>
      <c r="E1075" s="21"/>
      <c r="G1075" s="21"/>
      <c r="H1075" s="7"/>
      <c r="I1075" s="21"/>
      <c r="K1075"/>
      <c r="L1075" s="21">
        <f>(Table2[[#This Row],[H/Pace]]/100)*(VLOOKUP(Table2[[#This Row],[Home/Neutral]],home_lookup,8,FALSE)+VLOOKUP(Table2[[#This Row],[Home/Neutral]],OFR_lookup,2,FALSE)+VLOOKUP(Table2[[#This Row],[Visitor/Neutral]],def_diff_lookup,6,FALSE))</f>
        <v>103.66354195313484</v>
      </c>
      <c r="M1075" s="21"/>
      <c r="N1075" s="21">
        <f>(Table2[[#This Row],[A/Pace]]/100)*(VLOOKUP(Table2[[#This Row],[Visitor/Neutral]],OFR_lookup,2,FALSE)+VLOOKUP(Table2[[#This Row],[Home/Neutral]],def_diff_lookup,6,FALSE))</f>
        <v>110.77183366666665</v>
      </c>
      <c r="O1075" s="21"/>
      <c r="P1075" s="21"/>
      <c r="Q1075">
        <f>VLOOKUP(Table2[[#This Row],[Home/Neutral]],pace_lookup,7,FALSE)</f>
        <v>97.4</v>
      </c>
      <c r="R1075" s="5">
        <f>VLOOKUP(Table2[[#This Row],[Visitor/Neutral]],pace_lookup,7,FALSE)</f>
        <v>97.3</v>
      </c>
      <c r="S1075" s="7"/>
      <c r="U1075" s="15"/>
      <c r="W1075" s="2">
        <f>-home-VLOOKUP(Table2[[#This Row],[Home/Neutral]],rtg_vlookup,4,FALSE)+VLOOKUP(Table2[[#This Row],[Visitor/Neutral]],rtg_vlookup,4,FALSE)</f>
        <v>3.8313114754098345</v>
      </c>
      <c r="X1075" s="15"/>
      <c r="Y1075" s="2"/>
      <c r="Z1075" s="2">
        <f>Table2[[#This Row],[A/EV]]-Table2[[#This Row],[H/EV]]</f>
        <v>7.1082917135318127</v>
      </c>
      <c r="AA1075" s="29"/>
      <c r="AB1075" s="30"/>
      <c r="AC1075" s="30"/>
      <c r="AD1075" s="30"/>
      <c r="AE1075" s="30"/>
      <c r="AF1075" s="7" t="b">
        <f>IF(VLOOKUP(Table2[[#This Row],[Home/Neutral]],division_lookup,9,FALSE)=VLOOKUP(Table2[[#This Row],[Visitor/Neutral]],division_lookup,9,FALSE),TRUE,FALSE)</f>
        <v>0</v>
      </c>
      <c r="AG1075" s="15" t="str">
        <f>VLOOKUP(Table2[[#This Row],[Home/Neutral]],division_lookup,9,FALSE)</f>
        <v>SE</v>
      </c>
      <c r="AH1075" s="15" t="str">
        <f>IF(Table2[[#This Row],[Total/EV]]&lt;Table2[[#This Row],[Total/V]],"UNDER","OVER")</f>
        <v>OVER</v>
      </c>
      <c r="AI1075" s="26">
        <f>Table2[[#This Row],[SRS/Real]]-Table2[[#This Row],[Spread/V]]</f>
        <v>0</v>
      </c>
      <c r="AJ1075" s="2">
        <f>Table2[[#This Row],[EV/Real]]-Table2[[#This Row],[Spread/V]]</f>
        <v>0</v>
      </c>
      <c r="AK1075" s="2">
        <f>Table2[[#This Row],[SRS/Diff]]-Table2[[#This Row],[EV/Diff]]</f>
        <v>0</v>
      </c>
      <c r="AL1075" s="18">
        <f>Table2[[#This Row],[SRS]]-Table2[[#This Row],[Spread]]</f>
        <v>3.8313114754098345</v>
      </c>
      <c r="AM1075" s="21">
        <f>Table2[[#This Row],[(A) Err]]^2</f>
        <v>14.678947621607083</v>
      </c>
      <c r="AN1075" s="6">
        <f>Table2[[#This Row],[EV]]-Table2[[#This Row],[Spread]]</f>
        <v>7.1082917135318127</v>
      </c>
      <c r="AO1075" s="1">
        <f>Table2[[#This Row],[EV Err]]^2</f>
        <v>50.527811084665032</v>
      </c>
      <c r="AP1075" s="1"/>
    </row>
    <row r="1076" spans="1:42" x14ac:dyDescent="0.25">
      <c r="A1076" s="34">
        <v>42819</v>
      </c>
      <c r="B1076" t="s">
        <v>118</v>
      </c>
      <c r="C1076" t="s">
        <v>133</v>
      </c>
      <c r="E1076" s="21"/>
      <c r="G1076" s="21"/>
      <c r="H1076" s="7"/>
      <c r="I1076" s="21"/>
      <c r="K1076"/>
      <c r="L1076" s="21">
        <f>(Table2[[#This Row],[H/Pace]]/100)*(VLOOKUP(Table2[[#This Row],[Home/Neutral]],home_lookup,8,FALSE)+VLOOKUP(Table2[[#This Row],[Home/Neutral]],OFR_lookup,2,FALSE)+VLOOKUP(Table2[[#This Row],[Visitor/Neutral]],def_diff_lookup,6,FALSE))</f>
        <v>118.00547838078238</v>
      </c>
      <c r="M1076" s="21"/>
      <c r="N1076" s="21">
        <f>(Table2[[#This Row],[A/Pace]]/100)*(VLOOKUP(Table2[[#This Row],[Visitor/Neutral]],OFR_lookup,2,FALSE)+VLOOKUP(Table2[[#This Row],[Home/Neutral]],def_diff_lookup,6,FALSE))</f>
        <v>100.63919800000001</v>
      </c>
      <c r="O1076" s="21"/>
      <c r="P1076" s="21"/>
      <c r="Q1076">
        <f>VLOOKUP(Table2[[#This Row],[Home/Neutral]],pace_lookup,7,FALSE)</f>
        <v>100.4</v>
      </c>
      <c r="R1076" s="5">
        <f>VLOOKUP(Table2[[#This Row],[Visitor/Neutral]],pace_lookup,7,FALSE)</f>
        <v>94.2</v>
      </c>
      <c r="S1076" s="7"/>
      <c r="U1076" s="15"/>
      <c r="W1076" s="2">
        <f>-home-VLOOKUP(Table2[[#This Row],[Home/Neutral]],rtg_vlookup,4,FALSE)+VLOOKUP(Table2[[#This Row],[Visitor/Neutral]],rtg_vlookup,4,FALSE)</f>
        <v>-16.118688524590166</v>
      </c>
      <c r="X1076" s="15"/>
      <c r="Y1076" s="2"/>
      <c r="Z1076" s="2">
        <f>Table2[[#This Row],[A/EV]]-Table2[[#This Row],[H/EV]]</f>
        <v>-17.366280380782371</v>
      </c>
      <c r="AA1076" s="29"/>
      <c r="AB1076" s="30"/>
      <c r="AC1076" s="30"/>
      <c r="AD1076" s="30"/>
      <c r="AE1076" s="30"/>
      <c r="AF1076" s="7" t="b">
        <f>IF(VLOOKUP(Table2[[#This Row],[Home/Neutral]],division_lookup,9,FALSE)=VLOOKUP(Table2[[#This Row],[Visitor/Neutral]],division_lookup,9,FALSE),TRUE,FALSE)</f>
        <v>1</v>
      </c>
      <c r="AG1076" s="15" t="str">
        <f>VLOOKUP(Table2[[#This Row],[Home/Neutral]],division_lookup,9,FALSE)</f>
        <v>P</v>
      </c>
      <c r="AH1076" s="15" t="str">
        <f>IF(Table2[[#This Row],[Total/EV]]&lt;Table2[[#This Row],[Total/V]],"UNDER","OVER")</f>
        <v>OVER</v>
      </c>
      <c r="AI1076" s="26">
        <f>Table2[[#This Row],[SRS/Real]]-Table2[[#This Row],[Spread/V]]</f>
        <v>0</v>
      </c>
      <c r="AJ1076" s="2">
        <f>Table2[[#This Row],[EV/Real]]-Table2[[#This Row],[Spread/V]]</f>
        <v>0</v>
      </c>
      <c r="AK1076" s="2">
        <f>Table2[[#This Row],[SRS/Diff]]-Table2[[#This Row],[EV/Diff]]</f>
        <v>0</v>
      </c>
      <c r="AL1076" s="18">
        <f>Table2[[#This Row],[SRS]]-Table2[[#This Row],[Spread]]</f>
        <v>-16.118688524590166</v>
      </c>
      <c r="AM1076" s="21">
        <f>Table2[[#This Row],[(A) Err]]^2</f>
        <v>259.81211975275471</v>
      </c>
      <c r="AN1076" s="6">
        <f>Table2[[#This Row],[EV]]-Table2[[#This Row],[Spread]]</f>
        <v>-17.366280380782371</v>
      </c>
      <c r="AO1076" s="1">
        <f>Table2[[#This Row],[EV Err]]^2</f>
        <v>301.58769426394667</v>
      </c>
      <c r="AP1076" s="1"/>
    </row>
    <row r="1077" spans="1:42" x14ac:dyDescent="0.25">
      <c r="A1077" s="34">
        <v>42819</v>
      </c>
      <c r="B1077" t="s">
        <v>119</v>
      </c>
      <c r="C1077" t="s">
        <v>127</v>
      </c>
      <c r="E1077" s="21"/>
      <c r="G1077" s="21"/>
      <c r="H1077" s="7"/>
      <c r="I1077" s="21"/>
      <c r="K1077"/>
      <c r="L1077" s="21">
        <f>(Table2[[#This Row],[H/Pace]]/100)*(VLOOKUP(Table2[[#This Row],[Home/Neutral]],home_lookup,8,FALSE)+VLOOKUP(Table2[[#This Row],[Home/Neutral]],OFR_lookup,2,FALSE)+VLOOKUP(Table2[[#This Row],[Visitor/Neutral]],def_diff_lookup,6,FALSE))</f>
        <v>107.65011376977627</v>
      </c>
      <c r="M1077" s="21"/>
      <c r="N1077" s="21">
        <f>(Table2[[#This Row],[A/Pace]]/100)*(VLOOKUP(Table2[[#This Row],[Visitor/Neutral]],OFR_lookup,2,FALSE)+VLOOKUP(Table2[[#This Row],[Home/Neutral]],def_diff_lookup,6,FALSE))</f>
        <v>104.677757</v>
      </c>
      <c r="O1077" s="21"/>
      <c r="P1077" s="21"/>
      <c r="Q1077">
        <f>VLOOKUP(Table2[[#This Row],[Home/Neutral]],pace_lookup,7,FALSE)</f>
        <v>96.9</v>
      </c>
      <c r="R1077" s="5">
        <f>VLOOKUP(Table2[[#This Row],[Visitor/Neutral]],pace_lookup,7,FALSE)</f>
        <v>99.3</v>
      </c>
      <c r="S1077" s="7"/>
      <c r="U1077" s="15"/>
      <c r="W1077" s="2">
        <f>-home-VLOOKUP(Table2[[#This Row],[Home/Neutral]],rtg_vlookup,4,FALSE)+VLOOKUP(Table2[[#This Row],[Visitor/Neutral]],rtg_vlookup,4,FALSE)</f>
        <v>-9.1186885245901657</v>
      </c>
      <c r="X1077" s="15"/>
      <c r="Y1077" s="2"/>
      <c r="Z1077" s="2">
        <f>Table2[[#This Row],[A/EV]]-Table2[[#This Row],[H/EV]]</f>
        <v>-2.9723567697762689</v>
      </c>
      <c r="AA1077" s="29"/>
      <c r="AB1077" s="30"/>
      <c r="AC1077" s="30"/>
      <c r="AD1077" s="30"/>
      <c r="AE1077" s="30"/>
      <c r="AF1077" s="7" t="b">
        <f>IF(VLOOKUP(Table2[[#This Row],[Home/Neutral]],division_lookup,9,FALSE)=VLOOKUP(Table2[[#This Row],[Visitor/Neutral]],division_lookup,9,FALSE),TRUE,FALSE)</f>
        <v>1</v>
      </c>
      <c r="AG1077" s="15" t="str">
        <f>VLOOKUP(Table2[[#This Row],[Home/Neutral]],division_lookup,9,FALSE)</f>
        <v>SW</v>
      </c>
      <c r="AH1077" s="15" t="str">
        <f>IF(Table2[[#This Row],[Total/EV]]&lt;Table2[[#This Row],[Total/V]],"UNDER","OVER")</f>
        <v>OVER</v>
      </c>
      <c r="AI1077" s="26">
        <f>Table2[[#This Row],[SRS/Real]]-Table2[[#This Row],[Spread/V]]</f>
        <v>0</v>
      </c>
      <c r="AJ1077" s="2">
        <f>Table2[[#This Row],[EV/Real]]-Table2[[#This Row],[Spread/V]]</f>
        <v>0</v>
      </c>
      <c r="AK1077" s="2">
        <f>Table2[[#This Row],[SRS/Diff]]-Table2[[#This Row],[EV/Diff]]</f>
        <v>0</v>
      </c>
      <c r="AL1077" s="18">
        <f>Table2[[#This Row],[SRS]]-Table2[[#This Row],[Spread]]</f>
        <v>-9.1186885245901657</v>
      </c>
      <c r="AM1077" s="21">
        <f>Table2[[#This Row],[(A) Err]]^2</f>
        <v>83.150480408492371</v>
      </c>
      <c r="AN1077" s="6">
        <f>Table2[[#This Row],[EV]]-Table2[[#This Row],[Spread]]</f>
        <v>-2.9723567697762689</v>
      </c>
      <c r="AO1077" s="1">
        <f>Table2[[#This Row],[EV Err]]^2</f>
        <v>8.834904766834816</v>
      </c>
      <c r="AP1077" s="1"/>
    </row>
    <row r="1078" spans="1:42" x14ac:dyDescent="0.25">
      <c r="A1078" s="34">
        <v>42819</v>
      </c>
      <c r="B1078" t="s">
        <v>120</v>
      </c>
      <c r="C1078" t="s">
        <v>116</v>
      </c>
      <c r="E1078" s="21"/>
      <c r="G1078" s="21"/>
      <c r="H1078" s="7"/>
      <c r="I1078" s="21"/>
      <c r="K1078"/>
      <c r="L1078" s="21">
        <f>(Table2[[#This Row],[H/Pace]]/100)*(VLOOKUP(Table2[[#This Row],[Home/Neutral]],home_lookup,8,FALSE)+VLOOKUP(Table2[[#This Row],[Home/Neutral]],OFR_lookup,2,FALSE)+VLOOKUP(Table2[[#This Row],[Visitor/Neutral]],def_diff_lookup,6,FALSE))</f>
        <v>106.2413154293086</v>
      </c>
      <c r="M1078" s="21"/>
      <c r="N1078" s="21">
        <f>(Table2[[#This Row],[A/Pace]]/100)*(VLOOKUP(Table2[[#This Row],[Visitor/Neutral]],OFR_lookup,2,FALSE)+VLOOKUP(Table2[[#This Row],[Home/Neutral]],def_diff_lookup,6,FALSE))</f>
        <v>106.96424566666666</v>
      </c>
      <c r="O1078" s="21"/>
      <c r="P1078" s="21"/>
      <c r="Q1078">
        <f>VLOOKUP(Table2[[#This Row],[Home/Neutral]],pace_lookup,7,FALSE)</f>
        <v>98.3</v>
      </c>
      <c r="R1078" s="5">
        <f>VLOOKUP(Table2[[#This Row],[Visitor/Neutral]],pace_lookup,7,FALSE)</f>
        <v>99.1</v>
      </c>
      <c r="S1078" s="7"/>
      <c r="U1078" s="15"/>
      <c r="W1078" s="2">
        <f>-home-VLOOKUP(Table2[[#This Row],[Home/Neutral]],rtg_vlookup,4,FALSE)+VLOOKUP(Table2[[#This Row],[Visitor/Neutral]],rtg_vlookup,4,FALSE)</f>
        <v>1.1813114754098346</v>
      </c>
      <c r="X1078" s="15"/>
      <c r="Y1078" s="2"/>
      <c r="Z1078" s="2">
        <f>Table2[[#This Row],[A/EV]]-Table2[[#This Row],[H/EV]]</f>
        <v>0.72293023735805662</v>
      </c>
      <c r="AA1078" s="29"/>
      <c r="AB1078" s="30"/>
      <c r="AC1078" s="30"/>
      <c r="AD1078" s="30"/>
      <c r="AE1078" s="30"/>
      <c r="AF1078" s="7" t="b">
        <f>IF(VLOOKUP(Table2[[#This Row],[Home/Neutral]],division_lookup,9,FALSE)=VLOOKUP(Table2[[#This Row],[Visitor/Neutral]],division_lookup,9,FALSE),TRUE,FALSE)</f>
        <v>0</v>
      </c>
      <c r="AG1078" s="15" t="str">
        <f>VLOOKUP(Table2[[#This Row],[Home/Neutral]],division_lookup,9,FALSE)</f>
        <v>C</v>
      </c>
      <c r="AH1078" s="15" t="str">
        <f>IF(Table2[[#This Row],[Total/EV]]&lt;Table2[[#This Row],[Total/V]],"UNDER","OVER")</f>
        <v>OVER</v>
      </c>
      <c r="AI1078" s="26">
        <f>Table2[[#This Row],[SRS/Real]]-Table2[[#This Row],[Spread/V]]</f>
        <v>0</v>
      </c>
      <c r="AJ1078" s="2">
        <f>Table2[[#This Row],[EV/Real]]-Table2[[#This Row],[Spread/V]]</f>
        <v>0</v>
      </c>
      <c r="AK1078" s="2">
        <f>Table2[[#This Row],[SRS/Diff]]-Table2[[#This Row],[EV/Diff]]</f>
        <v>0</v>
      </c>
      <c r="AL1078" s="18">
        <f>Table2[[#This Row],[SRS]]-Table2[[#This Row],[Spread]]</f>
        <v>1.1813114754098346</v>
      </c>
      <c r="AM1078" s="21">
        <f>Table2[[#This Row],[(A) Err]]^2</f>
        <v>1.3954968019349603</v>
      </c>
      <c r="AN1078" s="6">
        <f>Table2[[#This Row],[EV]]-Table2[[#This Row],[Spread]]</f>
        <v>0.72293023735805662</v>
      </c>
      <c r="AO1078" s="1">
        <f>Table2[[#This Row],[EV Err]]^2</f>
        <v>0.5226281280865761</v>
      </c>
      <c r="AP1078" s="1"/>
    </row>
    <row r="1079" spans="1:42" x14ac:dyDescent="0.25">
      <c r="A1079" s="34">
        <v>42819</v>
      </c>
      <c r="B1079" t="s">
        <v>122</v>
      </c>
      <c r="C1079" t="s">
        <v>126</v>
      </c>
      <c r="E1079" s="21"/>
      <c r="G1079" s="21"/>
      <c r="H1079" s="7"/>
      <c r="I1079" s="21"/>
      <c r="K1079"/>
      <c r="L1079" s="21">
        <f>(Table2[[#This Row],[H/Pace]]/100)*(VLOOKUP(Table2[[#This Row],[Home/Neutral]],home_lookup,8,FALSE)+VLOOKUP(Table2[[#This Row],[Home/Neutral]],OFR_lookup,2,FALSE)+VLOOKUP(Table2[[#This Row],[Visitor/Neutral]],def_diff_lookup,6,FALSE))</f>
        <v>113.0244083274473</v>
      </c>
      <c r="M1079" s="21"/>
      <c r="N1079" s="21">
        <f>(Table2[[#This Row],[A/Pace]]/100)*(VLOOKUP(Table2[[#This Row],[Visitor/Neutral]],OFR_lookup,2,FALSE)+VLOOKUP(Table2[[#This Row],[Home/Neutral]],def_diff_lookup,6,FALSE))</f>
        <v>108.366533</v>
      </c>
      <c r="O1079" s="21"/>
      <c r="P1079" s="21"/>
      <c r="Q1079">
        <f>VLOOKUP(Table2[[#This Row],[Home/Neutral]],pace_lookup,7,FALSE)</f>
        <v>100.2</v>
      </c>
      <c r="R1079" s="5">
        <f>VLOOKUP(Table2[[#This Row],[Visitor/Neutral]],pace_lookup,7,FALSE)</f>
        <v>95.7</v>
      </c>
      <c r="S1079" s="7"/>
      <c r="U1079" s="15"/>
      <c r="W1079" s="2">
        <f>-home-VLOOKUP(Table2[[#This Row],[Home/Neutral]],rtg_vlookup,4,FALSE)+VLOOKUP(Table2[[#This Row],[Visitor/Neutral]],rtg_vlookup,4,FALSE)</f>
        <v>-1.7086885245901657</v>
      </c>
      <c r="X1079" s="15"/>
      <c r="Y1079" s="2"/>
      <c r="Z1079" s="2">
        <f>Table2[[#This Row],[A/EV]]-Table2[[#This Row],[H/EV]]</f>
        <v>-4.6578753274473002</v>
      </c>
      <c r="AA1079" s="29"/>
      <c r="AB1079" s="30"/>
      <c r="AC1079" s="30"/>
      <c r="AD1079" s="30"/>
      <c r="AE1079" s="30"/>
      <c r="AF1079" s="7" t="b">
        <f>IF(VLOOKUP(Table2[[#This Row],[Home/Neutral]],division_lookup,9,FALSE)=VLOOKUP(Table2[[#This Row],[Visitor/Neutral]],division_lookup,9,FALSE),TRUE,FALSE)</f>
        <v>0</v>
      </c>
      <c r="AG1079" s="15" t="str">
        <f>VLOOKUP(Table2[[#This Row],[Home/Neutral]],division_lookup,9,FALSE)</f>
        <v>P</v>
      </c>
      <c r="AH1079" s="15" t="str">
        <f>IF(Table2[[#This Row],[Total/EV]]&lt;Table2[[#This Row],[Total/V]],"UNDER","OVER")</f>
        <v>OVER</v>
      </c>
      <c r="AI1079" s="26">
        <f>Table2[[#This Row],[SRS/Real]]-Table2[[#This Row],[Spread/V]]</f>
        <v>0</v>
      </c>
      <c r="AJ1079" s="2">
        <f>Table2[[#This Row],[EV/Real]]-Table2[[#This Row],[Spread/V]]</f>
        <v>0</v>
      </c>
      <c r="AK1079" s="2">
        <f>Table2[[#This Row],[SRS/Diff]]-Table2[[#This Row],[EV/Diff]]</f>
        <v>0</v>
      </c>
      <c r="AL1079" s="18">
        <f>Table2[[#This Row],[SRS]]-Table2[[#This Row],[Spread]]</f>
        <v>-1.7086885245901657</v>
      </c>
      <c r="AM1079" s="21">
        <f>Table2[[#This Row],[(A) Err]]^2</f>
        <v>2.9196164740661175</v>
      </c>
      <c r="AN1079" s="6">
        <f>Table2[[#This Row],[EV]]-Table2[[#This Row],[Spread]]</f>
        <v>-4.6578753274473002</v>
      </c>
      <c r="AO1079" s="1">
        <f>Table2[[#This Row],[EV Err]]^2</f>
        <v>21.695802566042293</v>
      </c>
      <c r="AP1079" s="1"/>
    </row>
    <row r="1080" spans="1:42" x14ac:dyDescent="0.25">
      <c r="A1080" s="34">
        <v>42819</v>
      </c>
      <c r="B1080" t="s">
        <v>125</v>
      </c>
      <c r="C1080" t="s">
        <v>109</v>
      </c>
      <c r="E1080" s="21"/>
      <c r="G1080" s="21"/>
      <c r="H1080" s="7"/>
      <c r="I1080" s="21"/>
      <c r="K1080"/>
      <c r="L1080" s="21">
        <f>(Table2[[#This Row],[H/Pace]]/100)*(VLOOKUP(Table2[[#This Row],[Home/Neutral]],home_lookup,8,FALSE)+VLOOKUP(Table2[[#This Row],[Home/Neutral]],OFR_lookup,2,FALSE)+VLOOKUP(Table2[[#This Row],[Visitor/Neutral]],def_diff_lookup,6,FALSE))</f>
        <v>101.89560550061908</v>
      </c>
      <c r="M1080" s="21"/>
      <c r="N1080" s="21">
        <f>(Table2[[#This Row],[A/Pace]]/100)*(VLOOKUP(Table2[[#This Row],[Visitor/Neutral]],OFR_lookup,2,FALSE)+VLOOKUP(Table2[[#This Row],[Home/Neutral]],def_diff_lookup,6,FALSE))</f>
        <v>103.31250133333332</v>
      </c>
      <c r="O1080" s="21"/>
      <c r="P1080" s="21"/>
      <c r="Q1080">
        <f>VLOOKUP(Table2[[#This Row],[Home/Neutral]],pace_lookup,7,FALSE)</f>
        <v>96.1</v>
      </c>
      <c r="R1080" s="5">
        <f>VLOOKUP(Table2[[#This Row],[Visitor/Neutral]],pace_lookup,7,FALSE)</f>
        <v>99.2</v>
      </c>
      <c r="S1080" s="7"/>
      <c r="U1080" s="15"/>
      <c r="W1080" s="2">
        <f>-home-VLOOKUP(Table2[[#This Row],[Home/Neutral]],rtg_vlookup,4,FALSE)+VLOOKUP(Table2[[#This Row],[Visitor/Neutral]],rtg_vlookup,4,FALSE)</f>
        <v>1.9813114754098344</v>
      </c>
      <c r="X1080" s="15"/>
      <c r="Y1080" s="2"/>
      <c r="Z1080" s="2">
        <f>Table2[[#This Row],[A/EV]]-Table2[[#This Row],[H/EV]]</f>
        <v>1.416895832714232</v>
      </c>
      <c r="AA1080" s="29"/>
      <c r="AB1080" s="30"/>
      <c r="AC1080" s="30"/>
      <c r="AD1080" s="30"/>
      <c r="AE1080" s="30"/>
      <c r="AF1080" s="7" t="b">
        <f>IF(VLOOKUP(Table2[[#This Row],[Home/Neutral]],division_lookup,9,FALSE)=VLOOKUP(Table2[[#This Row],[Visitor/Neutral]],division_lookup,9,FALSE),TRUE,FALSE)</f>
        <v>0</v>
      </c>
      <c r="AG1080" s="15" t="str">
        <f>VLOOKUP(Table2[[#This Row],[Home/Neutral]],division_lookup,9,FALSE)</f>
        <v>C</v>
      </c>
      <c r="AH1080" s="15" t="str">
        <f>IF(Table2[[#This Row],[Total/EV]]&lt;Table2[[#This Row],[Total/V]],"UNDER","OVER")</f>
        <v>OVER</v>
      </c>
      <c r="AI1080" s="26">
        <f>Table2[[#This Row],[SRS/Real]]-Table2[[#This Row],[Spread/V]]</f>
        <v>0</v>
      </c>
      <c r="AJ1080" s="2">
        <f>Table2[[#This Row],[EV/Real]]-Table2[[#This Row],[Spread/V]]</f>
        <v>0</v>
      </c>
      <c r="AK1080" s="2">
        <f>Table2[[#This Row],[SRS/Diff]]-Table2[[#This Row],[EV/Diff]]</f>
        <v>0</v>
      </c>
      <c r="AL1080" s="18">
        <f>Table2[[#This Row],[SRS]]-Table2[[#This Row],[Spread]]</f>
        <v>1.9813114754098344</v>
      </c>
      <c r="AM1080" s="21">
        <f>Table2[[#This Row],[(A) Err]]^2</f>
        <v>3.9255951625906951</v>
      </c>
      <c r="AN1080" s="6">
        <f>Table2[[#This Row],[EV]]-Table2[[#This Row],[Spread]]</f>
        <v>1.416895832714232</v>
      </c>
      <c r="AO1080" s="1">
        <f>Table2[[#This Row],[EV Err]]^2</f>
        <v>2.0075938007629568</v>
      </c>
      <c r="AP1080" s="1"/>
    </row>
    <row r="1081" spans="1:42" x14ac:dyDescent="0.25">
      <c r="A1081" s="34">
        <v>42819</v>
      </c>
      <c r="B1081" t="s">
        <v>130</v>
      </c>
      <c r="C1081" t="s">
        <v>117</v>
      </c>
      <c r="E1081" s="21"/>
      <c r="G1081" s="21"/>
      <c r="H1081" s="7"/>
      <c r="I1081" s="21"/>
      <c r="K1081"/>
      <c r="L1081" s="21">
        <f>(Table2[[#This Row],[H/Pace]]/100)*(VLOOKUP(Table2[[#This Row],[Home/Neutral]],home_lookup,8,FALSE)+VLOOKUP(Table2[[#This Row],[Home/Neutral]],OFR_lookup,2,FALSE)+VLOOKUP(Table2[[#This Row],[Visitor/Neutral]],def_diff_lookup,6,FALSE))</f>
        <v>92.813984967109405</v>
      </c>
      <c r="M1081" s="21"/>
      <c r="N1081" s="21">
        <f>(Table2[[#This Row],[A/Pace]]/100)*(VLOOKUP(Table2[[#This Row],[Visitor/Neutral]],OFR_lookup,2,FALSE)+VLOOKUP(Table2[[#This Row],[Home/Neutral]],def_diff_lookup,6,FALSE))</f>
        <v>97.887526666666645</v>
      </c>
      <c r="O1081" s="21"/>
      <c r="P1081" s="21"/>
      <c r="Q1081">
        <f>VLOOKUP(Table2[[#This Row],[Home/Neutral]],pace_lookup,7,FALSE)</f>
        <v>94.2</v>
      </c>
      <c r="R1081" s="5">
        <f>VLOOKUP(Table2[[#This Row],[Visitor/Neutral]],pace_lookup,7,FALSE)</f>
        <v>94</v>
      </c>
      <c r="S1081" s="7"/>
      <c r="U1081" s="15"/>
      <c r="W1081" s="2">
        <f>-home-VLOOKUP(Table2[[#This Row],[Home/Neutral]],rtg_vlookup,4,FALSE)+VLOOKUP(Table2[[#This Row],[Visitor/Neutral]],rtg_vlookup,4,FALSE)</f>
        <v>7.4213114754098353</v>
      </c>
      <c r="X1081" s="15"/>
      <c r="Y1081" s="2"/>
      <c r="Z1081" s="2">
        <f>Table2[[#This Row],[A/EV]]-Table2[[#This Row],[H/EV]]</f>
        <v>5.0735416995572393</v>
      </c>
      <c r="AA1081" s="29"/>
      <c r="AB1081" s="30"/>
      <c r="AC1081" s="30"/>
      <c r="AD1081" s="30"/>
      <c r="AE1081" s="30"/>
      <c r="AF1081" s="7" t="b">
        <f>IF(VLOOKUP(Table2[[#This Row],[Home/Neutral]],division_lookup,9,FALSE)=VLOOKUP(Table2[[#This Row],[Visitor/Neutral]],division_lookup,9,FALSE),TRUE,FALSE)</f>
        <v>0</v>
      </c>
      <c r="AG1081" s="15" t="str">
        <f>VLOOKUP(Table2[[#This Row],[Home/Neutral]],division_lookup,9,FALSE)</f>
        <v>SE</v>
      </c>
      <c r="AH1081" s="15" t="str">
        <f>IF(Table2[[#This Row],[Total/EV]]&lt;Table2[[#This Row],[Total/V]],"UNDER","OVER")</f>
        <v>OVER</v>
      </c>
      <c r="AI1081" s="26">
        <f>Table2[[#This Row],[SRS/Real]]-Table2[[#This Row],[Spread/V]]</f>
        <v>0</v>
      </c>
      <c r="AJ1081" s="2">
        <f>Table2[[#This Row],[EV/Real]]-Table2[[#This Row],[Spread/V]]</f>
        <v>0</v>
      </c>
      <c r="AK1081" s="2">
        <f>Table2[[#This Row],[SRS/Diff]]-Table2[[#This Row],[EV/Diff]]</f>
        <v>0</v>
      </c>
      <c r="AL1081" s="18">
        <f>Table2[[#This Row],[SRS]]-Table2[[#This Row],[Spread]]</f>
        <v>7.4213114754098353</v>
      </c>
      <c r="AM1081" s="21">
        <f>Table2[[#This Row],[(A) Err]]^2</f>
        <v>55.075864015049703</v>
      </c>
      <c r="AN1081" s="6">
        <f>Table2[[#This Row],[EV]]-Table2[[#This Row],[Spread]]</f>
        <v>5.0735416995572393</v>
      </c>
      <c r="AO1081" s="1">
        <f>Table2[[#This Row],[EV Err]]^2</f>
        <v>25.740825377146159</v>
      </c>
      <c r="AP1081" s="1"/>
    </row>
    <row r="1082" spans="1:42" x14ac:dyDescent="0.25">
      <c r="A1082" s="34">
        <v>42819</v>
      </c>
      <c r="B1082" t="s">
        <v>137</v>
      </c>
      <c r="C1082" t="s">
        <v>111</v>
      </c>
      <c r="E1082" s="21"/>
      <c r="G1082" s="21"/>
      <c r="H1082" s="7"/>
      <c r="I1082" s="21"/>
      <c r="K1082"/>
      <c r="L1082" s="21">
        <f>(Table2[[#This Row],[H/Pace]]/100)*(VLOOKUP(Table2[[#This Row],[Home/Neutral]],home_lookup,8,FALSE)+VLOOKUP(Table2[[#This Row],[Home/Neutral]],OFR_lookup,2,FALSE)+VLOOKUP(Table2[[#This Row],[Visitor/Neutral]],def_diff_lookup,6,FALSE))</f>
        <v>112.0153325542187</v>
      </c>
      <c r="M1082" s="21"/>
      <c r="N1082" s="21">
        <f>(Table2[[#This Row],[A/Pace]]/100)*(VLOOKUP(Table2[[#This Row],[Visitor/Neutral]],OFR_lookup,2,FALSE)+VLOOKUP(Table2[[#This Row],[Home/Neutral]],def_diff_lookup,6,FALSE))</f>
        <v>107.78917999999999</v>
      </c>
      <c r="O1082" s="21"/>
      <c r="P1082" s="21"/>
      <c r="Q1082">
        <f>VLOOKUP(Table2[[#This Row],[Home/Neutral]],pace_lookup,7,FALSE)</f>
        <v>96</v>
      </c>
      <c r="R1082" s="5">
        <f>VLOOKUP(Table2[[#This Row],[Visitor/Neutral]],pace_lookup,7,FALSE)</f>
        <v>102</v>
      </c>
      <c r="S1082" s="7"/>
      <c r="U1082" s="15"/>
      <c r="W1082" s="2">
        <f>-home-VLOOKUP(Table2[[#This Row],[Home/Neutral]],rtg_vlookup,4,FALSE)+VLOOKUP(Table2[[#This Row],[Visitor/Neutral]],rtg_vlookup,4,FALSE)</f>
        <v>-8.5686885245901649</v>
      </c>
      <c r="X1082" s="15"/>
      <c r="Y1082" s="2"/>
      <c r="Z1082" s="2">
        <f>Table2[[#This Row],[A/EV]]-Table2[[#This Row],[H/EV]]</f>
        <v>-4.2261525542187144</v>
      </c>
      <c r="AA1082" s="29"/>
      <c r="AB1082" s="30"/>
      <c r="AC1082" s="30"/>
      <c r="AD1082" s="30"/>
      <c r="AE1082" s="30"/>
      <c r="AF1082" s="7" t="b">
        <f>IF(VLOOKUP(Table2[[#This Row],[Home/Neutral]],division_lookup,9,FALSE)=VLOOKUP(Table2[[#This Row],[Visitor/Neutral]],division_lookup,9,FALSE),TRUE,FALSE)</f>
        <v>0</v>
      </c>
      <c r="AG1082" s="15" t="str">
        <f>VLOOKUP(Table2[[#This Row],[Home/Neutral]],division_lookup,9,FALSE)</f>
        <v>SE</v>
      </c>
      <c r="AH1082" s="15" t="str">
        <f>IF(Table2[[#This Row],[Total/EV]]&lt;Table2[[#This Row],[Total/V]],"UNDER","OVER")</f>
        <v>OVER</v>
      </c>
      <c r="AI1082" s="26">
        <f>Table2[[#This Row],[SRS/Real]]-Table2[[#This Row],[Spread/V]]</f>
        <v>0</v>
      </c>
      <c r="AJ1082" s="2">
        <f>Table2[[#This Row],[EV/Real]]-Table2[[#This Row],[Spread/V]]</f>
        <v>0</v>
      </c>
      <c r="AK1082" s="2">
        <f>Table2[[#This Row],[SRS/Diff]]-Table2[[#This Row],[EV/Diff]]</f>
        <v>0</v>
      </c>
      <c r="AL1082" s="18">
        <f>Table2[[#This Row],[SRS]]-Table2[[#This Row],[Spread]]</f>
        <v>-8.5686885245901649</v>
      </c>
      <c r="AM1082" s="21">
        <f>Table2[[#This Row],[(A) Err]]^2</f>
        <v>73.422423031443174</v>
      </c>
      <c r="AN1082" s="6">
        <f>Table2[[#This Row],[EV]]-Table2[[#This Row],[Spread]]</f>
        <v>-4.2261525542187144</v>
      </c>
      <c r="AO1082" s="1">
        <f>Table2[[#This Row],[EV Err]]^2</f>
        <v>17.860365411529365</v>
      </c>
      <c r="AP1082" s="1"/>
    </row>
    <row r="1083" spans="1:42" x14ac:dyDescent="0.25">
      <c r="A1083" s="34">
        <v>42820</v>
      </c>
      <c r="B1083" t="s">
        <v>114</v>
      </c>
      <c r="C1083" t="s">
        <v>137</v>
      </c>
      <c r="E1083" s="21"/>
      <c r="G1083" s="21"/>
      <c r="H1083" s="7"/>
      <c r="I1083" s="21"/>
      <c r="K1083"/>
      <c r="L1083" s="21">
        <f>(Table2[[#This Row],[H/Pace]]/100)*(VLOOKUP(Table2[[#This Row],[Home/Neutral]],home_lookup,8,FALSE)+VLOOKUP(Table2[[#This Row],[Home/Neutral]],OFR_lookup,2,FALSE)+VLOOKUP(Table2[[#This Row],[Visitor/Neutral]],def_diff_lookup,6,FALSE))</f>
        <v>117.69584276756466</v>
      </c>
      <c r="M1083" s="21"/>
      <c r="N1083" s="21">
        <f>(Table2[[#This Row],[A/Pace]]/100)*(VLOOKUP(Table2[[#This Row],[Visitor/Neutral]],OFR_lookup,2,FALSE)+VLOOKUP(Table2[[#This Row],[Home/Neutral]],def_diff_lookup,6,FALSE))</f>
        <v>102.37984</v>
      </c>
      <c r="O1083" s="21"/>
      <c r="P1083" s="21"/>
      <c r="Q1083">
        <f>VLOOKUP(Table2[[#This Row],[Home/Neutral]],pace_lookup,7,FALSE)</f>
        <v>97.3</v>
      </c>
      <c r="R1083" s="5">
        <f>VLOOKUP(Table2[[#This Row],[Visitor/Neutral]],pace_lookup,7,FALSE)</f>
        <v>96</v>
      </c>
      <c r="S1083" s="7"/>
      <c r="U1083" s="15"/>
      <c r="W1083" s="2">
        <f>-home-VLOOKUP(Table2[[#This Row],[Home/Neutral]],rtg_vlookup,4,FALSE)+VLOOKUP(Table2[[#This Row],[Visitor/Neutral]],rtg_vlookup,4,FALSE)</f>
        <v>-14.418688524590166</v>
      </c>
      <c r="X1083" s="15"/>
      <c r="Y1083" s="2"/>
      <c r="Z1083" s="2">
        <f>Table2[[#This Row],[A/EV]]-Table2[[#This Row],[H/EV]]</f>
        <v>-15.316002767564655</v>
      </c>
      <c r="AA1083" s="29"/>
      <c r="AB1083" s="30"/>
      <c r="AC1083" s="30"/>
      <c r="AD1083" s="30"/>
      <c r="AE1083" s="30"/>
      <c r="AF1083" s="7" t="b">
        <f>IF(VLOOKUP(Table2[[#This Row],[Home/Neutral]],division_lookup,9,FALSE)=VLOOKUP(Table2[[#This Row],[Visitor/Neutral]],division_lookup,9,FALSE),TRUE,FALSE)</f>
        <v>0</v>
      </c>
      <c r="AG1083" s="15" t="str">
        <f>VLOOKUP(Table2[[#This Row],[Home/Neutral]],division_lookup,9,FALSE)</f>
        <v>C</v>
      </c>
      <c r="AH1083" s="15" t="str">
        <f>IF(Table2[[#This Row],[Total/EV]]&lt;Table2[[#This Row],[Total/V]],"UNDER","OVER")</f>
        <v>OVER</v>
      </c>
      <c r="AI1083" s="26">
        <f>Table2[[#This Row],[SRS/Real]]-Table2[[#This Row],[Spread/V]]</f>
        <v>0</v>
      </c>
      <c r="AJ1083" s="2">
        <f>Table2[[#This Row],[EV/Real]]-Table2[[#This Row],[Spread/V]]</f>
        <v>0</v>
      </c>
      <c r="AK1083" s="2">
        <f>Table2[[#This Row],[SRS/Diff]]-Table2[[#This Row],[EV/Diff]]</f>
        <v>0</v>
      </c>
      <c r="AL1083" s="18">
        <f>Table2[[#This Row],[SRS]]-Table2[[#This Row],[Spread]]</f>
        <v>-14.418688524590166</v>
      </c>
      <c r="AM1083" s="21">
        <f>Table2[[#This Row],[(A) Err]]^2</f>
        <v>207.89857876914814</v>
      </c>
      <c r="AN1083" s="6">
        <f>Table2[[#This Row],[EV]]-Table2[[#This Row],[Spread]]</f>
        <v>-15.316002767564655</v>
      </c>
      <c r="AO1083" s="1">
        <f>Table2[[#This Row],[EV Err]]^2</f>
        <v>234.57994077604815</v>
      </c>
      <c r="AP1083" s="1"/>
    </row>
    <row r="1084" spans="1:42" x14ac:dyDescent="0.25">
      <c r="A1084" s="34">
        <v>42820</v>
      </c>
      <c r="B1084" t="s">
        <v>115</v>
      </c>
      <c r="C1084" t="s">
        <v>135</v>
      </c>
      <c r="E1084" s="21"/>
      <c r="G1084" s="21"/>
      <c r="H1084" s="7"/>
      <c r="I1084" s="21"/>
      <c r="K1084"/>
      <c r="L1084" s="21">
        <f>(Table2[[#This Row],[H/Pace]]/100)*(VLOOKUP(Table2[[#This Row],[Home/Neutral]],home_lookup,8,FALSE)+VLOOKUP(Table2[[#This Row],[Home/Neutral]],OFR_lookup,2,FALSE)+VLOOKUP(Table2[[#This Row],[Visitor/Neutral]],def_diff_lookup,6,FALSE))</f>
        <v>96.24177311596776</v>
      </c>
      <c r="M1084" s="21"/>
      <c r="N1084" s="21">
        <f>(Table2[[#This Row],[A/Pace]]/100)*(VLOOKUP(Table2[[#This Row],[Visitor/Neutral]],OFR_lookup,2,FALSE)+VLOOKUP(Table2[[#This Row],[Home/Neutral]],def_diff_lookup,6,FALSE))</f>
        <v>107.607066</v>
      </c>
      <c r="O1084" s="21"/>
      <c r="P1084" s="21"/>
      <c r="Q1084">
        <f>VLOOKUP(Table2[[#This Row],[Home/Neutral]],pace_lookup,7,FALSE)</f>
        <v>92.9</v>
      </c>
      <c r="R1084" s="5">
        <f>VLOOKUP(Table2[[#This Row],[Visitor/Neutral]],pace_lookup,7,FALSE)</f>
        <v>95.4</v>
      </c>
      <c r="S1084" s="7"/>
      <c r="U1084" s="15"/>
      <c r="W1084" s="2">
        <f>-home-VLOOKUP(Table2[[#This Row],[Home/Neutral]],rtg_vlookup,4,FALSE)+VLOOKUP(Table2[[#This Row],[Visitor/Neutral]],rtg_vlookup,4,FALSE)</f>
        <v>12.021311475409835</v>
      </c>
      <c r="X1084" s="15"/>
      <c r="Y1084" s="2"/>
      <c r="Z1084" s="2">
        <f>Table2[[#This Row],[A/EV]]-Table2[[#This Row],[H/EV]]</f>
        <v>11.365292884032243</v>
      </c>
      <c r="AA1084" s="29"/>
      <c r="AB1084" s="30"/>
      <c r="AC1084" s="30"/>
      <c r="AD1084" s="30"/>
      <c r="AE1084" s="30"/>
      <c r="AF1084" s="7" t="b">
        <f>IF(VLOOKUP(Table2[[#This Row],[Home/Neutral]],division_lookup,9,FALSE)=VLOOKUP(Table2[[#This Row],[Visitor/Neutral]],division_lookup,9,FALSE),TRUE,FALSE)</f>
        <v>0</v>
      </c>
      <c r="AG1084" s="15" t="str">
        <f>VLOOKUP(Table2[[#This Row],[Home/Neutral]],division_lookup,9,FALSE)</f>
        <v>SW</v>
      </c>
      <c r="AH1084" s="15" t="str">
        <f>IF(Table2[[#This Row],[Total/EV]]&lt;Table2[[#This Row],[Total/V]],"UNDER","OVER")</f>
        <v>OVER</v>
      </c>
      <c r="AI1084" s="26">
        <f>Table2[[#This Row],[SRS/Real]]-Table2[[#This Row],[Spread/V]]</f>
        <v>0</v>
      </c>
      <c r="AJ1084" s="2">
        <f>Table2[[#This Row],[EV/Real]]-Table2[[#This Row],[Spread/V]]</f>
        <v>0</v>
      </c>
      <c r="AK1084" s="2">
        <f>Table2[[#This Row],[SRS/Diff]]-Table2[[#This Row],[EV/Diff]]</f>
        <v>0</v>
      </c>
      <c r="AL1084" s="18">
        <f>Table2[[#This Row],[SRS]]-Table2[[#This Row],[Spread]]</f>
        <v>12.021311475409835</v>
      </c>
      <c r="AM1084" s="21">
        <f>Table2[[#This Row],[(A) Err]]^2</f>
        <v>144.51192958882018</v>
      </c>
      <c r="AN1084" s="6">
        <f>Table2[[#This Row],[EV]]-Table2[[#This Row],[Spread]]</f>
        <v>11.365292884032243</v>
      </c>
      <c r="AO1084" s="1">
        <f>Table2[[#This Row],[EV Err]]^2</f>
        <v>129.16988233983395</v>
      </c>
      <c r="AP1084" s="1"/>
    </row>
    <row r="1085" spans="1:42" x14ac:dyDescent="0.25">
      <c r="A1085" s="34">
        <v>42820</v>
      </c>
      <c r="B1085" t="s">
        <v>121</v>
      </c>
      <c r="C1085" t="s">
        <v>136</v>
      </c>
      <c r="E1085" s="21"/>
      <c r="G1085" s="21"/>
      <c r="H1085" s="7"/>
      <c r="I1085" s="21"/>
      <c r="K1085"/>
      <c r="L1085" s="21">
        <f>(Table2[[#This Row],[H/Pace]]/100)*(VLOOKUP(Table2[[#This Row],[Home/Neutral]],home_lookup,8,FALSE)+VLOOKUP(Table2[[#This Row],[Home/Neutral]],OFR_lookup,2,FALSE)+VLOOKUP(Table2[[#This Row],[Visitor/Neutral]],def_diff_lookup,6,FALSE))</f>
        <v>109.55204060751252</v>
      </c>
      <c r="M1085" s="21"/>
      <c r="N1085" s="21">
        <f>(Table2[[#This Row],[A/Pace]]/100)*(VLOOKUP(Table2[[#This Row],[Visitor/Neutral]],OFR_lookup,2,FALSE)+VLOOKUP(Table2[[#This Row],[Home/Neutral]],def_diff_lookup,6,FALSE))</f>
        <v>93.454135000000008</v>
      </c>
      <c r="O1085" s="21"/>
      <c r="P1085" s="21"/>
      <c r="Q1085">
        <f>VLOOKUP(Table2[[#This Row],[Home/Neutral]],pace_lookup,7,FALSE)</f>
        <v>96.4</v>
      </c>
      <c r="R1085" s="5">
        <f>VLOOKUP(Table2[[#This Row],[Visitor/Neutral]],pace_lookup,7,FALSE)</f>
        <v>91.5</v>
      </c>
      <c r="S1085" s="7"/>
      <c r="U1085" s="15"/>
      <c r="W1085" s="2">
        <f>-home-VLOOKUP(Table2[[#This Row],[Home/Neutral]],rtg_vlookup,4,FALSE)+VLOOKUP(Table2[[#This Row],[Visitor/Neutral]],rtg_vlookup,4,FALSE)</f>
        <v>-11.258688524590166</v>
      </c>
      <c r="X1085" s="15"/>
      <c r="Y1085" s="2"/>
      <c r="Z1085" s="2">
        <f>Table2[[#This Row],[A/EV]]-Table2[[#This Row],[H/EV]]</f>
        <v>-16.097905607512516</v>
      </c>
      <c r="AA1085" s="29"/>
      <c r="AB1085" s="30"/>
      <c r="AC1085" s="30"/>
      <c r="AD1085" s="30"/>
      <c r="AE1085" s="30"/>
      <c r="AF1085" s="7" t="b">
        <f>IF(VLOOKUP(Table2[[#This Row],[Home/Neutral]],division_lookup,9,FALSE)=VLOOKUP(Table2[[#This Row],[Visitor/Neutral]],division_lookup,9,FALSE),TRUE,FALSE)</f>
        <v>0</v>
      </c>
      <c r="AG1085" s="15" t="str">
        <f>VLOOKUP(Table2[[#This Row],[Home/Neutral]],division_lookup,9,FALSE)</f>
        <v>P</v>
      </c>
      <c r="AH1085" s="15" t="str">
        <f>IF(Table2[[#This Row],[Total/EV]]&lt;Table2[[#This Row],[Total/V]],"UNDER","OVER")</f>
        <v>OVER</v>
      </c>
      <c r="AI1085" s="26">
        <f>Table2[[#This Row],[SRS/Real]]-Table2[[#This Row],[Spread/V]]</f>
        <v>0</v>
      </c>
      <c r="AJ1085" s="2">
        <f>Table2[[#This Row],[EV/Real]]-Table2[[#This Row],[Spread/V]]</f>
        <v>0</v>
      </c>
      <c r="AK1085" s="2">
        <f>Table2[[#This Row],[SRS/Diff]]-Table2[[#This Row],[EV/Diff]]</f>
        <v>0</v>
      </c>
      <c r="AL1085" s="18">
        <f>Table2[[#This Row],[SRS]]-Table2[[#This Row],[Spread]]</f>
        <v>-11.258688524590166</v>
      </c>
      <c r="AM1085" s="21">
        <f>Table2[[#This Row],[(A) Err]]^2</f>
        <v>126.75806729373829</v>
      </c>
      <c r="AN1085" s="6">
        <f>Table2[[#This Row],[EV]]-Table2[[#This Row],[Spread]]</f>
        <v>-16.097905607512516</v>
      </c>
      <c r="AO1085" s="1">
        <f>Table2[[#This Row],[EV Err]]^2</f>
        <v>259.14256494838293</v>
      </c>
      <c r="AP1085" s="1"/>
    </row>
    <row r="1086" spans="1:42" x14ac:dyDescent="0.25">
      <c r="A1086" s="34">
        <v>42820</v>
      </c>
      <c r="B1086" t="s">
        <v>132</v>
      </c>
      <c r="C1086" t="s">
        <v>126</v>
      </c>
      <c r="E1086" s="21"/>
      <c r="G1086" s="21"/>
      <c r="H1086" s="7"/>
      <c r="I1086" s="21"/>
      <c r="K1086"/>
      <c r="L1086" s="21">
        <f>(Table2[[#This Row],[H/Pace]]/100)*(VLOOKUP(Table2[[#This Row],[Home/Neutral]],home_lookup,8,FALSE)+VLOOKUP(Table2[[#This Row],[Home/Neutral]],OFR_lookup,2,FALSE)+VLOOKUP(Table2[[#This Row],[Visitor/Neutral]],def_diff_lookup,6,FALSE))</f>
        <v>112.14610144606979</v>
      </c>
      <c r="M1086" s="21"/>
      <c r="N1086" s="21">
        <f>(Table2[[#This Row],[A/Pace]]/100)*(VLOOKUP(Table2[[#This Row],[Visitor/Neutral]],OFR_lookup,2,FALSE)+VLOOKUP(Table2[[#This Row],[Home/Neutral]],def_diff_lookup,6,FALSE))</f>
        <v>109.28525300000001</v>
      </c>
      <c r="O1086" s="21"/>
      <c r="P1086" s="21"/>
      <c r="Q1086">
        <f>VLOOKUP(Table2[[#This Row],[Home/Neutral]],pace_lookup,7,FALSE)</f>
        <v>98.8</v>
      </c>
      <c r="R1086" s="5">
        <f>VLOOKUP(Table2[[#This Row],[Visitor/Neutral]],pace_lookup,7,FALSE)</f>
        <v>95.7</v>
      </c>
      <c r="S1086" s="7"/>
      <c r="U1086" s="15"/>
      <c r="W1086" s="2">
        <f>-home-VLOOKUP(Table2[[#This Row],[Home/Neutral]],rtg_vlookup,4,FALSE)+VLOOKUP(Table2[[#This Row],[Visitor/Neutral]],rtg_vlookup,4,FALSE)</f>
        <v>-1.5186885245901658</v>
      </c>
      <c r="X1086" s="15"/>
      <c r="Y1086" s="2"/>
      <c r="Z1086" s="2">
        <f>Table2[[#This Row],[A/EV]]-Table2[[#This Row],[H/EV]]</f>
        <v>-2.8608484460697809</v>
      </c>
      <c r="AA1086" s="29"/>
      <c r="AB1086" s="30"/>
      <c r="AC1086" s="30"/>
      <c r="AD1086" s="30"/>
      <c r="AE1086" s="30"/>
      <c r="AF1086" s="7" t="b">
        <f>IF(VLOOKUP(Table2[[#This Row],[Home/Neutral]],division_lookup,9,FALSE)=VLOOKUP(Table2[[#This Row],[Visitor/Neutral]],division_lookup,9,FALSE),TRUE,FALSE)</f>
        <v>1</v>
      </c>
      <c r="AG1086" s="15" t="str">
        <f>VLOOKUP(Table2[[#This Row],[Home/Neutral]],division_lookup,9,FALSE)</f>
        <v>NW</v>
      </c>
      <c r="AH1086" s="15" t="str">
        <f>IF(Table2[[#This Row],[Total/EV]]&lt;Table2[[#This Row],[Total/V]],"UNDER","OVER")</f>
        <v>OVER</v>
      </c>
      <c r="AI1086" s="26">
        <f>Table2[[#This Row],[SRS/Real]]-Table2[[#This Row],[Spread/V]]</f>
        <v>0</v>
      </c>
      <c r="AJ1086" s="2">
        <f>Table2[[#This Row],[EV/Real]]-Table2[[#This Row],[Spread/V]]</f>
        <v>0</v>
      </c>
      <c r="AK1086" s="2">
        <f>Table2[[#This Row],[SRS/Diff]]-Table2[[#This Row],[EV/Diff]]</f>
        <v>0</v>
      </c>
      <c r="AL1086" s="18">
        <f>Table2[[#This Row],[SRS]]-Table2[[#This Row],[Spread]]</f>
        <v>-1.5186885245901658</v>
      </c>
      <c r="AM1086" s="21">
        <f>Table2[[#This Row],[(A) Err]]^2</f>
        <v>2.3064148347218545</v>
      </c>
      <c r="AN1086" s="6">
        <f>Table2[[#This Row],[EV]]-Table2[[#This Row],[Spread]]</f>
        <v>-2.8608484460697809</v>
      </c>
      <c r="AO1086" s="1">
        <f>Table2[[#This Row],[EV Err]]^2</f>
        <v>8.18445383137988</v>
      </c>
      <c r="AP1086" s="1"/>
    </row>
    <row r="1087" spans="1:42" x14ac:dyDescent="0.25">
      <c r="A1087" s="34">
        <v>42820</v>
      </c>
      <c r="B1087" t="s">
        <v>134</v>
      </c>
      <c r="C1087" t="s">
        <v>128</v>
      </c>
      <c r="E1087" s="21"/>
      <c r="G1087" s="21"/>
      <c r="H1087" s="7"/>
      <c r="I1087" s="21"/>
      <c r="K1087"/>
      <c r="L1087" s="21">
        <f>(Table2[[#This Row],[H/Pace]]/100)*(VLOOKUP(Table2[[#This Row],[Home/Neutral]],home_lookup,8,FALSE)+VLOOKUP(Table2[[#This Row],[Home/Neutral]],OFR_lookup,2,FALSE)+VLOOKUP(Table2[[#This Row],[Visitor/Neutral]],def_diff_lookup,6,FALSE))</f>
        <v>103.60623343638194</v>
      </c>
      <c r="M1087" s="21"/>
      <c r="N1087" s="21">
        <f>(Table2[[#This Row],[A/Pace]]/100)*(VLOOKUP(Table2[[#This Row],[Visitor/Neutral]],OFR_lookup,2,FALSE)+VLOOKUP(Table2[[#This Row],[Home/Neutral]],def_diff_lookup,6,FALSE))</f>
        <v>102.63236699999999</v>
      </c>
      <c r="O1087" s="21"/>
      <c r="P1087" s="21"/>
      <c r="Q1087">
        <f>VLOOKUP(Table2[[#This Row],[Home/Neutral]],pace_lookup,7,FALSE)</f>
        <v>93.4</v>
      </c>
      <c r="R1087" s="5">
        <f>VLOOKUP(Table2[[#This Row],[Visitor/Neutral]],pace_lookup,7,FALSE)</f>
        <v>96.3</v>
      </c>
      <c r="S1087" s="7"/>
      <c r="U1087" s="15"/>
      <c r="W1087" s="2">
        <f>-home-VLOOKUP(Table2[[#This Row],[Home/Neutral]],rtg_vlookup,4,FALSE)+VLOOKUP(Table2[[#This Row],[Visitor/Neutral]],rtg_vlookup,4,FALSE)</f>
        <v>-12.028688524590164</v>
      </c>
      <c r="X1087" s="15"/>
      <c r="Y1087" s="2"/>
      <c r="Z1087" s="2">
        <f>Table2[[#This Row],[A/EV]]-Table2[[#This Row],[H/EV]]</f>
        <v>-0.9738664363819538</v>
      </c>
      <c r="AA1087" s="29"/>
      <c r="AB1087" s="30"/>
      <c r="AC1087" s="30"/>
      <c r="AD1087" s="30"/>
      <c r="AE1087" s="30"/>
      <c r="AF1087" s="7" t="b">
        <f>IF(VLOOKUP(Table2[[#This Row],[Home/Neutral]],division_lookup,9,FALSE)=VLOOKUP(Table2[[#This Row],[Visitor/Neutral]],division_lookup,9,FALSE),TRUE,FALSE)</f>
        <v>0</v>
      </c>
      <c r="AG1087" s="15" t="str">
        <f>VLOOKUP(Table2[[#This Row],[Home/Neutral]],division_lookup,9,FALSE)</f>
        <v>SW</v>
      </c>
      <c r="AH1087" s="15" t="str">
        <f>IF(Table2[[#This Row],[Total/EV]]&lt;Table2[[#This Row],[Total/V]],"UNDER","OVER")</f>
        <v>OVER</v>
      </c>
      <c r="AI1087" s="26">
        <f>Table2[[#This Row],[SRS/Real]]-Table2[[#This Row],[Spread/V]]</f>
        <v>0</v>
      </c>
      <c r="AJ1087" s="2">
        <f>Table2[[#This Row],[EV/Real]]-Table2[[#This Row],[Spread/V]]</f>
        <v>0</v>
      </c>
      <c r="AK1087" s="2">
        <f>Table2[[#This Row],[SRS/Diff]]-Table2[[#This Row],[EV/Diff]]</f>
        <v>0</v>
      </c>
      <c r="AL1087" s="18">
        <f>Table2[[#This Row],[SRS]]-Table2[[#This Row],[Spread]]</f>
        <v>-12.028688524590164</v>
      </c>
      <c r="AM1087" s="21">
        <f>Table2[[#This Row],[(A) Err]]^2</f>
        <v>144.68934762160708</v>
      </c>
      <c r="AN1087" s="6">
        <f>Table2[[#This Row],[EV]]-Table2[[#This Row],[Spread]]</f>
        <v>-0.9738664363819538</v>
      </c>
      <c r="AO1087" s="1">
        <f>Table2[[#This Row],[EV Err]]^2</f>
        <v>0.94841583591128609</v>
      </c>
      <c r="AP1087" s="1"/>
    </row>
    <row r="1088" spans="1:42" x14ac:dyDescent="0.25">
      <c r="A1088" s="34">
        <v>42821</v>
      </c>
      <c r="B1088" t="s">
        <v>109</v>
      </c>
      <c r="C1088" t="s">
        <v>111</v>
      </c>
      <c r="E1088" s="21"/>
      <c r="G1088" s="21"/>
      <c r="H1088" s="7"/>
      <c r="I1088" s="21"/>
      <c r="K1088"/>
      <c r="L1088" s="21">
        <f>(Table2[[#This Row],[H/Pace]]/100)*(VLOOKUP(Table2[[#This Row],[Home/Neutral]],home_lookup,8,FALSE)+VLOOKUP(Table2[[#This Row],[Home/Neutral]],OFR_lookup,2,FALSE)+VLOOKUP(Table2[[#This Row],[Visitor/Neutral]],def_diff_lookup,6,FALSE))</f>
        <v>104.66112660728638</v>
      </c>
      <c r="M1088" s="21"/>
      <c r="N1088" s="21">
        <f>(Table2[[#This Row],[A/Pace]]/100)*(VLOOKUP(Table2[[#This Row],[Visitor/Neutral]],OFR_lookup,2,FALSE)+VLOOKUP(Table2[[#This Row],[Home/Neutral]],def_diff_lookup,6,FALSE))</f>
        <v>97.201579999999993</v>
      </c>
      <c r="O1088" s="21"/>
      <c r="P1088" s="21"/>
      <c r="Q1088">
        <f>VLOOKUP(Table2[[#This Row],[Home/Neutral]],pace_lookup,7,FALSE)</f>
        <v>99.2</v>
      </c>
      <c r="R1088" s="5">
        <f>VLOOKUP(Table2[[#This Row],[Visitor/Neutral]],pace_lookup,7,FALSE)</f>
        <v>102</v>
      </c>
      <c r="S1088" s="7"/>
      <c r="U1088" s="15"/>
      <c r="W1088" s="2">
        <f>-home-VLOOKUP(Table2[[#This Row],[Home/Neutral]],rtg_vlookup,4,FALSE)+VLOOKUP(Table2[[#This Row],[Visitor/Neutral]],rtg_vlookup,4,FALSE)</f>
        <v>-13.838688524590165</v>
      </c>
      <c r="X1088" s="15"/>
      <c r="Y1088" s="2"/>
      <c r="Z1088" s="2">
        <f>Table2[[#This Row],[A/EV]]-Table2[[#This Row],[H/EV]]</f>
        <v>-7.4595466072863843</v>
      </c>
      <c r="AA1088" s="29"/>
      <c r="AB1088" s="30"/>
      <c r="AC1088" s="30"/>
      <c r="AD1088" s="30"/>
      <c r="AE1088" s="30"/>
      <c r="AF1088" s="7" t="b">
        <f>IF(VLOOKUP(Table2[[#This Row],[Home/Neutral]],division_lookup,9,FALSE)=VLOOKUP(Table2[[#This Row],[Visitor/Neutral]],division_lookup,9,FALSE),TRUE,FALSE)</f>
        <v>0</v>
      </c>
      <c r="AG1088" s="15" t="str">
        <f>VLOOKUP(Table2[[#This Row],[Home/Neutral]],division_lookup,9,FALSE)</f>
        <v>SE</v>
      </c>
      <c r="AH1088" s="15" t="str">
        <f>IF(Table2[[#This Row],[Total/EV]]&lt;Table2[[#This Row],[Total/V]],"UNDER","OVER")</f>
        <v>OVER</v>
      </c>
      <c r="AI1088" s="26">
        <f>Table2[[#This Row],[SRS/Real]]-Table2[[#This Row],[Spread/V]]</f>
        <v>0</v>
      </c>
      <c r="AJ1088" s="2">
        <f>Table2[[#This Row],[EV/Real]]-Table2[[#This Row],[Spread/V]]</f>
        <v>0</v>
      </c>
      <c r="AK1088" s="2">
        <f>Table2[[#This Row],[SRS/Diff]]-Table2[[#This Row],[EV/Diff]]</f>
        <v>0</v>
      </c>
      <c r="AL1088" s="18">
        <f>Table2[[#This Row],[SRS]]-Table2[[#This Row],[Spread]]</f>
        <v>-13.838688524590165</v>
      </c>
      <c r="AM1088" s="21">
        <f>Table2[[#This Row],[(A) Err]]^2</f>
        <v>191.50930008062352</v>
      </c>
      <c r="AN1088" s="6">
        <f>Table2[[#This Row],[EV]]-Table2[[#This Row],[Spread]]</f>
        <v>-7.4595466072863843</v>
      </c>
      <c r="AO1088" s="1">
        <f>Table2[[#This Row],[EV Err]]^2</f>
        <v>55.644835586277807</v>
      </c>
      <c r="AP1088" s="1"/>
    </row>
    <row r="1089" spans="1:42" x14ac:dyDescent="0.25">
      <c r="A1089" s="34">
        <v>42821</v>
      </c>
      <c r="B1089" t="s">
        <v>110</v>
      </c>
      <c r="C1089" t="s">
        <v>124</v>
      </c>
      <c r="E1089" s="21"/>
      <c r="G1089" s="21"/>
      <c r="H1089" s="7"/>
      <c r="I1089" s="21"/>
      <c r="K1089"/>
      <c r="L1089" s="21">
        <f>(Table2[[#This Row],[H/Pace]]/100)*(VLOOKUP(Table2[[#This Row],[Home/Neutral]],home_lookup,8,FALSE)+VLOOKUP(Table2[[#This Row],[Home/Neutral]],OFR_lookup,2,FALSE)+VLOOKUP(Table2[[#This Row],[Visitor/Neutral]],def_diff_lookup,6,FALSE))</f>
        <v>103.6370511890094</v>
      </c>
      <c r="M1089" s="21"/>
      <c r="N1089" s="21">
        <f>(Table2[[#This Row],[A/Pace]]/100)*(VLOOKUP(Table2[[#This Row],[Visitor/Neutral]],OFR_lookup,2,FALSE)+VLOOKUP(Table2[[#This Row],[Home/Neutral]],def_diff_lookup,6,FALSE))</f>
        <v>97.415829666666667</v>
      </c>
      <c r="O1089" s="21"/>
      <c r="P1089" s="21"/>
      <c r="Q1089">
        <f>VLOOKUP(Table2[[#This Row],[Home/Neutral]],pace_lookup,7,FALSE)</f>
        <v>96.2</v>
      </c>
      <c r="R1089" s="5">
        <f>VLOOKUP(Table2[[#This Row],[Visitor/Neutral]],pace_lookup,7,FALSE)</f>
        <v>93.7</v>
      </c>
      <c r="S1089" s="7"/>
      <c r="U1089" s="15"/>
      <c r="W1089" s="2">
        <f>-home-VLOOKUP(Table2[[#This Row],[Home/Neutral]],rtg_vlookup,4,FALSE)+VLOOKUP(Table2[[#This Row],[Visitor/Neutral]],rtg_vlookup,4,FALSE)</f>
        <v>-4.4586885245901655</v>
      </c>
      <c r="X1089" s="15"/>
      <c r="Y1089" s="2"/>
      <c r="Z1089" s="2">
        <f>Table2[[#This Row],[A/EV]]-Table2[[#This Row],[H/EV]]</f>
        <v>-6.2212215223427307</v>
      </c>
      <c r="AA1089" s="29"/>
      <c r="AB1089" s="30"/>
      <c r="AC1089" s="30"/>
      <c r="AD1089" s="30"/>
      <c r="AE1089" s="30"/>
      <c r="AF1089" s="7" t="b">
        <f>IF(VLOOKUP(Table2[[#This Row],[Home/Neutral]],division_lookup,9,FALSE)=VLOOKUP(Table2[[#This Row],[Visitor/Neutral]],division_lookup,9,FALSE),TRUE,FALSE)</f>
        <v>0</v>
      </c>
      <c r="AG1089" s="15" t="str">
        <f>VLOOKUP(Table2[[#This Row],[Home/Neutral]],division_lookup,9,FALSE)</f>
        <v>A</v>
      </c>
      <c r="AH1089" s="15" t="str">
        <f>IF(Table2[[#This Row],[Total/EV]]&lt;Table2[[#This Row],[Total/V]],"UNDER","OVER")</f>
        <v>OVER</v>
      </c>
      <c r="AI1089" s="26">
        <f>Table2[[#This Row],[SRS/Real]]-Table2[[#This Row],[Spread/V]]</f>
        <v>0</v>
      </c>
      <c r="AJ1089" s="2">
        <f>Table2[[#This Row],[EV/Real]]-Table2[[#This Row],[Spread/V]]</f>
        <v>0</v>
      </c>
      <c r="AK1089" s="2">
        <f>Table2[[#This Row],[SRS/Diff]]-Table2[[#This Row],[EV/Diff]]</f>
        <v>0</v>
      </c>
      <c r="AL1089" s="18">
        <f>Table2[[#This Row],[SRS]]-Table2[[#This Row],[Spread]]</f>
        <v>-4.4586885245901655</v>
      </c>
      <c r="AM1089" s="21">
        <f>Table2[[#This Row],[(A) Err]]^2</f>
        <v>19.879903359312028</v>
      </c>
      <c r="AN1089" s="6">
        <f>Table2[[#This Row],[EV]]-Table2[[#This Row],[Spread]]</f>
        <v>-6.2212215223427307</v>
      </c>
      <c r="AO1089" s="1">
        <f>Table2[[#This Row],[EV Err]]^2</f>
        <v>38.703597230060403</v>
      </c>
      <c r="AP1089" s="1"/>
    </row>
    <row r="1090" spans="1:42" x14ac:dyDescent="0.25">
      <c r="A1090" s="34">
        <v>42821</v>
      </c>
      <c r="B1090" t="s">
        <v>112</v>
      </c>
      <c r="C1090" t="s">
        <v>131</v>
      </c>
      <c r="E1090" s="21"/>
      <c r="G1090" s="21"/>
      <c r="H1090" s="7"/>
      <c r="I1090" s="21"/>
      <c r="K1090"/>
      <c r="L1090" s="21">
        <f>(Table2[[#This Row],[H/Pace]]/100)*(VLOOKUP(Table2[[#This Row],[Home/Neutral]],home_lookup,8,FALSE)+VLOOKUP(Table2[[#This Row],[Home/Neutral]],OFR_lookup,2,FALSE)+VLOOKUP(Table2[[#This Row],[Visitor/Neutral]],def_diff_lookup,6,FALSE))</f>
        <v>105.28038195313484</v>
      </c>
      <c r="M1090" s="21"/>
      <c r="N1090" s="21">
        <f>(Table2[[#This Row],[A/Pace]]/100)*(VLOOKUP(Table2[[#This Row],[Visitor/Neutral]],OFR_lookup,2,FALSE)+VLOOKUP(Table2[[#This Row],[Home/Neutral]],def_diff_lookup,6,FALSE))</f>
        <v>102.183753</v>
      </c>
      <c r="O1090" s="21"/>
      <c r="P1090" s="21"/>
      <c r="Q1090">
        <f>VLOOKUP(Table2[[#This Row],[Home/Neutral]],pace_lookup,7,FALSE)</f>
        <v>97.4</v>
      </c>
      <c r="R1090" s="5">
        <f>VLOOKUP(Table2[[#This Row],[Visitor/Neutral]],pace_lookup,7,FALSE)</f>
        <v>101.7</v>
      </c>
      <c r="S1090" s="7"/>
      <c r="U1090" s="15"/>
      <c r="W1090" s="2">
        <f>-home-VLOOKUP(Table2[[#This Row],[Home/Neutral]],rtg_vlookup,4,FALSE)+VLOOKUP(Table2[[#This Row],[Visitor/Neutral]],rtg_vlookup,4,FALSE)</f>
        <v>-11.198688524590166</v>
      </c>
      <c r="X1090" s="15"/>
      <c r="Y1090" s="2"/>
      <c r="Z1090" s="2">
        <f>Table2[[#This Row],[A/EV]]-Table2[[#This Row],[H/EV]]</f>
        <v>-3.0966289531348394</v>
      </c>
      <c r="AA1090" s="29"/>
      <c r="AB1090" s="30"/>
      <c r="AC1090" s="30"/>
      <c r="AD1090" s="30"/>
      <c r="AE1090" s="30"/>
      <c r="AF1090" s="7" t="b">
        <f>IF(VLOOKUP(Table2[[#This Row],[Home/Neutral]],division_lookup,9,FALSE)=VLOOKUP(Table2[[#This Row],[Visitor/Neutral]],division_lookup,9,FALSE),TRUE,FALSE)</f>
        <v>0</v>
      </c>
      <c r="AG1090" s="15" t="str">
        <f>VLOOKUP(Table2[[#This Row],[Home/Neutral]],division_lookup,9,FALSE)</f>
        <v>SE</v>
      </c>
      <c r="AH1090" s="15" t="str">
        <f>IF(Table2[[#This Row],[Total/EV]]&lt;Table2[[#This Row],[Total/V]],"UNDER","OVER")</f>
        <v>OVER</v>
      </c>
      <c r="AI1090" s="26">
        <f>Table2[[#This Row],[SRS/Real]]-Table2[[#This Row],[Spread/V]]</f>
        <v>0</v>
      </c>
      <c r="AJ1090" s="2">
        <f>Table2[[#This Row],[EV/Real]]-Table2[[#This Row],[Spread/V]]</f>
        <v>0</v>
      </c>
      <c r="AK1090" s="2">
        <f>Table2[[#This Row],[SRS/Diff]]-Table2[[#This Row],[EV/Diff]]</f>
        <v>0</v>
      </c>
      <c r="AL1090" s="18">
        <f>Table2[[#This Row],[SRS]]-Table2[[#This Row],[Spread]]</f>
        <v>-11.198688524590166</v>
      </c>
      <c r="AM1090" s="21">
        <f>Table2[[#This Row],[(A) Err]]^2</f>
        <v>125.41062467078746</v>
      </c>
      <c r="AN1090" s="6">
        <f>Table2[[#This Row],[EV]]-Table2[[#This Row],[Spread]]</f>
        <v>-3.0966289531348394</v>
      </c>
      <c r="AO1090" s="1">
        <f>Table2[[#This Row],[EV Err]]^2</f>
        <v>9.589110873392972</v>
      </c>
      <c r="AP1090" s="1"/>
    </row>
    <row r="1091" spans="1:42" x14ac:dyDescent="0.25">
      <c r="A1091" s="34">
        <v>42821</v>
      </c>
      <c r="B1091" t="s">
        <v>116</v>
      </c>
      <c r="C1091" t="s">
        <v>127</v>
      </c>
      <c r="E1091" s="21"/>
      <c r="G1091" s="21"/>
      <c r="H1091" s="7"/>
      <c r="I1091" s="21"/>
      <c r="K1091"/>
      <c r="L1091" s="21">
        <f>(Table2[[#This Row],[H/Pace]]/100)*(VLOOKUP(Table2[[#This Row],[Home/Neutral]],home_lookup,8,FALSE)+VLOOKUP(Table2[[#This Row],[Home/Neutral]],OFR_lookup,2,FALSE)+VLOOKUP(Table2[[#This Row],[Visitor/Neutral]],def_diff_lookup,6,FALSE))</f>
        <v>103.62739470161863</v>
      </c>
      <c r="M1091" s="21"/>
      <c r="N1091" s="21">
        <f>(Table2[[#This Row],[A/Pace]]/100)*(VLOOKUP(Table2[[#This Row],[Visitor/Neutral]],OFR_lookup,2,FALSE)+VLOOKUP(Table2[[#This Row],[Home/Neutral]],def_diff_lookup,6,FALSE))</f>
        <v>102.23497699999999</v>
      </c>
      <c r="O1091" s="21"/>
      <c r="P1091" s="21"/>
      <c r="Q1091">
        <f>VLOOKUP(Table2[[#This Row],[Home/Neutral]],pace_lookup,7,FALSE)</f>
        <v>99.1</v>
      </c>
      <c r="R1091" s="5">
        <f>VLOOKUP(Table2[[#This Row],[Visitor/Neutral]],pace_lookup,7,FALSE)</f>
        <v>99.3</v>
      </c>
      <c r="S1091" s="7"/>
      <c r="U1091" s="15"/>
      <c r="W1091" s="2">
        <f>-home-VLOOKUP(Table2[[#This Row],[Home/Neutral]],rtg_vlookup,4,FALSE)+VLOOKUP(Table2[[#This Row],[Visitor/Neutral]],rtg_vlookup,4,FALSE)</f>
        <v>-4.6986885245901657</v>
      </c>
      <c r="X1091" s="15"/>
      <c r="Y1091" s="2"/>
      <c r="Z1091" s="2">
        <f>Table2[[#This Row],[A/EV]]-Table2[[#This Row],[H/EV]]</f>
        <v>-1.3924177016186405</v>
      </c>
      <c r="AA1091" s="29"/>
      <c r="AB1091" s="30"/>
      <c r="AC1091" s="30"/>
      <c r="AD1091" s="30"/>
      <c r="AE1091" s="30"/>
      <c r="AF1091" s="7" t="b">
        <f>IF(VLOOKUP(Table2[[#This Row],[Home/Neutral]],division_lookup,9,FALSE)=VLOOKUP(Table2[[#This Row],[Visitor/Neutral]],division_lookup,9,FALSE),TRUE,FALSE)</f>
        <v>0</v>
      </c>
      <c r="AG1091" s="15" t="str">
        <f>VLOOKUP(Table2[[#This Row],[Home/Neutral]],division_lookup,9,FALSE)</f>
        <v>NW</v>
      </c>
      <c r="AH1091" s="15" t="str">
        <f>IF(Table2[[#This Row],[Total/EV]]&lt;Table2[[#This Row],[Total/V]],"UNDER","OVER")</f>
        <v>OVER</v>
      </c>
      <c r="AI1091" s="26">
        <f>Table2[[#This Row],[SRS/Real]]-Table2[[#This Row],[Spread/V]]</f>
        <v>0</v>
      </c>
      <c r="AJ1091" s="2">
        <f>Table2[[#This Row],[EV/Real]]-Table2[[#This Row],[Spread/V]]</f>
        <v>0</v>
      </c>
      <c r="AK1091" s="2">
        <f>Table2[[#This Row],[SRS/Diff]]-Table2[[#This Row],[EV/Diff]]</f>
        <v>0</v>
      </c>
      <c r="AL1091" s="18">
        <f>Table2[[#This Row],[SRS]]-Table2[[#This Row],[Spread]]</f>
        <v>-4.6986885245901657</v>
      </c>
      <c r="AM1091" s="21">
        <f>Table2[[#This Row],[(A) Err]]^2</f>
        <v>22.077673851115307</v>
      </c>
      <c r="AN1091" s="6">
        <f>Table2[[#This Row],[EV]]-Table2[[#This Row],[Spread]]</f>
        <v>-1.3924177016186405</v>
      </c>
      <c r="AO1091" s="1">
        <f>Table2[[#This Row],[EV Err]]^2</f>
        <v>1.9388270557809375</v>
      </c>
      <c r="AP1091" s="1"/>
    </row>
    <row r="1092" spans="1:42" x14ac:dyDescent="0.25">
      <c r="A1092" s="34">
        <v>42821</v>
      </c>
      <c r="B1092" t="s">
        <v>118</v>
      </c>
      <c r="C1092" t="s">
        <v>123</v>
      </c>
      <c r="E1092" s="21"/>
      <c r="G1092" s="21"/>
      <c r="H1092" s="7"/>
      <c r="I1092" s="21"/>
      <c r="K1092"/>
      <c r="L1092" s="21">
        <f>(Table2[[#This Row],[H/Pace]]/100)*(VLOOKUP(Table2[[#This Row],[Home/Neutral]],home_lookup,8,FALSE)+VLOOKUP(Table2[[#This Row],[Home/Neutral]],OFR_lookup,2,FALSE)+VLOOKUP(Table2[[#This Row],[Visitor/Neutral]],def_diff_lookup,6,FALSE))</f>
        <v>111.18831838078236</v>
      </c>
      <c r="M1092" s="21"/>
      <c r="N1092" s="21">
        <f>(Table2[[#This Row],[A/Pace]]/100)*(VLOOKUP(Table2[[#This Row],[Visitor/Neutral]],OFR_lookup,2,FALSE)+VLOOKUP(Table2[[#This Row],[Home/Neutral]],def_diff_lookup,6,FALSE))</f>
        <v>94.956491666666665</v>
      </c>
      <c r="O1092" s="21"/>
      <c r="P1092" s="21"/>
      <c r="Q1092">
        <f>VLOOKUP(Table2[[#This Row],[Home/Neutral]],pace_lookup,7,FALSE)</f>
        <v>100.4</v>
      </c>
      <c r="R1092" s="5">
        <f>VLOOKUP(Table2[[#This Row],[Visitor/Neutral]],pace_lookup,7,FALSE)</f>
        <v>92.5</v>
      </c>
      <c r="S1092" s="7"/>
      <c r="U1092" s="15"/>
      <c r="W1092" s="2">
        <f>-home-VLOOKUP(Table2[[#This Row],[Home/Neutral]],rtg_vlookup,4,FALSE)+VLOOKUP(Table2[[#This Row],[Visitor/Neutral]],rtg_vlookup,4,FALSE)</f>
        <v>-13.518688524590166</v>
      </c>
      <c r="X1092" s="15"/>
      <c r="Y1092" s="2"/>
      <c r="Z1092" s="2">
        <f>Table2[[#This Row],[A/EV]]-Table2[[#This Row],[H/EV]]</f>
        <v>-16.231826714115698</v>
      </c>
      <c r="AA1092" s="29"/>
      <c r="AB1092" s="30"/>
      <c r="AC1092" s="30"/>
      <c r="AD1092" s="30"/>
      <c r="AE1092" s="30"/>
      <c r="AF1092" s="7" t="b">
        <f>IF(VLOOKUP(Table2[[#This Row],[Home/Neutral]],division_lookup,9,FALSE)=VLOOKUP(Table2[[#This Row],[Visitor/Neutral]],division_lookup,9,FALSE),TRUE,FALSE)</f>
        <v>0</v>
      </c>
      <c r="AG1092" s="15" t="str">
        <f>VLOOKUP(Table2[[#This Row],[Home/Neutral]],division_lookup,9,FALSE)</f>
        <v>P</v>
      </c>
      <c r="AH1092" s="15" t="str">
        <f>IF(Table2[[#This Row],[Total/EV]]&lt;Table2[[#This Row],[Total/V]],"UNDER","OVER")</f>
        <v>OVER</v>
      </c>
      <c r="AI1092" s="26">
        <f>Table2[[#This Row],[SRS/Real]]-Table2[[#This Row],[Spread/V]]</f>
        <v>0</v>
      </c>
      <c r="AJ1092" s="2">
        <f>Table2[[#This Row],[EV/Real]]-Table2[[#This Row],[Spread/V]]</f>
        <v>0</v>
      </c>
      <c r="AK1092" s="2">
        <f>Table2[[#This Row],[SRS/Diff]]-Table2[[#This Row],[EV/Diff]]</f>
        <v>0</v>
      </c>
      <c r="AL1092" s="18">
        <f>Table2[[#This Row],[SRS]]-Table2[[#This Row],[Spread]]</f>
        <v>-13.518688524590166</v>
      </c>
      <c r="AM1092" s="21">
        <f>Table2[[#This Row],[(A) Err]]^2</f>
        <v>182.75493942488583</v>
      </c>
      <c r="AN1092" s="6">
        <f>Table2[[#This Row],[EV]]-Table2[[#This Row],[Spread]]</f>
        <v>-16.231826714115698</v>
      </c>
      <c r="AO1092" s="1">
        <f>Table2[[#This Row],[EV Err]]^2</f>
        <v>263.47219847708004</v>
      </c>
      <c r="AP1092" s="1"/>
    </row>
    <row r="1093" spans="1:42" x14ac:dyDescent="0.25">
      <c r="A1093" s="34">
        <v>42821</v>
      </c>
      <c r="B1093" t="s">
        <v>119</v>
      </c>
      <c r="C1093" t="s">
        <v>129</v>
      </c>
      <c r="E1093" s="21"/>
      <c r="G1093" s="21"/>
      <c r="H1093" s="7"/>
      <c r="I1093" s="21"/>
      <c r="K1093"/>
      <c r="L1093" s="21">
        <f>(Table2[[#This Row],[H/Pace]]/100)*(VLOOKUP(Table2[[#This Row],[Home/Neutral]],home_lookup,8,FALSE)+VLOOKUP(Table2[[#This Row],[Home/Neutral]],OFR_lookup,2,FALSE)+VLOOKUP(Table2[[#This Row],[Visitor/Neutral]],def_diff_lookup,6,FALSE))</f>
        <v>107.04933376977628</v>
      </c>
      <c r="M1093" s="21"/>
      <c r="N1093" s="21">
        <f>(Table2[[#This Row],[A/Pace]]/100)*(VLOOKUP(Table2[[#This Row],[Visitor/Neutral]],OFR_lookup,2,FALSE)+VLOOKUP(Table2[[#This Row],[Home/Neutral]],def_diff_lookup,6,FALSE))</f>
        <v>107.87600999999999</v>
      </c>
      <c r="O1093" s="21"/>
      <c r="P1093" s="21"/>
      <c r="Q1093">
        <f>VLOOKUP(Table2[[#This Row],[Home/Neutral]],pace_lookup,7,FALSE)</f>
        <v>96.9</v>
      </c>
      <c r="R1093" s="5">
        <f>VLOOKUP(Table2[[#This Row],[Visitor/Neutral]],pace_lookup,7,FALSE)</f>
        <v>99</v>
      </c>
      <c r="S1093" s="7"/>
      <c r="U1093" s="15"/>
      <c r="W1093" s="2">
        <f>-home-VLOOKUP(Table2[[#This Row],[Home/Neutral]],rtg_vlookup,4,FALSE)+VLOOKUP(Table2[[#This Row],[Visitor/Neutral]],rtg_vlookup,4,FALSE)</f>
        <v>-4.9486885245901657</v>
      </c>
      <c r="X1093" s="15"/>
      <c r="Y1093" s="2"/>
      <c r="Z1093" s="2">
        <f>Table2[[#This Row],[A/EV]]-Table2[[#This Row],[H/EV]]</f>
        <v>0.82667623022371117</v>
      </c>
      <c r="AA1093" s="29"/>
      <c r="AB1093" s="30"/>
      <c r="AC1093" s="30"/>
      <c r="AD1093" s="30"/>
      <c r="AE1093" s="30"/>
      <c r="AF1093" s="7" t="b">
        <f>IF(VLOOKUP(Table2[[#This Row],[Home/Neutral]],division_lookup,9,FALSE)=VLOOKUP(Table2[[#This Row],[Visitor/Neutral]],division_lookup,9,FALSE),TRUE,FALSE)</f>
        <v>0</v>
      </c>
      <c r="AG1093" s="15" t="str">
        <f>VLOOKUP(Table2[[#This Row],[Home/Neutral]],division_lookup,9,FALSE)</f>
        <v>SW</v>
      </c>
      <c r="AH1093" s="15" t="str">
        <f>IF(Table2[[#This Row],[Total/EV]]&lt;Table2[[#This Row],[Total/V]],"UNDER","OVER")</f>
        <v>OVER</v>
      </c>
      <c r="AI1093" s="26">
        <f>Table2[[#This Row],[SRS/Real]]-Table2[[#This Row],[Spread/V]]</f>
        <v>0</v>
      </c>
      <c r="AJ1093" s="2">
        <f>Table2[[#This Row],[EV/Real]]-Table2[[#This Row],[Spread/V]]</f>
        <v>0</v>
      </c>
      <c r="AK1093" s="2">
        <f>Table2[[#This Row],[SRS/Diff]]-Table2[[#This Row],[EV/Diff]]</f>
        <v>0</v>
      </c>
      <c r="AL1093" s="18">
        <f>Table2[[#This Row],[SRS]]-Table2[[#This Row],[Spread]]</f>
        <v>-4.9486885245901657</v>
      </c>
      <c r="AM1093" s="21">
        <f>Table2[[#This Row],[(A) Err]]^2</f>
        <v>24.489518113410391</v>
      </c>
      <c r="AN1093" s="6">
        <f>Table2[[#This Row],[EV]]-Table2[[#This Row],[Spread]]</f>
        <v>0.82667623022371117</v>
      </c>
      <c r="AO1093" s="1">
        <f>Table2[[#This Row],[EV Err]]^2</f>
        <v>0.68339358961688634</v>
      </c>
      <c r="AP1093" s="1"/>
    </row>
    <row r="1094" spans="1:42" x14ac:dyDescent="0.25">
      <c r="A1094" s="34">
        <v>42821</v>
      </c>
      <c r="B1094" t="s">
        <v>120</v>
      </c>
      <c r="C1094" t="s">
        <v>138</v>
      </c>
      <c r="E1094" s="21"/>
      <c r="G1094" s="21"/>
      <c r="H1094" s="7"/>
      <c r="I1094" s="21"/>
      <c r="K1094"/>
      <c r="L1094" s="21">
        <f>(Table2[[#This Row],[H/Pace]]/100)*(VLOOKUP(Table2[[#This Row],[Home/Neutral]],home_lookup,8,FALSE)+VLOOKUP(Table2[[#This Row],[Home/Neutral]],OFR_lookup,2,FALSE)+VLOOKUP(Table2[[#This Row],[Visitor/Neutral]],def_diff_lookup,6,FALSE))</f>
        <v>107.67649542930862</v>
      </c>
      <c r="M1094" s="21"/>
      <c r="N1094" s="21">
        <f>(Table2[[#This Row],[A/Pace]]/100)*(VLOOKUP(Table2[[#This Row],[Visitor/Neutral]],OFR_lookup,2,FALSE)+VLOOKUP(Table2[[#This Row],[Home/Neutral]],def_diff_lookup,6,FALSE))</f>
        <v>98.002774999999986</v>
      </c>
      <c r="O1094" s="21"/>
      <c r="P1094" s="21"/>
      <c r="Q1094">
        <f>VLOOKUP(Table2[[#This Row],[Home/Neutral]],pace_lookup,7,FALSE)</f>
        <v>98.3</v>
      </c>
      <c r="R1094" s="5">
        <f>VLOOKUP(Table2[[#This Row],[Visitor/Neutral]],pace_lookup,7,FALSE)</f>
        <v>97.5</v>
      </c>
      <c r="S1094" s="7"/>
      <c r="U1094" s="15"/>
      <c r="W1094" s="2">
        <f>-home-VLOOKUP(Table2[[#This Row],[Home/Neutral]],rtg_vlookup,4,FALSE)+VLOOKUP(Table2[[#This Row],[Visitor/Neutral]],rtg_vlookup,4,FALSE)</f>
        <v>-7.7086885245901664</v>
      </c>
      <c r="X1094" s="15"/>
      <c r="Y1094" s="2"/>
      <c r="Z1094" s="2">
        <f>Table2[[#This Row],[A/EV]]-Table2[[#This Row],[H/EV]]</f>
        <v>-9.6737204293086307</v>
      </c>
      <c r="AA1094" s="29"/>
      <c r="AB1094" s="30"/>
      <c r="AC1094" s="30"/>
      <c r="AD1094" s="30"/>
      <c r="AE1094" s="30"/>
      <c r="AF1094" s="7" t="b">
        <f>IF(VLOOKUP(Table2[[#This Row],[Home/Neutral]],division_lookup,9,FALSE)=VLOOKUP(Table2[[#This Row],[Visitor/Neutral]],division_lookup,9,FALSE),TRUE,FALSE)</f>
        <v>0</v>
      </c>
      <c r="AG1094" s="15" t="str">
        <f>VLOOKUP(Table2[[#This Row],[Home/Neutral]],division_lookup,9,FALSE)</f>
        <v>C</v>
      </c>
      <c r="AH1094" s="15" t="str">
        <f>IF(Table2[[#This Row],[Total/EV]]&lt;Table2[[#This Row],[Total/V]],"UNDER","OVER")</f>
        <v>OVER</v>
      </c>
      <c r="AI1094" s="26">
        <f>Table2[[#This Row],[SRS/Real]]-Table2[[#This Row],[Spread/V]]</f>
        <v>0</v>
      </c>
      <c r="AJ1094" s="2">
        <f>Table2[[#This Row],[EV/Real]]-Table2[[#This Row],[Spread/V]]</f>
        <v>0</v>
      </c>
      <c r="AK1094" s="2">
        <f>Table2[[#This Row],[SRS/Diff]]-Table2[[#This Row],[EV/Diff]]</f>
        <v>0</v>
      </c>
      <c r="AL1094" s="18">
        <f>Table2[[#This Row],[SRS]]-Table2[[#This Row],[Spread]]</f>
        <v>-7.7086885245901664</v>
      </c>
      <c r="AM1094" s="21">
        <f>Table2[[#This Row],[(A) Err]]^2</f>
        <v>59.423878769148118</v>
      </c>
      <c r="AN1094" s="6">
        <f>Table2[[#This Row],[EV]]-Table2[[#This Row],[Spread]]</f>
        <v>-9.6737204293086307</v>
      </c>
      <c r="AO1094" s="1">
        <f>Table2[[#This Row],[EV Err]]^2</f>
        <v>93.580866944423164</v>
      </c>
      <c r="AP1094" s="1"/>
    </row>
    <row r="1095" spans="1:42" x14ac:dyDescent="0.25">
      <c r="A1095" s="34">
        <v>42821</v>
      </c>
      <c r="B1095" t="s">
        <v>121</v>
      </c>
      <c r="C1095" t="s">
        <v>133</v>
      </c>
      <c r="E1095" s="21"/>
      <c r="G1095" s="21"/>
      <c r="H1095" s="7"/>
      <c r="I1095" s="21"/>
      <c r="K1095"/>
      <c r="L1095" s="21">
        <f>(Table2[[#This Row],[H/Pace]]/100)*(VLOOKUP(Table2[[#This Row],[Home/Neutral]],home_lookup,8,FALSE)+VLOOKUP(Table2[[#This Row],[Home/Neutral]],OFR_lookup,2,FALSE)+VLOOKUP(Table2[[#This Row],[Visitor/Neutral]],def_diff_lookup,6,FALSE))</f>
        <v>117.00376060751253</v>
      </c>
      <c r="M1095" s="21"/>
      <c r="N1095" s="21">
        <f>(Table2[[#This Row],[A/Pace]]/100)*(VLOOKUP(Table2[[#This Row],[Visitor/Neutral]],OFR_lookup,2,FALSE)+VLOOKUP(Table2[[#This Row],[Home/Neutral]],def_diff_lookup,6,FALSE))</f>
        <v>97.681318000000005</v>
      </c>
      <c r="O1095" s="21"/>
      <c r="P1095" s="21"/>
      <c r="Q1095">
        <f>VLOOKUP(Table2[[#This Row],[Home/Neutral]],pace_lookup,7,FALSE)</f>
        <v>96.4</v>
      </c>
      <c r="R1095" s="5">
        <f>VLOOKUP(Table2[[#This Row],[Visitor/Neutral]],pace_lookup,7,FALSE)</f>
        <v>94.2</v>
      </c>
      <c r="S1095" s="7"/>
      <c r="U1095" s="15"/>
      <c r="W1095" s="2">
        <f>-home-VLOOKUP(Table2[[#This Row],[Home/Neutral]],rtg_vlookup,4,FALSE)+VLOOKUP(Table2[[#This Row],[Visitor/Neutral]],rtg_vlookup,4,FALSE)</f>
        <v>-17.428688524590164</v>
      </c>
      <c r="X1095" s="15"/>
      <c r="Y1095" s="2"/>
      <c r="Z1095" s="2">
        <f>Table2[[#This Row],[A/EV]]-Table2[[#This Row],[H/EV]]</f>
        <v>-19.322442607512528</v>
      </c>
      <c r="AA1095" s="29"/>
      <c r="AB1095" s="30"/>
      <c r="AC1095" s="30"/>
      <c r="AD1095" s="30"/>
      <c r="AE1095" s="30"/>
      <c r="AF1095" s="7" t="b">
        <f>IF(VLOOKUP(Table2[[#This Row],[Home/Neutral]],division_lookup,9,FALSE)=VLOOKUP(Table2[[#This Row],[Visitor/Neutral]],division_lookup,9,FALSE),TRUE,FALSE)</f>
        <v>1</v>
      </c>
      <c r="AG1095" s="15" t="str">
        <f>VLOOKUP(Table2[[#This Row],[Home/Neutral]],division_lookup,9,FALSE)</f>
        <v>P</v>
      </c>
      <c r="AH1095" s="15" t="str">
        <f>IF(Table2[[#This Row],[Total/EV]]&lt;Table2[[#This Row],[Total/V]],"UNDER","OVER")</f>
        <v>OVER</v>
      </c>
      <c r="AI1095" s="26">
        <f>Table2[[#This Row],[SRS/Real]]-Table2[[#This Row],[Spread/V]]</f>
        <v>0</v>
      </c>
      <c r="AJ1095" s="2">
        <f>Table2[[#This Row],[EV/Real]]-Table2[[#This Row],[Spread/V]]</f>
        <v>0</v>
      </c>
      <c r="AK1095" s="2">
        <f>Table2[[#This Row],[SRS/Diff]]-Table2[[#This Row],[EV/Diff]]</f>
        <v>0</v>
      </c>
      <c r="AL1095" s="18">
        <f>Table2[[#This Row],[SRS]]-Table2[[#This Row],[Spread]]</f>
        <v>-17.428688524590164</v>
      </c>
      <c r="AM1095" s="21">
        <f>Table2[[#This Row],[(A) Err]]^2</f>
        <v>303.75918368718089</v>
      </c>
      <c r="AN1095" s="6">
        <f>Table2[[#This Row],[EV]]-Table2[[#This Row],[Spread]]</f>
        <v>-19.322442607512528</v>
      </c>
      <c r="AO1095" s="1">
        <f>Table2[[#This Row],[EV Err]]^2</f>
        <v>373.35678832061552</v>
      </c>
      <c r="AP1095" s="1"/>
    </row>
    <row r="1096" spans="1:42" x14ac:dyDescent="0.25">
      <c r="A1096" s="34">
        <v>42821</v>
      </c>
      <c r="B1096" t="s">
        <v>122</v>
      </c>
      <c r="C1096" t="s">
        <v>132</v>
      </c>
      <c r="E1096" s="21"/>
      <c r="G1096" s="21"/>
      <c r="H1096" s="7"/>
      <c r="I1096" s="21"/>
      <c r="K1096"/>
      <c r="L1096" s="21">
        <f>(Table2[[#This Row],[H/Pace]]/100)*(VLOOKUP(Table2[[#This Row],[Home/Neutral]],home_lookup,8,FALSE)+VLOOKUP(Table2[[#This Row],[Home/Neutral]],OFR_lookup,2,FALSE)+VLOOKUP(Table2[[#This Row],[Visitor/Neutral]],def_diff_lookup,6,FALSE))</f>
        <v>115.33902832744731</v>
      </c>
      <c r="M1096" s="21"/>
      <c r="N1096" s="21">
        <f>(Table2[[#This Row],[A/Pace]]/100)*(VLOOKUP(Table2[[#This Row],[Visitor/Neutral]],OFR_lookup,2,FALSE)+VLOOKUP(Table2[[#This Row],[Home/Neutral]],def_diff_lookup,6,FALSE))</f>
        <v>112.92411866666666</v>
      </c>
      <c r="O1096" s="21"/>
      <c r="P1096" s="21"/>
      <c r="Q1096">
        <f>VLOOKUP(Table2[[#This Row],[Home/Neutral]],pace_lookup,7,FALSE)</f>
        <v>100.2</v>
      </c>
      <c r="R1096" s="5">
        <f>VLOOKUP(Table2[[#This Row],[Visitor/Neutral]],pace_lookup,7,FALSE)</f>
        <v>98.8</v>
      </c>
      <c r="S1096" s="7"/>
      <c r="U1096" s="15"/>
      <c r="W1096" s="2">
        <f>-home-VLOOKUP(Table2[[#This Row],[Home/Neutral]],rtg_vlookup,4,FALSE)+VLOOKUP(Table2[[#This Row],[Visitor/Neutral]],rtg_vlookup,4,FALSE)</f>
        <v>-2.9686885245901657</v>
      </c>
      <c r="X1096" s="15"/>
      <c r="Y1096" s="2"/>
      <c r="Z1096" s="2">
        <f>Table2[[#This Row],[A/EV]]-Table2[[#This Row],[H/EV]]</f>
        <v>-2.4149096607806513</v>
      </c>
      <c r="AA1096" s="29"/>
      <c r="AB1096" s="30"/>
      <c r="AC1096" s="30"/>
      <c r="AD1096" s="30"/>
      <c r="AE1096" s="30"/>
      <c r="AF1096" s="7" t="b">
        <f>IF(VLOOKUP(Table2[[#This Row],[Home/Neutral]],division_lookup,9,FALSE)=VLOOKUP(Table2[[#This Row],[Visitor/Neutral]],division_lookup,9,FALSE),TRUE,FALSE)</f>
        <v>0</v>
      </c>
      <c r="AG1096" s="15" t="str">
        <f>VLOOKUP(Table2[[#This Row],[Home/Neutral]],division_lookup,9,FALSE)</f>
        <v>P</v>
      </c>
      <c r="AH1096" s="15" t="str">
        <f>IF(Table2[[#This Row],[Total/EV]]&lt;Table2[[#This Row],[Total/V]],"UNDER","OVER")</f>
        <v>OVER</v>
      </c>
      <c r="AI1096" s="26">
        <f>Table2[[#This Row],[SRS/Real]]-Table2[[#This Row],[Spread/V]]</f>
        <v>0</v>
      </c>
      <c r="AJ1096" s="2">
        <f>Table2[[#This Row],[EV/Real]]-Table2[[#This Row],[Spread/V]]</f>
        <v>0</v>
      </c>
      <c r="AK1096" s="2">
        <f>Table2[[#This Row],[SRS/Diff]]-Table2[[#This Row],[EV/Diff]]</f>
        <v>0</v>
      </c>
      <c r="AL1096" s="18">
        <f>Table2[[#This Row],[SRS]]-Table2[[#This Row],[Spread]]</f>
        <v>-2.9686885245901657</v>
      </c>
      <c r="AM1096" s="21">
        <f>Table2[[#This Row],[(A) Err]]^2</f>
        <v>8.813111556033336</v>
      </c>
      <c r="AN1096" s="6">
        <f>Table2[[#This Row],[EV]]-Table2[[#This Row],[Spread]]</f>
        <v>-2.4149096607806513</v>
      </c>
      <c r="AO1096" s="1">
        <f>Table2[[#This Row],[EV Err]]^2</f>
        <v>5.8317886697317203</v>
      </c>
      <c r="AP1096" s="1"/>
    </row>
    <row r="1097" spans="1:42" x14ac:dyDescent="0.25">
      <c r="A1097" s="34">
        <v>42821</v>
      </c>
      <c r="B1097" t="s">
        <v>125</v>
      </c>
      <c r="C1097" t="s">
        <v>113</v>
      </c>
      <c r="E1097" s="21"/>
      <c r="G1097" s="21"/>
      <c r="H1097" s="7"/>
      <c r="I1097" s="21"/>
      <c r="K1097"/>
      <c r="L1097" s="21">
        <f>(Table2[[#This Row],[H/Pace]]/100)*(VLOOKUP(Table2[[#This Row],[Home/Neutral]],home_lookup,8,FALSE)+VLOOKUP(Table2[[#This Row],[Home/Neutral]],OFR_lookup,2,FALSE)+VLOOKUP(Table2[[#This Row],[Visitor/Neutral]],def_diff_lookup,6,FALSE))</f>
        <v>108.06522550061908</v>
      </c>
      <c r="M1097" s="21"/>
      <c r="N1097" s="21">
        <f>(Table2[[#This Row],[A/Pace]]/100)*(VLOOKUP(Table2[[#This Row],[Visitor/Neutral]],OFR_lookup,2,FALSE)+VLOOKUP(Table2[[#This Row],[Home/Neutral]],def_diff_lookup,6,FALSE))</f>
        <v>107.38279899999999</v>
      </c>
      <c r="O1097" s="21"/>
      <c r="P1097" s="21"/>
      <c r="Q1097">
        <f>VLOOKUP(Table2[[#This Row],[Home/Neutral]],pace_lookup,7,FALSE)</f>
        <v>96.1</v>
      </c>
      <c r="R1097" s="5">
        <f>VLOOKUP(Table2[[#This Row],[Visitor/Neutral]],pace_lookup,7,FALSE)</f>
        <v>95.1</v>
      </c>
      <c r="S1097" s="7"/>
      <c r="U1097" s="15"/>
      <c r="W1097" s="2">
        <f>-home-VLOOKUP(Table2[[#This Row],[Home/Neutral]],rtg_vlookup,4,FALSE)+VLOOKUP(Table2[[#This Row],[Visitor/Neutral]],rtg_vlookup,4,FALSE)</f>
        <v>4.351311475409835</v>
      </c>
      <c r="X1097" s="15"/>
      <c r="Y1097" s="2"/>
      <c r="Z1097" s="2">
        <f>Table2[[#This Row],[A/EV]]-Table2[[#This Row],[H/EV]]</f>
        <v>-0.68242650061908705</v>
      </c>
      <c r="AA1097" s="29"/>
      <c r="AB1097" s="30"/>
      <c r="AC1097" s="30"/>
      <c r="AD1097" s="30"/>
      <c r="AE1097" s="30"/>
      <c r="AF1097" s="7" t="b">
        <f>IF(VLOOKUP(Table2[[#This Row],[Home/Neutral]],division_lookup,9,FALSE)=VLOOKUP(Table2[[#This Row],[Visitor/Neutral]],division_lookup,9,FALSE),TRUE,FALSE)</f>
        <v>1</v>
      </c>
      <c r="AG1097" s="15" t="str">
        <f>VLOOKUP(Table2[[#This Row],[Home/Neutral]],division_lookup,9,FALSE)</f>
        <v>C</v>
      </c>
      <c r="AH1097" s="15" t="str">
        <f>IF(Table2[[#This Row],[Total/EV]]&lt;Table2[[#This Row],[Total/V]],"UNDER","OVER")</f>
        <v>OVER</v>
      </c>
      <c r="AI1097" s="26">
        <f>Table2[[#This Row],[SRS/Real]]-Table2[[#This Row],[Spread/V]]</f>
        <v>0</v>
      </c>
      <c r="AJ1097" s="2">
        <f>Table2[[#This Row],[EV/Real]]-Table2[[#This Row],[Spread/V]]</f>
        <v>0</v>
      </c>
      <c r="AK1097" s="2">
        <f>Table2[[#This Row],[SRS/Diff]]-Table2[[#This Row],[EV/Diff]]</f>
        <v>0</v>
      </c>
      <c r="AL1097" s="18">
        <f>Table2[[#This Row],[SRS]]-Table2[[#This Row],[Spread]]</f>
        <v>4.351311475409835</v>
      </c>
      <c r="AM1097" s="21">
        <f>Table2[[#This Row],[(A) Err]]^2</f>
        <v>18.933911556033316</v>
      </c>
      <c r="AN1097" s="6">
        <f>Table2[[#This Row],[EV]]-Table2[[#This Row],[Spread]]</f>
        <v>-0.68242650061908705</v>
      </c>
      <c r="AO1097" s="1">
        <f>Table2[[#This Row],[EV Err]]^2</f>
        <v>0.46570592874721284</v>
      </c>
      <c r="AP1097" s="1"/>
    </row>
    <row r="1098" spans="1:42" x14ac:dyDescent="0.25">
      <c r="A1098" s="34">
        <v>42822</v>
      </c>
      <c r="B1098" t="s">
        <v>115</v>
      </c>
      <c r="C1098" t="s">
        <v>129</v>
      </c>
      <c r="E1098" s="21"/>
      <c r="G1098" s="21"/>
      <c r="H1098" s="7"/>
      <c r="I1098" s="21"/>
      <c r="K1098"/>
      <c r="L1098" s="21">
        <f>(Table2[[#This Row],[H/Pace]]/100)*(VLOOKUP(Table2[[#This Row],[Home/Neutral]],home_lookup,8,FALSE)+VLOOKUP(Table2[[#This Row],[Home/Neutral]],OFR_lookup,2,FALSE)+VLOOKUP(Table2[[#This Row],[Visitor/Neutral]],def_diff_lookup,6,FALSE))</f>
        <v>93.621993115967769</v>
      </c>
      <c r="M1098" s="21"/>
      <c r="N1098" s="21">
        <f>(Table2[[#This Row],[A/Pace]]/100)*(VLOOKUP(Table2[[#This Row],[Visitor/Neutral]],OFR_lookup,2,FALSE)+VLOOKUP(Table2[[#This Row],[Home/Neutral]],def_diff_lookup,6,FALSE))</f>
        <v>104.49020999999999</v>
      </c>
      <c r="O1098" s="21"/>
      <c r="P1098" s="21"/>
      <c r="Q1098">
        <f>VLOOKUP(Table2[[#This Row],[Home/Neutral]],pace_lookup,7,FALSE)</f>
        <v>92.9</v>
      </c>
      <c r="R1098" s="5">
        <f>VLOOKUP(Table2[[#This Row],[Visitor/Neutral]],pace_lookup,7,FALSE)</f>
        <v>99</v>
      </c>
      <c r="S1098" s="7"/>
      <c r="U1098" s="15"/>
      <c r="W1098" s="2">
        <f>-home-VLOOKUP(Table2[[#This Row],[Home/Neutral]],rtg_vlookup,4,FALSE)+VLOOKUP(Table2[[#This Row],[Visitor/Neutral]],rtg_vlookup,4,FALSE)</f>
        <v>7.5913114754098334</v>
      </c>
      <c r="X1098" s="15"/>
      <c r="Y1098" s="2"/>
      <c r="Z1098" s="2">
        <f>Table2[[#This Row],[A/EV]]-Table2[[#This Row],[H/EV]]</f>
        <v>10.868216884032222</v>
      </c>
      <c r="AA1098" s="29"/>
      <c r="AB1098" s="30"/>
      <c r="AC1098" s="30"/>
      <c r="AD1098" s="30"/>
      <c r="AE1098" s="30"/>
      <c r="AF1098" s="7" t="b">
        <f>IF(VLOOKUP(Table2[[#This Row],[Home/Neutral]],division_lookup,9,FALSE)=VLOOKUP(Table2[[#This Row],[Visitor/Neutral]],division_lookup,9,FALSE),TRUE,FALSE)</f>
        <v>0</v>
      </c>
      <c r="AG1098" s="15" t="str">
        <f>VLOOKUP(Table2[[#This Row],[Home/Neutral]],division_lookup,9,FALSE)</f>
        <v>SW</v>
      </c>
      <c r="AH1098" s="15" t="str">
        <f>IF(Table2[[#This Row],[Total/EV]]&lt;Table2[[#This Row],[Total/V]],"UNDER","OVER")</f>
        <v>OVER</v>
      </c>
      <c r="AI1098" s="26">
        <f>Table2[[#This Row],[SRS/Real]]-Table2[[#This Row],[Spread/V]]</f>
        <v>0</v>
      </c>
      <c r="AJ1098" s="2">
        <f>Table2[[#This Row],[EV/Real]]-Table2[[#This Row],[Spread/V]]</f>
        <v>0</v>
      </c>
      <c r="AK1098" s="2">
        <f>Table2[[#This Row],[SRS/Diff]]-Table2[[#This Row],[EV/Diff]]</f>
        <v>0</v>
      </c>
      <c r="AL1098" s="18">
        <f>Table2[[#This Row],[SRS]]-Table2[[#This Row],[Spread]]</f>
        <v>7.5913114754098334</v>
      </c>
      <c r="AM1098" s="21">
        <f>Table2[[#This Row],[(A) Err]]^2</f>
        <v>57.628009916689024</v>
      </c>
      <c r="AN1098" s="6">
        <f>Table2[[#This Row],[EV]]-Table2[[#This Row],[Spread]]</f>
        <v>10.868216884032222</v>
      </c>
      <c r="AO1098" s="1">
        <f>Table2[[#This Row],[EV Err]]^2</f>
        <v>118.11813823836306</v>
      </c>
      <c r="AP1098" s="1"/>
    </row>
    <row r="1099" spans="1:42" x14ac:dyDescent="0.25">
      <c r="A1099" s="34">
        <v>42822</v>
      </c>
      <c r="B1099" t="s">
        <v>128</v>
      </c>
      <c r="C1099" t="s">
        <v>117</v>
      </c>
      <c r="E1099" s="21"/>
      <c r="G1099" s="21"/>
      <c r="H1099" s="7"/>
      <c r="I1099" s="21"/>
      <c r="K1099"/>
      <c r="L1099" s="21">
        <f>(Table2[[#This Row],[H/Pace]]/100)*(VLOOKUP(Table2[[#This Row],[Home/Neutral]],home_lookup,8,FALSE)+VLOOKUP(Table2[[#This Row],[Home/Neutral]],OFR_lookup,2,FALSE)+VLOOKUP(Table2[[#This Row],[Visitor/Neutral]],def_diff_lookup,6,FALSE))</f>
        <v>104.6382198778302</v>
      </c>
      <c r="M1099" s="21"/>
      <c r="N1099" s="21">
        <f>(Table2[[#This Row],[A/Pace]]/100)*(VLOOKUP(Table2[[#This Row],[Visitor/Neutral]],OFR_lookup,2,FALSE)+VLOOKUP(Table2[[#This Row],[Home/Neutral]],def_diff_lookup,6,FALSE))</f>
        <v>101.01772666666666</v>
      </c>
      <c r="O1099" s="21"/>
      <c r="P1099" s="21"/>
      <c r="Q1099">
        <f>VLOOKUP(Table2[[#This Row],[Home/Neutral]],pace_lookup,7,FALSE)</f>
        <v>96.3</v>
      </c>
      <c r="R1099" s="5">
        <f>VLOOKUP(Table2[[#This Row],[Visitor/Neutral]],pace_lookup,7,FALSE)</f>
        <v>94</v>
      </c>
      <c r="S1099" s="7"/>
      <c r="U1099" s="15"/>
      <c r="W1099" s="2">
        <f>-home-VLOOKUP(Table2[[#This Row],[Home/Neutral]],rtg_vlookup,4,FALSE)+VLOOKUP(Table2[[#This Row],[Visitor/Neutral]],rtg_vlookup,4,FALSE)</f>
        <v>0.65131147540983414</v>
      </c>
      <c r="X1099" s="15"/>
      <c r="Y1099" s="2"/>
      <c r="Z1099" s="2">
        <f>Table2[[#This Row],[A/EV]]-Table2[[#This Row],[H/EV]]</f>
        <v>-3.6204932111635344</v>
      </c>
      <c r="AA1099" s="29"/>
      <c r="AB1099" s="30"/>
      <c r="AC1099" s="30"/>
      <c r="AD1099" s="30"/>
      <c r="AE1099" s="30"/>
      <c r="AF1099" s="7" t="b">
        <f>IF(VLOOKUP(Table2[[#This Row],[Home/Neutral]],division_lookup,9,FALSE)=VLOOKUP(Table2[[#This Row],[Visitor/Neutral]],division_lookup,9,FALSE),TRUE,FALSE)</f>
        <v>0</v>
      </c>
      <c r="AG1099" s="15" t="str">
        <f>VLOOKUP(Table2[[#This Row],[Home/Neutral]],division_lookup,9,FALSE)</f>
        <v>A</v>
      </c>
      <c r="AH1099" s="15" t="str">
        <f>IF(Table2[[#This Row],[Total/EV]]&lt;Table2[[#This Row],[Total/V]],"UNDER","OVER")</f>
        <v>OVER</v>
      </c>
      <c r="AI1099" s="26">
        <f>Table2[[#This Row],[SRS/Real]]-Table2[[#This Row],[Spread/V]]</f>
        <v>0</v>
      </c>
      <c r="AJ1099" s="2">
        <f>Table2[[#This Row],[EV/Real]]-Table2[[#This Row],[Spread/V]]</f>
        <v>0</v>
      </c>
      <c r="AK1099" s="2">
        <f>Table2[[#This Row],[SRS/Diff]]-Table2[[#This Row],[EV/Diff]]</f>
        <v>0</v>
      </c>
      <c r="AL1099" s="18">
        <f>Table2[[#This Row],[SRS]]-Table2[[#This Row],[Spread]]</f>
        <v>0.65131147540983414</v>
      </c>
      <c r="AM1099" s="21">
        <f>Table2[[#This Row],[(A) Err]]^2</f>
        <v>0.42420663800053499</v>
      </c>
      <c r="AN1099" s="6">
        <f>Table2[[#This Row],[EV]]-Table2[[#This Row],[Spread]]</f>
        <v>-3.6204932111635344</v>
      </c>
      <c r="AO1099" s="1">
        <f>Table2[[#This Row],[EV Err]]^2</f>
        <v>13.107971092081241</v>
      </c>
      <c r="AP1099" s="1"/>
    </row>
    <row r="1100" spans="1:42" x14ac:dyDescent="0.25">
      <c r="A1100" s="34">
        <v>42822</v>
      </c>
      <c r="B1100" t="s">
        <v>133</v>
      </c>
      <c r="C1100" t="s">
        <v>123</v>
      </c>
      <c r="E1100" s="21"/>
      <c r="G1100" s="21"/>
      <c r="H1100" s="7"/>
      <c r="I1100" s="21"/>
      <c r="K1100"/>
      <c r="L1100" s="21">
        <f>(Table2[[#This Row],[H/Pace]]/100)*(VLOOKUP(Table2[[#This Row],[Home/Neutral]],home_lookup,8,FALSE)+VLOOKUP(Table2[[#This Row],[Home/Neutral]],OFR_lookup,2,FALSE)+VLOOKUP(Table2[[#This Row],[Visitor/Neutral]],def_diff_lookup,6,FALSE))</f>
        <v>104.69788748279979</v>
      </c>
      <c r="M1100" s="21"/>
      <c r="N1100" s="21">
        <f>(Table2[[#This Row],[A/Pace]]/100)*(VLOOKUP(Table2[[#This Row],[Visitor/Neutral]],OFR_lookup,2,FALSE)+VLOOKUP(Table2[[#This Row],[Home/Neutral]],def_diff_lookup,6,FALSE))</f>
        <v>99.007991666666669</v>
      </c>
      <c r="O1100" s="21"/>
      <c r="P1100" s="21"/>
      <c r="Q1100">
        <f>VLOOKUP(Table2[[#This Row],[Home/Neutral]],pace_lookup,7,FALSE)</f>
        <v>94.2</v>
      </c>
      <c r="R1100" s="5">
        <f>VLOOKUP(Table2[[#This Row],[Visitor/Neutral]],pace_lookup,7,FALSE)</f>
        <v>92.5</v>
      </c>
      <c r="S1100" s="7"/>
      <c r="U1100" s="15"/>
      <c r="W1100" s="2">
        <f>-home-VLOOKUP(Table2[[#This Row],[Home/Neutral]],rtg_vlookup,4,FALSE)+VLOOKUP(Table2[[#This Row],[Visitor/Neutral]],rtg_vlookup,4,FALSE)</f>
        <v>-0.17868852459016582</v>
      </c>
      <c r="X1100" s="15"/>
      <c r="Y1100" s="2"/>
      <c r="Z1100" s="2">
        <f>Table2[[#This Row],[A/EV]]-Table2[[#This Row],[H/EV]]</f>
        <v>-5.6898958161331166</v>
      </c>
      <c r="AA1100" s="29"/>
      <c r="AB1100" s="30"/>
      <c r="AC1100" s="30"/>
      <c r="AD1100" s="30"/>
      <c r="AE1100" s="30"/>
      <c r="AF1100" s="7" t="b">
        <f>IF(VLOOKUP(Table2[[#This Row],[Home/Neutral]],division_lookup,9,FALSE)=VLOOKUP(Table2[[#This Row],[Visitor/Neutral]],division_lookup,9,FALSE),TRUE,FALSE)</f>
        <v>0</v>
      </c>
      <c r="AG1100" s="15" t="str">
        <f>VLOOKUP(Table2[[#This Row],[Home/Neutral]],division_lookup,9,FALSE)</f>
        <v>P</v>
      </c>
      <c r="AH1100" s="15" t="str">
        <f>IF(Table2[[#This Row],[Total/EV]]&lt;Table2[[#This Row],[Total/V]],"UNDER","OVER")</f>
        <v>OVER</v>
      </c>
      <c r="AI1100" s="26">
        <f>Table2[[#This Row],[SRS/Real]]-Table2[[#This Row],[Spread/V]]</f>
        <v>0</v>
      </c>
      <c r="AJ1100" s="2">
        <f>Table2[[#This Row],[EV/Real]]-Table2[[#This Row],[Spread/V]]</f>
        <v>0</v>
      </c>
      <c r="AK1100" s="2">
        <f>Table2[[#This Row],[SRS/Diff]]-Table2[[#This Row],[EV/Diff]]</f>
        <v>0</v>
      </c>
      <c r="AL1100" s="18">
        <f>Table2[[#This Row],[SRS]]-Table2[[#This Row],[Spread]]</f>
        <v>-0.17868852459016582</v>
      </c>
      <c r="AM1100" s="21">
        <f>Table2[[#This Row],[(A) Err]]^2</f>
        <v>3.1929588820210297E-2</v>
      </c>
      <c r="AN1100" s="6">
        <f>Table2[[#This Row],[EV]]-Table2[[#This Row],[Spread]]</f>
        <v>-5.6898958161331166</v>
      </c>
      <c r="AO1100" s="1">
        <f>Table2[[#This Row],[EV Err]]^2</f>
        <v>32.374914398449143</v>
      </c>
      <c r="AP1100" s="1"/>
    </row>
    <row r="1101" spans="1:42" x14ac:dyDescent="0.25">
      <c r="A1101" s="34">
        <v>42822</v>
      </c>
      <c r="B1101" t="s">
        <v>134</v>
      </c>
      <c r="C1101" t="s">
        <v>114</v>
      </c>
      <c r="E1101" s="21"/>
      <c r="G1101" s="21"/>
      <c r="H1101" s="7"/>
      <c r="I1101" s="21"/>
      <c r="K1101"/>
      <c r="L1101" s="21">
        <f>(Table2[[#This Row],[H/Pace]]/100)*(VLOOKUP(Table2[[#This Row],[Home/Neutral]],home_lookup,8,FALSE)+VLOOKUP(Table2[[#This Row],[Home/Neutral]],OFR_lookup,2,FALSE)+VLOOKUP(Table2[[#This Row],[Visitor/Neutral]],def_diff_lookup,6,FALSE))</f>
        <v>100.17845343638194</v>
      </c>
      <c r="M1101" s="21"/>
      <c r="N1101" s="21">
        <f>(Table2[[#This Row],[A/Pace]]/100)*(VLOOKUP(Table2[[#This Row],[Visitor/Neutral]],OFR_lookup,2,FALSE)+VLOOKUP(Table2[[#This Row],[Home/Neutral]],def_diff_lookup,6,FALSE))</f>
        <v>110.35344366666666</v>
      </c>
      <c r="O1101" s="21"/>
      <c r="P1101" s="21"/>
      <c r="Q1101">
        <f>VLOOKUP(Table2[[#This Row],[Home/Neutral]],pace_lookup,7,FALSE)</f>
        <v>93.4</v>
      </c>
      <c r="R1101" s="5">
        <f>VLOOKUP(Table2[[#This Row],[Visitor/Neutral]],pace_lookup,7,FALSE)</f>
        <v>97.3</v>
      </c>
      <c r="S1101" s="7"/>
      <c r="U1101" s="15"/>
      <c r="W1101" s="2">
        <f>-home-VLOOKUP(Table2[[#This Row],[Home/Neutral]],rtg_vlookup,4,FALSE)+VLOOKUP(Table2[[#This Row],[Visitor/Neutral]],rtg_vlookup,4,FALSE)</f>
        <v>-1.5186885245901642</v>
      </c>
      <c r="X1101" s="15"/>
      <c r="Y1101" s="2"/>
      <c r="Z1101" s="2">
        <f>Table2[[#This Row],[A/EV]]-Table2[[#This Row],[H/EV]]</f>
        <v>10.17499023028472</v>
      </c>
      <c r="AA1101" s="29"/>
      <c r="AB1101" s="30"/>
      <c r="AC1101" s="30"/>
      <c r="AD1101" s="30"/>
      <c r="AE1101" s="30"/>
      <c r="AF1101" s="7" t="b">
        <f>IF(VLOOKUP(Table2[[#This Row],[Home/Neutral]],division_lookup,9,FALSE)=VLOOKUP(Table2[[#This Row],[Visitor/Neutral]],division_lookup,9,FALSE),TRUE,FALSE)</f>
        <v>0</v>
      </c>
      <c r="AG1101" s="15" t="str">
        <f>VLOOKUP(Table2[[#This Row],[Home/Neutral]],division_lookup,9,FALSE)</f>
        <v>SW</v>
      </c>
      <c r="AH1101" s="15" t="str">
        <f>IF(Table2[[#This Row],[Total/EV]]&lt;Table2[[#This Row],[Total/V]],"UNDER","OVER")</f>
        <v>OVER</v>
      </c>
      <c r="AI1101" s="26">
        <f>Table2[[#This Row],[SRS/Real]]-Table2[[#This Row],[Spread/V]]</f>
        <v>0</v>
      </c>
      <c r="AJ1101" s="2">
        <f>Table2[[#This Row],[EV/Real]]-Table2[[#This Row],[Spread/V]]</f>
        <v>0</v>
      </c>
      <c r="AK1101" s="2">
        <f>Table2[[#This Row],[SRS/Diff]]-Table2[[#This Row],[EV/Diff]]</f>
        <v>0</v>
      </c>
      <c r="AL1101" s="18">
        <f>Table2[[#This Row],[SRS]]-Table2[[#This Row],[Spread]]</f>
        <v>-1.5186885245901642</v>
      </c>
      <c r="AM1101" s="21">
        <f>Table2[[#This Row],[(A) Err]]^2</f>
        <v>2.30641483472185</v>
      </c>
      <c r="AN1101" s="6">
        <f>Table2[[#This Row],[EV]]-Table2[[#This Row],[Spread]]</f>
        <v>10.17499023028472</v>
      </c>
      <c r="AO1101" s="1">
        <f>Table2[[#This Row],[EV Err]]^2</f>
        <v>103.53042618638951</v>
      </c>
      <c r="AP1101" s="1"/>
    </row>
    <row r="1102" spans="1:42" x14ac:dyDescent="0.25">
      <c r="A1102" s="34">
        <v>42822</v>
      </c>
      <c r="B1102" t="s">
        <v>135</v>
      </c>
      <c r="C1102" t="s">
        <v>130</v>
      </c>
      <c r="E1102" s="21"/>
      <c r="G1102" s="21"/>
      <c r="H1102" s="7"/>
      <c r="I1102" s="21"/>
      <c r="K1102"/>
      <c r="L1102" s="21">
        <f>(Table2[[#This Row],[H/Pace]]/100)*(VLOOKUP(Table2[[#This Row],[Home/Neutral]],home_lookup,8,FALSE)+VLOOKUP(Table2[[#This Row],[Home/Neutral]],OFR_lookup,2,FALSE)+VLOOKUP(Table2[[#This Row],[Visitor/Neutral]],def_diff_lookup,6,FALSE))</f>
        <v>109.47774035324613</v>
      </c>
      <c r="M1102" s="21"/>
      <c r="N1102" s="21">
        <f>(Table2[[#This Row],[A/Pace]]/100)*(VLOOKUP(Table2[[#This Row],[Visitor/Neutral]],OFR_lookup,2,FALSE)+VLOOKUP(Table2[[#This Row],[Home/Neutral]],def_diff_lookup,6,FALSE))</f>
        <v>92.999578</v>
      </c>
      <c r="O1102" s="21"/>
      <c r="P1102" s="21"/>
      <c r="Q1102">
        <f>VLOOKUP(Table2[[#This Row],[Home/Neutral]],pace_lookup,7,FALSE)</f>
        <v>95.4</v>
      </c>
      <c r="R1102" s="5">
        <f>VLOOKUP(Table2[[#This Row],[Visitor/Neutral]],pace_lookup,7,FALSE)</f>
        <v>94.2</v>
      </c>
      <c r="S1102" s="7"/>
      <c r="U1102" s="15"/>
      <c r="W1102" s="2">
        <f>-home-VLOOKUP(Table2[[#This Row],[Home/Neutral]],rtg_vlookup,4,FALSE)+VLOOKUP(Table2[[#This Row],[Visitor/Neutral]],rtg_vlookup,4,FALSE)</f>
        <v>-17.348688524590166</v>
      </c>
      <c r="X1102" s="15"/>
      <c r="Y1102" s="2"/>
      <c r="Z1102" s="2">
        <f>Table2[[#This Row],[A/EV]]-Table2[[#This Row],[H/EV]]</f>
        <v>-16.478162353246134</v>
      </c>
      <c r="AA1102" s="29"/>
      <c r="AB1102" s="30"/>
      <c r="AC1102" s="30"/>
      <c r="AD1102" s="30"/>
      <c r="AE1102" s="30"/>
      <c r="AF1102" s="7" t="b">
        <f>IF(VLOOKUP(Table2[[#This Row],[Home/Neutral]],division_lookup,9,FALSE)=VLOOKUP(Table2[[#This Row],[Visitor/Neutral]],division_lookup,9,FALSE),TRUE,FALSE)</f>
        <v>0</v>
      </c>
      <c r="AG1102" s="15" t="str">
        <f>VLOOKUP(Table2[[#This Row],[Home/Neutral]],division_lookup,9,FALSE)</f>
        <v>A</v>
      </c>
      <c r="AH1102" s="15" t="str">
        <f>IF(Table2[[#This Row],[Total/EV]]&lt;Table2[[#This Row],[Total/V]],"UNDER","OVER")</f>
        <v>OVER</v>
      </c>
      <c r="AI1102" s="26">
        <f>Table2[[#This Row],[SRS/Real]]-Table2[[#This Row],[Spread/V]]</f>
        <v>0</v>
      </c>
      <c r="AJ1102" s="2">
        <f>Table2[[#This Row],[EV/Real]]-Table2[[#This Row],[Spread/V]]</f>
        <v>0</v>
      </c>
      <c r="AK1102" s="2">
        <f>Table2[[#This Row],[SRS/Diff]]-Table2[[#This Row],[EV/Diff]]</f>
        <v>0</v>
      </c>
      <c r="AL1102" s="18">
        <f>Table2[[#This Row],[SRS]]-Table2[[#This Row],[Spread]]</f>
        <v>-17.348688524590166</v>
      </c>
      <c r="AM1102" s="21">
        <f>Table2[[#This Row],[(A) Err]]^2</f>
        <v>300.97699352324651</v>
      </c>
      <c r="AN1102" s="6">
        <f>Table2[[#This Row],[EV]]-Table2[[#This Row],[Spread]]</f>
        <v>-16.478162353246134</v>
      </c>
      <c r="AO1102" s="1">
        <f>Table2[[#This Row],[EV Err]]^2</f>
        <v>271.52983453993818</v>
      </c>
      <c r="AP1102" s="1"/>
    </row>
    <row r="1103" spans="1:42" x14ac:dyDescent="0.25">
      <c r="A1103" s="34">
        <v>42822</v>
      </c>
      <c r="B1103" t="s">
        <v>136</v>
      </c>
      <c r="C1103" t="s">
        <v>127</v>
      </c>
      <c r="E1103" s="21"/>
      <c r="G1103" s="21"/>
      <c r="H1103" s="7"/>
      <c r="I1103" s="21"/>
      <c r="K1103"/>
      <c r="L1103" s="21">
        <f>(Table2[[#This Row],[H/Pace]]/100)*(VLOOKUP(Table2[[#This Row],[Home/Neutral]],home_lookup,8,FALSE)+VLOOKUP(Table2[[#This Row],[Home/Neutral]],OFR_lookup,2,FALSE)+VLOOKUP(Table2[[#This Row],[Visitor/Neutral]],def_diff_lookup,6,FALSE))</f>
        <v>103.86763534991898</v>
      </c>
      <c r="M1103" s="21"/>
      <c r="N1103" s="21">
        <f>(Table2[[#This Row],[A/Pace]]/100)*(VLOOKUP(Table2[[#This Row],[Visitor/Neutral]],OFR_lookup,2,FALSE)+VLOOKUP(Table2[[#This Row],[Home/Neutral]],def_diff_lookup,6,FALSE))</f>
        <v>97.518226999999996</v>
      </c>
      <c r="O1103" s="21"/>
      <c r="P1103" s="21"/>
      <c r="Q1103">
        <f>VLOOKUP(Table2[[#This Row],[Home/Neutral]],pace_lookup,7,FALSE)</f>
        <v>91.5</v>
      </c>
      <c r="R1103" s="5">
        <f>VLOOKUP(Table2[[#This Row],[Visitor/Neutral]],pace_lookup,7,FALSE)</f>
        <v>99.3</v>
      </c>
      <c r="S1103" s="7"/>
      <c r="U1103" s="15"/>
      <c r="W1103" s="2">
        <f>-home-VLOOKUP(Table2[[#This Row],[Home/Neutral]],rtg_vlookup,4,FALSE)+VLOOKUP(Table2[[#This Row],[Visitor/Neutral]],rtg_vlookup,4,FALSE)</f>
        <v>-9.6886885245901659</v>
      </c>
      <c r="X1103" s="15"/>
      <c r="Y1103" s="2"/>
      <c r="Z1103" s="2">
        <f>Table2[[#This Row],[A/EV]]-Table2[[#This Row],[H/EV]]</f>
        <v>-6.3494083499189884</v>
      </c>
      <c r="AA1103" s="29"/>
      <c r="AB1103" s="30"/>
      <c r="AC1103" s="30"/>
      <c r="AD1103" s="30"/>
      <c r="AE1103" s="30"/>
      <c r="AF1103" s="7" t="b">
        <f>IF(VLOOKUP(Table2[[#This Row],[Home/Neutral]],division_lookup,9,FALSE)=VLOOKUP(Table2[[#This Row],[Visitor/Neutral]],division_lookup,9,FALSE),TRUE,FALSE)</f>
        <v>0</v>
      </c>
      <c r="AG1103" s="15" t="str">
        <f>VLOOKUP(Table2[[#This Row],[Home/Neutral]],division_lookup,9,FALSE)</f>
        <v>NW</v>
      </c>
      <c r="AH1103" s="15" t="str">
        <f>IF(Table2[[#This Row],[Total/EV]]&lt;Table2[[#This Row],[Total/V]],"UNDER","OVER")</f>
        <v>OVER</v>
      </c>
      <c r="AI1103" s="26">
        <f>Table2[[#This Row],[SRS/Real]]-Table2[[#This Row],[Spread/V]]</f>
        <v>0</v>
      </c>
      <c r="AJ1103" s="2">
        <f>Table2[[#This Row],[EV/Real]]-Table2[[#This Row],[Spread/V]]</f>
        <v>0</v>
      </c>
      <c r="AK1103" s="2">
        <f>Table2[[#This Row],[SRS/Diff]]-Table2[[#This Row],[EV/Diff]]</f>
        <v>0</v>
      </c>
      <c r="AL1103" s="18">
        <f>Table2[[#This Row],[SRS]]-Table2[[#This Row],[Spread]]</f>
        <v>-9.6886885245901659</v>
      </c>
      <c r="AM1103" s="21">
        <f>Table2[[#This Row],[(A) Err]]^2</f>
        <v>93.870685326525162</v>
      </c>
      <c r="AN1103" s="6">
        <f>Table2[[#This Row],[EV]]-Table2[[#This Row],[Spread]]</f>
        <v>-6.3494083499189884</v>
      </c>
      <c r="AO1103" s="1">
        <f>Table2[[#This Row],[EV Err]]^2</f>
        <v>40.31498639402097</v>
      </c>
      <c r="AP1103" s="1"/>
    </row>
    <row r="1104" spans="1:42" x14ac:dyDescent="0.25">
      <c r="A1104" s="34">
        <v>42823</v>
      </c>
      <c r="B1104" t="s">
        <v>109</v>
      </c>
      <c r="C1104" t="s">
        <v>131</v>
      </c>
      <c r="E1104" s="21"/>
      <c r="G1104" s="21"/>
      <c r="H1104" s="7"/>
      <c r="I1104" s="21"/>
      <c r="K1104"/>
      <c r="L1104" s="21">
        <f>(Table2[[#This Row],[H/Pace]]/100)*(VLOOKUP(Table2[[#This Row],[Home/Neutral]],home_lookup,8,FALSE)+VLOOKUP(Table2[[#This Row],[Home/Neutral]],OFR_lookup,2,FALSE)+VLOOKUP(Table2[[#This Row],[Visitor/Neutral]],def_diff_lookup,6,FALSE))</f>
        <v>101.52640660728638</v>
      </c>
      <c r="M1104" s="21"/>
      <c r="N1104" s="21">
        <f>(Table2[[#This Row],[A/Pace]]/100)*(VLOOKUP(Table2[[#This Row],[Visitor/Neutral]],OFR_lookup,2,FALSE)+VLOOKUP(Table2[[#This Row],[Home/Neutral]],def_diff_lookup,6,FALSE))</f>
        <v>96.142773000000005</v>
      </c>
      <c r="O1104" s="21"/>
      <c r="P1104" s="21"/>
      <c r="Q1104">
        <f>VLOOKUP(Table2[[#This Row],[Home/Neutral]],pace_lookup,7,FALSE)</f>
        <v>99.2</v>
      </c>
      <c r="R1104" s="5">
        <f>VLOOKUP(Table2[[#This Row],[Visitor/Neutral]],pace_lookup,7,FALSE)</f>
        <v>101.7</v>
      </c>
      <c r="S1104" s="7"/>
      <c r="U1104" s="15"/>
      <c r="W1104" s="2">
        <f>-home-VLOOKUP(Table2[[#This Row],[Home/Neutral]],rtg_vlookup,4,FALSE)+VLOOKUP(Table2[[#This Row],[Visitor/Neutral]],rtg_vlookup,4,FALSE)</f>
        <v>-11.438688524590166</v>
      </c>
      <c r="X1104" s="15"/>
      <c r="Y1104" s="2"/>
      <c r="Z1104" s="2">
        <f>Table2[[#This Row],[A/EV]]-Table2[[#This Row],[H/EV]]</f>
        <v>-5.3836336072863702</v>
      </c>
      <c r="AA1104" s="29"/>
      <c r="AB1104" s="30"/>
      <c r="AC1104" s="30"/>
      <c r="AD1104" s="30"/>
      <c r="AE1104" s="30"/>
      <c r="AF1104" s="7" t="b">
        <f>IF(VLOOKUP(Table2[[#This Row],[Home/Neutral]],division_lookup,9,FALSE)=VLOOKUP(Table2[[#This Row],[Visitor/Neutral]],division_lookup,9,FALSE),TRUE,FALSE)</f>
        <v>0</v>
      </c>
      <c r="AG1104" s="15" t="str">
        <f>VLOOKUP(Table2[[#This Row],[Home/Neutral]],division_lookup,9,FALSE)</f>
        <v>SE</v>
      </c>
      <c r="AH1104" s="15" t="str">
        <f>IF(Table2[[#This Row],[Total/EV]]&lt;Table2[[#This Row],[Total/V]],"UNDER","OVER")</f>
        <v>OVER</v>
      </c>
      <c r="AI1104" s="26">
        <f>Table2[[#This Row],[SRS/Real]]-Table2[[#This Row],[Spread/V]]</f>
        <v>0</v>
      </c>
      <c r="AJ1104" s="2">
        <f>Table2[[#This Row],[EV/Real]]-Table2[[#This Row],[Spread/V]]</f>
        <v>0</v>
      </c>
      <c r="AK1104" s="2">
        <f>Table2[[#This Row],[SRS/Diff]]-Table2[[#This Row],[EV/Diff]]</f>
        <v>0</v>
      </c>
      <c r="AL1104" s="18">
        <f>Table2[[#This Row],[SRS]]-Table2[[#This Row],[Spread]]</f>
        <v>-11.438688524590166</v>
      </c>
      <c r="AM1104" s="21">
        <f>Table2[[#This Row],[(A) Err]]^2</f>
        <v>130.84359516259076</v>
      </c>
      <c r="AN1104" s="6">
        <f>Table2[[#This Row],[EV]]-Table2[[#This Row],[Spread]]</f>
        <v>-5.3836336072863702</v>
      </c>
      <c r="AO1104" s="1">
        <f>Table2[[#This Row],[EV Err]]^2</f>
        <v>28.983510817503255</v>
      </c>
      <c r="AP1104" s="1"/>
    </row>
    <row r="1105" spans="1:42" x14ac:dyDescent="0.25">
      <c r="A1105" s="34">
        <v>42823</v>
      </c>
      <c r="B1105" t="s">
        <v>111</v>
      </c>
      <c r="C1105" t="s">
        <v>138</v>
      </c>
      <c r="E1105" s="21"/>
      <c r="G1105" s="21"/>
      <c r="H1105" s="7"/>
      <c r="I1105" s="21"/>
      <c r="K1105"/>
      <c r="L1105" s="21">
        <f>(Table2[[#This Row],[H/Pace]]/100)*(VLOOKUP(Table2[[#This Row],[Home/Neutral]],home_lookup,8,FALSE)+VLOOKUP(Table2[[#This Row],[Home/Neutral]],OFR_lookup,2,FALSE)+VLOOKUP(Table2[[#This Row],[Visitor/Neutral]],def_diff_lookup,6,FALSE))</f>
        <v>101.93561832771636</v>
      </c>
      <c r="M1105" s="21"/>
      <c r="N1105" s="21">
        <f>(Table2[[#This Row],[A/Pace]]/100)*(VLOOKUP(Table2[[#This Row],[Visitor/Neutral]],OFR_lookup,2,FALSE)+VLOOKUP(Table2[[#This Row],[Home/Neutral]],def_diff_lookup,6,FALSE))</f>
        <v>100.46952499999999</v>
      </c>
      <c r="O1105" s="21"/>
      <c r="P1105" s="21"/>
      <c r="Q1105">
        <f>VLOOKUP(Table2[[#This Row],[Home/Neutral]],pace_lookup,7,FALSE)</f>
        <v>102</v>
      </c>
      <c r="R1105" s="5">
        <f>VLOOKUP(Table2[[#This Row],[Visitor/Neutral]],pace_lookup,7,FALSE)</f>
        <v>97.5</v>
      </c>
      <c r="S1105" s="7"/>
      <c r="U1105" s="15"/>
      <c r="W1105" s="2">
        <f>-home-VLOOKUP(Table2[[#This Row],[Home/Neutral]],rtg_vlookup,4,FALSE)+VLOOKUP(Table2[[#This Row],[Visitor/Neutral]],rtg_vlookup,4,FALSE)</f>
        <v>-3.6286885245901672</v>
      </c>
      <c r="X1105" s="15"/>
      <c r="Y1105" s="2"/>
      <c r="Z1105" s="2">
        <f>Table2[[#This Row],[A/EV]]-Table2[[#This Row],[H/EV]]</f>
        <v>-1.466093327716365</v>
      </c>
      <c r="AA1105" s="29"/>
      <c r="AB1105" s="30"/>
      <c r="AC1105" s="30"/>
      <c r="AD1105" s="30"/>
      <c r="AE1105" s="30"/>
      <c r="AF1105" s="7" t="b">
        <f>IF(VLOOKUP(Table2[[#This Row],[Home/Neutral]],division_lookup,9,FALSE)=VLOOKUP(Table2[[#This Row],[Visitor/Neutral]],division_lookup,9,FALSE),TRUE,FALSE)</f>
        <v>1</v>
      </c>
      <c r="AG1105" s="15" t="str">
        <f>VLOOKUP(Table2[[#This Row],[Home/Neutral]],division_lookup,9,FALSE)</f>
        <v>A</v>
      </c>
      <c r="AH1105" s="15" t="str">
        <f>IF(Table2[[#This Row],[Total/EV]]&lt;Table2[[#This Row],[Total/V]],"UNDER","OVER")</f>
        <v>OVER</v>
      </c>
      <c r="AI1105" s="26">
        <f>Table2[[#This Row],[SRS/Real]]-Table2[[#This Row],[Spread/V]]</f>
        <v>0</v>
      </c>
      <c r="AJ1105" s="2">
        <f>Table2[[#This Row],[EV/Real]]-Table2[[#This Row],[Spread/V]]</f>
        <v>0</v>
      </c>
      <c r="AK1105" s="2">
        <f>Table2[[#This Row],[SRS/Diff]]-Table2[[#This Row],[EV/Diff]]</f>
        <v>0</v>
      </c>
      <c r="AL1105" s="18">
        <f>Table2[[#This Row],[SRS]]-Table2[[#This Row],[Spread]]</f>
        <v>-3.6286885245901672</v>
      </c>
      <c r="AM1105" s="21">
        <f>Table2[[#This Row],[(A) Err]]^2</f>
        <v>13.167380408492365</v>
      </c>
      <c r="AN1105" s="6">
        <f>Table2[[#This Row],[EV]]-Table2[[#This Row],[Spread]]</f>
        <v>-1.466093327716365</v>
      </c>
      <c r="AO1105" s="1">
        <f>Table2[[#This Row],[EV Err]]^2</f>
        <v>2.149429645574445</v>
      </c>
      <c r="AP1105" s="1"/>
    </row>
    <row r="1106" spans="1:42" x14ac:dyDescent="0.25">
      <c r="A1106" s="34">
        <v>42823</v>
      </c>
      <c r="B1106" t="s">
        <v>112</v>
      </c>
      <c r="C1106" t="s">
        <v>125</v>
      </c>
      <c r="E1106" s="21"/>
      <c r="G1106" s="21"/>
      <c r="H1106" s="7"/>
      <c r="I1106" s="21"/>
      <c r="K1106"/>
      <c r="L1106" s="21">
        <f>(Table2[[#This Row],[H/Pace]]/100)*(VLOOKUP(Table2[[#This Row],[Home/Neutral]],home_lookup,8,FALSE)+VLOOKUP(Table2[[#This Row],[Home/Neutral]],OFR_lookup,2,FALSE)+VLOOKUP(Table2[[#This Row],[Visitor/Neutral]],def_diff_lookup,6,FALSE))</f>
        <v>106.19594195313483</v>
      </c>
      <c r="M1106" s="21"/>
      <c r="N1106" s="21">
        <f>(Table2[[#This Row],[A/Pace]]/100)*(VLOOKUP(Table2[[#This Row],[Visitor/Neutral]],OFR_lookup,2,FALSE)+VLOOKUP(Table2[[#This Row],[Home/Neutral]],def_diff_lookup,6,FALSE))</f>
        <v>101.20835566666665</v>
      </c>
      <c r="O1106" s="21"/>
      <c r="P1106" s="21"/>
      <c r="Q1106">
        <f>VLOOKUP(Table2[[#This Row],[Home/Neutral]],pace_lookup,7,FALSE)</f>
        <v>97.4</v>
      </c>
      <c r="R1106" s="5">
        <f>VLOOKUP(Table2[[#This Row],[Visitor/Neutral]],pace_lookup,7,FALSE)</f>
        <v>96.1</v>
      </c>
      <c r="S1106" s="7"/>
      <c r="U1106" s="15"/>
      <c r="W1106" s="2">
        <f>-home-VLOOKUP(Table2[[#This Row],[Home/Neutral]],rtg_vlookup,4,FALSE)+VLOOKUP(Table2[[#This Row],[Visitor/Neutral]],rtg_vlookup,4,FALSE)</f>
        <v>-7.2986885245901654</v>
      </c>
      <c r="X1106" s="15"/>
      <c r="Y1106" s="2"/>
      <c r="Z1106" s="2">
        <f>Table2[[#This Row],[A/EV]]-Table2[[#This Row],[H/EV]]</f>
        <v>-4.9875862864681864</v>
      </c>
      <c r="AA1106" s="29"/>
      <c r="AB1106" s="30"/>
      <c r="AC1106" s="30"/>
      <c r="AD1106" s="30"/>
      <c r="AE1106" s="30"/>
      <c r="AF1106" s="7" t="b">
        <f>IF(VLOOKUP(Table2[[#This Row],[Home/Neutral]],division_lookup,9,FALSE)=VLOOKUP(Table2[[#This Row],[Visitor/Neutral]],division_lookup,9,FALSE),TRUE,FALSE)</f>
        <v>0</v>
      </c>
      <c r="AG1106" s="15" t="str">
        <f>VLOOKUP(Table2[[#This Row],[Home/Neutral]],division_lookup,9,FALSE)</f>
        <v>SE</v>
      </c>
      <c r="AH1106" s="15" t="str">
        <f>IF(Table2[[#This Row],[Total/EV]]&lt;Table2[[#This Row],[Total/V]],"UNDER","OVER")</f>
        <v>OVER</v>
      </c>
      <c r="AI1106" s="26">
        <f>Table2[[#This Row],[SRS/Real]]-Table2[[#This Row],[Spread/V]]</f>
        <v>0</v>
      </c>
      <c r="AJ1106" s="2">
        <f>Table2[[#This Row],[EV/Real]]-Table2[[#This Row],[Spread/V]]</f>
        <v>0</v>
      </c>
      <c r="AK1106" s="2">
        <f>Table2[[#This Row],[SRS/Diff]]-Table2[[#This Row],[EV/Diff]]</f>
        <v>0</v>
      </c>
      <c r="AL1106" s="18">
        <f>Table2[[#This Row],[SRS]]-Table2[[#This Row],[Spread]]</f>
        <v>-7.2986885245901654</v>
      </c>
      <c r="AM1106" s="21">
        <f>Table2[[#This Row],[(A) Err]]^2</f>
        <v>53.270854178984166</v>
      </c>
      <c r="AN1106" s="6">
        <f>Table2[[#This Row],[EV]]-Table2[[#This Row],[Spread]]</f>
        <v>-4.9875862864681864</v>
      </c>
      <c r="AO1106" s="1">
        <f>Table2[[#This Row],[EV Err]]^2</f>
        <v>24.876016964965512</v>
      </c>
      <c r="AP1106" s="1"/>
    </row>
    <row r="1107" spans="1:42" x14ac:dyDescent="0.25">
      <c r="A1107" s="34">
        <v>42823</v>
      </c>
      <c r="B1107" t="s">
        <v>117</v>
      </c>
      <c r="C1107" t="s">
        <v>124</v>
      </c>
      <c r="E1107" s="21"/>
      <c r="G1107" s="21"/>
      <c r="H1107" s="7"/>
      <c r="I1107" s="21"/>
      <c r="K1107"/>
      <c r="L1107" s="21">
        <f>(Table2[[#This Row],[H/Pace]]/100)*(VLOOKUP(Table2[[#This Row],[Home/Neutral]],home_lookup,8,FALSE)+VLOOKUP(Table2[[#This Row],[Home/Neutral]],OFR_lookup,2,FALSE)+VLOOKUP(Table2[[#This Row],[Visitor/Neutral]],def_diff_lookup,6,FALSE))</f>
        <v>110.15919591446429</v>
      </c>
      <c r="M1107" s="21"/>
      <c r="N1107" s="21">
        <f>(Table2[[#This Row],[A/Pace]]/100)*(VLOOKUP(Table2[[#This Row],[Visitor/Neutral]],OFR_lookup,2,FALSE)+VLOOKUP(Table2[[#This Row],[Home/Neutral]],def_diff_lookup,6,FALSE))</f>
        <v>93.086889666666664</v>
      </c>
      <c r="O1107" s="21"/>
      <c r="P1107" s="21"/>
      <c r="Q1107">
        <f>VLOOKUP(Table2[[#This Row],[Home/Neutral]],pace_lookup,7,FALSE)</f>
        <v>94</v>
      </c>
      <c r="R1107" s="5">
        <f>VLOOKUP(Table2[[#This Row],[Visitor/Neutral]],pace_lookup,7,FALSE)</f>
        <v>93.7</v>
      </c>
      <c r="S1107" s="7"/>
      <c r="U1107" s="15"/>
      <c r="W1107" s="2">
        <f>-home-VLOOKUP(Table2[[#This Row],[Home/Neutral]],rtg_vlookup,4,FALSE)+VLOOKUP(Table2[[#This Row],[Visitor/Neutral]],rtg_vlookup,4,FALSE)</f>
        <v>-5.5486885245901663</v>
      </c>
      <c r="X1107" s="15"/>
      <c r="Y1107" s="2"/>
      <c r="Z1107" s="2">
        <f>Table2[[#This Row],[A/EV]]-Table2[[#This Row],[H/EV]]</f>
        <v>-17.072306247797627</v>
      </c>
      <c r="AA1107" s="29"/>
      <c r="AB1107" s="30"/>
      <c r="AC1107" s="30"/>
      <c r="AD1107" s="30"/>
      <c r="AE1107" s="30"/>
      <c r="AF1107" s="7" t="b">
        <f>IF(VLOOKUP(Table2[[#This Row],[Home/Neutral]],division_lookup,9,FALSE)=VLOOKUP(Table2[[#This Row],[Visitor/Neutral]],division_lookup,9,FALSE),TRUE,FALSE)</f>
        <v>0</v>
      </c>
      <c r="AG1107" s="15" t="str">
        <f>VLOOKUP(Table2[[#This Row],[Home/Neutral]],division_lookup,9,FALSE)</f>
        <v>C</v>
      </c>
      <c r="AH1107" s="15" t="str">
        <f>IF(Table2[[#This Row],[Total/EV]]&lt;Table2[[#This Row],[Total/V]],"UNDER","OVER")</f>
        <v>OVER</v>
      </c>
      <c r="AI1107" s="26">
        <f>Table2[[#This Row],[SRS/Real]]-Table2[[#This Row],[Spread/V]]</f>
        <v>0</v>
      </c>
      <c r="AJ1107" s="2">
        <f>Table2[[#This Row],[EV/Real]]-Table2[[#This Row],[Spread/V]]</f>
        <v>0</v>
      </c>
      <c r="AK1107" s="2">
        <f>Table2[[#This Row],[SRS/Diff]]-Table2[[#This Row],[EV/Diff]]</f>
        <v>0</v>
      </c>
      <c r="AL1107" s="18">
        <f>Table2[[#This Row],[SRS]]-Table2[[#This Row],[Spread]]</f>
        <v>-5.5486885245901663</v>
      </c>
      <c r="AM1107" s="21">
        <f>Table2[[#This Row],[(A) Err]]^2</f>
        <v>30.787944342918596</v>
      </c>
      <c r="AN1107" s="6">
        <f>Table2[[#This Row],[EV]]-Table2[[#This Row],[Spread]]</f>
        <v>-17.072306247797627</v>
      </c>
      <c r="AO1107" s="1">
        <f>Table2[[#This Row],[EV Err]]^2</f>
        <v>291.46364061858992</v>
      </c>
      <c r="AP1107" s="1"/>
    </row>
    <row r="1108" spans="1:42" x14ac:dyDescent="0.25">
      <c r="A1108" s="34">
        <v>42823</v>
      </c>
      <c r="B1108" t="s">
        <v>119</v>
      </c>
      <c r="C1108" t="s">
        <v>118</v>
      </c>
      <c r="E1108" s="21"/>
      <c r="G1108" s="21"/>
      <c r="H1108" s="7"/>
      <c r="I1108" s="21"/>
      <c r="K1108"/>
      <c r="L1108" s="21">
        <f>(Table2[[#This Row],[H/Pace]]/100)*(VLOOKUP(Table2[[#This Row],[Home/Neutral]],home_lookup,8,FALSE)+VLOOKUP(Table2[[#This Row],[Home/Neutral]],OFR_lookup,2,FALSE)+VLOOKUP(Table2[[#This Row],[Visitor/Neutral]],def_diff_lookup,6,FALSE))</f>
        <v>107.80515376977628</v>
      </c>
      <c r="M1108" s="21"/>
      <c r="N1108" s="21">
        <f>(Table2[[#This Row],[A/Pace]]/100)*(VLOOKUP(Table2[[#This Row],[Visitor/Neutral]],OFR_lookup,2,FALSE)+VLOOKUP(Table2[[#This Row],[Home/Neutral]],def_diff_lookup,6,FALSE))</f>
        <v>120.13428933333333</v>
      </c>
      <c r="O1108" s="21"/>
      <c r="P1108" s="21"/>
      <c r="Q1108">
        <f>VLOOKUP(Table2[[#This Row],[Home/Neutral]],pace_lookup,7,FALSE)</f>
        <v>96.9</v>
      </c>
      <c r="R1108" s="5">
        <f>VLOOKUP(Table2[[#This Row],[Visitor/Neutral]],pace_lookup,7,FALSE)</f>
        <v>100.4</v>
      </c>
      <c r="S1108" s="7"/>
      <c r="U1108" s="15"/>
      <c r="W1108" s="2">
        <f>-home-VLOOKUP(Table2[[#This Row],[Home/Neutral]],rtg_vlookup,4,FALSE)+VLOOKUP(Table2[[#This Row],[Visitor/Neutral]],rtg_vlookup,4,FALSE)</f>
        <v>4.9613114754098344</v>
      </c>
      <c r="X1108" s="15"/>
      <c r="Y1108" s="2"/>
      <c r="Z1108" s="2">
        <f>Table2[[#This Row],[A/EV]]-Table2[[#This Row],[H/EV]]</f>
        <v>12.329135563557045</v>
      </c>
      <c r="AA1108" s="29"/>
      <c r="AB1108" s="30"/>
      <c r="AC1108" s="30"/>
      <c r="AD1108" s="30"/>
      <c r="AE1108" s="30"/>
      <c r="AF1108" s="7" t="b">
        <f>IF(VLOOKUP(Table2[[#This Row],[Home/Neutral]],division_lookup,9,FALSE)=VLOOKUP(Table2[[#This Row],[Visitor/Neutral]],division_lookup,9,FALSE),TRUE,FALSE)</f>
        <v>0</v>
      </c>
      <c r="AG1108" s="15" t="str">
        <f>VLOOKUP(Table2[[#This Row],[Home/Neutral]],division_lookup,9,FALSE)</f>
        <v>SW</v>
      </c>
      <c r="AH1108" s="15" t="str">
        <f>IF(Table2[[#This Row],[Total/EV]]&lt;Table2[[#This Row],[Total/V]],"UNDER","OVER")</f>
        <v>OVER</v>
      </c>
      <c r="AI1108" s="26">
        <f>Table2[[#This Row],[SRS/Real]]-Table2[[#This Row],[Spread/V]]</f>
        <v>0</v>
      </c>
      <c r="AJ1108" s="2">
        <f>Table2[[#This Row],[EV/Real]]-Table2[[#This Row],[Spread/V]]</f>
        <v>0</v>
      </c>
      <c r="AK1108" s="2">
        <f>Table2[[#This Row],[SRS/Diff]]-Table2[[#This Row],[EV/Diff]]</f>
        <v>0</v>
      </c>
      <c r="AL1108" s="18">
        <f>Table2[[#This Row],[SRS]]-Table2[[#This Row],[Spread]]</f>
        <v>4.9613114754098344</v>
      </c>
      <c r="AM1108" s="21">
        <f>Table2[[#This Row],[(A) Err]]^2</f>
        <v>24.614611556033307</v>
      </c>
      <c r="AN1108" s="6">
        <f>Table2[[#This Row],[EV]]-Table2[[#This Row],[Spread]]</f>
        <v>12.329135563557045</v>
      </c>
      <c r="AO1108" s="1">
        <f>Table2[[#This Row],[EV Err]]^2</f>
        <v>152.00758374456711</v>
      </c>
      <c r="AP1108" s="1"/>
    </row>
    <row r="1109" spans="1:42" x14ac:dyDescent="0.25">
      <c r="A1109" s="34">
        <v>42823</v>
      </c>
      <c r="B1109" t="s">
        <v>120</v>
      </c>
      <c r="C1109" t="s">
        <v>126</v>
      </c>
      <c r="E1109" s="21"/>
      <c r="G1109" s="21"/>
      <c r="H1109" s="7"/>
      <c r="I1109" s="21"/>
      <c r="K1109"/>
      <c r="L1109" s="21">
        <f>(Table2[[#This Row],[H/Pace]]/100)*(VLOOKUP(Table2[[#This Row],[Home/Neutral]],home_lookup,8,FALSE)+VLOOKUP(Table2[[#This Row],[Home/Neutral]],OFR_lookup,2,FALSE)+VLOOKUP(Table2[[#This Row],[Visitor/Neutral]],def_diff_lookup,6,FALSE))</f>
        <v>109.1411654293086</v>
      </c>
      <c r="M1109" s="21"/>
      <c r="N1109" s="21">
        <f>(Table2[[#This Row],[A/Pace]]/100)*(VLOOKUP(Table2[[#This Row],[Visitor/Neutral]],OFR_lookup,2,FALSE)+VLOOKUP(Table2[[#This Row],[Home/Neutral]],def_diff_lookup,6,FALSE))</f>
        <v>105.68693300000001</v>
      </c>
      <c r="O1109" s="21"/>
      <c r="P1109" s="21"/>
      <c r="Q1109">
        <f>VLOOKUP(Table2[[#This Row],[Home/Neutral]],pace_lookup,7,FALSE)</f>
        <v>98.3</v>
      </c>
      <c r="R1109" s="5">
        <f>VLOOKUP(Table2[[#This Row],[Visitor/Neutral]],pace_lookup,7,FALSE)</f>
        <v>95.7</v>
      </c>
      <c r="S1109" s="7"/>
      <c r="U1109" s="15"/>
      <c r="W1109" s="2">
        <f>-home-VLOOKUP(Table2[[#This Row],[Home/Neutral]],rtg_vlookup,4,FALSE)+VLOOKUP(Table2[[#This Row],[Visitor/Neutral]],rtg_vlookup,4,FALSE)</f>
        <v>0.74131147540983444</v>
      </c>
      <c r="X1109" s="15"/>
      <c r="Y1109" s="2"/>
      <c r="Z1109" s="2">
        <f>Table2[[#This Row],[A/EV]]-Table2[[#This Row],[H/EV]]</f>
        <v>-3.4542324293085898</v>
      </c>
      <c r="AA1109" s="29"/>
      <c r="AB1109" s="30"/>
      <c r="AC1109" s="30"/>
      <c r="AD1109" s="30"/>
      <c r="AE1109" s="30"/>
      <c r="AF1109" s="7" t="b">
        <f>IF(VLOOKUP(Table2[[#This Row],[Home/Neutral]],division_lookup,9,FALSE)=VLOOKUP(Table2[[#This Row],[Visitor/Neutral]],division_lookup,9,FALSE),TRUE,FALSE)</f>
        <v>0</v>
      </c>
      <c r="AG1109" s="15" t="str">
        <f>VLOOKUP(Table2[[#This Row],[Home/Neutral]],division_lookup,9,FALSE)</f>
        <v>C</v>
      </c>
      <c r="AH1109" s="15" t="str">
        <f>IF(Table2[[#This Row],[Total/EV]]&lt;Table2[[#This Row],[Total/V]],"UNDER","OVER")</f>
        <v>OVER</v>
      </c>
      <c r="AI1109" s="26">
        <f>Table2[[#This Row],[SRS/Real]]-Table2[[#This Row],[Spread/V]]</f>
        <v>0</v>
      </c>
      <c r="AJ1109" s="2">
        <f>Table2[[#This Row],[EV/Real]]-Table2[[#This Row],[Spread/V]]</f>
        <v>0</v>
      </c>
      <c r="AK1109" s="2">
        <f>Table2[[#This Row],[SRS/Diff]]-Table2[[#This Row],[EV/Diff]]</f>
        <v>0</v>
      </c>
      <c r="AL1109" s="18">
        <f>Table2[[#This Row],[SRS]]-Table2[[#This Row],[Spread]]</f>
        <v>0.74131147540983444</v>
      </c>
      <c r="AM1109" s="21">
        <f>Table2[[#This Row],[(A) Err]]^2</f>
        <v>0.54954270357430557</v>
      </c>
      <c r="AN1109" s="6">
        <f>Table2[[#This Row],[EV]]-Table2[[#This Row],[Spread]]</f>
        <v>-3.4542324293085898</v>
      </c>
      <c r="AO1109" s="1">
        <f>Table2[[#This Row],[EV Err]]^2</f>
        <v>11.931721675687122</v>
      </c>
      <c r="AP1109" s="1"/>
    </row>
    <row r="1110" spans="1:42" x14ac:dyDescent="0.25">
      <c r="A1110" s="34">
        <v>42823</v>
      </c>
      <c r="B1110" t="s">
        <v>122</v>
      </c>
      <c r="C1110" t="s">
        <v>137</v>
      </c>
      <c r="E1110" s="21"/>
      <c r="G1110" s="21"/>
      <c r="H1110" s="7"/>
      <c r="I1110" s="21"/>
      <c r="K1110"/>
      <c r="L1110" s="21">
        <f>(Table2[[#This Row],[H/Pace]]/100)*(VLOOKUP(Table2[[#This Row],[Home/Neutral]],home_lookup,8,FALSE)+VLOOKUP(Table2[[#This Row],[Home/Neutral]],OFR_lookup,2,FALSE)+VLOOKUP(Table2[[#This Row],[Visitor/Neutral]],def_diff_lookup,6,FALSE))</f>
        <v>113.32500832744731</v>
      </c>
      <c r="M1110" s="21"/>
      <c r="N1110" s="21">
        <f>(Table2[[#This Row],[A/Pace]]/100)*(VLOOKUP(Table2[[#This Row],[Visitor/Neutral]],OFR_lookup,2,FALSE)+VLOOKUP(Table2[[#This Row],[Home/Neutral]],def_diff_lookup,6,FALSE))</f>
        <v>107.26624</v>
      </c>
      <c r="O1110" s="21"/>
      <c r="P1110" s="21"/>
      <c r="Q1110">
        <f>VLOOKUP(Table2[[#This Row],[Home/Neutral]],pace_lookup,7,FALSE)</f>
        <v>100.2</v>
      </c>
      <c r="R1110" s="5">
        <f>VLOOKUP(Table2[[#This Row],[Visitor/Neutral]],pace_lookup,7,FALSE)</f>
        <v>96</v>
      </c>
      <c r="S1110" s="7"/>
      <c r="U1110" s="15"/>
      <c r="W1110" s="2">
        <f>-home-VLOOKUP(Table2[[#This Row],[Home/Neutral]],rtg_vlookup,4,FALSE)+VLOOKUP(Table2[[#This Row],[Visitor/Neutral]],rtg_vlookup,4,FALSE)</f>
        <v>-3.5186885245901656</v>
      </c>
      <c r="X1110" s="15"/>
      <c r="Y1110" s="2"/>
      <c r="Z1110" s="2">
        <f>Table2[[#This Row],[A/EV]]-Table2[[#This Row],[H/EV]]</f>
        <v>-6.0587683274473108</v>
      </c>
      <c r="AA1110" s="29"/>
      <c r="AB1110" s="30"/>
      <c r="AC1110" s="30"/>
      <c r="AD1110" s="30"/>
      <c r="AE1110" s="30"/>
      <c r="AF1110" s="7" t="b">
        <f>IF(VLOOKUP(Table2[[#This Row],[Home/Neutral]],division_lookup,9,FALSE)=VLOOKUP(Table2[[#This Row],[Visitor/Neutral]],division_lookup,9,FALSE),TRUE,FALSE)</f>
        <v>0</v>
      </c>
      <c r="AG1110" s="15" t="str">
        <f>VLOOKUP(Table2[[#This Row],[Home/Neutral]],division_lookup,9,FALSE)</f>
        <v>P</v>
      </c>
      <c r="AH1110" s="15" t="str">
        <f>IF(Table2[[#This Row],[Total/EV]]&lt;Table2[[#This Row],[Total/V]],"UNDER","OVER")</f>
        <v>OVER</v>
      </c>
      <c r="AI1110" s="26">
        <f>Table2[[#This Row],[SRS/Real]]-Table2[[#This Row],[Spread/V]]</f>
        <v>0</v>
      </c>
      <c r="AJ1110" s="2">
        <f>Table2[[#This Row],[EV/Real]]-Table2[[#This Row],[Spread/V]]</f>
        <v>0</v>
      </c>
      <c r="AK1110" s="2">
        <f>Table2[[#This Row],[SRS/Diff]]-Table2[[#This Row],[EV/Diff]]</f>
        <v>0</v>
      </c>
      <c r="AL1110" s="18">
        <f>Table2[[#This Row],[SRS]]-Table2[[#This Row],[Spread]]</f>
        <v>-3.5186885245901656</v>
      </c>
      <c r="AM1110" s="21">
        <f>Table2[[#This Row],[(A) Err]]^2</f>
        <v>12.381168933082517</v>
      </c>
      <c r="AN1110" s="6">
        <f>Table2[[#This Row],[EV]]-Table2[[#This Row],[Spread]]</f>
        <v>-6.0587683274473108</v>
      </c>
      <c r="AO1110" s="1">
        <f>Table2[[#This Row],[EV Err]]^2</f>
        <v>36.708673645678687</v>
      </c>
      <c r="AP1110" s="1"/>
    </row>
    <row r="1111" spans="1:42" x14ac:dyDescent="0.25">
      <c r="A1111" s="34">
        <v>42823</v>
      </c>
      <c r="B1111" t="s">
        <v>132</v>
      </c>
      <c r="C1111" t="s">
        <v>116</v>
      </c>
      <c r="E1111" s="21"/>
      <c r="G1111" s="21"/>
      <c r="H1111" s="7"/>
      <c r="I1111" s="21"/>
      <c r="K1111"/>
      <c r="L1111" s="21">
        <f>(Table2[[#This Row],[H/Pace]]/100)*(VLOOKUP(Table2[[#This Row],[Home/Neutral]],home_lookup,8,FALSE)+VLOOKUP(Table2[[#This Row],[Home/Neutral]],OFR_lookup,2,FALSE)+VLOOKUP(Table2[[#This Row],[Visitor/Neutral]],def_diff_lookup,6,FALSE))</f>
        <v>109.23150144606979</v>
      </c>
      <c r="M1111" s="21"/>
      <c r="N1111" s="21">
        <f>(Table2[[#This Row],[A/Pace]]/100)*(VLOOKUP(Table2[[#This Row],[Visitor/Neutral]],OFR_lookup,2,FALSE)+VLOOKUP(Table2[[#This Row],[Home/Neutral]],def_diff_lookup,6,FALSE))</f>
        <v>110.69040566666666</v>
      </c>
      <c r="O1111" s="21"/>
      <c r="P1111" s="21"/>
      <c r="Q1111">
        <f>VLOOKUP(Table2[[#This Row],[Home/Neutral]],pace_lookup,7,FALSE)</f>
        <v>98.8</v>
      </c>
      <c r="R1111" s="5">
        <f>VLOOKUP(Table2[[#This Row],[Visitor/Neutral]],pace_lookup,7,FALSE)</f>
        <v>99.1</v>
      </c>
      <c r="S1111" s="7"/>
      <c r="U1111" s="15"/>
      <c r="W1111" s="2">
        <f>-home-VLOOKUP(Table2[[#This Row],[Home/Neutral]],rtg_vlookup,4,FALSE)+VLOOKUP(Table2[[#This Row],[Visitor/Neutral]],rtg_vlookup,4,FALSE)</f>
        <v>-1.0786885245901656</v>
      </c>
      <c r="X1111" s="15"/>
      <c r="Y1111" s="2"/>
      <c r="Z1111" s="2">
        <f>Table2[[#This Row],[A/EV]]-Table2[[#This Row],[H/EV]]</f>
        <v>1.4589042205968781</v>
      </c>
      <c r="AA1111" s="29"/>
      <c r="AB1111" s="30"/>
      <c r="AC1111" s="30"/>
      <c r="AD1111" s="30"/>
      <c r="AE1111" s="30"/>
      <c r="AF1111" s="7" t="b">
        <f>IF(VLOOKUP(Table2[[#This Row],[Home/Neutral]],division_lookup,9,FALSE)=VLOOKUP(Table2[[#This Row],[Visitor/Neutral]],division_lookup,9,FALSE),TRUE,FALSE)</f>
        <v>1</v>
      </c>
      <c r="AG1111" s="15" t="str">
        <f>VLOOKUP(Table2[[#This Row],[Home/Neutral]],division_lookup,9,FALSE)</f>
        <v>NW</v>
      </c>
      <c r="AH1111" s="15" t="str">
        <f>IF(Table2[[#This Row],[Total/EV]]&lt;Table2[[#This Row],[Total/V]],"UNDER","OVER")</f>
        <v>OVER</v>
      </c>
      <c r="AI1111" s="26">
        <f>Table2[[#This Row],[SRS/Real]]-Table2[[#This Row],[Spread/V]]</f>
        <v>0</v>
      </c>
      <c r="AJ1111" s="2">
        <f>Table2[[#This Row],[EV/Real]]-Table2[[#This Row],[Spread/V]]</f>
        <v>0</v>
      </c>
      <c r="AK1111" s="2">
        <f>Table2[[#This Row],[SRS/Diff]]-Table2[[#This Row],[EV/Diff]]</f>
        <v>0</v>
      </c>
      <c r="AL1111" s="18">
        <f>Table2[[#This Row],[SRS]]-Table2[[#This Row],[Spread]]</f>
        <v>-1.0786885245901656</v>
      </c>
      <c r="AM1111" s="21">
        <f>Table2[[#This Row],[(A) Err]]^2</f>
        <v>1.1635689330825083</v>
      </c>
      <c r="AN1111" s="6">
        <f>Table2[[#This Row],[EV]]-Table2[[#This Row],[Spread]]</f>
        <v>1.4589042205968781</v>
      </c>
      <c r="AO1111" s="1">
        <f>Table2[[#This Row],[EV Err]]^2</f>
        <v>2.1284015248753843</v>
      </c>
      <c r="AP1111" s="1"/>
    </row>
    <row r="1112" spans="1:42" x14ac:dyDescent="0.25">
      <c r="A1112" s="34">
        <v>42824</v>
      </c>
      <c r="B1112" t="s">
        <v>110</v>
      </c>
      <c r="C1112" t="s">
        <v>125</v>
      </c>
      <c r="E1112" s="21"/>
      <c r="G1112" s="21"/>
      <c r="H1112" s="7"/>
      <c r="I1112" s="21"/>
      <c r="K1112"/>
      <c r="L1112" s="21">
        <f>(Table2[[#This Row],[H/Pace]]/100)*(VLOOKUP(Table2[[#This Row],[Home/Neutral]],home_lookup,8,FALSE)+VLOOKUP(Table2[[#This Row],[Home/Neutral]],OFR_lookup,2,FALSE)+VLOOKUP(Table2[[#This Row],[Visitor/Neutral]],def_diff_lookup,6,FALSE))</f>
        <v>107.7544111890094</v>
      </c>
      <c r="M1112" s="21"/>
      <c r="N1112" s="21">
        <f>(Table2[[#This Row],[A/Pace]]/100)*(VLOOKUP(Table2[[#This Row],[Visitor/Neutral]],OFR_lookup,2,FALSE)+VLOOKUP(Table2[[#This Row],[Home/Neutral]],def_diff_lookup,6,FALSE))</f>
        <v>102.79400566666666</v>
      </c>
      <c r="O1112" s="21"/>
      <c r="P1112" s="21"/>
      <c r="Q1112">
        <f>VLOOKUP(Table2[[#This Row],[Home/Neutral]],pace_lookup,7,FALSE)</f>
        <v>96.2</v>
      </c>
      <c r="R1112" s="5">
        <f>VLOOKUP(Table2[[#This Row],[Visitor/Neutral]],pace_lookup,7,FALSE)</f>
        <v>96.1</v>
      </c>
      <c r="S1112" s="7"/>
      <c r="U1112" s="15"/>
      <c r="W1112" s="2">
        <f>-home-VLOOKUP(Table2[[#This Row],[Home/Neutral]],rtg_vlookup,4,FALSE)+VLOOKUP(Table2[[#This Row],[Visitor/Neutral]],rtg_vlookup,4,FALSE)</f>
        <v>-5.7386885245901658</v>
      </c>
      <c r="X1112" s="15"/>
      <c r="Y1112" s="2"/>
      <c r="Z1112" s="2">
        <f>Table2[[#This Row],[A/EV]]-Table2[[#This Row],[H/EV]]</f>
        <v>-4.9604055223427395</v>
      </c>
      <c r="AA1112" s="29"/>
      <c r="AB1112" s="30"/>
      <c r="AC1112" s="30"/>
      <c r="AD1112" s="30"/>
      <c r="AE1112" s="30"/>
      <c r="AF1112" s="7" t="b">
        <f>IF(VLOOKUP(Table2[[#This Row],[Home/Neutral]],division_lookup,9,FALSE)=VLOOKUP(Table2[[#This Row],[Visitor/Neutral]],division_lookup,9,FALSE),TRUE,FALSE)</f>
        <v>0</v>
      </c>
      <c r="AG1112" s="15" t="str">
        <f>VLOOKUP(Table2[[#This Row],[Home/Neutral]],division_lookup,9,FALSE)</f>
        <v>A</v>
      </c>
      <c r="AH1112" s="15" t="str">
        <f>IF(Table2[[#This Row],[Total/EV]]&lt;Table2[[#This Row],[Total/V]],"UNDER","OVER")</f>
        <v>OVER</v>
      </c>
      <c r="AI1112" s="26">
        <f>Table2[[#This Row],[SRS/Real]]-Table2[[#This Row],[Spread/V]]</f>
        <v>0</v>
      </c>
      <c r="AJ1112" s="2">
        <f>Table2[[#This Row],[EV/Real]]-Table2[[#This Row],[Spread/V]]</f>
        <v>0</v>
      </c>
      <c r="AK1112" s="2">
        <f>Table2[[#This Row],[SRS/Diff]]-Table2[[#This Row],[EV/Diff]]</f>
        <v>0</v>
      </c>
      <c r="AL1112" s="18">
        <f>Table2[[#This Row],[SRS]]-Table2[[#This Row],[Spread]]</f>
        <v>-5.7386885245901658</v>
      </c>
      <c r="AM1112" s="21">
        <f>Table2[[#This Row],[(A) Err]]^2</f>
        <v>32.932545982262852</v>
      </c>
      <c r="AN1112" s="6">
        <f>Table2[[#This Row],[EV]]-Table2[[#This Row],[Spread]]</f>
        <v>-4.9604055223427395</v>
      </c>
      <c r="AO1112" s="1">
        <f>Table2[[#This Row],[EV Err]]^2</f>
        <v>24.605622946088346</v>
      </c>
      <c r="AP1112" s="1"/>
    </row>
    <row r="1113" spans="1:42" x14ac:dyDescent="0.25">
      <c r="A1113" s="34">
        <v>42824</v>
      </c>
      <c r="B1113" t="s">
        <v>121</v>
      </c>
      <c r="C1113" t="s">
        <v>137</v>
      </c>
      <c r="E1113" s="21"/>
      <c r="G1113" s="21"/>
      <c r="H1113" s="7"/>
      <c r="I1113" s="21"/>
      <c r="K1113"/>
      <c r="L1113" s="21">
        <f>(Table2[[#This Row],[H/Pace]]/100)*(VLOOKUP(Table2[[#This Row],[Home/Neutral]],home_lookup,8,FALSE)+VLOOKUP(Table2[[#This Row],[Home/Neutral]],OFR_lookup,2,FALSE)+VLOOKUP(Table2[[#This Row],[Visitor/Neutral]],def_diff_lookup,6,FALSE))</f>
        <v>117.26404060751253</v>
      </c>
      <c r="M1113" s="21"/>
      <c r="N1113" s="21">
        <f>(Table2[[#This Row],[A/Pace]]/100)*(VLOOKUP(Table2[[#This Row],[Visitor/Neutral]],OFR_lookup,2,FALSE)+VLOOKUP(Table2[[#This Row],[Home/Neutral]],def_diff_lookup,6,FALSE))</f>
        <v>98.779840000000007</v>
      </c>
      <c r="O1113" s="21"/>
      <c r="P1113" s="21"/>
      <c r="Q1113">
        <f>VLOOKUP(Table2[[#This Row],[Home/Neutral]],pace_lookup,7,FALSE)</f>
        <v>96.4</v>
      </c>
      <c r="R1113" s="5">
        <f>VLOOKUP(Table2[[#This Row],[Visitor/Neutral]],pace_lookup,7,FALSE)</f>
        <v>96</v>
      </c>
      <c r="S1113" s="7"/>
      <c r="U1113" s="15"/>
      <c r="W1113" s="2">
        <f>-home-VLOOKUP(Table2[[#This Row],[Home/Neutral]],rtg_vlookup,4,FALSE)+VLOOKUP(Table2[[#This Row],[Visitor/Neutral]],rtg_vlookup,4,FALSE)</f>
        <v>-18.498688524590165</v>
      </c>
      <c r="X1113" s="15"/>
      <c r="Y1113" s="2"/>
      <c r="Z1113" s="2">
        <f>Table2[[#This Row],[A/EV]]-Table2[[#This Row],[H/EV]]</f>
        <v>-18.48420060751252</v>
      </c>
      <c r="AA1113" s="29"/>
      <c r="AB1113" s="30"/>
      <c r="AC1113" s="30"/>
      <c r="AD1113" s="30"/>
      <c r="AE1113" s="30"/>
      <c r="AF1113" s="7" t="b">
        <f>IF(VLOOKUP(Table2[[#This Row],[Home/Neutral]],division_lookup,9,FALSE)=VLOOKUP(Table2[[#This Row],[Visitor/Neutral]],division_lookup,9,FALSE),TRUE,FALSE)</f>
        <v>0</v>
      </c>
      <c r="AG1113" s="15" t="str">
        <f>VLOOKUP(Table2[[#This Row],[Home/Neutral]],division_lookup,9,FALSE)</f>
        <v>P</v>
      </c>
      <c r="AH1113" s="15" t="str">
        <f>IF(Table2[[#This Row],[Total/EV]]&lt;Table2[[#This Row],[Total/V]],"UNDER","OVER")</f>
        <v>OVER</v>
      </c>
      <c r="AI1113" s="26">
        <f>Table2[[#This Row],[SRS/Real]]-Table2[[#This Row],[Spread/V]]</f>
        <v>0</v>
      </c>
      <c r="AJ1113" s="2">
        <f>Table2[[#This Row],[EV/Real]]-Table2[[#This Row],[Spread/V]]</f>
        <v>0</v>
      </c>
      <c r="AK1113" s="2">
        <f>Table2[[#This Row],[SRS/Diff]]-Table2[[#This Row],[EV/Diff]]</f>
        <v>0</v>
      </c>
      <c r="AL1113" s="18">
        <f>Table2[[#This Row],[SRS]]-Table2[[#This Row],[Spread]]</f>
        <v>-18.498688524590165</v>
      </c>
      <c r="AM1113" s="21">
        <f>Table2[[#This Row],[(A) Err]]^2</f>
        <v>342.20147712980383</v>
      </c>
      <c r="AN1113" s="6">
        <f>Table2[[#This Row],[EV]]-Table2[[#This Row],[Spread]]</f>
        <v>-18.48420060751252</v>
      </c>
      <c r="AO1113" s="1">
        <f>Table2[[#This Row],[EV Err]]^2</f>
        <v>341.66567209876621</v>
      </c>
      <c r="AP1113" s="1"/>
    </row>
    <row r="1114" spans="1:42" x14ac:dyDescent="0.25">
      <c r="A1114" s="34">
        <v>42824</v>
      </c>
      <c r="B1114" t="s">
        <v>123</v>
      </c>
      <c r="C1114" t="s">
        <v>120</v>
      </c>
      <c r="E1114" s="21"/>
      <c r="G1114" s="21"/>
      <c r="H1114" s="7"/>
      <c r="I1114" s="21"/>
      <c r="K1114"/>
      <c r="L1114" s="21">
        <f>(Table2[[#This Row],[H/Pace]]/100)*(VLOOKUP(Table2[[#This Row],[Home/Neutral]],home_lookup,8,FALSE)+VLOOKUP(Table2[[#This Row],[Home/Neutral]],OFR_lookup,2,FALSE)+VLOOKUP(Table2[[#This Row],[Visitor/Neutral]],def_diff_lookup,6,FALSE))</f>
        <v>103.38192709563918</v>
      </c>
      <c r="M1114" s="21"/>
      <c r="N1114" s="21">
        <f>(Table2[[#This Row],[A/Pace]]/100)*(VLOOKUP(Table2[[#This Row],[Visitor/Neutral]],OFR_lookup,2,FALSE)+VLOOKUP(Table2[[#This Row],[Home/Neutral]],def_diff_lookup,6,FALSE))</f>
        <v>98.453020333333328</v>
      </c>
      <c r="O1114" s="21"/>
      <c r="P1114" s="21"/>
      <c r="Q1114">
        <f>VLOOKUP(Table2[[#This Row],[Home/Neutral]],pace_lookup,7,FALSE)</f>
        <v>92.5</v>
      </c>
      <c r="R1114" s="5">
        <f>VLOOKUP(Table2[[#This Row],[Visitor/Neutral]],pace_lookup,7,FALSE)</f>
        <v>98.3</v>
      </c>
      <c r="S1114" s="7"/>
      <c r="U1114" s="15"/>
      <c r="W1114" s="2">
        <f>-home-VLOOKUP(Table2[[#This Row],[Home/Neutral]],rtg_vlookup,4,FALSE)+VLOOKUP(Table2[[#This Row],[Visitor/Neutral]],rtg_vlookup,4,FALSE)</f>
        <v>-8.1586885245901666</v>
      </c>
      <c r="X1114" s="15"/>
      <c r="Y1114" s="2"/>
      <c r="Z1114" s="2">
        <f>Table2[[#This Row],[A/EV]]-Table2[[#This Row],[H/EV]]</f>
        <v>-4.9289067623058571</v>
      </c>
      <c r="AA1114" s="29"/>
      <c r="AB1114" s="30"/>
      <c r="AC1114" s="30"/>
      <c r="AD1114" s="30"/>
      <c r="AE1114" s="30"/>
      <c r="AF1114" s="7" t="b">
        <f>IF(VLOOKUP(Table2[[#This Row],[Home/Neutral]],division_lookup,9,FALSE)=VLOOKUP(Table2[[#This Row],[Visitor/Neutral]],division_lookup,9,FALSE),TRUE,FALSE)</f>
        <v>0</v>
      </c>
      <c r="AG1114" s="15" t="str">
        <f>VLOOKUP(Table2[[#This Row],[Home/Neutral]],division_lookup,9,FALSE)</f>
        <v>SW</v>
      </c>
      <c r="AH1114" s="15" t="str">
        <f>IF(Table2[[#This Row],[Total/EV]]&lt;Table2[[#This Row],[Total/V]],"UNDER","OVER")</f>
        <v>OVER</v>
      </c>
      <c r="AI1114" s="26">
        <f>Table2[[#This Row],[SRS/Real]]-Table2[[#This Row],[Spread/V]]</f>
        <v>0</v>
      </c>
      <c r="AJ1114" s="2">
        <f>Table2[[#This Row],[EV/Real]]-Table2[[#This Row],[Spread/V]]</f>
        <v>0</v>
      </c>
      <c r="AK1114" s="2">
        <f>Table2[[#This Row],[SRS/Diff]]-Table2[[#This Row],[EV/Diff]]</f>
        <v>0</v>
      </c>
      <c r="AL1114" s="18">
        <f>Table2[[#This Row],[SRS]]-Table2[[#This Row],[Spread]]</f>
        <v>-8.1586885245901666</v>
      </c>
      <c r="AM1114" s="21">
        <f>Table2[[#This Row],[(A) Err]]^2</f>
        <v>66.564198441279274</v>
      </c>
      <c r="AN1114" s="6">
        <f>Table2[[#This Row],[EV]]-Table2[[#This Row],[Spread]]</f>
        <v>-4.9289067623058571</v>
      </c>
      <c r="AO1114" s="1">
        <f>Table2[[#This Row],[EV Err]]^2</f>
        <v>24.294121871504409</v>
      </c>
      <c r="AP1114" s="1"/>
    </row>
    <row r="1115" spans="1:42" x14ac:dyDescent="0.25">
      <c r="A1115" s="34">
        <v>42824</v>
      </c>
      <c r="B1115" t="s">
        <v>127</v>
      </c>
      <c r="C1115" t="s">
        <v>115</v>
      </c>
      <c r="E1115" s="21"/>
      <c r="G1115" s="21"/>
      <c r="H1115" s="7"/>
      <c r="I1115" s="21"/>
      <c r="K1115"/>
      <c r="L1115" s="21">
        <f>(Table2[[#This Row],[H/Pace]]/100)*(VLOOKUP(Table2[[#This Row],[Home/Neutral]],home_lookup,8,FALSE)+VLOOKUP(Table2[[#This Row],[Home/Neutral]],OFR_lookup,2,FALSE)+VLOOKUP(Table2[[#This Row],[Visitor/Neutral]],def_diff_lookup,6,FALSE))</f>
        <v>101.98440493743048</v>
      </c>
      <c r="M1115" s="21"/>
      <c r="N1115" s="21">
        <f>(Table2[[#This Row],[A/Pace]]/100)*(VLOOKUP(Table2[[#This Row],[Visitor/Neutral]],OFR_lookup,2,FALSE)+VLOOKUP(Table2[[#This Row],[Home/Neutral]],def_diff_lookup,6,FALSE))</f>
        <v>88.994174333333333</v>
      </c>
      <c r="O1115" s="21"/>
      <c r="P1115" s="21"/>
      <c r="Q1115">
        <f>VLOOKUP(Table2[[#This Row],[Home/Neutral]],pace_lookup,7,FALSE)</f>
        <v>99.3</v>
      </c>
      <c r="R1115" s="5">
        <f>VLOOKUP(Table2[[#This Row],[Visitor/Neutral]],pace_lookup,7,FALSE)</f>
        <v>92.9</v>
      </c>
      <c r="S1115" s="7"/>
      <c r="U1115" s="15"/>
      <c r="W1115" s="2">
        <f>-home-VLOOKUP(Table2[[#This Row],[Home/Neutral]],rtg_vlookup,4,FALSE)+VLOOKUP(Table2[[#This Row],[Visitor/Neutral]],rtg_vlookup,4,FALSE)</f>
        <v>-8.9786885245901651</v>
      </c>
      <c r="X1115" s="15"/>
      <c r="Y1115" s="2"/>
      <c r="Z1115" s="2">
        <f>Table2[[#This Row],[A/EV]]-Table2[[#This Row],[H/EV]]</f>
        <v>-12.99023060409715</v>
      </c>
      <c r="AA1115" s="29"/>
      <c r="AB1115" s="30"/>
      <c r="AC1115" s="30"/>
      <c r="AD1115" s="30"/>
      <c r="AE1115" s="30"/>
      <c r="AF1115" s="7" t="b">
        <f>IF(VLOOKUP(Table2[[#This Row],[Home/Neutral]],division_lookup,9,FALSE)=VLOOKUP(Table2[[#This Row],[Visitor/Neutral]],division_lookup,9,FALSE),TRUE,FALSE)</f>
        <v>1</v>
      </c>
      <c r="AG1115" s="15" t="str">
        <f>VLOOKUP(Table2[[#This Row],[Home/Neutral]],division_lookup,9,FALSE)</f>
        <v>SW</v>
      </c>
      <c r="AH1115" s="15" t="str">
        <f>IF(Table2[[#This Row],[Total/EV]]&lt;Table2[[#This Row],[Total/V]],"UNDER","OVER")</f>
        <v>OVER</v>
      </c>
      <c r="AI1115" s="26">
        <f>Table2[[#This Row],[SRS/Real]]-Table2[[#This Row],[Spread/V]]</f>
        <v>0</v>
      </c>
      <c r="AJ1115" s="2">
        <f>Table2[[#This Row],[EV/Real]]-Table2[[#This Row],[Spread/V]]</f>
        <v>0</v>
      </c>
      <c r="AK1115" s="2">
        <f>Table2[[#This Row],[SRS/Diff]]-Table2[[#This Row],[EV/Diff]]</f>
        <v>0</v>
      </c>
      <c r="AL1115" s="18">
        <f>Table2[[#This Row],[SRS]]-Table2[[#This Row],[Spread]]</f>
        <v>-8.9786885245901651</v>
      </c>
      <c r="AM1115" s="21">
        <f>Table2[[#This Row],[(A) Err]]^2</f>
        <v>80.616847621607121</v>
      </c>
      <c r="AN1115" s="6">
        <f>Table2[[#This Row],[EV]]-Table2[[#This Row],[Spread]]</f>
        <v>-12.99023060409715</v>
      </c>
      <c r="AO1115" s="1">
        <f>Table2[[#This Row],[EV Err]]^2</f>
        <v>168.7460911476222</v>
      </c>
      <c r="AP1115" s="1"/>
    </row>
    <row r="1116" spans="1:42" x14ac:dyDescent="0.25">
      <c r="A1116" s="34">
        <v>42824</v>
      </c>
      <c r="B1116" t="s">
        <v>128</v>
      </c>
      <c r="C1116" t="s">
        <v>124</v>
      </c>
      <c r="E1116" s="21"/>
      <c r="G1116" s="21"/>
      <c r="H1116" s="7"/>
      <c r="I1116" s="21"/>
      <c r="K1116"/>
      <c r="L1116" s="21">
        <f>(Table2[[#This Row],[H/Pace]]/100)*(VLOOKUP(Table2[[#This Row],[Home/Neutral]],home_lookup,8,FALSE)+VLOOKUP(Table2[[#This Row],[Home/Neutral]],OFR_lookup,2,FALSE)+VLOOKUP(Table2[[#This Row],[Visitor/Neutral]],def_diff_lookup,6,FALSE))</f>
        <v>106.2656898778302</v>
      </c>
      <c r="M1116" s="21"/>
      <c r="N1116" s="21">
        <f>(Table2[[#This Row],[A/Pace]]/100)*(VLOOKUP(Table2[[#This Row],[Visitor/Neutral]],OFR_lookup,2,FALSE)+VLOOKUP(Table2[[#This Row],[Home/Neutral]],def_diff_lookup,6,FALSE))</f>
        <v>99.683369666666678</v>
      </c>
      <c r="O1116" s="21"/>
      <c r="P1116" s="21"/>
      <c r="Q1116">
        <f>VLOOKUP(Table2[[#This Row],[Home/Neutral]],pace_lookup,7,FALSE)</f>
        <v>96.3</v>
      </c>
      <c r="R1116" s="5">
        <f>VLOOKUP(Table2[[#This Row],[Visitor/Neutral]],pace_lookup,7,FALSE)</f>
        <v>93.7</v>
      </c>
      <c r="S1116" s="7"/>
      <c r="U1116" s="15"/>
      <c r="W1116" s="2">
        <f>-home-VLOOKUP(Table2[[#This Row],[Home/Neutral]],rtg_vlookup,4,FALSE)+VLOOKUP(Table2[[#This Row],[Visitor/Neutral]],rtg_vlookup,4,FALSE)</f>
        <v>-2.1186885245901657</v>
      </c>
      <c r="X1116" s="15"/>
      <c r="Y1116" s="2"/>
      <c r="Z1116" s="2">
        <f>Table2[[#This Row],[A/EV]]-Table2[[#This Row],[H/EV]]</f>
        <v>-6.5823202111635197</v>
      </c>
      <c r="AA1116" s="29"/>
      <c r="AB1116" s="30"/>
      <c r="AC1116" s="30"/>
      <c r="AD1116" s="30"/>
      <c r="AE1116" s="30"/>
      <c r="AF1116" s="7" t="b">
        <f>IF(VLOOKUP(Table2[[#This Row],[Home/Neutral]],division_lookup,9,FALSE)=VLOOKUP(Table2[[#This Row],[Visitor/Neutral]],division_lookup,9,FALSE),TRUE,FALSE)</f>
        <v>0</v>
      </c>
      <c r="AG1116" s="15" t="str">
        <f>VLOOKUP(Table2[[#This Row],[Home/Neutral]],division_lookup,9,FALSE)</f>
        <v>A</v>
      </c>
      <c r="AH1116" s="15" t="str">
        <f>IF(Table2[[#This Row],[Total/EV]]&lt;Table2[[#This Row],[Total/V]],"UNDER","OVER")</f>
        <v>OVER</v>
      </c>
      <c r="AI1116" s="26">
        <f>Table2[[#This Row],[SRS/Real]]-Table2[[#This Row],[Spread/V]]</f>
        <v>0</v>
      </c>
      <c r="AJ1116" s="2">
        <f>Table2[[#This Row],[EV/Real]]-Table2[[#This Row],[Spread/V]]</f>
        <v>0</v>
      </c>
      <c r="AK1116" s="2">
        <f>Table2[[#This Row],[SRS/Diff]]-Table2[[#This Row],[EV/Diff]]</f>
        <v>0</v>
      </c>
      <c r="AL1116" s="18">
        <f>Table2[[#This Row],[SRS]]-Table2[[#This Row],[Spread]]</f>
        <v>-2.1186885245901657</v>
      </c>
      <c r="AM1116" s="21">
        <f>Table2[[#This Row],[(A) Err]]^2</f>
        <v>4.4888410642300531</v>
      </c>
      <c r="AN1116" s="6">
        <f>Table2[[#This Row],[EV]]-Table2[[#This Row],[Spread]]</f>
        <v>-6.5823202111635197</v>
      </c>
      <c r="AO1116" s="1">
        <f>Table2[[#This Row],[EV Err]]^2</f>
        <v>43.32693936229176</v>
      </c>
      <c r="AP1116" s="1"/>
    </row>
    <row r="1117" spans="1:42" x14ac:dyDescent="0.25">
      <c r="A1117" s="34">
        <v>42824</v>
      </c>
      <c r="B1117" t="s">
        <v>130</v>
      </c>
      <c r="C1117" t="s">
        <v>129</v>
      </c>
      <c r="E1117" s="21"/>
      <c r="G1117" s="21"/>
      <c r="H1117" s="7"/>
      <c r="I1117" s="21"/>
      <c r="K1117"/>
      <c r="L1117" s="21">
        <f>(Table2[[#This Row],[H/Pace]]/100)*(VLOOKUP(Table2[[#This Row],[Home/Neutral]],home_lookup,8,FALSE)+VLOOKUP(Table2[[#This Row],[Home/Neutral]],OFR_lookup,2,FALSE)+VLOOKUP(Table2[[#This Row],[Visitor/Neutral]],def_diff_lookup,6,FALSE))</f>
        <v>94.679144967109409</v>
      </c>
      <c r="M1117" s="21"/>
      <c r="N1117" s="21">
        <f>(Table2[[#This Row],[A/Pace]]/100)*(VLOOKUP(Table2[[#This Row],[Visitor/Neutral]],OFR_lookup,2,FALSE)+VLOOKUP(Table2[[#This Row],[Home/Neutral]],def_diff_lookup,6,FALSE))</f>
        <v>104.99510999999998</v>
      </c>
      <c r="O1117" s="21"/>
      <c r="P1117" s="21"/>
      <c r="Q1117">
        <f>VLOOKUP(Table2[[#This Row],[Home/Neutral]],pace_lookup,7,FALSE)</f>
        <v>94.2</v>
      </c>
      <c r="R1117" s="5">
        <f>VLOOKUP(Table2[[#This Row],[Visitor/Neutral]],pace_lookup,7,FALSE)</f>
        <v>99</v>
      </c>
      <c r="S1117" s="7"/>
      <c r="U1117" s="15"/>
      <c r="W1117" s="2">
        <f>-home-VLOOKUP(Table2[[#This Row],[Home/Neutral]],rtg_vlookup,4,FALSE)+VLOOKUP(Table2[[#This Row],[Visitor/Neutral]],rtg_vlookup,4,FALSE)</f>
        <v>7.3613114754098348</v>
      </c>
      <c r="X1117" s="15"/>
      <c r="Y1117" s="2"/>
      <c r="Z1117" s="2">
        <f>Table2[[#This Row],[A/EV]]-Table2[[#This Row],[H/EV]]</f>
        <v>10.315965032890574</v>
      </c>
      <c r="AA1117" s="29"/>
      <c r="AB1117" s="30"/>
      <c r="AC1117" s="30"/>
      <c r="AD1117" s="30"/>
      <c r="AE1117" s="30"/>
      <c r="AF1117" s="7" t="b">
        <f>IF(VLOOKUP(Table2[[#This Row],[Home/Neutral]],division_lookup,9,FALSE)=VLOOKUP(Table2[[#This Row],[Visitor/Neutral]],division_lookup,9,FALSE),TRUE,FALSE)</f>
        <v>0</v>
      </c>
      <c r="AG1117" s="15" t="str">
        <f>VLOOKUP(Table2[[#This Row],[Home/Neutral]],division_lookup,9,FALSE)</f>
        <v>SE</v>
      </c>
      <c r="AH1117" s="15" t="str">
        <f>IF(Table2[[#This Row],[Total/EV]]&lt;Table2[[#This Row],[Total/V]],"UNDER","OVER")</f>
        <v>OVER</v>
      </c>
      <c r="AI1117" s="26">
        <f>Table2[[#This Row],[SRS/Real]]-Table2[[#This Row],[Spread/V]]</f>
        <v>0</v>
      </c>
      <c r="AJ1117" s="2">
        <f>Table2[[#This Row],[EV/Real]]-Table2[[#This Row],[Spread/V]]</f>
        <v>0</v>
      </c>
      <c r="AK1117" s="2">
        <f>Table2[[#This Row],[SRS/Diff]]-Table2[[#This Row],[EV/Diff]]</f>
        <v>0</v>
      </c>
      <c r="AL1117" s="18">
        <f>Table2[[#This Row],[SRS]]-Table2[[#This Row],[Spread]]</f>
        <v>7.3613114754098348</v>
      </c>
      <c r="AM1117" s="21">
        <f>Table2[[#This Row],[(A) Err]]^2</f>
        <v>54.188906638000518</v>
      </c>
      <c r="AN1117" s="6">
        <f>Table2[[#This Row],[EV]]-Table2[[#This Row],[Spread]]</f>
        <v>10.315965032890574</v>
      </c>
      <c r="AO1117" s="1">
        <f>Table2[[#This Row],[EV Err]]^2</f>
        <v>106.41913455982102</v>
      </c>
      <c r="AP1117" s="1"/>
    </row>
    <row r="1118" spans="1:42" x14ac:dyDescent="0.25">
      <c r="A1118" s="34">
        <v>42824</v>
      </c>
      <c r="B1118" t="s">
        <v>138</v>
      </c>
      <c r="C1118" t="s">
        <v>109</v>
      </c>
      <c r="E1118" s="21"/>
      <c r="G1118" s="21"/>
      <c r="H1118" s="7"/>
      <c r="I1118" s="21"/>
      <c r="K1118"/>
      <c r="L1118" s="21">
        <f>(Table2[[#This Row],[H/Pace]]/100)*(VLOOKUP(Table2[[#This Row],[Home/Neutral]],home_lookup,8,FALSE)+VLOOKUP(Table2[[#This Row],[Home/Neutral]],OFR_lookup,2,FALSE)+VLOOKUP(Table2[[#This Row],[Visitor/Neutral]],def_diff_lookup,6,FALSE))</f>
        <v>92.406783531240094</v>
      </c>
      <c r="M1118" s="21"/>
      <c r="N1118" s="21">
        <f>(Table2[[#This Row],[A/Pace]]/100)*(VLOOKUP(Table2[[#This Row],[Visitor/Neutral]],OFR_lookup,2,FALSE)+VLOOKUP(Table2[[#This Row],[Home/Neutral]],def_diff_lookup,6,FALSE))</f>
        <v>102.96530133333333</v>
      </c>
      <c r="O1118" s="21"/>
      <c r="P1118" s="21"/>
      <c r="Q1118">
        <f>VLOOKUP(Table2[[#This Row],[Home/Neutral]],pace_lookup,7,FALSE)</f>
        <v>97.5</v>
      </c>
      <c r="R1118" s="5">
        <f>VLOOKUP(Table2[[#This Row],[Visitor/Neutral]],pace_lookup,7,FALSE)</f>
        <v>99.2</v>
      </c>
      <c r="S1118" s="7"/>
      <c r="U1118" s="15"/>
      <c r="W1118" s="2">
        <f>-home-VLOOKUP(Table2[[#This Row],[Home/Neutral]],rtg_vlookup,4,FALSE)+VLOOKUP(Table2[[#This Row],[Visitor/Neutral]],rtg_vlookup,4,FALSE)</f>
        <v>9.1313114754098343</v>
      </c>
      <c r="X1118" s="15"/>
      <c r="Y1118" s="2"/>
      <c r="Z1118" s="2">
        <f>Table2[[#This Row],[A/EV]]-Table2[[#This Row],[H/EV]]</f>
        <v>10.558517802093235</v>
      </c>
      <c r="AA1118" s="29"/>
      <c r="AB1118" s="30"/>
      <c r="AC1118" s="30"/>
      <c r="AD1118" s="30"/>
      <c r="AE1118" s="30"/>
      <c r="AF1118" s="7" t="b">
        <f>IF(VLOOKUP(Table2[[#This Row],[Home/Neutral]],division_lookup,9,FALSE)=VLOOKUP(Table2[[#This Row],[Visitor/Neutral]],division_lookup,9,FALSE),TRUE,FALSE)</f>
        <v>0</v>
      </c>
      <c r="AG1118" s="15" t="str">
        <f>VLOOKUP(Table2[[#This Row],[Home/Neutral]],division_lookup,9,FALSE)</f>
        <v>A</v>
      </c>
      <c r="AH1118" s="15" t="str">
        <f>IF(Table2[[#This Row],[Total/EV]]&lt;Table2[[#This Row],[Total/V]],"UNDER","OVER")</f>
        <v>OVER</v>
      </c>
      <c r="AI1118" s="26">
        <f>Table2[[#This Row],[SRS/Real]]-Table2[[#This Row],[Spread/V]]</f>
        <v>0</v>
      </c>
      <c r="AJ1118" s="2">
        <f>Table2[[#This Row],[EV/Real]]-Table2[[#This Row],[Spread/V]]</f>
        <v>0</v>
      </c>
      <c r="AK1118" s="2">
        <f>Table2[[#This Row],[SRS/Diff]]-Table2[[#This Row],[EV/Diff]]</f>
        <v>0</v>
      </c>
      <c r="AL1118" s="18">
        <f>Table2[[#This Row],[SRS]]-Table2[[#This Row],[Spread]]</f>
        <v>9.1313114754098343</v>
      </c>
      <c r="AM1118" s="21">
        <f>Table2[[#This Row],[(A) Err]]^2</f>
        <v>83.380849260951322</v>
      </c>
      <c r="AN1118" s="6">
        <f>Table2[[#This Row],[EV]]-Table2[[#This Row],[Spread]]</f>
        <v>10.558517802093235</v>
      </c>
      <c r="AO1118" s="1">
        <f>Table2[[#This Row],[EV Err]]^2</f>
        <v>111.48229817711974</v>
      </c>
      <c r="AP1118" s="1"/>
    </row>
    <row r="1119" spans="1:42" x14ac:dyDescent="0.25">
      <c r="A1119" s="34">
        <v>42824</v>
      </c>
      <c r="B1119" t="s">
        <v>133</v>
      </c>
      <c r="C1119" t="s">
        <v>136</v>
      </c>
      <c r="E1119" s="21"/>
      <c r="G1119" s="21"/>
      <c r="H1119" s="7"/>
      <c r="I1119" s="21"/>
      <c r="K1119"/>
      <c r="L1119" s="21">
        <f>(Table2[[#This Row],[H/Pace]]/100)*(VLOOKUP(Table2[[#This Row],[Home/Neutral]],home_lookup,8,FALSE)+VLOOKUP(Table2[[#This Row],[Home/Neutral]],OFR_lookup,2,FALSE)+VLOOKUP(Table2[[#This Row],[Visitor/Neutral]],def_diff_lookup,6,FALSE))</f>
        <v>103.81240748279978</v>
      </c>
      <c r="M1119" s="21"/>
      <c r="N1119" s="21">
        <f>(Table2[[#This Row],[A/Pace]]/100)*(VLOOKUP(Table2[[#This Row],[Visitor/Neutral]],OFR_lookup,2,FALSE)+VLOOKUP(Table2[[#This Row],[Home/Neutral]],def_diff_lookup,6,FALSE))</f>
        <v>100.334935</v>
      </c>
      <c r="O1119" s="21"/>
      <c r="P1119" s="21"/>
      <c r="Q1119">
        <f>VLOOKUP(Table2[[#This Row],[Home/Neutral]],pace_lookup,7,FALSE)</f>
        <v>94.2</v>
      </c>
      <c r="R1119" s="5">
        <f>VLOOKUP(Table2[[#This Row],[Visitor/Neutral]],pace_lookup,7,FALSE)</f>
        <v>91.5</v>
      </c>
      <c r="S1119" s="7"/>
      <c r="U1119" s="15"/>
      <c r="W1119" s="2">
        <f>-home-VLOOKUP(Table2[[#This Row],[Home/Neutral]],rtg_vlookup,4,FALSE)+VLOOKUP(Table2[[#This Row],[Visitor/Neutral]],rtg_vlookup,4,FALSE)</f>
        <v>3.3913114754098341</v>
      </c>
      <c r="X1119" s="15"/>
      <c r="Y1119" s="2"/>
      <c r="Z1119" s="2">
        <f>Table2[[#This Row],[A/EV]]-Table2[[#This Row],[H/EV]]</f>
        <v>-3.4774724827997829</v>
      </c>
      <c r="AA1119" s="29"/>
      <c r="AB1119" s="30"/>
      <c r="AC1119" s="30"/>
      <c r="AD1119" s="30"/>
      <c r="AE1119" s="30"/>
      <c r="AF1119" s="7" t="b">
        <f>IF(VLOOKUP(Table2[[#This Row],[Home/Neutral]],division_lookup,9,FALSE)=VLOOKUP(Table2[[#This Row],[Visitor/Neutral]],division_lookup,9,FALSE),TRUE,FALSE)</f>
        <v>0</v>
      </c>
      <c r="AG1119" s="15" t="str">
        <f>VLOOKUP(Table2[[#This Row],[Home/Neutral]],division_lookup,9,FALSE)</f>
        <v>P</v>
      </c>
      <c r="AH1119" s="15" t="str">
        <f>IF(Table2[[#This Row],[Total/EV]]&lt;Table2[[#This Row],[Total/V]],"UNDER","OVER")</f>
        <v>OVER</v>
      </c>
      <c r="AI1119" s="26">
        <f>Table2[[#This Row],[SRS/Real]]-Table2[[#This Row],[Spread/V]]</f>
        <v>0</v>
      </c>
      <c r="AJ1119" s="2">
        <f>Table2[[#This Row],[EV/Real]]-Table2[[#This Row],[Spread/V]]</f>
        <v>0</v>
      </c>
      <c r="AK1119" s="2">
        <f>Table2[[#This Row],[SRS/Diff]]-Table2[[#This Row],[EV/Diff]]</f>
        <v>0</v>
      </c>
      <c r="AL1119" s="18">
        <f>Table2[[#This Row],[SRS]]-Table2[[#This Row],[Spread]]</f>
        <v>3.3913114754098341</v>
      </c>
      <c r="AM1119" s="21">
        <f>Table2[[#This Row],[(A) Err]]^2</f>
        <v>11.500993523246427</v>
      </c>
      <c r="AN1119" s="6">
        <f>Table2[[#This Row],[EV]]-Table2[[#This Row],[Spread]]</f>
        <v>-3.4774724827997829</v>
      </c>
      <c r="AO1119" s="1">
        <f>Table2[[#This Row],[EV Err]]^2</f>
        <v>12.092814868629686</v>
      </c>
      <c r="AP1119" s="1"/>
    </row>
    <row r="1120" spans="1:42" x14ac:dyDescent="0.25">
      <c r="A1120" s="34">
        <v>42824</v>
      </c>
      <c r="B1120" t="s">
        <v>134</v>
      </c>
      <c r="C1120" t="s">
        <v>118</v>
      </c>
      <c r="E1120" s="21"/>
      <c r="G1120" s="21"/>
      <c r="H1120" s="7"/>
      <c r="I1120" s="21"/>
      <c r="K1120"/>
      <c r="L1120" s="21">
        <f>(Table2[[#This Row],[H/Pace]]/100)*(VLOOKUP(Table2[[#This Row],[Home/Neutral]],home_lookup,8,FALSE)+VLOOKUP(Table2[[#This Row],[Home/Neutral]],OFR_lookup,2,FALSE)+VLOOKUP(Table2[[#This Row],[Visitor/Neutral]],def_diff_lookup,6,FALSE))</f>
        <v>99.608713436381933</v>
      </c>
      <c r="M1120" s="21"/>
      <c r="N1120" s="21">
        <f>(Table2[[#This Row],[A/Pace]]/100)*(VLOOKUP(Table2[[#This Row],[Visitor/Neutral]],OFR_lookup,2,FALSE)+VLOOKUP(Table2[[#This Row],[Home/Neutral]],def_diff_lookup,6,FALSE))</f>
        <v>116.03796933333334</v>
      </c>
      <c r="O1120" s="21"/>
      <c r="P1120" s="21"/>
      <c r="Q1120">
        <f>VLOOKUP(Table2[[#This Row],[Home/Neutral]],pace_lookup,7,FALSE)</f>
        <v>93.4</v>
      </c>
      <c r="R1120" s="5">
        <f>VLOOKUP(Table2[[#This Row],[Visitor/Neutral]],pace_lookup,7,FALSE)</f>
        <v>100.4</v>
      </c>
      <c r="S1120" s="7"/>
      <c r="U1120" s="15"/>
      <c r="W1120" s="2">
        <f>-home-VLOOKUP(Table2[[#This Row],[Home/Neutral]],rtg_vlookup,4,FALSE)+VLOOKUP(Table2[[#This Row],[Visitor/Neutral]],rtg_vlookup,4,FALSE)</f>
        <v>1.2513114754098353</v>
      </c>
      <c r="X1120" s="15"/>
      <c r="Y1120" s="2"/>
      <c r="Z1120" s="2">
        <f>Table2[[#This Row],[A/EV]]-Table2[[#This Row],[H/EV]]</f>
        <v>16.429255896951403</v>
      </c>
      <c r="AA1120" s="29"/>
      <c r="AB1120" s="30"/>
      <c r="AC1120" s="30"/>
      <c r="AD1120" s="30"/>
      <c r="AE1120" s="30"/>
      <c r="AF1120" s="7" t="b">
        <f>IF(VLOOKUP(Table2[[#This Row],[Home/Neutral]],division_lookup,9,FALSE)=VLOOKUP(Table2[[#This Row],[Visitor/Neutral]],division_lookup,9,FALSE),TRUE,FALSE)</f>
        <v>0</v>
      </c>
      <c r="AG1120" s="15" t="str">
        <f>VLOOKUP(Table2[[#This Row],[Home/Neutral]],division_lookup,9,FALSE)</f>
        <v>SW</v>
      </c>
      <c r="AH1120" s="15" t="str">
        <f>IF(Table2[[#This Row],[Total/EV]]&lt;Table2[[#This Row],[Total/V]],"UNDER","OVER")</f>
        <v>OVER</v>
      </c>
      <c r="AI1120" s="26">
        <f>Table2[[#This Row],[SRS/Real]]-Table2[[#This Row],[Spread/V]]</f>
        <v>0</v>
      </c>
      <c r="AJ1120" s="2">
        <f>Table2[[#This Row],[EV/Real]]-Table2[[#This Row],[Spread/V]]</f>
        <v>0</v>
      </c>
      <c r="AK1120" s="2">
        <f>Table2[[#This Row],[SRS/Diff]]-Table2[[#This Row],[EV/Diff]]</f>
        <v>0</v>
      </c>
      <c r="AL1120" s="18">
        <f>Table2[[#This Row],[SRS]]-Table2[[#This Row],[Spread]]</f>
        <v>1.2513114754098353</v>
      </c>
      <c r="AM1120" s="21">
        <f>Table2[[#This Row],[(A) Err]]^2</f>
        <v>1.565780408492339</v>
      </c>
      <c r="AN1120" s="6">
        <f>Table2[[#This Row],[EV]]-Table2[[#This Row],[Spread]]</f>
        <v>16.429255896951403</v>
      </c>
      <c r="AO1120" s="1">
        <f>Table2[[#This Row],[EV Err]]^2</f>
        <v>269.92044932751247</v>
      </c>
      <c r="AP1120" s="1"/>
    </row>
    <row r="1121" spans="1:42" x14ac:dyDescent="0.25">
      <c r="A1121" s="34">
        <v>42824</v>
      </c>
      <c r="B1121" t="s">
        <v>135</v>
      </c>
      <c r="C1121" t="s">
        <v>112</v>
      </c>
      <c r="E1121" s="21"/>
      <c r="G1121" s="21"/>
      <c r="H1121" s="7"/>
      <c r="I1121" s="21"/>
      <c r="K1121"/>
      <c r="L1121" s="21">
        <f>(Table2[[#This Row],[H/Pace]]/100)*(VLOOKUP(Table2[[#This Row],[Home/Neutral]],home_lookup,8,FALSE)+VLOOKUP(Table2[[#This Row],[Home/Neutral]],OFR_lookup,2,FALSE)+VLOOKUP(Table2[[#This Row],[Visitor/Neutral]],def_diff_lookup,6,FALSE))</f>
        <v>108.77178035324614</v>
      </c>
      <c r="M1121" s="21"/>
      <c r="N1121" s="21">
        <f>(Table2[[#This Row],[A/Pace]]/100)*(VLOOKUP(Table2[[#This Row],[Visitor/Neutral]],OFR_lookup,2,FALSE)+VLOOKUP(Table2[[#This Row],[Home/Neutral]],def_diff_lookup,6,FALSE))</f>
        <v>105.85009933333333</v>
      </c>
      <c r="O1121" s="21"/>
      <c r="P1121" s="21"/>
      <c r="Q1121">
        <f>VLOOKUP(Table2[[#This Row],[Home/Neutral]],pace_lookup,7,FALSE)</f>
        <v>95.4</v>
      </c>
      <c r="R1121" s="5">
        <f>VLOOKUP(Table2[[#This Row],[Visitor/Neutral]],pace_lookup,7,FALSE)</f>
        <v>97.4</v>
      </c>
      <c r="S1121" s="7"/>
      <c r="U1121" s="15"/>
      <c r="W1121" s="2">
        <f>-home-VLOOKUP(Table2[[#This Row],[Home/Neutral]],rtg_vlookup,4,FALSE)+VLOOKUP(Table2[[#This Row],[Visitor/Neutral]],rtg_vlookup,4,FALSE)</f>
        <v>-6.6786885245901653</v>
      </c>
      <c r="X1121" s="15"/>
      <c r="Y1121" s="2"/>
      <c r="Z1121" s="2">
        <f>Table2[[#This Row],[A/EV]]-Table2[[#This Row],[H/EV]]</f>
        <v>-2.9216810199128105</v>
      </c>
      <c r="AA1121" s="29"/>
      <c r="AB1121" s="30"/>
      <c r="AC1121" s="30"/>
      <c r="AD1121" s="30"/>
      <c r="AE1121" s="30"/>
      <c r="AF1121" s="7" t="b">
        <f>IF(VLOOKUP(Table2[[#This Row],[Home/Neutral]],division_lookup,9,FALSE)=VLOOKUP(Table2[[#This Row],[Visitor/Neutral]],division_lookup,9,FALSE),TRUE,FALSE)</f>
        <v>0</v>
      </c>
      <c r="AG1121" s="15" t="str">
        <f>VLOOKUP(Table2[[#This Row],[Home/Neutral]],division_lookup,9,FALSE)</f>
        <v>A</v>
      </c>
      <c r="AH1121" s="15" t="str">
        <f>IF(Table2[[#This Row],[Total/EV]]&lt;Table2[[#This Row],[Total/V]],"UNDER","OVER")</f>
        <v>OVER</v>
      </c>
      <c r="AI1121" s="26">
        <f>Table2[[#This Row],[SRS/Real]]-Table2[[#This Row],[Spread/V]]</f>
        <v>0</v>
      </c>
      <c r="AJ1121" s="2">
        <f>Table2[[#This Row],[EV/Real]]-Table2[[#This Row],[Spread/V]]</f>
        <v>0</v>
      </c>
      <c r="AK1121" s="2">
        <f>Table2[[#This Row],[SRS/Diff]]-Table2[[#This Row],[EV/Diff]]</f>
        <v>0</v>
      </c>
      <c r="AL1121" s="18">
        <f>Table2[[#This Row],[SRS]]-Table2[[#This Row],[Spread]]</f>
        <v>-6.6786885245901653</v>
      </c>
      <c r="AM1121" s="21">
        <f>Table2[[#This Row],[(A) Err]]^2</f>
        <v>44.604880408492356</v>
      </c>
      <c r="AN1121" s="6">
        <f>Table2[[#This Row],[EV]]-Table2[[#This Row],[Spread]]</f>
        <v>-2.9216810199128105</v>
      </c>
      <c r="AO1121" s="1">
        <f>Table2[[#This Row],[EV Err]]^2</f>
        <v>8.5362199821187605</v>
      </c>
      <c r="AP1121" s="1"/>
    </row>
    <row r="1122" spans="1:42" x14ac:dyDescent="0.25">
      <c r="A1122" s="34">
        <v>42825</v>
      </c>
      <c r="B1122" t="s">
        <v>113</v>
      </c>
      <c r="C1122" t="s">
        <v>114</v>
      </c>
      <c r="E1122" s="21"/>
      <c r="G1122" s="21"/>
      <c r="H1122" s="7"/>
      <c r="I1122" s="21"/>
      <c r="K1122"/>
      <c r="L1122" s="21">
        <f>(Table2[[#This Row],[H/Pace]]/100)*(VLOOKUP(Table2[[#This Row],[Home/Neutral]],home_lookup,8,FALSE)+VLOOKUP(Table2[[#This Row],[Home/Neutral]],OFR_lookup,2,FALSE)+VLOOKUP(Table2[[#This Row],[Visitor/Neutral]],def_diff_lookup,6,FALSE))</f>
        <v>108.63394388016279</v>
      </c>
      <c r="M1122" s="21"/>
      <c r="N1122" s="21">
        <f>(Table2[[#This Row],[A/Pace]]/100)*(VLOOKUP(Table2[[#This Row],[Visitor/Neutral]],OFR_lookup,2,FALSE)+VLOOKUP(Table2[[#This Row],[Home/Neutral]],def_diff_lookup,6,FALSE))</f>
        <v>111.23887366666666</v>
      </c>
      <c r="O1122" s="21"/>
      <c r="P1122" s="21"/>
      <c r="Q1122">
        <f>VLOOKUP(Table2[[#This Row],[Home/Neutral]],pace_lookup,7,FALSE)</f>
        <v>95.1</v>
      </c>
      <c r="R1122" s="5">
        <f>VLOOKUP(Table2[[#This Row],[Visitor/Neutral]],pace_lookup,7,FALSE)</f>
        <v>97.3</v>
      </c>
      <c r="S1122" s="7"/>
      <c r="U1122" s="15"/>
      <c r="W1122" s="2">
        <f>-home-VLOOKUP(Table2[[#This Row],[Home/Neutral]],rtg_vlookup,4,FALSE)+VLOOKUP(Table2[[#This Row],[Visitor/Neutral]],rtg_vlookup,4,FALSE)</f>
        <v>1.2213114754098342</v>
      </c>
      <c r="X1122" s="15"/>
      <c r="Y1122" s="2"/>
      <c r="Z1122" s="2">
        <f>Table2[[#This Row],[A/EV]]-Table2[[#This Row],[H/EV]]</f>
        <v>2.6049297865038739</v>
      </c>
      <c r="AA1122" s="29"/>
      <c r="AB1122" s="30"/>
      <c r="AC1122" s="30"/>
      <c r="AD1122" s="30"/>
      <c r="AE1122" s="30"/>
      <c r="AF1122" s="7" t="b">
        <f>IF(VLOOKUP(Table2[[#This Row],[Home/Neutral]],division_lookup,9,FALSE)=VLOOKUP(Table2[[#This Row],[Visitor/Neutral]],division_lookup,9,FALSE),TRUE,FALSE)</f>
        <v>1</v>
      </c>
      <c r="AG1122" s="15" t="str">
        <f>VLOOKUP(Table2[[#This Row],[Home/Neutral]],division_lookup,9,FALSE)</f>
        <v>C</v>
      </c>
      <c r="AH1122" s="15" t="str">
        <f>IF(Table2[[#This Row],[Total/EV]]&lt;Table2[[#This Row],[Total/V]],"UNDER","OVER")</f>
        <v>OVER</v>
      </c>
      <c r="AI1122" s="26">
        <f>Table2[[#This Row],[SRS/Real]]-Table2[[#This Row],[Spread/V]]</f>
        <v>0</v>
      </c>
      <c r="AJ1122" s="2">
        <f>Table2[[#This Row],[EV/Real]]-Table2[[#This Row],[Spread/V]]</f>
        <v>0</v>
      </c>
      <c r="AK1122" s="2">
        <f>Table2[[#This Row],[SRS/Diff]]-Table2[[#This Row],[EV/Diff]]</f>
        <v>0</v>
      </c>
      <c r="AL1122" s="18">
        <f>Table2[[#This Row],[SRS]]-Table2[[#This Row],[Spread]]</f>
        <v>1.2213114754098342</v>
      </c>
      <c r="AM1122" s="21">
        <f>Table2[[#This Row],[(A) Err]]^2</f>
        <v>1.491601719967746</v>
      </c>
      <c r="AN1122" s="6">
        <f>Table2[[#This Row],[EV]]-Table2[[#This Row],[Spread]]</f>
        <v>2.6049297865038739</v>
      </c>
      <c r="AO1122" s="1">
        <f>Table2[[#This Row],[EV Err]]^2</f>
        <v>6.7856591926151175</v>
      </c>
      <c r="AP1122" s="1"/>
    </row>
    <row r="1123" spans="1:42" x14ac:dyDescent="0.25">
      <c r="A1123" s="34">
        <v>42825</v>
      </c>
      <c r="B1123" t="s">
        <v>117</v>
      </c>
      <c r="C1123" t="s">
        <v>111</v>
      </c>
      <c r="E1123" s="21"/>
      <c r="G1123" s="21"/>
      <c r="H1123" s="7"/>
      <c r="I1123" s="21"/>
      <c r="K1123"/>
      <c r="L1123" s="21">
        <f>(Table2[[#This Row],[H/Pace]]/100)*(VLOOKUP(Table2[[#This Row],[Home/Neutral]],home_lookup,8,FALSE)+VLOOKUP(Table2[[#This Row],[Home/Neutral]],OFR_lookup,2,FALSE)+VLOOKUP(Table2[[#This Row],[Visitor/Neutral]],def_diff_lookup,6,FALSE))</f>
        <v>116.26919591446429</v>
      </c>
      <c r="M1123" s="21"/>
      <c r="N1123" s="21">
        <f>(Table2[[#This Row],[A/Pace]]/100)*(VLOOKUP(Table2[[#This Row],[Visitor/Neutral]],OFR_lookup,2,FALSE)+VLOOKUP(Table2[[#This Row],[Home/Neutral]],def_diff_lookup,6,FALSE))</f>
        <v>100.23098</v>
      </c>
      <c r="O1123" s="21"/>
      <c r="P1123" s="21"/>
      <c r="Q1123">
        <f>VLOOKUP(Table2[[#This Row],[Home/Neutral]],pace_lookup,7,FALSE)</f>
        <v>94</v>
      </c>
      <c r="R1123" s="5">
        <f>VLOOKUP(Table2[[#This Row],[Visitor/Neutral]],pace_lookup,7,FALSE)</f>
        <v>102</v>
      </c>
      <c r="S1123" s="7"/>
      <c r="U1123" s="15"/>
      <c r="W1123" s="2">
        <f>-home-VLOOKUP(Table2[[#This Row],[Home/Neutral]],rtg_vlookup,4,FALSE)+VLOOKUP(Table2[[#This Row],[Visitor/Neutral]],rtg_vlookup,4,FALSE)</f>
        <v>-13.128688524590165</v>
      </c>
      <c r="X1123" s="15"/>
      <c r="Y1123" s="2"/>
      <c r="Z1123" s="2">
        <f>Table2[[#This Row],[A/EV]]-Table2[[#This Row],[H/EV]]</f>
        <v>-16.038215914464288</v>
      </c>
      <c r="AA1123" s="29"/>
      <c r="AB1123" s="30"/>
      <c r="AC1123" s="30"/>
      <c r="AD1123" s="30"/>
      <c r="AE1123" s="30"/>
      <c r="AF1123" s="7" t="b">
        <f>IF(VLOOKUP(Table2[[#This Row],[Home/Neutral]],division_lookup,9,FALSE)=VLOOKUP(Table2[[#This Row],[Visitor/Neutral]],division_lookup,9,FALSE),TRUE,FALSE)</f>
        <v>0</v>
      </c>
      <c r="AG1123" s="15" t="str">
        <f>VLOOKUP(Table2[[#This Row],[Home/Neutral]],division_lookup,9,FALSE)</f>
        <v>C</v>
      </c>
      <c r="AH1123" s="15" t="str">
        <f>IF(Table2[[#This Row],[Total/EV]]&lt;Table2[[#This Row],[Total/V]],"UNDER","OVER")</f>
        <v>OVER</v>
      </c>
      <c r="AI1123" s="26">
        <f>Table2[[#This Row],[SRS/Real]]-Table2[[#This Row],[Spread/V]]</f>
        <v>0</v>
      </c>
      <c r="AJ1123" s="2">
        <f>Table2[[#This Row],[EV/Real]]-Table2[[#This Row],[Spread/V]]</f>
        <v>0</v>
      </c>
      <c r="AK1123" s="2">
        <f>Table2[[#This Row],[SRS/Diff]]-Table2[[#This Row],[EV/Diff]]</f>
        <v>0</v>
      </c>
      <c r="AL1123" s="18">
        <f>Table2[[#This Row],[SRS]]-Table2[[#This Row],[Spread]]</f>
        <v>-13.128688524590165</v>
      </c>
      <c r="AM1123" s="21">
        <f>Table2[[#This Row],[(A) Err]]^2</f>
        <v>172.36246237570549</v>
      </c>
      <c r="AN1123" s="6">
        <f>Table2[[#This Row],[EV]]-Table2[[#This Row],[Spread]]</f>
        <v>-16.038215914464288</v>
      </c>
      <c r="AO1123" s="1">
        <f>Table2[[#This Row],[EV Err]]^2</f>
        <v>257.22436971897559</v>
      </c>
      <c r="AP1123" s="1"/>
    </row>
    <row r="1124" spans="1:42" x14ac:dyDescent="0.25">
      <c r="A1124" s="34">
        <v>42825</v>
      </c>
      <c r="B1124" t="s">
        <v>126</v>
      </c>
      <c r="C1124" t="s">
        <v>122</v>
      </c>
      <c r="E1124" s="21"/>
      <c r="G1124" s="21"/>
      <c r="H1124" s="7"/>
      <c r="I1124" s="21"/>
      <c r="K1124"/>
      <c r="L1124" s="21">
        <f>(Table2[[#This Row],[H/Pace]]/100)*(VLOOKUP(Table2[[#This Row],[Home/Neutral]],home_lookup,8,FALSE)+VLOOKUP(Table2[[#This Row],[Home/Neutral]],OFR_lookup,2,FALSE)+VLOOKUP(Table2[[#This Row],[Visitor/Neutral]],def_diff_lookup,6,FALSE))</f>
        <v>119.26637777050786</v>
      </c>
      <c r="M1124" s="21"/>
      <c r="N1124" s="21">
        <f>(Table2[[#This Row],[A/Pace]]/100)*(VLOOKUP(Table2[[#This Row],[Visitor/Neutral]],OFR_lookup,2,FALSE)+VLOOKUP(Table2[[#This Row],[Home/Neutral]],def_diff_lookup,6,FALSE))</f>
        <v>112.40001799999999</v>
      </c>
      <c r="O1124" s="21"/>
      <c r="P1124" s="21"/>
      <c r="Q1124">
        <f>VLOOKUP(Table2[[#This Row],[Home/Neutral]],pace_lookup,7,FALSE)</f>
        <v>95.7</v>
      </c>
      <c r="R1124" s="5">
        <f>VLOOKUP(Table2[[#This Row],[Visitor/Neutral]],pace_lookup,7,FALSE)</f>
        <v>100.2</v>
      </c>
      <c r="S1124" s="7"/>
      <c r="U1124" s="15"/>
      <c r="W1124" s="2">
        <f>-home-VLOOKUP(Table2[[#This Row],[Home/Neutral]],rtg_vlookup,4,FALSE)+VLOOKUP(Table2[[#This Row],[Visitor/Neutral]],rtg_vlookup,4,FALSE)</f>
        <v>-3.8486885245901661</v>
      </c>
      <c r="X1124" s="15"/>
      <c r="Y1124" s="2"/>
      <c r="Z1124" s="2">
        <f>Table2[[#This Row],[A/EV]]-Table2[[#This Row],[H/EV]]</f>
        <v>-6.8663597705078701</v>
      </c>
      <c r="AA1124" s="29"/>
      <c r="AB1124" s="30"/>
      <c r="AC1124" s="30"/>
      <c r="AD1124" s="30"/>
      <c r="AE1124" s="30"/>
      <c r="AF1124" s="7" t="b">
        <f>IF(VLOOKUP(Table2[[#This Row],[Home/Neutral]],division_lookup,9,FALSE)=VLOOKUP(Table2[[#This Row],[Visitor/Neutral]],division_lookup,9,FALSE),TRUE,FALSE)</f>
        <v>0</v>
      </c>
      <c r="AG1124" s="15" t="str">
        <f>VLOOKUP(Table2[[#This Row],[Home/Neutral]],division_lookup,9,FALSE)</f>
        <v>NW</v>
      </c>
      <c r="AH1124" s="15" t="str">
        <f>IF(Table2[[#This Row],[Total/EV]]&lt;Table2[[#This Row],[Total/V]],"UNDER","OVER")</f>
        <v>OVER</v>
      </c>
      <c r="AI1124" s="26">
        <f>Table2[[#This Row],[SRS/Real]]-Table2[[#This Row],[Spread/V]]</f>
        <v>0</v>
      </c>
      <c r="AJ1124" s="2">
        <f>Table2[[#This Row],[EV/Real]]-Table2[[#This Row],[Spread/V]]</f>
        <v>0</v>
      </c>
      <c r="AK1124" s="2">
        <f>Table2[[#This Row],[SRS/Diff]]-Table2[[#This Row],[EV/Diff]]</f>
        <v>0</v>
      </c>
      <c r="AL1124" s="18">
        <f>Table2[[#This Row],[SRS]]-Table2[[#This Row],[Spread]]</f>
        <v>-3.8486885245901661</v>
      </c>
      <c r="AM1124" s="21">
        <f>Table2[[#This Row],[(A) Err]]^2</f>
        <v>14.812403359312029</v>
      </c>
      <c r="AN1124" s="6">
        <f>Table2[[#This Row],[EV]]-Table2[[#This Row],[Spread]]</f>
        <v>-6.8663597705078701</v>
      </c>
      <c r="AO1124" s="1">
        <f>Table2[[#This Row],[EV Err]]^2</f>
        <v>47.146896498048889</v>
      </c>
      <c r="AP1124" s="1"/>
    </row>
    <row r="1125" spans="1:42" x14ac:dyDescent="0.25">
      <c r="A1125" s="34">
        <v>42825</v>
      </c>
      <c r="B1125" t="s">
        <v>131</v>
      </c>
      <c r="C1125" t="s">
        <v>121</v>
      </c>
      <c r="E1125" s="21"/>
      <c r="G1125" s="21"/>
      <c r="H1125" s="7"/>
      <c r="I1125" s="21"/>
      <c r="K1125"/>
      <c r="L1125" s="21">
        <f>(Table2[[#This Row],[H/Pace]]/100)*(VLOOKUP(Table2[[#This Row],[Home/Neutral]],home_lookup,8,FALSE)+VLOOKUP(Table2[[#This Row],[Home/Neutral]],OFR_lookup,2,FALSE)+VLOOKUP(Table2[[#This Row],[Visitor/Neutral]],def_diff_lookup,6,FALSE))</f>
        <v>92.611069791197664</v>
      </c>
      <c r="M1125" s="21"/>
      <c r="N1125" s="21">
        <f>(Table2[[#This Row],[A/Pace]]/100)*(VLOOKUP(Table2[[#This Row],[Visitor/Neutral]],OFR_lookup,2,FALSE)+VLOOKUP(Table2[[#This Row],[Home/Neutral]],def_diff_lookup,6,FALSE))</f>
        <v>112.05118266666666</v>
      </c>
      <c r="O1125" s="21"/>
      <c r="P1125" s="21"/>
      <c r="Q1125">
        <f>VLOOKUP(Table2[[#This Row],[Home/Neutral]],pace_lookup,7,FALSE)</f>
        <v>101.7</v>
      </c>
      <c r="R1125" s="5">
        <f>VLOOKUP(Table2[[#This Row],[Visitor/Neutral]],pace_lookup,7,FALSE)</f>
        <v>96.4</v>
      </c>
      <c r="S1125" s="7"/>
      <c r="U1125" s="15"/>
      <c r="W1125" s="2">
        <f>-home-VLOOKUP(Table2[[#This Row],[Home/Neutral]],rtg_vlookup,4,FALSE)+VLOOKUP(Table2[[#This Row],[Visitor/Neutral]],rtg_vlookup,4,FALSE)</f>
        <v>16.331311475409834</v>
      </c>
      <c r="X1125" s="15"/>
      <c r="Y1125" s="2"/>
      <c r="Z1125" s="2">
        <f>Table2[[#This Row],[A/EV]]-Table2[[#This Row],[H/EV]]</f>
        <v>19.440112875468998</v>
      </c>
      <c r="AA1125" s="29"/>
      <c r="AB1125" s="30"/>
      <c r="AC1125" s="30"/>
      <c r="AD1125" s="30"/>
      <c r="AE1125" s="30"/>
      <c r="AF1125" s="7" t="b">
        <f>IF(VLOOKUP(Table2[[#This Row],[Home/Neutral]],division_lookup,9,FALSE)=VLOOKUP(Table2[[#This Row],[Visitor/Neutral]],division_lookup,9,FALSE),TRUE,FALSE)</f>
        <v>1</v>
      </c>
      <c r="AG1125" s="15" t="str">
        <f>VLOOKUP(Table2[[#This Row],[Home/Neutral]],division_lookup,9,FALSE)</f>
        <v>P</v>
      </c>
      <c r="AH1125" s="15" t="str">
        <f>IF(Table2[[#This Row],[Total/EV]]&lt;Table2[[#This Row],[Total/V]],"UNDER","OVER")</f>
        <v>OVER</v>
      </c>
      <c r="AI1125" s="26">
        <f>Table2[[#This Row],[SRS/Real]]-Table2[[#This Row],[Spread/V]]</f>
        <v>0</v>
      </c>
      <c r="AJ1125" s="2">
        <f>Table2[[#This Row],[EV/Real]]-Table2[[#This Row],[Spread/V]]</f>
        <v>0</v>
      </c>
      <c r="AK1125" s="2">
        <f>Table2[[#This Row],[SRS/Diff]]-Table2[[#This Row],[EV/Diff]]</f>
        <v>0</v>
      </c>
      <c r="AL1125" s="18">
        <f>Table2[[#This Row],[SRS]]-Table2[[#This Row],[Spread]]</f>
        <v>16.331311475409834</v>
      </c>
      <c r="AM1125" s="21">
        <f>Table2[[#This Row],[(A) Err]]^2</f>
        <v>266.71173450685291</v>
      </c>
      <c r="AN1125" s="6">
        <f>Table2[[#This Row],[EV]]-Table2[[#This Row],[Spread]]</f>
        <v>19.440112875468998</v>
      </c>
      <c r="AO1125" s="1">
        <f>Table2[[#This Row],[EV Err]]^2</f>
        <v>377.9179886109755</v>
      </c>
      <c r="AP1125" s="1"/>
    </row>
    <row r="1126" spans="1:42" x14ac:dyDescent="0.25">
      <c r="A1126" s="34">
        <v>42825</v>
      </c>
      <c r="B1126" t="s">
        <v>132</v>
      </c>
      <c r="C1126" t="s">
        <v>119</v>
      </c>
      <c r="E1126" s="21"/>
      <c r="G1126" s="21"/>
      <c r="H1126" s="7"/>
      <c r="I1126" s="21"/>
      <c r="K1126"/>
      <c r="L1126" s="21">
        <f>(Table2[[#This Row],[H/Pace]]/100)*(VLOOKUP(Table2[[#This Row],[Home/Neutral]],home_lookup,8,FALSE)+VLOOKUP(Table2[[#This Row],[Home/Neutral]],OFR_lookup,2,FALSE)+VLOOKUP(Table2[[#This Row],[Visitor/Neutral]],def_diff_lookup,6,FALSE))</f>
        <v>111.66198144606979</v>
      </c>
      <c r="M1126" s="21"/>
      <c r="N1126" s="21">
        <f>(Table2[[#This Row],[A/Pace]]/100)*(VLOOKUP(Table2[[#This Row],[Visitor/Neutral]],OFR_lookup,2,FALSE)+VLOOKUP(Table2[[#This Row],[Home/Neutral]],def_diff_lookup,6,FALSE))</f>
        <v>114.899821</v>
      </c>
      <c r="O1126" s="21"/>
      <c r="P1126" s="21"/>
      <c r="Q1126">
        <f>VLOOKUP(Table2[[#This Row],[Home/Neutral]],pace_lookup,7,FALSE)</f>
        <v>98.8</v>
      </c>
      <c r="R1126" s="5">
        <f>VLOOKUP(Table2[[#This Row],[Visitor/Neutral]],pace_lookup,7,FALSE)</f>
        <v>96.9</v>
      </c>
      <c r="S1126" s="7"/>
      <c r="U1126" s="15"/>
      <c r="W1126" s="2">
        <f>-home-VLOOKUP(Table2[[#This Row],[Home/Neutral]],rtg_vlookup,4,FALSE)+VLOOKUP(Table2[[#This Row],[Visitor/Neutral]],rtg_vlookup,4,FALSE)</f>
        <v>3.3413114754098343</v>
      </c>
      <c r="X1126" s="15"/>
      <c r="Y1126" s="2"/>
      <c r="Z1126" s="2">
        <f>Table2[[#This Row],[A/EV]]-Table2[[#This Row],[H/EV]]</f>
        <v>3.2378395539302147</v>
      </c>
      <c r="AA1126" s="29"/>
      <c r="AB1126" s="30"/>
      <c r="AC1126" s="30"/>
      <c r="AD1126" s="30"/>
      <c r="AE1126" s="30"/>
      <c r="AF1126" s="7" t="b">
        <f>IF(VLOOKUP(Table2[[#This Row],[Home/Neutral]],division_lookup,9,FALSE)=VLOOKUP(Table2[[#This Row],[Visitor/Neutral]],division_lookup,9,FALSE),TRUE,FALSE)</f>
        <v>0</v>
      </c>
      <c r="AG1126" s="15" t="str">
        <f>VLOOKUP(Table2[[#This Row],[Home/Neutral]],division_lookup,9,FALSE)</f>
        <v>NW</v>
      </c>
      <c r="AH1126" s="15" t="str">
        <f>IF(Table2[[#This Row],[Total/EV]]&lt;Table2[[#This Row],[Total/V]],"UNDER","OVER")</f>
        <v>OVER</v>
      </c>
      <c r="AI1126" s="26">
        <f>Table2[[#This Row],[SRS/Real]]-Table2[[#This Row],[Spread/V]]</f>
        <v>0</v>
      </c>
      <c r="AJ1126" s="2">
        <f>Table2[[#This Row],[EV/Real]]-Table2[[#This Row],[Spread/V]]</f>
        <v>0</v>
      </c>
      <c r="AK1126" s="2">
        <f>Table2[[#This Row],[SRS/Diff]]-Table2[[#This Row],[EV/Diff]]</f>
        <v>0</v>
      </c>
      <c r="AL1126" s="18">
        <f>Table2[[#This Row],[SRS]]-Table2[[#This Row],[Spread]]</f>
        <v>3.3413114754098343</v>
      </c>
      <c r="AM1126" s="21">
        <f>Table2[[#This Row],[(A) Err]]^2</f>
        <v>11.164362375705444</v>
      </c>
      <c r="AN1126" s="6">
        <f>Table2[[#This Row],[EV]]-Table2[[#This Row],[Spread]]</f>
        <v>3.2378395539302147</v>
      </c>
      <c r="AO1126" s="1">
        <f>Table2[[#This Row],[EV Err]]^2</f>
        <v>10.483604976995013</v>
      </c>
      <c r="AP1126" s="1"/>
    </row>
    <row r="1127" spans="1:42" x14ac:dyDescent="0.25">
      <c r="A1127" s="34">
        <v>42826</v>
      </c>
      <c r="B1127" t="s">
        <v>110</v>
      </c>
      <c r="C1127" t="s">
        <v>130</v>
      </c>
      <c r="E1127" s="21"/>
      <c r="G1127" s="21"/>
      <c r="H1127" s="7"/>
      <c r="I1127" s="21"/>
      <c r="K1127"/>
      <c r="L1127" s="21">
        <f>(Table2[[#This Row],[H/Pace]]/100)*(VLOOKUP(Table2[[#This Row],[Home/Neutral]],home_lookup,8,FALSE)+VLOOKUP(Table2[[#This Row],[Home/Neutral]],OFR_lookup,2,FALSE)+VLOOKUP(Table2[[#This Row],[Visitor/Neutral]],def_diff_lookup,6,FALSE))</f>
        <v>105.58029118900939</v>
      </c>
      <c r="M1127" s="21"/>
      <c r="N1127" s="21">
        <f>(Table2[[#This Row],[A/Pace]]/100)*(VLOOKUP(Table2[[#This Row],[Visitor/Neutral]],OFR_lookup,2,FALSE)+VLOOKUP(Table2[[#This Row],[Home/Neutral]],def_diff_lookup,6,FALSE))</f>
        <v>92.830017999999995</v>
      </c>
      <c r="O1127" s="21"/>
      <c r="P1127" s="21"/>
      <c r="Q1127">
        <f>VLOOKUP(Table2[[#This Row],[Home/Neutral]],pace_lookup,7,FALSE)</f>
        <v>96.2</v>
      </c>
      <c r="R1127" s="5">
        <f>VLOOKUP(Table2[[#This Row],[Visitor/Neutral]],pace_lookup,7,FALSE)</f>
        <v>94.2</v>
      </c>
      <c r="S1127" s="7"/>
      <c r="U1127" s="15"/>
      <c r="W1127" s="2">
        <f>-home-VLOOKUP(Table2[[#This Row],[Home/Neutral]],rtg_vlookup,4,FALSE)+VLOOKUP(Table2[[#This Row],[Visitor/Neutral]],rtg_vlookup,4,FALSE)</f>
        <v>-11.888688524590167</v>
      </c>
      <c r="X1127" s="15"/>
      <c r="Y1127" s="2"/>
      <c r="Z1127" s="2">
        <f>Table2[[#This Row],[A/EV]]-Table2[[#This Row],[H/EV]]</f>
        <v>-12.750273189009391</v>
      </c>
      <c r="AA1127" s="29"/>
      <c r="AB1127" s="30"/>
      <c r="AC1127" s="30"/>
      <c r="AD1127" s="30"/>
      <c r="AE1127" s="30"/>
      <c r="AF1127" s="7" t="b">
        <f>IF(VLOOKUP(Table2[[#This Row],[Home/Neutral]],division_lookup,9,FALSE)=VLOOKUP(Table2[[#This Row],[Visitor/Neutral]],division_lookup,9,FALSE),TRUE,FALSE)</f>
        <v>0</v>
      </c>
      <c r="AG1127" s="15" t="str">
        <f>VLOOKUP(Table2[[#This Row],[Home/Neutral]],division_lookup,9,FALSE)</f>
        <v>A</v>
      </c>
      <c r="AH1127" s="15" t="str">
        <f>IF(Table2[[#This Row],[Total/EV]]&lt;Table2[[#This Row],[Total/V]],"UNDER","OVER")</f>
        <v>OVER</v>
      </c>
      <c r="AI1127" s="26">
        <f>Table2[[#This Row],[SRS/Real]]-Table2[[#This Row],[Spread/V]]</f>
        <v>0</v>
      </c>
      <c r="AJ1127" s="2">
        <f>Table2[[#This Row],[EV/Real]]-Table2[[#This Row],[Spread/V]]</f>
        <v>0</v>
      </c>
      <c r="AK1127" s="2">
        <f>Table2[[#This Row],[SRS/Diff]]-Table2[[#This Row],[EV/Diff]]</f>
        <v>0</v>
      </c>
      <c r="AL1127" s="18">
        <f>Table2[[#This Row],[SRS]]-Table2[[#This Row],[Spread]]</f>
        <v>-11.888688524590167</v>
      </c>
      <c r="AM1127" s="21">
        <f>Table2[[#This Row],[(A) Err]]^2</f>
        <v>141.34091483472193</v>
      </c>
      <c r="AN1127" s="6">
        <f>Table2[[#This Row],[EV]]-Table2[[#This Row],[Spread]]</f>
        <v>-12.750273189009391</v>
      </c>
      <c r="AO1127" s="1">
        <f>Table2[[#This Row],[EV Err]]^2</f>
        <v>162.56946639437172</v>
      </c>
      <c r="AP1127" s="1"/>
    </row>
    <row r="1128" spans="1:42" x14ac:dyDescent="0.25">
      <c r="A1128" s="34">
        <v>42826</v>
      </c>
      <c r="B1128" t="s">
        <v>112</v>
      </c>
      <c r="C1128" t="s">
        <v>116</v>
      </c>
      <c r="E1128" s="21"/>
      <c r="G1128" s="21"/>
      <c r="H1128" s="7"/>
      <c r="I1128" s="21"/>
      <c r="K1128"/>
      <c r="L1128" s="21">
        <f>(Table2[[#This Row],[H/Pace]]/100)*(VLOOKUP(Table2[[#This Row],[Home/Neutral]],home_lookup,8,FALSE)+VLOOKUP(Table2[[#This Row],[Home/Neutral]],OFR_lookup,2,FALSE)+VLOOKUP(Table2[[#This Row],[Visitor/Neutral]],def_diff_lookup,6,FALSE))</f>
        <v>104.43300195313483</v>
      </c>
      <c r="M1128" s="21"/>
      <c r="N1128" s="21">
        <f>(Table2[[#This Row],[A/Pace]]/100)*(VLOOKUP(Table2[[#This Row],[Visitor/Neutral]],OFR_lookup,2,FALSE)+VLOOKUP(Table2[[#This Row],[Home/Neutral]],def_diff_lookup,6,FALSE))</f>
        <v>104.29845566666667</v>
      </c>
      <c r="O1128" s="21"/>
      <c r="P1128" s="21"/>
      <c r="Q1128">
        <f>VLOOKUP(Table2[[#This Row],[Home/Neutral]],pace_lookup,7,FALSE)</f>
        <v>97.4</v>
      </c>
      <c r="R1128" s="5">
        <f>VLOOKUP(Table2[[#This Row],[Visitor/Neutral]],pace_lookup,7,FALSE)</f>
        <v>99.1</v>
      </c>
      <c r="S1128" s="7"/>
      <c r="U1128" s="15"/>
      <c r="W1128" s="2">
        <f>-home-VLOOKUP(Table2[[#This Row],[Home/Neutral]],rtg_vlookup,4,FALSE)+VLOOKUP(Table2[[#This Row],[Visitor/Neutral]],rtg_vlookup,4,FALSE)</f>
        <v>-5.558688524590166</v>
      </c>
      <c r="X1128" s="15"/>
      <c r="Y1128" s="2"/>
      <c r="Z1128" s="2">
        <f>Table2[[#This Row],[A/EV]]-Table2[[#This Row],[H/EV]]</f>
        <v>-0.13454628646816502</v>
      </c>
      <c r="AA1128" s="29"/>
      <c r="AB1128" s="30"/>
      <c r="AC1128" s="30"/>
      <c r="AD1128" s="30"/>
      <c r="AE1128" s="30"/>
      <c r="AF1128" s="7" t="b">
        <f>IF(VLOOKUP(Table2[[#This Row],[Home/Neutral]],division_lookup,9,FALSE)=VLOOKUP(Table2[[#This Row],[Visitor/Neutral]],division_lookup,9,FALSE),TRUE,FALSE)</f>
        <v>0</v>
      </c>
      <c r="AG1128" s="15" t="str">
        <f>VLOOKUP(Table2[[#This Row],[Home/Neutral]],division_lookup,9,FALSE)</f>
        <v>SE</v>
      </c>
      <c r="AH1128" s="15" t="str">
        <f>IF(Table2[[#This Row],[Total/EV]]&lt;Table2[[#This Row],[Total/V]],"UNDER","OVER")</f>
        <v>OVER</v>
      </c>
      <c r="AI1128" s="26">
        <f>Table2[[#This Row],[SRS/Real]]-Table2[[#This Row],[Spread/V]]</f>
        <v>0</v>
      </c>
      <c r="AJ1128" s="2">
        <f>Table2[[#This Row],[EV/Real]]-Table2[[#This Row],[Spread/V]]</f>
        <v>0</v>
      </c>
      <c r="AK1128" s="2">
        <f>Table2[[#This Row],[SRS/Diff]]-Table2[[#This Row],[EV/Diff]]</f>
        <v>0</v>
      </c>
      <c r="AL1128" s="18">
        <f>Table2[[#This Row],[SRS]]-Table2[[#This Row],[Spread]]</f>
        <v>-5.558688524590166</v>
      </c>
      <c r="AM1128" s="21">
        <f>Table2[[#This Row],[(A) Err]]^2</f>
        <v>30.899018113410396</v>
      </c>
      <c r="AN1128" s="6">
        <f>Table2[[#This Row],[EV]]-Table2[[#This Row],[Spread]]</f>
        <v>-0.13454628646816502</v>
      </c>
      <c r="AO1128" s="1">
        <f>Table2[[#This Row],[EV Err]]^2</f>
        <v>1.8102703202373525E-2</v>
      </c>
      <c r="AP1128" s="1"/>
    </row>
    <row r="1129" spans="1:42" x14ac:dyDescent="0.25">
      <c r="A1129" s="34">
        <v>42826</v>
      </c>
      <c r="B1129" t="s">
        <v>114</v>
      </c>
      <c r="C1129" t="s">
        <v>138</v>
      </c>
      <c r="E1129" s="21"/>
      <c r="G1129" s="21"/>
      <c r="H1129" s="7"/>
      <c r="I1129" s="21"/>
      <c r="K1129"/>
      <c r="L1129" s="21">
        <f>(Table2[[#This Row],[H/Pace]]/100)*(VLOOKUP(Table2[[#This Row],[Home/Neutral]],home_lookup,8,FALSE)+VLOOKUP(Table2[[#This Row],[Home/Neutral]],OFR_lookup,2,FALSE)+VLOOKUP(Table2[[#This Row],[Visitor/Neutral]],def_diff_lookup,6,FALSE))</f>
        <v>115.95417276756467</v>
      </c>
      <c r="M1129" s="21"/>
      <c r="N1129" s="21">
        <f>(Table2[[#This Row],[A/Pace]]/100)*(VLOOKUP(Table2[[#This Row],[Visitor/Neutral]],OFR_lookup,2,FALSE)+VLOOKUP(Table2[[#This Row],[Home/Neutral]],def_diff_lookup,6,FALSE))</f>
        <v>95.770025000000004</v>
      </c>
      <c r="O1129" s="21"/>
      <c r="P1129" s="21"/>
      <c r="Q1129">
        <f>VLOOKUP(Table2[[#This Row],[Home/Neutral]],pace_lookup,7,FALSE)</f>
        <v>97.3</v>
      </c>
      <c r="R1129" s="5">
        <f>VLOOKUP(Table2[[#This Row],[Visitor/Neutral]],pace_lookup,7,FALSE)</f>
        <v>97.5</v>
      </c>
      <c r="S1129" s="7"/>
      <c r="U1129" s="15"/>
      <c r="W1129" s="2">
        <f>-home-VLOOKUP(Table2[[#This Row],[Home/Neutral]],rtg_vlookup,4,FALSE)+VLOOKUP(Table2[[#This Row],[Visitor/Neutral]],rtg_vlookup,4,FALSE)</f>
        <v>-21.058688524590167</v>
      </c>
      <c r="X1129" s="15"/>
      <c r="Y1129" s="2"/>
      <c r="Z1129" s="2">
        <f>Table2[[#This Row],[A/EV]]-Table2[[#This Row],[H/EV]]</f>
        <v>-20.184147767564667</v>
      </c>
      <c r="AA1129" s="29"/>
      <c r="AB1129" s="30"/>
      <c r="AC1129" s="30"/>
      <c r="AD1129" s="30"/>
      <c r="AE1129" s="30"/>
      <c r="AF1129" s="7" t="b">
        <f>IF(VLOOKUP(Table2[[#This Row],[Home/Neutral]],division_lookup,9,FALSE)=VLOOKUP(Table2[[#This Row],[Visitor/Neutral]],division_lookup,9,FALSE),TRUE,FALSE)</f>
        <v>0</v>
      </c>
      <c r="AG1129" s="15" t="str">
        <f>VLOOKUP(Table2[[#This Row],[Home/Neutral]],division_lookup,9,FALSE)</f>
        <v>C</v>
      </c>
      <c r="AH1129" s="15" t="str">
        <f>IF(Table2[[#This Row],[Total/EV]]&lt;Table2[[#This Row],[Total/V]],"UNDER","OVER")</f>
        <v>OVER</v>
      </c>
      <c r="AI1129" s="26">
        <f>Table2[[#This Row],[SRS/Real]]-Table2[[#This Row],[Spread/V]]</f>
        <v>0</v>
      </c>
      <c r="AJ1129" s="2">
        <f>Table2[[#This Row],[EV/Real]]-Table2[[#This Row],[Spread/V]]</f>
        <v>0</v>
      </c>
      <c r="AK1129" s="2">
        <f>Table2[[#This Row],[SRS/Diff]]-Table2[[#This Row],[EV/Diff]]</f>
        <v>0</v>
      </c>
      <c r="AL1129" s="18">
        <f>Table2[[#This Row],[SRS]]-Table2[[#This Row],[Spread]]</f>
        <v>-21.058688524590167</v>
      </c>
      <c r="AM1129" s="21">
        <f>Table2[[#This Row],[(A) Err]]^2</f>
        <v>443.46836237570557</v>
      </c>
      <c r="AN1129" s="6">
        <f>Table2[[#This Row],[EV]]-Table2[[#This Row],[Spread]]</f>
        <v>-20.184147767564667</v>
      </c>
      <c r="AO1129" s="1">
        <f>Table2[[#This Row],[EV Err]]^2</f>
        <v>407.39982110288577</v>
      </c>
      <c r="AP1129" s="1"/>
    </row>
    <row r="1130" spans="1:42" x14ac:dyDescent="0.25">
      <c r="A1130" s="34">
        <v>42826</v>
      </c>
      <c r="B1130" t="s">
        <v>118</v>
      </c>
      <c r="C1130" t="s">
        <v>119</v>
      </c>
      <c r="E1130" s="21"/>
      <c r="G1130" s="21"/>
      <c r="H1130" s="7"/>
      <c r="I1130" s="21"/>
      <c r="K1130"/>
      <c r="L1130" s="21">
        <f>(Table2[[#This Row],[H/Pace]]/100)*(VLOOKUP(Table2[[#This Row],[Home/Neutral]],home_lookup,8,FALSE)+VLOOKUP(Table2[[#This Row],[Home/Neutral]],OFR_lookup,2,FALSE)+VLOOKUP(Table2[[#This Row],[Visitor/Neutral]],def_diff_lookup,6,FALSE))</f>
        <v>117.48339838078238</v>
      </c>
      <c r="M1130" s="21"/>
      <c r="N1130" s="21">
        <f>(Table2[[#This Row],[A/Pace]]/100)*(VLOOKUP(Table2[[#This Row],[Visitor/Neutral]],OFR_lookup,2,FALSE)+VLOOKUP(Table2[[#This Row],[Home/Neutral]],def_diff_lookup,6,FALSE))</f>
        <v>108.44628100000001</v>
      </c>
      <c r="O1130" s="21"/>
      <c r="P1130" s="21"/>
      <c r="Q1130">
        <f>VLOOKUP(Table2[[#This Row],[Home/Neutral]],pace_lookup,7,FALSE)</f>
        <v>100.4</v>
      </c>
      <c r="R1130" s="5">
        <f>VLOOKUP(Table2[[#This Row],[Visitor/Neutral]],pace_lookup,7,FALSE)</f>
        <v>96.9</v>
      </c>
      <c r="S1130" s="7"/>
      <c r="U1130" s="15"/>
      <c r="W1130" s="2">
        <f>-home-VLOOKUP(Table2[[#This Row],[Home/Neutral]],rtg_vlookup,4,FALSE)+VLOOKUP(Table2[[#This Row],[Visitor/Neutral]],rtg_vlookup,4,FALSE)</f>
        <v>-10.518688524590166</v>
      </c>
      <c r="X1130" s="15"/>
      <c r="Y1130" s="2"/>
      <c r="Z1130" s="2">
        <f>Table2[[#This Row],[A/EV]]-Table2[[#This Row],[H/EV]]</f>
        <v>-9.0371173807823624</v>
      </c>
      <c r="AA1130" s="29"/>
      <c r="AB1130" s="30"/>
      <c r="AC1130" s="30"/>
      <c r="AD1130" s="30"/>
      <c r="AE1130" s="30"/>
      <c r="AF1130" s="7" t="b">
        <f>IF(VLOOKUP(Table2[[#This Row],[Home/Neutral]],division_lookup,9,FALSE)=VLOOKUP(Table2[[#This Row],[Visitor/Neutral]],division_lookup,9,FALSE),TRUE,FALSE)</f>
        <v>0</v>
      </c>
      <c r="AG1130" s="15" t="str">
        <f>VLOOKUP(Table2[[#This Row],[Home/Neutral]],division_lookup,9,FALSE)</f>
        <v>P</v>
      </c>
      <c r="AH1130" s="15" t="str">
        <f>IF(Table2[[#This Row],[Total/EV]]&lt;Table2[[#This Row],[Total/V]],"UNDER","OVER")</f>
        <v>OVER</v>
      </c>
      <c r="AI1130" s="26">
        <f>Table2[[#This Row],[SRS/Real]]-Table2[[#This Row],[Spread/V]]</f>
        <v>0</v>
      </c>
      <c r="AJ1130" s="2">
        <f>Table2[[#This Row],[EV/Real]]-Table2[[#This Row],[Spread/V]]</f>
        <v>0</v>
      </c>
      <c r="AK1130" s="2">
        <f>Table2[[#This Row],[SRS/Diff]]-Table2[[#This Row],[EV/Diff]]</f>
        <v>0</v>
      </c>
      <c r="AL1130" s="18">
        <f>Table2[[#This Row],[SRS]]-Table2[[#This Row],[Spread]]</f>
        <v>-10.518688524590166</v>
      </c>
      <c r="AM1130" s="21">
        <f>Table2[[#This Row],[(A) Err]]^2</f>
        <v>110.64280827734484</v>
      </c>
      <c r="AN1130" s="6">
        <f>Table2[[#This Row],[EV]]-Table2[[#This Row],[Spread]]</f>
        <v>-9.0371173807823624</v>
      </c>
      <c r="AO1130" s="1">
        <f>Table2[[#This Row],[EV Err]]^2</f>
        <v>81.66949055403866</v>
      </c>
      <c r="AP1130" s="1"/>
    </row>
    <row r="1131" spans="1:42" x14ac:dyDescent="0.25">
      <c r="A1131" s="34">
        <v>42826</v>
      </c>
      <c r="B1131" t="s">
        <v>123</v>
      </c>
      <c r="C1131" t="s">
        <v>115</v>
      </c>
      <c r="E1131" s="21"/>
      <c r="G1131" s="21"/>
      <c r="H1131" s="7"/>
      <c r="I1131" s="21"/>
      <c r="K1131"/>
      <c r="L1131" s="21">
        <f>(Table2[[#This Row],[H/Pace]]/100)*(VLOOKUP(Table2[[#This Row],[Home/Neutral]],home_lookup,8,FALSE)+VLOOKUP(Table2[[#This Row],[Home/Neutral]],OFR_lookup,2,FALSE)+VLOOKUP(Table2[[#This Row],[Visitor/Neutral]],def_diff_lookup,6,FALSE))</f>
        <v>101.10642709563919</v>
      </c>
      <c r="M1131" s="21"/>
      <c r="N1131" s="21">
        <f>(Table2[[#This Row],[A/Pace]]/100)*(VLOOKUP(Table2[[#This Row],[Visitor/Neutral]],OFR_lookup,2,FALSE)+VLOOKUP(Table2[[#This Row],[Home/Neutral]],def_diff_lookup,6,FALSE))</f>
        <v>86.903924333333336</v>
      </c>
      <c r="O1131" s="21"/>
      <c r="P1131" s="21"/>
      <c r="Q1131">
        <f>VLOOKUP(Table2[[#This Row],[Home/Neutral]],pace_lookup,7,FALSE)</f>
        <v>92.5</v>
      </c>
      <c r="R1131" s="5">
        <f>VLOOKUP(Table2[[#This Row],[Visitor/Neutral]],pace_lookup,7,FALSE)</f>
        <v>92.9</v>
      </c>
      <c r="S1131" s="7"/>
      <c r="U1131" s="15"/>
      <c r="W1131" s="2">
        <f>-home-VLOOKUP(Table2[[#This Row],[Home/Neutral]],rtg_vlookup,4,FALSE)+VLOOKUP(Table2[[#This Row],[Visitor/Neutral]],rtg_vlookup,4,FALSE)</f>
        <v>-12.318688524590165</v>
      </c>
      <c r="X1131" s="15"/>
      <c r="Y1131" s="2"/>
      <c r="Z1131" s="2">
        <f>Table2[[#This Row],[A/EV]]-Table2[[#This Row],[H/EV]]</f>
        <v>-14.202502762305855</v>
      </c>
      <c r="AA1131" s="29"/>
      <c r="AB1131" s="30"/>
      <c r="AC1131" s="30"/>
      <c r="AD1131" s="30"/>
      <c r="AE1131" s="30"/>
      <c r="AF1131" s="7" t="b">
        <f>IF(VLOOKUP(Table2[[#This Row],[Home/Neutral]],division_lookup,9,FALSE)=VLOOKUP(Table2[[#This Row],[Visitor/Neutral]],division_lookup,9,FALSE),TRUE,FALSE)</f>
        <v>1</v>
      </c>
      <c r="AG1131" s="15" t="str">
        <f>VLOOKUP(Table2[[#This Row],[Home/Neutral]],division_lookup,9,FALSE)</f>
        <v>SW</v>
      </c>
      <c r="AH1131" s="15" t="str">
        <f>IF(Table2[[#This Row],[Total/EV]]&lt;Table2[[#This Row],[Total/V]],"UNDER","OVER")</f>
        <v>OVER</v>
      </c>
      <c r="AI1131" s="26">
        <f>Table2[[#This Row],[SRS/Real]]-Table2[[#This Row],[Spread/V]]</f>
        <v>0</v>
      </c>
      <c r="AJ1131" s="2">
        <f>Table2[[#This Row],[EV/Real]]-Table2[[#This Row],[Spread/V]]</f>
        <v>0</v>
      </c>
      <c r="AK1131" s="2">
        <f>Table2[[#This Row],[SRS/Diff]]-Table2[[#This Row],[EV/Diff]]</f>
        <v>0</v>
      </c>
      <c r="AL1131" s="18">
        <f>Table2[[#This Row],[SRS]]-Table2[[#This Row],[Spread]]</f>
        <v>-12.318688524590165</v>
      </c>
      <c r="AM1131" s="21">
        <f>Table2[[#This Row],[(A) Err]]^2</f>
        <v>151.75008696586943</v>
      </c>
      <c r="AN1131" s="6">
        <f>Table2[[#This Row],[EV]]-Table2[[#This Row],[Spread]]</f>
        <v>-14.202502762305855</v>
      </c>
      <c r="AO1131" s="1">
        <f>Table2[[#This Row],[EV Err]]^2</f>
        <v>201.71108471330544</v>
      </c>
      <c r="AP1131" s="1"/>
    </row>
    <row r="1132" spans="1:42" x14ac:dyDescent="0.25">
      <c r="A1132" s="34">
        <v>42826</v>
      </c>
      <c r="B1132" t="s">
        <v>124</v>
      </c>
      <c r="C1132" t="s">
        <v>128</v>
      </c>
      <c r="E1132" s="21"/>
      <c r="G1132" s="21"/>
      <c r="H1132" s="7"/>
      <c r="I1132" s="21"/>
      <c r="K1132"/>
      <c r="L1132" s="21">
        <f>(Table2[[#This Row],[H/Pace]]/100)*(VLOOKUP(Table2[[#This Row],[Home/Neutral]],home_lookup,8,FALSE)+VLOOKUP(Table2[[#This Row],[Home/Neutral]],OFR_lookup,2,FALSE)+VLOOKUP(Table2[[#This Row],[Visitor/Neutral]],def_diff_lookup,6,FALSE))</f>
        <v>104.13411517723557</v>
      </c>
      <c r="M1132" s="21"/>
      <c r="N1132" s="21">
        <f>(Table2[[#This Row],[A/Pace]]/100)*(VLOOKUP(Table2[[#This Row],[Visitor/Neutral]],OFR_lookup,2,FALSE)+VLOOKUP(Table2[[#This Row],[Home/Neutral]],def_diff_lookup,6,FALSE))</f>
        <v>101.81381699999999</v>
      </c>
      <c r="O1132" s="21"/>
      <c r="P1132" s="21"/>
      <c r="Q1132">
        <f>VLOOKUP(Table2[[#This Row],[Home/Neutral]],pace_lookup,7,FALSE)</f>
        <v>93.7</v>
      </c>
      <c r="R1132" s="5">
        <f>VLOOKUP(Table2[[#This Row],[Visitor/Neutral]],pace_lookup,7,FALSE)</f>
        <v>96.3</v>
      </c>
      <c r="S1132" s="7"/>
      <c r="U1132" s="15"/>
      <c r="W1132" s="2">
        <f>-home-VLOOKUP(Table2[[#This Row],[Home/Neutral]],rtg_vlookup,4,FALSE)+VLOOKUP(Table2[[#This Row],[Visitor/Neutral]],rtg_vlookup,4,FALSE)</f>
        <v>-3.4386885245901659</v>
      </c>
      <c r="X1132" s="15"/>
      <c r="Y1132" s="2"/>
      <c r="Z1132" s="2">
        <f>Table2[[#This Row],[A/EV]]-Table2[[#This Row],[H/EV]]</f>
        <v>-2.3202981772355855</v>
      </c>
      <c r="AA1132" s="29"/>
      <c r="AB1132" s="30"/>
      <c r="AC1132" s="30"/>
      <c r="AD1132" s="30"/>
      <c r="AE1132" s="30"/>
      <c r="AF1132" s="7" t="b">
        <f>IF(VLOOKUP(Table2[[#This Row],[Home/Neutral]],division_lookup,9,FALSE)=VLOOKUP(Table2[[#This Row],[Visitor/Neutral]],division_lookup,9,FALSE),TRUE,FALSE)</f>
        <v>0</v>
      </c>
      <c r="AG1132" s="15" t="str">
        <f>VLOOKUP(Table2[[#This Row],[Home/Neutral]],division_lookup,9,FALSE)</f>
        <v>SE</v>
      </c>
      <c r="AH1132" s="15" t="str">
        <f>IF(Table2[[#This Row],[Total/EV]]&lt;Table2[[#This Row],[Total/V]],"UNDER","OVER")</f>
        <v>OVER</v>
      </c>
      <c r="AI1132" s="26">
        <f>Table2[[#This Row],[SRS/Real]]-Table2[[#This Row],[Spread/V]]</f>
        <v>0</v>
      </c>
      <c r="AJ1132" s="2">
        <f>Table2[[#This Row],[EV/Real]]-Table2[[#This Row],[Spread/V]]</f>
        <v>0</v>
      </c>
      <c r="AK1132" s="2">
        <f>Table2[[#This Row],[SRS/Diff]]-Table2[[#This Row],[EV/Diff]]</f>
        <v>0</v>
      </c>
      <c r="AL1132" s="18">
        <f>Table2[[#This Row],[SRS]]-Table2[[#This Row],[Spread]]</f>
        <v>-3.4386885245901659</v>
      </c>
      <c r="AM1132" s="21">
        <f>Table2[[#This Row],[(A) Err]]^2</f>
        <v>11.824578769148092</v>
      </c>
      <c r="AN1132" s="6">
        <f>Table2[[#This Row],[EV]]-Table2[[#This Row],[Spread]]</f>
        <v>-2.3202981772355855</v>
      </c>
      <c r="AO1132" s="1">
        <f>Table2[[#This Row],[EV Err]]^2</f>
        <v>5.3837836312827809</v>
      </c>
      <c r="AP1132" s="1"/>
    </row>
    <row r="1133" spans="1:42" x14ac:dyDescent="0.25">
      <c r="A1133" s="34">
        <v>42826</v>
      </c>
      <c r="B1133" t="s">
        <v>125</v>
      </c>
      <c r="C1133" t="s">
        <v>117</v>
      </c>
      <c r="E1133" s="21"/>
      <c r="G1133" s="21"/>
      <c r="H1133" s="7"/>
      <c r="I1133" s="21"/>
      <c r="K1133"/>
      <c r="L1133" s="21">
        <f>(Table2[[#This Row],[H/Pace]]/100)*(VLOOKUP(Table2[[#This Row],[Home/Neutral]],home_lookup,8,FALSE)+VLOOKUP(Table2[[#This Row],[Home/Neutral]],OFR_lookup,2,FALSE)+VLOOKUP(Table2[[#This Row],[Visitor/Neutral]],def_diff_lookup,6,FALSE))</f>
        <v>104.74977550061908</v>
      </c>
      <c r="M1133" s="21"/>
      <c r="N1133" s="21">
        <f>(Table2[[#This Row],[A/Pace]]/100)*(VLOOKUP(Table2[[#This Row],[Visitor/Neutral]],OFR_lookup,2,FALSE)+VLOOKUP(Table2[[#This Row],[Home/Neutral]],def_diff_lookup,6,FALSE))</f>
        <v>100.01192666666665</v>
      </c>
      <c r="O1133" s="21"/>
      <c r="P1133" s="21"/>
      <c r="Q1133">
        <f>VLOOKUP(Table2[[#This Row],[Home/Neutral]],pace_lookup,7,FALSE)</f>
        <v>96.1</v>
      </c>
      <c r="R1133" s="5">
        <f>VLOOKUP(Table2[[#This Row],[Visitor/Neutral]],pace_lookup,7,FALSE)</f>
        <v>94</v>
      </c>
      <c r="S1133" s="7"/>
      <c r="U1133" s="15"/>
      <c r="W1133" s="2">
        <f>-home-VLOOKUP(Table2[[#This Row],[Home/Neutral]],rtg_vlookup,4,FALSE)+VLOOKUP(Table2[[#This Row],[Visitor/Neutral]],rtg_vlookup,4,FALSE)</f>
        <v>1.2713114754098342</v>
      </c>
      <c r="X1133" s="15"/>
      <c r="Y1133" s="2"/>
      <c r="Z1133" s="2">
        <f>Table2[[#This Row],[A/EV]]-Table2[[#This Row],[H/EV]]</f>
        <v>-4.7378488339524267</v>
      </c>
      <c r="AA1133" s="29"/>
      <c r="AB1133" s="30"/>
      <c r="AC1133" s="30"/>
      <c r="AD1133" s="30"/>
      <c r="AE1133" s="30"/>
      <c r="AF1133" s="7" t="b">
        <f>IF(VLOOKUP(Table2[[#This Row],[Home/Neutral]],division_lookup,9,FALSE)=VLOOKUP(Table2[[#This Row],[Visitor/Neutral]],division_lookup,9,FALSE),TRUE,FALSE)</f>
        <v>1</v>
      </c>
      <c r="AG1133" s="15" t="str">
        <f>VLOOKUP(Table2[[#This Row],[Home/Neutral]],division_lookup,9,FALSE)</f>
        <v>C</v>
      </c>
      <c r="AH1133" s="15" t="str">
        <f>IF(Table2[[#This Row],[Total/EV]]&lt;Table2[[#This Row],[Total/V]],"UNDER","OVER")</f>
        <v>OVER</v>
      </c>
      <c r="AI1133" s="26">
        <f>Table2[[#This Row],[SRS/Real]]-Table2[[#This Row],[Spread/V]]</f>
        <v>0</v>
      </c>
      <c r="AJ1133" s="2">
        <f>Table2[[#This Row],[EV/Real]]-Table2[[#This Row],[Spread/V]]</f>
        <v>0</v>
      </c>
      <c r="AK1133" s="2">
        <f>Table2[[#This Row],[SRS/Diff]]-Table2[[#This Row],[EV/Diff]]</f>
        <v>0</v>
      </c>
      <c r="AL1133" s="18">
        <f>Table2[[#This Row],[SRS]]-Table2[[#This Row],[Spread]]</f>
        <v>1.2713114754098342</v>
      </c>
      <c r="AM1133" s="21">
        <f>Table2[[#This Row],[(A) Err]]^2</f>
        <v>1.6162328675087296</v>
      </c>
      <c r="AN1133" s="6">
        <f>Table2[[#This Row],[EV]]-Table2[[#This Row],[Spread]]</f>
        <v>-4.7378488339524267</v>
      </c>
      <c r="AO1133" s="1">
        <f>Table2[[#This Row],[EV Err]]^2</f>
        <v>22.447211573384369</v>
      </c>
      <c r="AP1133" s="1"/>
    </row>
    <row r="1134" spans="1:42" x14ac:dyDescent="0.25">
      <c r="A1134" s="34">
        <v>42826</v>
      </c>
      <c r="B1134" t="s">
        <v>127</v>
      </c>
      <c r="C1134" t="s">
        <v>133</v>
      </c>
      <c r="E1134" s="21"/>
      <c r="G1134" s="21"/>
      <c r="H1134" s="7"/>
      <c r="I1134" s="21"/>
      <c r="K1134"/>
      <c r="L1134" s="21">
        <f>(Table2[[#This Row],[H/Pace]]/100)*(VLOOKUP(Table2[[#This Row],[Home/Neutral]],home_lookup,8,FALSE)+VLOOKUP(Table2[[#This Row],[Home/Neutral]],OFR_lookup,2,FALSE)+VLOOKUP(Table2[[#This Row],[Visitor/Neutral]],def_diff_lookup,6,FALSE))</f>
        <v>105.89682493743048</v>
      </c>
      <c r="M1134" s="21"/>
      <c r="N1134" s="21">
        <f>(Table2[[#This Row],[A/Pace]]/100)*(VLOOKUP(Table2[[#This Row],[Visitor/Neutral]],OFR_lookup,2,FALSE)+VLOOKUP(Table2[[#This Row],[Home/Neutral]],def_diff_lookup,6,FALSE))</f>
        <v>100.488478</v>
      </c>
      <c r="O1134" s="21"/>
      <c r="P1134" s="21"/>
      <c r="Q1134">
        <f>VLOOKUP(Table2[[#This Row],[Home/Neutral]],pace_lookup,7,FALSE)</f>
        <v>99.3</v>
      </c>
      <c r="R1134" s="5">
        <f>VLOOKUP(Table2[[#This Row],[Visitor/Neutral]],pace_lookup,7,FALSE)</f>
        <v>94.2</v>
      </c>
      <c r="S1134" s="7"/>
      <c r="U1134" s="15"/>
      <c r="W1134" s="2">
        <f>-home-VLOOKUP(Table2[[#This Row],[Home/Neutral]],rtg_vlookup,4,FALSE)+VLOOKUP(Table2[[#This Row],[Visitor/Neutral]],rtg_vlookup,4,FALSE)</f>
        <v>-2.0386885245901656</v>
      </c>
      <c r="X1134" s="15"/>
      <c r="Y1134" s="2"/>
      <c r="Z1134" s="2">
        <f>Table2[[#This Row],[A/EV]]-Table2[[#This Row],[H/EV]]</f>
        <v>-5.4083469374304798</v>
      </c>
      <c r="AA1134" s="29"/>
      <c r="AB1134" s="30"/>
      <c r="AC1134" s="30"/>
      <c r="AD1134" s="30"/>
      <c r="AE1134" s="30"/>
      <c r="AF1134" s="7" t="b">
        <f>IF(VLOOKUP(Table2[[#This Row],[Home/Neutral]],division_lookup,9,FALSE)=VLOOKUP(Table2[[#This Row],[Visitor/Neutral]],division_lookup,9,FALSE),TRUE,FALSE)</f>
        <v>0</v>
      </c>
      <c r="AG1134" s="15" t="str">
        <f>VLOOKUP(Table2[[#This Row],[Home/Neutral]],division_lookup,9,FALSE)</f>
        <v>SW</v>
      </c>
      <c r="AH1134" s="15" t="str">
        <f>IF(Table2[[#This Row],[Total/EV]]&lt;Table2[[#This Row],[Total/V]],"UNDER","OVER")</f>
        <v>OVER</v>
      </c>
      <c r="AI1134" s="26">
        <f>Table2[[#This Row],[SRS/Real]]-Table2[[#This Row],[Spread/V]]</f>
        <v>0</v>
      </c>
      <c r="AJ1134" s="2">
        <f>Table2[[#This Row],[EV/Real]]-Table2[[#This Row],[Spread/V]]</f>
        <v>0</v>
      </c>
      <c r="AK1134" s="2">
        <f>Table2[[#This Row],[SRS/Diff]]-Table2[[#This Row],[EV/Diff]]</f>
        <v>0</v>
      </c>
      <c r="AL1134" s="18">
        <f>Table2[[#This Row],[SRS]]-Table2[[#This Row],[Spread]]</f>
        <v>-2.0386885245901656</v>
      </c>
      <c r="AM1134" s="21">
        <f>Table2[[#This Row],[(A) Err]]^2</f>
        <v>4.1562509002956265</v>
      </c>
      <c r="AN1134" s="6">
        <f>Table2[[#This Row],[EV]]-Table2[[#This Row],[Spread]]</f>
        <v>-5.4083469374304798</v>
      </c>
      <c r="AO1134" s="1">
        <f>Table2[[#This Row],[EV Err]]^2</f>
        <v>29.250216595613651</v>
      </c>
      <c r="AP1134" s="1"/>
    </row>
    <row r="1135" spans="1:42" x14ac:dyDescent="0.25">
      <c r="A1135" s="34">
        <v>42826</v>
      </c>
      <c r="B1135" t="s">
        <v>129</v>
      </c>
      <c r="C1135" t="s">
        <v>134</v>
      </c>
      <c r="E1135" s="21"/>
      <c r="G1135" s="21"/>
      <c r="H1135" s="7"/>
      <c r="I1135" s="21"/>
      <c r="K1135"/>
      <c r="L1135" s="21">
        <f>(Table2[[#This Row],[H/Pace]]/100)*(VLOOKUP(Table2[[#This Row],[Home/Neutral]],home_lookup,8,FALSE)+VLOOKUP(Table2[[#This Row],[Home/Neutral]],OFR_lookup,2,FALSE)+VLOOKUP(Table2[[#This Row],[Visitor/Neutral]],def_diff_lookup,6,FALSE))</f>
        <v>106.06490376890108</v>
      </c>
      <c r="M1135" s="21"/>
      <c r="N1135" s="21">
        <f>(Table2[[#This Row],[A/Pace]]/100)*(VLOOKUP(Table2[[#This Row],[Visitor/Neutral]],OFR_lookup,2,FALSE)+VLOOKUP(Table2[[#This Row],[Home/Neutral]],def_diff_lookup,6,FALSE))</f>
        <v>103.45513266666667</v>
      </c>
      <c r="O1135" s="21"/>
      <c r="P1135" s="21"/>
      <c r="Q1135">
        <f>VLOOKUP(Table2[[#This Row],[Home/Neutral]],pace_lookup,7,FALSE)</f>
        <v>99</v>
      </c>
      <c r="R1135" s="5">
        <f>VLOOKUP(Table2[[#This Row],[Visitor/Neutral]],pace_lookup,7,FALSE)</f>
        <v>93.4</v>
      </c>
      <c r="S1135" s="7"/>
      <c r="U1135" s="15"/>
      <c r="W1135" s="2">
        <f>-home-VLOOKUP(Table2[[#This Row],[Home/Neutral]],rtg_vlookup,4,FALSE)+VLOOKUP(Table2[[#This Row],[Visitor/Neutral]],rtg_vlookup,4,FALSE)</f>
        <v>3.1013114754098341</v>
      </c>
      <c r="X1135" s="15"/>
      <c r="Y1135" s="2"/>
      <c r="Z1135" s="2">
        <f>Table2[[#This Row],[A/EV]]-Table2[[#This Row],[H/EV]]</f>
        <v>-2.6097711022344043</v>
      </c>
      <c r="AA1135" s="29"/>
      <c r="AB1135" s="30"/>
      <c r="AC1135" s="30"/>
      <c r="AD1135" s="30"/>
      <c r="AE1135" s="30"/>
      <c r="AF1135" s="7" t="b">
        <f>IF(VLOOKUP(Table2[[#This Row],[Home/Neutral]],division_lookup,9,FALSE)=VLOOKUP(Table2[[#This Row],[Visitor/Neutral]],division_lookup,9,FALSE),TRUE,FALSE)</f>
        <v>0</v>
      </c>
      <c r="AG1135" s="15" t="str">
        <f>VLOOKUP(Table2[[#This Row],[Home/Neutral]],division_lookup,9,FALSE)</f>
        <v>NW</v>
      </c>
      <c r="AH1135" s="15" t="str">
        <f>IF(Table2[[#This Row],[Total/EV]]&lt;Table2[[#This Row],[Total/V]],"UNDER","OVER")</f>
        <v>OVER</v>
      </c>
      <c r="AI1135" s="26">
        <f>Table2[[#This Row],[SRS/Real]]-Table2[[#This Row],[Spread/V]]</f>
        <v>0</v>
      </c>
      <c r="AJ1135" s="2">
        <f>Table2[[#This Row],[EV/Real]]-Table2[[#This Row],[Spread/V]]</f>
        <v>0</v>
      </c>
      <c r="AK1135" s="2">
        <f>Table2[[#This Row],[SRS/Diff]]-Table2[[#This Row],[EV/Diff]]</f>
        <v>0</v>
      </c>
      <c r="AL1135" s="18">
        <f>Table2[[#This Row],[SRS]]-Table2[[#This Row],[Spread]]</f>
        <v>3.1013114754098341</v>
      </c>
      <c r="AM1135" s="21">
        <f>Table2[[#This Row],[(A) Err]]^2</f>
        <v>9.6181328675087219</v>
      </c>
      <c r="AN1135" s="6">
        <f>Table2[[#This Row],[EV]]-Table2[[#This Row],[Spread]]</f>
        <v>-2.6097711022344043</v>
      </c>
      <c r="AO1135" s="1">
        <f>Table2[[#This Row],[EV Err]]^2</f>
        <v>6.8109052060577779</v>
      </c>
      <c r="AP1135" s="1"/>
    </row>
    <row r="1136" spans="1:42" x14ac:dyDescent="0.25">
      <c r="A1136" s="34">
        <v>42826</v>
      </c>
      <c r="B1136" t="s">
        <v>135</v>
      </c>
      <c r="C1136" t="s">
        <v>120</v>
      </c>
      <c r="E1136" s="21"/>
      <c r="G1136" s="21"/>
      <c r="H1136" s="7"/>
      <c r="I1136" s="21"/>
      <c r="K1136"/>
      <c r="L1136" s="21">
        <f>(Table2[[#This Row],[H/Pace]]/100)*(VLOOKUP(Table2[[#This Row],[Home/Neutral]],home_lookup,8,FALSE)+VLOOKUP(Table2[[#This Row],[Home/Neutral]],OFR_lookup,2,FALSE)+VLOOKUP(Table2[[#This Row],[Visitor/Neutral]],def_diff_lookup,6,FALSE))</f>
        <v>111.33804035324614</v>
      </c>
      <c r="M1136" s="21"/>
      <c r="N1136" s="21">
        <f>(Table2[[#This Row],[A/Pace]]/100)*(VLOOKUP(Table2[[#This Row],[Visitor/Neutral]],OFR_lookup,2,FALSE)+VLOOKUP(Table2[[#This Row],[Home/Neutral]],def_diff_lookup,6,FALSE))</f>
        <v>102.82737033333333</v>
      </c>
      <c r="O1136" s="21"/>
      <c r="P1136" s="21"/>
      <c r="Q1136">
        <f>VLOOKUP(Table2[[#This Row],[Home/Neutral]],pace_lookup,7,FALSE)</f>
        <v>95.4</v>
      </c>
      <c r="R1136" s="5">
        <f>VLOOKUP(Table2[[#This Row],[Visitor/Neutral]],pace_lookup,7,FALSE)</f>
        <v>98.3</v>
      </c>
      <c r="S1136" s="7"/>
      <c r="U1136" s="15"/>
      <c r="W1136" s="2">
        <f>-home-VLOOKUP(Table2[[#This Row],[Home/Neutral]],rtg_vlookup,4,FALSE)+VLOOKUP(Table2[[#This Row],[Visitor/Neutral]],rtg_vlookup,4,FALSE)</f>
        <v>-13.418688524590166</v>
      </c>
      <c r="X1136" s="15"/>
      <c r="Y1136" s="2"/>
      <c r="Z1136" s="2">
        <f>Table2[[#This Row],[A/EV]]-Table2[[#This Row],[H/EV]]</f>
        <v>-8.5106700199128085</v>
      </c>
      <c r="AA1136" s="29"/>
      <c r="AB1136" s="30"/>
      <c r="AC1136" s="30"/>
      <c r="AD1136" s="30"/>
      <c r="AE1136" s="30"/>
      <c r="AF1136" s="7" t="b">
        <f>IF(VLOOKUP(Table2[[#This Row],[Home/Neutral]],division_lookup,9,FALSE)=VLOOKUP(Table2[[#This Row],[Visitor/Neutral]],division_lookup,9,FALSE),TRUE,FALSE)</f>
        <v>0</v>
      </c>
      <c r="AG1136" s="15" t="str">
        <f>VLOOKUP(Table2[[#This Row],[Home/Neutral]],division_lookup,9,FALSE)</f>
        <v>A</v>
      </c>
      <c r="AH1136" s="15" t="str">
        <f>IF(Table2[[#This Row],[Total/EV]]&lt;Table2[[#This Row],[Total/V]],"UNDER","OVER")</f>
        <v>OVER</v>
      </c>
      <c r="AI1136" s="26">
        <f>Table2[[#This Row],[SRS/Real]]-Table2[[#This Row],[Spread/V]]</f>
        <v>0</v>
      </c>
      <c r="AJ1136" s="2">
        <f>Table2[[#This Row],[EV/Real]]-Table2[[#This Row],[Spread/V]]</f>
        <v>0</v>
      </c>
      <c r="AK1136" s="2">
        <f>Table2[[#This Row],[SRS/Diff]]-Table2[[#This Row],[EV/Diff]]</f>
        <v>0</v>
      </c>
      <c r="AL1136" s="18">
        <f>Table2[[#This Row],[SRS]]-Table2[[#This Row],[Spread]]</f>
        <v>-13.418688524590166</v>
      </c>
      <c r="AM1136" s="21">
        <f>Table2[[#This Row],[(A) Err]]^2</f>
        <v>180.06120171996781</v>
      </c>
      <c r="AN1136" s="6">
        <f>Table2[[#This Row],[EV]]-Table2[[#This Row],[Spread]]</f>
        <v>-8.5106700199128085</v>
      </c>
      <c r="AO1136" s="1">
        <f>Table2[[#This Row],[EV Err]]^2</f>
        <v>72.431504187842677</v>
      </c>
      <c r="AP1136" s="1"/>
    </row>
    <row r="1137" spans="1:42" x14ac:dyDescent="0.25">
      <c r="A1137" s="34">
        <v>42826</v>
      </c>
      <c r="B1137" t="s">
        <v>136</v>
      </c>
      <c r="C1137" t="s">
        <v>137</v>
      </c>
      <c r="E1137" s="21"/>
      <c r="G1137" s="21"/>
      <c r="H1137" s="7"/>
      <c r="I1137" s="21"/>
      <c r="K1137"/>
      <c r="L1137" s="21">
        <f>(Table2[[#This Row],[H/Pace]]/100)*(VLOOKUP(Table2[[#This Row],[Home/Neutral]],home_lookup,8,FALSE)+VLOOKUP(Table2[[#This Row],[Home/Neutral]],OFR_lookup,2,FALSE)+VLOOKUP(Table2[[#This Row],[Visitor/Neutral]],def_diff_lookup,6,FALSE))</f>
        <v>108.26878534991899</v>
      </c>
      <c r="M1137" s="21"/>
      <c r="N1137" s="21">
        <f>(Table2[[#This Row],[A/Pace]]/100)*(VLOOKUP(Table2[[#This Row],[Visitor/Neutral]],OFR_lookup,2,FALSE)+VLOOKUP(Table2[[#This Row],[Home/Neutral]],def_diff_lookup,6,FALSE))</f>
        <v>98.578239999999994</v>
      </c>
      <c r="O1137" s="21"/>
      <c r="P1137" s="21"/>
      <c r="Q1137">
        <f>VLOOKUP(Table2[[#This Row],[Home/Neutral]],pace_lookup,7,FALSE)</f>
        <v>91.5</v>
      </c>
      <c r="R1137" s="5">
        <f>VLOOKUP(Table2[[#This Row],[Visitor/Neutral]],pace_lookup,7,FALSE)</f>
        <v>96</v>
      </c>
      <c r="S1137" s="7"/>
      <c r="U1137" s="15"/>
      <c r="W1137" s="2">
        <f>-home-VLOOKUP(Table2[[#This Row],[Home/Neutral]],rtg_vlookup,4,FALSE)+VLOOKUP(Table2[[#This Row],[Visitor/Neutral]],rtg_vlookup,4,FALSE)</f>
        <v>-10.018688524590166</v>
      </c>
      <c r="X1137" s="15"/>
      <c r="Y1137" s="2"/>
      <c r="Z1137" s="2">
        <f>Table2[[#This Row],[A/EV]]-Table2[[#This Row],[H/EV]]</f>
        <v>-9.6905453499189917</v>
      </c>
      <c r="AA1137" s="29"/>
      <c r="AB1137" s="30"/>
      <c r="AC1137" s="30"/>
      <c r="AD1137" s="30"/>
      <c r="AE1137" s="30"/>
      <c r="AF1137" s="7" t="b">
        <f>IF(VLOOKUP(Table2[[#This Row],[Home/Neutral]],division_lookup,9,FALSE)=VLOOKUP(Table2[[#This Row],[Visitor/Neutral]],division_lookup,9,FALSE),TRUE,FALSE)</f>
        <v>0</v>
      </c>
      <c r="AG1137" s="15" t="str">
        <f>VLOOKUP(Table2[[#This Row],[Home/Neutral]],division_lookup,9,FALSE)</f>
        <v>NW</v>
      </c>
      <c r="AH1137" s="15" t="str">
        <f>IF(Table2[[#This Row],[Total/EV]]&lt;Table2[[#This Row],[Total/V]],"UNDER","OVER")</f>
        <v>OVER</v>
      </c>
      <c r="AI1137" s="26">
        <f>Table2[[#This Row],[SRS/Real]]-Table2[[#This Row],[Spread/V]]</f>
        <v>0</v>
      </c>
      <c r="AJ1137" s="2">
        <f>Table2[[#This Row],[EV/Real]]-Table2[[#This Row],[Spread/V]]</f>
        <v>0</v>
      </c>
      <c r="AK1137" s="2">
        <f>Table2[[#This Row],[SRS/Diff]]-Table2[[#This Row],[EV/Diff]]</f>
        <v>0</v>
      </c>
      <c r="AL1137" s="18">
        <f>Table2[[#This Row],[SRS]]-Table2[[#This Row],[Spread]]</f>
        <v>-10.018688524590166</v>
      </c>
      <c r="AM1137" s="21">
        <f>Table2[[#This Row],[(A) Err]]^2</f>
        <v>100.37411975275468</v>
      </c>
      <c r="AN1137" s="6">
        <f>Table2[[#This Row],[EV]]-Table2[[#This Row],[Spread]]</f>
        <v>-9.6905453499189917</v>
      </c>
      <c r="AO1137" s="1">
        <f>Table2[[#This Row],[EV Err]]^2</f>
        <v>93.906669178836594</v>
      </c>
      <c r="AP1137" s="1"/>
    </row>
    <row r="1138" spans="1:42" x14ac:dyDescent="0.25">
      <c r="A1138" s="34">
        <v>42827</v>
      </c>
      <c r="B1138" t="s">
        <v>111</v>
      </c>
      <c r="C1138" t="s">
        <v>130</v>
      </c>
      <c r="E1138" s="21"/>
      <c r="G1138" s="21"/>
      <c r="H1138" s="7"/>
      <c r="I1138" s="21"/>
      <c r="K1138"/>
      <c r="L1138" s="21">
        <f>(Table2[[#This Row],[H/Pace]]/100)*(VLOOKUP(Table2[[#This Row],[Home/Neutral]],home_lookup,8,FALSE)+VLOOKUP(Table2[[#This Row],[Home/Neutral]],OFR_lookup,2,FALSE)+VLOOKUP(Table2[[#This Row],[Visitor/Neutral]],def_diff_lookup,6,FALSE))</f>
        <v>99.987418327716341</v>
      </c>
      <c r="M1138" s="21"/>
      <c r="N1138" s="21">
        <f>(Table2[[#This Row],[A/Pace]]/100)*(VLOOKUP(Table2[[#This Row],[Visitor/Neutral]],OFR_lookup,2,FALSE)+VLOOKUP(Table2[[#This Row],[Home/Neutral]],def_diff_lookup,6,FALSE))</f>
        <v>96.19295799999999</v>
      </c>
      <c r="O1138" s="21"/>
      <c r="P1138" s="21"/>
      <c r="Q1138">
        <f>VLOOKUP(Table2[[#This Row],[Home/Neutral]],pace_lookup,7,FALSE)</f>
        <v>102</v>
      </c>
      <c r="R1138" s="5">
        <f>VLOOKUP(Table2[[#This Row],[Visitor/Neutral]],pace_lookup,7,FALSE)</f>
        <v>94.2</v>
      </c>
      <c r="S1138" s="7"/>
      <c r="U1138" s="15"/>
      <c r="W1138" s="2">
        <f>-home-VLOOKUP(Table2[[#This Row],[Home/Neutral]],rtg_vlookup,4,FALSE)+VLOOKUP(Table2[[#This Row],[Visitor/Neutral]],rtg_vlookup,4,FALSE)</f>
        <v>-2.6286885245901672</v>
      </c>
      <c r="X1138" s="15"/>
      <c r="Y1138" s="2"/>
      <c r="Z1138" s="2">
        <f>Table2[[#This Row],[A/EV]]-Table2[[#This Row],[H/EV]]</f>
        <v>-3.7944603277163509</v>
      </c>
      <c r="AA1138" s="29"/>
      <c r="AB1138" s="30"/>
      <c r="AC1138" s="30"/>
      <c r="AD1138" s="30"/>
      <c r="AE1138" s="30"/>
      <c r="AF1138" s="7" t="b">
        <f>IF(VLOOKUP(Table2[[#This Row],[Home/Neutral]],division_lookup,9,FALSE)=VLOOKUP(Table2[[#This Row],[Visitor/Neutral]],division_lookup,9,FALSE),TRUE,FALSE)</f>
        <v>0</v>
      </c>
      <c r="AG1138" s="15" t="str">
        <f>VLOOKUP(Table2[[#This Row],[Home/Neutral]],division_lookup,9,FALSE)</f>
        <v>A</v>
      </c>
      <c r="AH1138" s="15" t="str">
        <f>IF(Table2[[#This Row],[Total/EV]]&lt;Table2[[#This Row],[Total/V]],"UNDER","OVER")</f>
        <v>OVER</v>
      </c>
      <c r="AI1138" s="26">
        <f>Table2[[#This Row],[SRS/Real]]-Table2[[#This Row],[Spread/V]]</f>
        <v>0</v>
      </c>
      <c r="AJ1138" s="2">
        <f>Table2[[#This Row],[EV/Real]]-Table2[[#This Row],[Spread/V]]</f>
        <v>0</v>
      </c>
      <c r="AK1138" s="2">
        <f>Table2[[#This Row],[SRS/Diff]]-Table2[[#This Row],[EV/Diff]]</f>
        <v>0</v>
      </c>
      <c r="AL1138" s="18">
        <f>Table2[[#This Row],[SRS]]-Table2[[#This Row],[Spread]]</f>
        <v>-2.6286885245901672</v>
      </c>
      <c r="AM1138" s="21">
        <f>Table2[[#This Row],[(A) Err]]^2</f>
        <v>6.9100033593120305</v>
      </c>
      <c r="AN1138" s="6">
        <f>Table2[[#This Row],[EV]]-Table2[[#This Row],[Spread]]</f>
        <v>-3.7944603277163509</v>
      </c>
      <c r="AO1138" s="1">
        <f>Table2[[#This Row],[EV Err]]^2</f>
        <v>14.397929178613277</v>
      </c>
      <c r="AP1138" s="1"/>
    </row>
    <row r="1139" spans="1:42" x14ac:dyDescent="0.25">
      <c r="A1139" s="34">
        <v>42827</v>
      </c>
      <c r="B1139" t="s">
        <v>113</v>
      </c>
      <c r="C1139" t="s">
        <v>109</v>
      </c>
      <c r="E1139" s="21"/>
      <c r="G1139" s="21"/>
      <c r="H1139" s="7"/>
      <c r="I1139" s="21"/>
      <c r="K1139"/>
      <c r="L1139" s="21">
        <f>(Table2[[#This Row],[H/Pace]]/100)*(VLOOKUP(Table2[[#This Row],[Home/Neutral]],home_lookup,8,FALSE)+VLOOKUP(Table2[[#This Row],[Home/Neutral]],OFR_lookup,2,FALSE)+VLOOKUP(Table2[[#This Row],[Visitor/Neutral]],def_diff_lookup,6,FALSE))</f>
        <v>102.6046038801628</v>
      </c>
      <c r="M1139" s="21"/>
      <c r="N1139" s="21">
        <f>(Table2[[#This Row],[A/Pace]]/100)*(VLOOKUP(Table2[[#This Row],[Visitor/Neutral]],OFR_lookup,2,FALSE)+VLOOKUP(Table2[[#This Row],[Home/Neutral]],def_diff_lookup,6,FALSE))</f>
        <v>100.81266133333332</v>
      </c>
      <c r="O1139" s="21"/>
      <c r="P1139" s="21"/>
      <c r="Q1139">
        <f>VLOOKUP(Table2[[#This Row],[Home/Neutral]],pace_lookup,7,FALSE)</f>
        <v>95.1</v>
      </c>
      <c r="R1139" s="5">
        <f>VLOOKUP(Table2[[#This Row],[Visitor/Neutral]],pace_lookup,7,FALSE)</f>
        <v>99.2</v>
      </c>
      <c r="S1139" s="7"/>
      <c r="U1139" s="15"/>
      <c r="W1139" s="2">
        <f>-home-VLOOKUP(Table2[[#This Row],[Home/Neutral]],rtg_vlookup,4,FALSE)+VLOOKUP(Table2[[#This Row],[Visitor/Neutral]],rtg_vlookup,4,FALSE)</f>
        <v>-5.1486885245901659</v>
      </c>
      <c r="X1139" s="15"/>
      <c r="Y1139" s="2"/>
      <c r="Z1139" s="2">
        <f>Table2[[#This Row],[A/EV]]-Table2[[#This Row],[H/EV]]</f>
        <v>-1.7919425468294747</v>
      </c>
      <c r="AA1139" s="29"/>
      <c r="AB1139" s="30"/>
      <c r="AC1139" s="30"/>
      <c r="AD1139" s="30"/>
      <c r="AE1139" s="30"/>
      <c r="AF1139" s="7" t="b">
        <f>IF(VLOOKUP(Table2[[#This Row],[Home/Neutral]],division_lookup,9,FALSE)=VLOOKUP(Table2[[#This Row],[Visitor/Neutral]],division_lookup,9,FALSE),TRUE,FALSE)</f>
        <v>0</v>
      </c>
      <c r="AG1139" s="15" t="str">
        <f>VLOOKUP(Table2[[#This Row],[Home/Neutral]],division_lookup,9,FALSE)</f>
        <v>C</v>
      </c>
      <c r="AH1139" s="15" t="str">
        <f>IF(Table2[[#This Row],[Total/EV]]&lt;Table2[[#This Row],[Total/V]],"UNDER","OVER")</f>
        <v>OVER</v>
      </c>
      <c r="AI1139" s="26">
        <f>Table2[[#This Row],[SRS/Real]]-Table2[[#This Row],[Spread/V]]</f>
        <v>0</v>
      </c>
      <c r="AJ1139" s="2">
        <f>Table2[[#This Row],[EV/Real]]-Table2[[#This Row],[Spread/V]]</f>
        <v>0</v>
      </c>
      <c r="AK1139" s="2">
        <f>Table2[[#This Row],[SRS/Diff]]-Table2[[#This Row],[EV/Diff]]</f>
        <v>0</v>
      </c>
      <c r="AL1139" s="18">
        <f>Table2[[#This Row],[SRS]]-Table2[[#This Row],[Spread]]</f>
        <v>-5.1486885245901659</v>
      </c>
      <c r="AM1139" s="21">
        <f>Table2[[#This Row],[(A) Err]]^2</f>
        <v>26.50899352324646</v>
      </c>
      <c r="AN1139" s="6">
        <f>Table2[[#This Row],[EV]]-Table2[[#This Row],[Spread]]</f>
        <v>-1.7919425468294747</v>
      </c>
      <c r="AO1139" s="1">
        <f>Table2[[#This Row],[EV Err]]^2</f>
        <v>3.2110580911377045</v>
      </c>
      <c r="AP1139" s="1"/>
    </row>
    <row r="1140" spans="1:42" x14ac:dyDescent="0.25">
      <c r="A1140" s="34">
        <v>42827</v>
      </c>
      <c r="B1140" t="s">
        <v>121</v>
      </c>
      <c r="C1140" t="s">
        <v>122</v>
      </c>
      <c r="E1140" s="21"/>
      <c r="G1140" s="21"/>
      <c r="H1140" s="7"/>
      <c r="I1140" s="21"/>
      <c r="K1140"/>
      <c r="L1140" s="21">
        <f>(Table2[[#This Row],[H/Pace]]/100)*(VLOOKUP(Table2[[#This Row],[Home/Neutral]],home_lookup,8,FALSE)+VLOOKUP(Table2[[#This Row],[Home/Neutral]],OFR_lookup,2,FALSE)+VLOOKUP(Table2[[#This Row],[Visitor/Neutral]],def_diff_lookup,6,FALSE))</f>
        <v>118.27624060751252</v>
      </c>
      <c r="M1140" s="21"/>
      <c r="N1140" s="21">
        <f>(Table2[[#This Row],[A/Pace]]/100)*(VLOOKUP(Table2[[#This Row],[Visitor/Neutral]],OFR_lookup,2,FALSE)+VLOOKUP(Table2[[#This Row],[Home/Neutral]],def_diff_lookup,6,FALSE))</f>
        <v>104.895038</v>
      </c>
      <c r="O1140" s="21"/>
      <c r="P1140" s="21"/>
      <c r="Q1140">
        <f>VLOOKUP(Table2[[#This Row],[Home/Neutral]],pace_lookup,7,FALSE)</f>
        <v>96.4</v>
      </c>
      <c r="R1140" s="5">
        <f>VLOOKUP(Table2[[#This Row],[Visitor/Neutral]],pace_lookup,7,FALSE)</f>
        <v>100.2</v>
      </c>
      <c r="S1140" s="7"/>
      <c r="U1140" s="15"/>
      <c r="W1140" s="2">
        <f>-home-VLOOKUP(Table2[[#This Row],[Home/Neutral]],rtg_vlookup,4,FALSE)+VLOOKUP(Table2[[#This Row],[Visitor/Neutral]],rtg_vlookup,4,FALSE)</f>
        <v>-17.758688524590166</v>
      </c>
      <c r="X1140" s="15"/>
      <c r="Y1140" s="2"/>
      <c r="Z1140" s="2">
        <f>Table2[[#This Row],[A/EV]]-Table2[[#This Row],[H/EV]]</f>
        <v>-13.38120260751252</v>
      </c>
      <c r="AA1140" s="29"/>
      <c r="AB1140" s="30"/>
      <c r="AC1140" s="30"/>
      <c r="AD1140" s="30"/>
      <c r="AE1140" s="30"/>
      <c r="AF1140" s="7" t="b">
        <f>IF(VLOOKUP(Table2[[#This Row],[Home/Neutral]],division_lookup,9,FALSE)=VLOOKUP(Table2[[#This Row],[Visitor/Neutral]],division_lookup,9,FALSE),TRUE,FALSE)</f>
        <v>1</v>
      </c>
      <c r="AG1140" s="15" t="str">
        <f>VLOOKUP(Table2[[#This Row],[Home/Neutral]],division_lookup,9,FALSE)</f>
        <v>P</v>
      </c>
      <c r="AH1140" s="15" t="str">
        <f>IF(Table2[[#This Row],[Total/EV]]&lt;Table2[[#This Row],[Total/V]],"UNDER","OVER")</f>
        <v>OVER</v>
      </c>
      <c r="AI1140" s="26">
        <f>Table2[[#This Row],[SRS/Real]]-Table2[[#This Row],[Spread/V]]</f>
        <v>0</v>
      </c>
      <c r="AJ1140" s="2">
        <f>Table2[[#This Row],[EV/Real]]-Table2[[#This Row],[Spread/V]]</f>
        <v>0</v>
      </c>
      <c r="AK1140" s="2">
        <f>Table2[[#This Row],[SRS/Diff]]-Table2[[#This Row],[EV/Diff]]</f>
        <v>0</v>
      </c>
      <c r="AL1140" s="18">
        <f>Table2[[#This Row],[SRS]]-Table2[[#This Row],[Spread]]</f>
        <v>-17.758688524590166</v>
      </c>
      <c r="AM1140" s="21">
        <f>Table2[[#This Row],[(A) Err]]^2</f>
        <v>315.37101811341046</v>
      </c>
      <c r="AN1140" s="6">
        <f>Table2[[#This Row],[EV]]-Table2[[#This Row],[Spread]]</f>
        <v>-13.38120260751252</v>
      </c>
      <c r="AO1140" s="1">
        <f>Table2[[#This Row],[EV Err]]^2</f>
        <v>179.05658322329987</v>
      </c>
      <c r="AP1140" s="1"/>
    </row>
    <row r="1141" spans="1:42" x14ac:dyDescent="0.25">
      <c r="A1141" s="34">
        <v>42827</v>
      </c>
      <c r="B1141" t="s">
        <v>126</v>
      </c>
      <c r="C1141" t="s">
        <v>133</v>
      </c>
      <c r="E1141" s="21"/>
      <c r="G1141" s="21"/>
      <c r="H1141" s="7"/>
      <c r="I1141" s="21"/>
      <c r="K1141"/>
      <c r="L1141" s="21">
        <f>(Table2[[#This Row],[H/Pace]]/100)*(VLOOKUP(Table2[[#This Row],[Home/Neutral]],home_lookup,8,FALSE)+VLOOKUP(Table2[[#This Row],[Home/Neutral]],OFR_lookup,2,FALSE)+VLOOKUP(Table2[[#This Row],[Visitor/Neutral]],def_diff_lookup,6,FALSE))</f>
        <v>118.00313777050786</v>
      </c>
      <c r="M1141" s="21"/>
      <c r="N1141" s="21">
        <f>(Table2[[#This Row],[A/Pace]]/100)*(VLOOKUP(Table2[[#This Row],[Visitor/Neutral]],OFR_lookup,2,FALSE)+VLOOKUP(Table2[[#This Row],[Home/Neutral]],def_diff_lookup,6,FALSE))</f>
        <v>104.736898</v>
      </c>
      <c r="O1141" s="21"/>
      <c r="P1141" s="21"/>
      <c r="Q1141">
        <f>VLOOKUP(Table2[[#This Row],[Home/Neutral]],pace_lookup,7,FALSE)</f>
        <v>95.7</v>
      </c>
      <c r="R1141" s="5">
        <f>VLOOKUP(Table2[[#This Row],[Visitor/Neutral]],pace_lookup,7,FALSE)</f>
        <v>94.2</v>
      </c>
      <c r="S1141" s="7"/>
      <c r="U1141" s="15"/>
      <c r="W1141" s="2">
        <f>-home-VLOOKUP(Table2[[#This Row],[Home/Neutral]],rtg_vlookup,4,FALSE)+VLOOKUP(Table2[[#This Row],[Visitor/Neutral]],rtg_vlookup,4,FALSE)</f>
        <v>-3.518688524590166</v>
      </c>
      <c r="X1141" s="15"/>
      <c r="Y1141" s="2"/>
      <c r="Z1141" s="2">
        <f>Table2[[#This Row],[A/EV]]-Table2[[#This Row],[H/EV]]</f>
        <v>-13.266239770507866</v>
      </c>
      <c r="AA1141" s="29"/>
      <c r="AB1141" s="30"/>
      <c r="AC1141" s="30"/>
      <c r="AD1141" s="30"/>
      <c r="AE1141" s="30"/>
      <c r="AF1141" s="7" t="b">
        <f>IF(VLOOKUP(Table2[[#This Row],[Home/Neutral]],division_lookup,9,FALSE)=VLOOKUP(Table2[[#This Row],[Visitor/Neutral]],division_lookup,9,FALSE),TRUE,FALSE)</f>
        <v>0</v>
      </c>
      <c r="AG1141" s="15" t="str">
        <f>VLOOKUP(Table2[[#This Row],[Home/Neutral]],division_lookup,9,FALSE)</f>
        <v>NW</v>
      </c>
      <c r="AH1141" s="15" t="str">
        <f>IF(Table2[[#This Row],[Total/EV]]&lt;Table2[[#This Row],[Total/V]],"UNDER","OVER")</f>
        <v>OVER</v>
      </c>
      <c r="AI1141" s="26">
        <f>Table2[[#This Row],[SRS/Real]]-Table2[[#This Row],[Spread/V]]</f>
        <v>0</v>
      </c>
      <c r="AJ1141" s="2">
        <f>Table2[[#This Row],[EV/Real]]-Table2[[#This Row],[Spread/V]]</f>
        <v>0</v>
      </c>
      <c r="AK1141" s="2">
        <f>Table2[[#This Row],[SRS/Diff]]-Table2[[#This Row],[EV/Diff]]</f>
        <v>0</v>
      </c>
      <c r="AL1141" s="18">
        <f>Table2[[#This Row],[SRS]]-Table2[[#This Row],[Spread]]</f>
        <v>-3.518688524590166</v>
      </c>
      <c r="AM1141" s="21">
        <f>Table2[[#This Row],[(A) Err]]^2</f>
        <v>12.381168933082519</v>
      </c>
      <c r="AN1141" s="6">
        <f>Table2[[#This Row],[EV]]-Table2[[#This Row],[Spread]]</f>
        <v>-13.266239770507866</v>
      </c>
      <c r="AO1141" s="1">
        <f>Table2[[#This Row],[EV Err]]^2</f>
        <v>175.9931176486046</v>
      </c>
      <c r="AP1141" s="1"/>
    </row>
    <row r="1142" spans="1:42" x14ac:dyDescent="0.25">
      <c r="A1142" s="34">
        <v>42827</v>
      </c>
      <c r="B1142" t="s">
        <v>132</v>
      </c>
      <c r="C1142" t="s">
        <v>131</v>
      </c>
      <c r="E1142" s="21"/>
      <c r="G1142" s="21"/>
      <c r="H1142" s="7"/>
      <c r="I1142" s="21"/>
      <c r="K1142"/>
      <c r="L1142" s="21">
        <f>(Table2[[#This Row],[H/Pace]]/100)*(VLOOKUP(Table2[[#This Row],[Home/Neutral]],home_lookup,8,FALSE)+VLOOKUP(Table2[[#This Row],[Home/Neutral]],OFR_lookup,2,FALSE)+VLOOKUP(Table2[[#This Row],[Visitor/Neutral]],def_diff_lookup,6,FALSE))</f>
        <v>110.09106144606979</v>
      </c>
      <c r="M1142" s="21"/>
      <c r="N1142" s="21">
        <f>(Table2[[#This Row],[A/Pace]]/100)*(VLOOKUP(Table2[[#This Row],[Visitor/Neutral]],OFR_lookup,2,FALSE)+VLOOKUP(Table2[[#This Row],[Home/Neutral]],def_diff_lookup,6,FALSE))</f>
        <v>108.743403</v>
      </c>
      <c r="O1142" s="21"/>
      <c r="P1142" s="21"/>
      <c r="Q1142">
        <f>VLOOKUP(Table2[[#This Row],[Home/Neutral]],pace_lookup,7,FALSE)</f>
        <v>98.8</v>
      </c>
      <c r="R1142" s="5">
        <f>VLOOKUP(Table2[[#This Row],[Visitor/Neutral]],pace_lookup,7,FALSE)</f>
        <v>101.7</v>
      </c>
      <c r="S1142" s="7"/>
      <c r="U1142" s="15"/>
      <c r="W1142" s="2">
        <f>-home-VLOOKUP(Table2[[#This Row],[Home/Neutral]],rtg_vlookup,4,FALSE)+VLOOKUP(Table2[[#This Row],[Visitor/Neutral]],rtg_vlookup,4,FALSE)</f>
        <v>-6.7186885245901653</v>
      </c>
      <c r="X1142" s="15"/>
      <c r="Y1142" s="2"/>
      <c r="Z1142" s="2">
        <f>Table2[[#This Row],[A/EV]]-Table2[[#This Row],[H/EV]]</f>
        <v>-1.3476584460697865</v>
      </c>
      <c r="AA1142" s="29"/>
      <c r="AB1142" s="30"/>
      <c r="AC1142" s="30"/>
      <c r="AD1142" s="30"/>
      <c r="AE1142" s="30"/>
      <c r="AF1142" s="7" t="b">
        <f>IF(VLOOKUP(Table2[[#This Row],[Home/Neutral]],division_lookup,9,FALSE)=VLOOKUP(Table2[[#This Row],[Visitor/Neutral]],division_lookup,9,FALSE),TRUE,FALSE)</f>
        <v>0</v>
      </c>
      <c r="AG1142" s="15" t="str">
        <f>VLOOKUP(Table2[[#This Row],[Home/Neutral]],division_lookup,9,FALSE)</f>
        <v>NW</v>
      </c>
      <c r="AH1142" s="15" t="str">
        <f>IF(Table2[[#This Row],[Total/EV]]&lt;Table2[[#This Row],[Total/V]],"UNDER","OVER")</f>
        <v>OVER</v>
      </c>
      <c r="AI1142" s="26">
        <f>Table2[[#This Row],[SRS/Real]]-Table2[[#This Row],[Spread/V]]</f>
        <v>0</v>
      </c>
      <c r="AJ1142" s="2">
        <f>Table2[[#This Row],[EV/Real]]-Table2[[#This Row],[Spread/V]]</f>
        <v>0</v>
      </c>
      <c r="AK1142" s="2">
        <f>Table2[[#This Row],[SRS/Diff]]-Table2[[#This Row],[EV/Diff]]</f>
        <v>0</v>
      </c>
      <c r="AL1142" s="18">
        <f>Table2[[#This Row],[SRS]]-Table2[[#This Row],[Spread]]</f>
        <v>-6.7186885245901653</v>
      </c>
      <c r="AM1142" s="21">
        <f>Table2[[#This Row],[(A) Err]]^2</f>
        <v>45.140775490459575</v>
      </c>
      <c r="AN1142" s="6">
        <f>Table2[[#This Row],[EV]]-Table2[[#This Row],[Spread]]</f>
        <v>-1.3476584460697865</v>
      </c>
      <c r="AO1142" s="1">
        <f>Table2[[#This Row],[EV Err]]^2</f>
        <v>1.8161832872632315</v>
      </c>
      <c r="AP1142" s="1"/>
    </row>
    <row r="1143" spans="1:42" x14ac:dyDescent="0.25">
      <c r="A1143" s="34">
        <v>42828</v>
      </c>
      <c r="B1143" t="s">
        <v>111</v>
      </c>
      <c r="C1143" t="s">
        <v>109</v>
      </c>
      <c r="E1143" s="21"/>
      <c r="G1143" s="21"/>
      <c r="H1143" s="7"/>
      <c r="I1143" s="21"/>
      <c r="K1143"/>
      <c r="L1143" s="21">
        <f>(Table2[[#This Row],[H/Pace]]/100)*(VLOOKUP(Table2[[#This Row],[Home/Neutral]],home_lookup,8,FALSE)+VLOOKUP(Table2[[#This Row],[Home/Neutral]],OFR_lookup,2,FALSE)+VLOOKUP(Table2[[#This Row],[Visitor/Neutral]],def_diff_lookup,6,FALSE))</f>
        <v>93.173818327716361</v>
      </c>
      <c r="M1143" s="21"/>
      <c r="N1143" s="21">
        <f>(Table2[[#This Row],[A/Pace]]/100)*(VLOOKUP(Table2[[#This Row],[Visitor/Neutral]],OFR_lookup,2,FALSE)+VLOOKUP(Table2[[#This Row],[Home/Neutral]],def_diff_lookup,6,FALSE))</f>
        <v>105.51474133333332</v>
      </c>
      <c r="O1143" s="21"/>
      <c r="P1143" s="21"/>
      <c r="Q1143">
        <f>VLOOKUP(Table2[[#This Row],[Home/Neutral]],pace_lookup,7,FALSE)</f>
        <v>102</v>
      </c>
      <c r="R1143" s="5">
        <f>VLOOKUP(Table2[[#This Row],[Visitor/Neutral]],pace_lookup,7,FALSE)</f>
        <v>99.2</v>
      </c>
      <c r="S1143" s="7"/>
      <c r="U1143" s="15"/>
      <c r="W1143" s="2">
        <f>-home-VLOOKUP(Table2[[#This Row],[Home/Neutral]],rtg_vlookup,4,FALSE)+VLOOKUP(Table2[[#This Row],[Visitor/Neutral]],rtg_vlookup,4,FALSE)</f>
        <v>8.2813114754098329</v>
      </c>
      <c r="X1143" s="15"/>
      <c r="Y1143" s="2"/>
      <c r="Z1143" s="2">
        <f>Table2[[#This Row],[A/EV]]-Table2[[#This Row],[H/EV]]</f>
        <v>12.340923005616958</v>
      </c>
      <c r="AA1143" s="29"/>
      <c r="AB1143" s="30"/>
      <c r="AC1143" s="30"/>
      <c r="AD1143" s="30"/>
      <c r="AE1143" s="30"/>
      <c r="AF1143" s="7" t="b">
        <f>IF(VLOOKUP(Table2[[#This Row],[Home/Neutral]],division_lookup,9,FALSE)=VLOOKUP(Table2[[#This Row],[Visitor/Neutral]],division_lookup,9,FALSE),TRUE,FALSE)</f>
        <v>0</v>
      </c>
      <c r="AG1143" s="15" t="str">
        <f>VLOOKUP(Table2[[#This Row],[Home/Neutral]],division_lookup,9,FALSE)</f>
        <v>A</v>
      </c>
      <c r="AH1143" s="15" t="str">
        <f>IF(Table2[[#This Row],[Total/EV]]&lt;Table2[[#This Row],[Total/V]],"UNDER","OVER")</f>
        <v>OVER</v>
      </c>
      <c r="AI1143" s="26">
        <f>Table2[[#This Row],[SRS/Real]]-Table2[[#This Row],[Spread/V]]</f>
        <v>0</v>
      </c>
      <c r="AJ1143" s="2">
        <f>Table2[[#This Row],[EV/Real]]-Table2[[#This Row],[Spread/V]]</f>
        <v>0</v>
      </c>
      <c r="AK1143" s="2">
        <f>Table2[[#This Row],[SRS/Diff]]-Table2[[#This Row],[EV/Diff]]</f>
        <v>0</v>
      </c>
      <c r="AL1143" s="18">
        <f>Table2[[#This Row],[SRS]]-Table2[[#This Row],[Spread]]</f>
        <v>8.2813114754098329</v>
      </c>
      <c r="AM1143" s="21">
        <f>Table2[[#This Row],[(A) Err]]^2</f>
        <v>68.580119752754584</v>
      </c>
      <c r="AN1143" s="6">
        <f>Table2[[#This Row],[EV]]-Table2[[#This Row],[Spread]]</f>
        <v>12.340923005616958</v>
      </c>
      <c r="AO1143" s="1">
        <f>Table2[[#This Row],[EV Err]]^2</f>
        <v>152.29838063056587</v>
      </c>
      <c r="AP1143" s="1"/>
    </row>
    <row r="1144" spans="1:42" x14ac:dyDescent="0.25">
      <c r="A1144" s="34">
        <v>42828</v>
      </c>
      <c r="B1144" t="s">
        <v>114</v>
      </c>
      <c r="C1144" t="s">
        <v>120</v>
      </c>
      <c r="E1144" s="21"/>
      <c r="G1144" s="21"/>
      <c r="H1144" s="7"/>
      <c r="I1144" s="21"/>
      <c r="K1144"/>
      <c r="L1144" s="21">
        <f>(Table2[[#This Row],[H/Pace]]/100)*(VLOOKUP(Table2[[#This Row],[Home/Neutral]],home_lookup,8,FALSE)+VLOOKUP(Table2[[#This Row],[Home/Neutral]],OFR_lookup,2,FALSE)+VLOOKUP(Table2[[#This Row],[Visitor/Neutral]],def_diff_lookup,6,FALSE))</f>
        <v>115.99309276756466</v>
      </c>
      <c r="M1144" s="21"/>
      <c r="N1144" s="21">
        <f>(Table2[[#This Row],[A/Pace]]/100)*(VLOOKUP(Table2[[#This Row],[Visitor/Neutral]],OFR_lookup,2,FALSE)+VLOOKUP(Table2[[#This Row],[Home/Neutral]],def_diff_lookup,6,FALSE))</f>
        <v>101.42168033333334</v>
      </c>
      <c r="O1144" s="21"/>
      <c r="P1144" s="21"/>
      <c r="Q1144">
        <f>VLOOKUP(Table2[[#This Row],[Home/Neutral]],pace_lookup,7,FALSE)</f>
        <v>97.3</v>
      </c>
      <c r="R1144" s="5">
        <f>VLOOKUP(Table2[[#This Row],[Visitor/Neutral]],pace_lookup,7,FALSE)</f>
        <v>98.3</v>
      </c>
      <c r="S1144" s="7"/>
      <c r="U1144" s="15"/>
      <c r="W1144" s="2">
        <f>-home-VLOOKUP(Table2[[#This Row],[Home/Neutral]],rtg_vlookup,4,FALSE)+VLOOKUP(Table2[[#This Row],[Visitor/Neutral]],rtg_vlookup,4,FALSE)</f>
        <v>-16.128688524590167</v>
      </c>
      <c r="X1144" s="15"/>
      <c r="Y1144" s="2"/>
      <c r="Z1144" s="2">
        <f>Table2[[#This Row],[A/EV]]-Table2[[#This Row],[H/EV]]</f>
        <v>-14.57141243423132</v>
      </c>
      <c r="AA1144" s="29"/>
      <c r="AB1144" s="30"/>
      <c r="AC1144" s="30"/>
      <c r="AD1144" s="30"/>
      <c r="AE1144" s="30"/>
      <c r="AF1144" s="7" t="b">
        <f>IF(VLOOKUP(Table2[[#This Row],[Home/Neutral]],division_lookup,9,FALSE)=VLOOKUP(Table2[[#This Row],[Visitor/Neutral]],division_lookup,9,FALSE),TRUE,FALSE)</f>
        <v>1</v>
      </c>
      <c r="AG1144" s="15" t="str">
        <f>VLOOKUP(Table2[[#This Row],[Home/Neutral]],division_lookup,9,FALSE)</f>
        <v>C</v>
      </c>
      <c r="AH1144" s="15" t="str">
        <f>IF(Table2[[#This Row],[Total/EV]]&lt;Table2[[#This Row],[Total/V]],"UNDER","OVER")</f>
        <v>OVER</v>
      </c>
      <c r="AI1144" s="26">
        <f>Table2[[#This Row],[SRS/Real]]-Table2[[#This Row],[Spread/V]]</f>
        <v>0</v>
      </c>
      <c r="AJ1144" s="2">
        <f>Table2[[#This Row],[EV/Real]]-Table2[[#This Row],[Spread/V]]</f>
        <v>0</v>
      </c>
      <c r="AK1144" s="2">
        <f>Table2[[#This Row],[SRS/Diff]]-Table2[[#This Row],[EV/Diff]]</f>
        <v>0</v>
      </c>
      <c r="AL1144" s="18">
        <f>Table2[[#This Row],[SRS]]-Table2[[#This Row],[Spread]]</f>
        <v>-16.128688524590167</v>
      </c>
      <c r="AM1144" s="21">
        <f>Table2[[#This Row],[(A) Err]]^2</f>
        <v>260.13459352324656</v>
      </c>
      <c r="AN1144" s="6">
        <f>Table2[[#This Row],[EV]]-Table2[[#This Row],[Spread]]</f>
        <v>-14.57141243423132</v>
      </c>
      <c r="AO1144" s="1">
        <f>Table2[[#This Row],[EV Err]]^2</f>
        <v>212.32606032847113</v>
      </c>
      <c r="AP1144" s="1"/>
    </row>
    <row r="1145" spans="1:42" x14ac:dyDescent="0.25">
      <c r="A1145" s="34">
        <v>42828</v>
      </c>
      <c r="B1145" t="s">
        <v>118</v>
      </c>
      <c r="C1145" t="s">
        <v>137</v>
      </c>
      <c r="E1145" s="21"/>
      <c r="G1145" s="21"/>
      <c r="H1145" s="7"/>
      <c r="I1145" s="21"/>
      <c r="K1145"/>
      <c r="L1145" s="21">
        <f>(Table2[[#This Row],[H/Pace]]/100)*(VLOOKUP(Table2[[#This Row],[Home/Neutral]],home_lookup,8,FALSE)+VLOOKUP(Table2[[#This Row],[Home/Neutral]],OFR_lookup,2,FALSE)+VLOOKUP(Table2[[#This Row],[Visitor/Neutral]],def_diff_lookup,6,FALSE))</f>
        <v>118.27655838078238</v>
      </c>
      <c r="M1145" s="21"/>
      <c r="N1145" s="21">
        <f>(Table2[[#This Row],[A/Pace]]/100)*(VLOOKUP(Table2[[#This Row],[Visitor/Neutral]],OFR_lookup,2,FALSE)+VLOOKUP(Table2[[#This Row],[Home/Neutral]],def_diff_lookup,6,FALSE))</f>
        <v>101.79424</v>
      </c>
      <c r="O1145" s="21"/>
      <c r="P1145" s="21"/>
      <c r="Q1145">
        <f>VLOOKUP(Table2[[#This Row],[Home/Neutral]],pace_lookup,7,FALSE)</f>
        <v>100.4</v>
      </c>
      <c r="R1145" s="5">
        <f>VLOOKUP(Table2[[#This Row],[Visitor/Neutral]],pace_lookup,7,FALSE)</f>
        <v>96</v>
      </c>
      <c r="S1145" s="7"/>
      <c r="U1145" s="15"/>
      <c r="W1145" s="2">
        <f>-home-VLOOKUP(Table2[[#This Row],[Home/Neutral]],rtg_vlookup,4,FALSE)+VLOOKUP(Table2[[#This Row],[Visitor/Neutral]],rtg_vlookup,4,FALSE)</f>
        <v>-17.188688524590166</v>
      </c>
      <c r="X1145" s="15"/>
      <c r="Y1145" s="2"/>
      <c r="Z1145" s="2">
        <f>Table2[[#This Row],[A/EV]]-Table2[[#This Row],[H/EV]]</f>
        <v>-16.482318380782374</v>
      </c>
      <c r="AA1145" s="29"/>
      <c r="AB1145" s="30"/>
      <c r="AC1145" s="30"/>
      <c r="AD1145" s="30"/>
      <c r="AE1145" s="30"/>
      <c r="AF1145" s="7" t="b">
        <f>IF(VLOOKUP(Table2[[#This Row],[Home/Neutral]],division_lookup,9,FALSE)=VLOOKUP(Table2[[#This Row],[Visitor/Neutral]],division_lookup,9,FALSE),TRUE,FALSE)</f>
        <v>0</v>
      </c>
      <c r="AG1145" s="15" t="str">
        <f>VLOOKUP(Table2[[#This Row],[Home/Neutral]],division_lookup,9,FALSE)</f>
        <v>P</v>
      </c>
      <c r="AH1145" s="15" t="str">
        <f>IF(Table2[[#This Row],[Total/EV]]&lt;Table2[[#This Row],[Total/V]],"UNDER","OVER")</f>
        <v>OVER</v>
      </c>
      <c r="AI1145" s="26">
        <f>Table2[[#This Row],[SRS/Real]]-Table2[[#This Row],[Spread/V]]</f>
        <v>0</v>
      </c>
      <c r="AJ1145" s="2">
        <f>Table2[[#This Row],[EV/Real]]-Table2[[#This Row],[Spread/V]]</f>
        <v>0</v>
      </c>
      <c r="AK1145" s="2">
        <f>Table2[[#This Row],[SRS/Diff]]-Table2[[#This Row],[EV/Diff]]</f>
        <v>0</v>
      </c>
      <c r="AL1145" s="18">
        <f>Table2[[#This Row],[SRS]]-Table2[[#This Row],[Spread]]</f>
        <v>-17.188688524590166</v>
      </c>
      <c r="AM1145" s="21">
        <f>Table2[[#This Row],[(A) Err]]^2</f>
        <v>295.45101319537764</v>
      </c>
      <c r="AN1145" s="6">
        <f>Table2[[#This Row],[EV]]-Table2[[#This Row],[Spread]]</f>
        <v>-16.482318380782374</v>
      </c>
      <c r="AO1145" s="1">
        <f>Table2[[#This Row],[EV Err]]^2</f>
        <v>271.66681920547649</v>
      </c>
      <c r="AP1145" s="1"/>
    </row>
    <row r="1146" spans="1:42" x14ac:dyDescent="0.25">
      <c r="A1146" s="34">
        <v>42828</v>
      </c>
      <c r="B1146" t="s">
        <v>122</v>
      </c>
      <c r="C1146" t="s">
        <v>123</v>
      </c>
      <c r="E1146" s="21"/>
      <c r="G1146" s="21"/>
      <c r="H1146" s="7"/>
      <c r="I1146" s="21"/>
      <c r="K1146"/>
      <c r="L1146" s="21">
        <f>(Table2[[#This Row],[H/Pace]]/100)*(VLOOKUP(Table2[[#This Row],[Home/Neutral]],home_lookup,8,FALSE)+VLOOKUP(Table2[[#This Row],[Home/Neutral]],OFR_lookup,2,FALSE)+VLOOKUP(Table2[[#This Row],[Visitor/Neutral]],def_diff_lookup,6,FALSE))</f>
        <v>106.2508883274473</v>
      </c>
      <c r="M1146" s="21"/>
      <c r="N1146" s="21">
        <f>(Table2[[#This Row],[A/Pace]]/100)*(VLOOKUP(Table2[[#This Row],[Visitor/Neutral]],OFR_lookup,2,FALSE)+VLOOKUP(Table2[[#This Row],[Home/Neutral]],def_diff_lookup,6,FALSE))</f>
        <v>100.22899166666666</v>
      </c>
      <c r="O1146" s="21"/>
      <c r="P1146" s="21"/>
      <c r="Q1146">
        <f>VLOOKUP(Table2[[#This Row],[Home/Neutral]],pace_lookup,7,FALSE)</f>
        <v>100.2</v>
      </c>
      <c r="R1146" s="5">
        <f>VLOOKUP(Table2[[#This Row],[Visitor/Neutral]],pace_lookup,7,FALSE)</f>
        <v>92.5</v>
      </c>
      <c r="S1146" s="7"/>
      <c r="U1146" s="15"/>
      <c r="W1146" s="2">
        <f>-home-VLOOKUP(Table2[[#This Row],[Home/Neutral]],rtg_vlookup,4,FALSE)+VLOOKUP(Table2[[#This Row],[Visitor/Neutral]],rtg_vlookup,4,FALSE)</f>
        <v>0.15131147540983425</v>
      </c>
      <c r="X1146" s="15"/>
      <c r="Y1146" s="2"/>
      <c r="Z1146" s="2">
        <f>Table2[[#This Row],[A/EV]]-Table2[[#This Row],[H/EV]]</f>
        <v>-6.0218966607806408</v>
      </c>
      <c r="AA1146" s="29"/>
      <c r="AB1146" s="30"/>
      <c r="AC1146" s="30"/>
      <c r="AD1146" s="30"/>
      <c r="AE1146" s="30"/>
      <c r="AF1146" s="7" t="b">
        <f>IF(VLOOKUP(Table2[[#This Row],[Home/Neutral]],division_lookup,9,FALSE)=VLOOKUP(Table2[[#This Row],[Visitor/Neutral]],division_lookup,9,FALSE),TRUE,FALSE)</f>
        <v>0</v>
      </c>
      <c r="AG1146" s="15" t="str">
        <f>VLOOKUP(Table2[[#This Row],[Home/Neutral]],division_lookup,9,FALSE)</f>
        <v>P</v>
      </c>
      <c r="AH1146" s="15" t="str">
        <f>IF(Table2[[#This Row],[Total/EV]]&lt;Table2[[#This Row],[Total/V]],"UNDER","OVER")</f>
        <v>OVER</v>
      </c>
      <c r="AI1146" s="26">
        <f>Table2[[#This Row],[SRS/Real]]-Table2[[#This Row],[Spread/V]]</f>
        <v>0</v>
      </c>
      <c r="AJ1146" s="2">
        <f>Table2[[#This Row],[EV/Real]]-Table2[[#This Row],[Spread/V]]</f>
        <v>0</v>
      </c>
      <c r="AK1146" s="2">
        <f>Table2[[#This Row],[SRS/Diff]]-Table2[[#This Row],[EV/Diff]]</f>
        <v>0</v>
      </c>
      <c r="AL1146" s="18">
        <f>Table2[[#This Row],[SRS]]-Table2[[#This Row],[Spread]]</f>
        <v>0.15131147540983425</v>
      </c>
      <c r="AM1146" s="21">
        <f>Table2[[#This Row],[(A) Err]]^2</f>
        <v>2.2895162590700874E-2</v>
      </c>
      <c r="AN1146" s="6">
        <f>Table2[[#This Row],[EV]]-Table2[[#This Row],[Spread]]</f>
        <v>-6.0218966607806408</v>
      </c>
      <c r="AO1146" s="1">
        <f>Table2[[#This Row],[EV Err]]^2</f>
        <v>36.263239393121033</v>
      </c>
      <c r="AP1146" s="1"/>
    </row>
    <row r="1147" spans="1:42" x14ac:dyDescent="0.25">
      <c r="A1147" s="34">
        <v>42828</v>
      </c>
      <c r="B1147" t="s">
        <v>124</v>
      </c>
      <c r="C1147" t="s">
        <v>116</v>
      </c>
      <c r="E1147" s="21"/>
      <c r="G1147" s="21"/>
      <c r="H1147" s="7"/>
      <c r="I1147" s="21"/>
      <c r="K1147"/>
      <c r="L1147" s="21">
        <f>(Table2[[#This Row],[H/Pace]]/100)*(VLOOKUP(Table2[[#This Row],[Home/Neutral]],home_lookup,8,FALSE)+VLOOKUP(Table2[[#This Row],[Home/Neutral]],OFR_lookup,2,FALSE)+VLOOKUP(Table2[[#This Row],[Visitor/Neutral]],def_diff_lookup,6,FALSE))</f>
        <v>101.43555517723557</v>
      </c>
      <c r="M1147" s="21"/>
      <c r="N1147" s="21">
        <f>(Table2[[#This Row],[A/Pace]]/100)*(VLOOKUP(Table2[[#This Row],[Visitor/Neutral]],OFR_lookup,2,FALSE)+VLOOKUP(Table2[[#This Row],[Home/Neutral]],def_diff_lookup,6,FALSE))</f>
        <v>103.02997566666666</v>
      </c>
      <c r="O1147" s="21"/>
      <c r="P1147" s="21"/>
      <c r="Q1147">
        <f>VLOOKUP(Table2[[#This Row],[Home/Neutral]],pace_lookup,7,FALSE)</f>
        <v>93.7</v>
      </c>
      <c r="R1147" s="5">
        <f>VLOOKUP(Table2[[#This Row],[Visitor/Neutral]],pace_lookup,7,FALSE)</f>
        <v>99.1</v>
      </c>
      <c r="S1147" s="7"/>
      <c r="U1147" s="15"/>
      <c r="W1147" s="2">
        <f>-home-VLOOKUP(Table2[[#This Row],[Home/Neutral]],rtg_vlookup,4,FALSE)+VLOOKUP(Table2[[#This Row],[Visitor/Neutral]],rtg_vlookup,4,FALSE)</f>
        <v>-2.3186885245901658</v>
      </c>
      <c r="X1147" s="15"/>
      <c r="Y1147" s="2"/>
      <c r="Z1147" s="2">
        <f>Table2[[#This Row],[A/EV]]-Table2[[#This Row],[H/EV]]</f>
        <v>1.5944204894310872</v>
      </c>
      <c r="AA1147" s="29"/>
      <c r="AB1147" s="30"/>
      <c r="AC1147" s="30"/>
      <c r="AD1147" s="30"/>
      <c r="AE1147" s="30"/>
      <c r="AF1147" s="7" t="b">
        <f>IF(VLOOKUP(Table2[[#This Row],[Home/Neutral]],division_lookup,9,FALSE)=VLOOKUP(Table2[[#This Row],[Visitor/Neutral]],division_lookup,9,FALSE),TRUE,FALSE)</f>
        <v>0</v>
      </c>
      <c r="AG1147" s="15" t="str">
        <f>VLOOKUP(Table2[[#This Row],[Home/Neutral]],division_lookup,9,FALSE)</f>
        <v>SE</v>
      </c>
      <c r="AH1147" s="15" t="str">
        <f>IF(Table2[[#This Row],[Total/EV]]&lt;Table2[[#This Row],[Total/V]],"UNDER","OVER")</f>
        <v>OVER</v>
      </c>
      <c r="AI1147" s="26">
        <f>Table2[[#This Row],[SRS/Real]]-Table2[[#This Row],[Spread/V]]</f>
        <v>0</v>
      </c>
      <c r="AJ1147" s="2">
        <f>Table2[[#This Row],[EV/Real]]-Table2[[#This Row],[Spread/V]]</f>
        <v>0</v>
      </c>
      <c r="AK1147" s="2">
        <f>Table2[[#This Row],[SRS/Diff]]-Table2[[#This Row],[EV/Diff]]</f>
        <v>0</v>
      </c>
      <c r="AL1147" s="18">
        <f>Table2[[#This Row],[SRS]]-Table2[[#This Row],[Spread]]</f>
        <v>-2.3186885245901658</v>
      </c>
      <c r="AM1147" s="21">
        <f>Table2[[#This Row],[(A) Err]]^2</f>
        <v>5.3763164740661198</v>
      </c>
      <c r="AN1147" s="6">
        <f>Table2[[#This Row],[EV]]-Table2[[#This Row],[Spread]]</f>
        <v>1.5944204894310872</v>
      </c>
      <c r="AO1147" s="1">
        <f>Table2[[#This Row],[EV Err]]^2</f>
        <v>2.5421766971176676</v>
      </c>
      <c r="AP1147" s="1"/>
    </row>
    <row r="1148" spans="1:42" x14ac:dyDescent="0.25">
      <c r="A1148" s="34">
        <v>42828</v>
      </c>
      <c r="B1148" t="s">
        <v>125</v>
      </c>
      <c r="C1148" t="s">
        <v>115</v>
      </c>
      <c r="E1148" s="21"/>
      <c r="G1148" s="21"/>
      <c r="H1148" s="7"/>
      <c r="I1148" s="21"/>
      <c r="K1148"/>
      <c r="L1148" s="21">
        <f>(Table2[[#This Row],[H/Pace]]/100)*(VLOOKUP(Table2[[#This Row],[Home/Neutral]],home_lookup,8,FALSE)+VLOOKUP(Table2[[#This Row],[Home/Neutral]],OFR_lookup,2,FALSE)+VLOOKUP(Table2[[#This Row],[Visitor/Neutral]],def_diff_lookup,6,FALSE))</f>
        <v>107.82497550061909</v>
      </c>
      <c r="M1148" s="21"/>
      <c r="N1148" s="21">
        <f>(Table2[[#This Row],[A/Pace]]/100)*(VLOOKUP(Table2[[#This Row],[Visitor/Neutral]],OFR_lookup,2,FALSE)+VLOOKUP(Table2[[#This Row],[Home/Neutral]],def_diff_lookup,6,FALSE))</f>
        <v>92.124904333333333</v>
      </c>
      <c r="O1148" s="21"/>
      <c r="P1148" s="21"/>
      <c r="Q1148">
        <f>VLOOKUP(Table2[[#This Row],[Home/Neutral]],pace_lookup,7,FALSE)</f>
        <v>96.1</v>
      </c>
      <c r="R1148" s="5">
        <f>VLOOKUP(Table2[[#This Row],[Visitor/Neutral]],pace_lookup,7,FALSE)</f>
        <v>92.9</v>
      </c>
      <c r="S1148" s="7"/>
      <c r="U1148" s="15"/>
      <c r="W1148" s="2">
        <f>-home-VLOOKUP(Table2[[#This Row],[Home/Neutral]],rtg_vlookup,4,FALSE)+VLOOKUP(Table2[[#This Row],[Visitor/Neutral]],rtg_vlookup,4,FALSE)</f>
        <v>-9.1586885245901648</v>
      </c>
      <c r="X1148" s="15"/>
      <c r="Y1148" s="2"/>
      <c r="Z1148" s="2">
        <f>Table2[[#This Row],[A/EV]]-Table2[[#This Row],[H/EV]]</f>
        <v>-15.700071167285756</v>
      </c>
      <c r="AA1148" s="29"/>
      <c r="AB1148" s="30"/>
      <c r="AC1148" s="30"/>
      <c r="AD1148" s="30"/>
      <c r="AE1148" s="30"/>
      <c r="AF1148" s="7" t="b">
        <f>IF(VLOOKUP(Table2[[#This Row],[Home/Neutral]],division_lookup,9,FALSE)=VLOOKUP(Table2[[#This Row],[Visitor/Neutral]],division_lookup,9,FALSE),TRUE,FALSE)</f>
        <v>0</v>
      </c>
      <c r="AG1148" s="15" t="str">
        <f>VLOOKUP(Table2[[#This Row],[Home/Neutral]],division_lookup,9,FALSE)</f>
        <v>C</v>
      </c>
      <c r="AH1148" s="15" t="str">
        <f>IF(Table2[[#This Row],[Total/EV]]&lt;Table2[[#This Row],[Total/V]],"UNDER","OVER")</f>
        <v>OVER</v>
      </c>
      <c r="AI1148" s="26">
        <f>Table2[[#This Row],[SRS/Real]]-Table2[[#This Row],[Spread/V]]</f>
        <v>0</v>
      </c>
      <c r="AJ1148" s="2">
        <f>Table2[[#This Row],[EV/Real]]-Table2[[#This Row],[Spread/V]]</f>
        <v>0</v>
      </c>
      <c r="AK1148" s="2">
        <f>Table2[[#This Row],[SRS/Diff]]-Table2[[#This Row],[EV/Diff]]</f>
        <v>0</v>
      </c>
      <c r="AL1148" s="18">
        <f>Table2[[#This Row],[SRS]]-Table2[[#This Row],[Spread]]</f>
        <v>-9.1586885245901648</v>
      </c>
      <c r="AM1148" s="21">
        <f>Table2[[#This Row],[(A) Err]]^2</f>
        <v>83.881575490459568</v>
      </c>
      <c r="AN1148" s="6">
        <f>Table2[[#This Row],[EV]]-Table2[[#This Row],[Spread]]</f>
        <v>-15.700071167285756</v>
      </c>
      <c r="AO1148" s="1">
        <f>Table2[[#This Row],[EV Err]]^2</f>
        <v>246.49223465783754</v>
      </c>
      <c r="AP1148" s="1"/>
    </row>
    <row r="1149" spans="1:42" x14ac:dyDescent="0.25">
      <c r="A1149" s="34">
        <v>42828</v>
      </c>
      <c r="B1149" t="s">
        <v>127</v>
      </c>
      <c r="C1149" t="s">
        <v>113</v>
      </c>
      <c r="E1149" s="21"/>
      <c r="G1149" s="21"/>
      <c r="H1149" s="7"/>
      <c r="I1149" s="21"/>
      <c r="K1149"/>
      <c r="L1149" s="21">
        <f>(Table2[[#This Row],[H/Pace]]/100)*(VLOOKUP(Table2[[#This Row],[Home/Neutral]],home_lookup,8,FALSE)+VLOOKUP(Table2[[#This Row],[Home/Neutral]],OFR_lookup,2,FALSE)+VLOOKUP(Table2[[#This Row],[Visitor/Neutral]],def_diff_lookup,6,FALSE))</f>
        <v>102.23265493743048</v>
      </c>
      <c r="M1149" s="21"/>
      <c r="N1149" s="21">
        <f>(Table2[[#This Row],[A/Pace]]/100)*(VLOOKUP(Table2[[#This Row],[Visitor/Neutral]],OFR_lookup,2,FALSE)+VLOOKUP(Table2[[#This Row],[Home/Neutral]],def_diff_lookup,6,FALSE))</f>
        <v>104.17792899999999</v>
      </c>
      <c r="O1149" s="21"/>
      <c r="P1149" s="21"/>
      <c r="Q1149">
        <f>VLOOKUP(Table2[[#This Row],[Home/Neutral]],pace_lookup,7,FALSE)</f>
        <v>99.3</v>
      </c>
      <c r="R1149" s="5">
        <f>VLOOKUP(Table2[[#This Row],[Visitor/Neutral]],pace_lookup,7,FALSE)</f>
        <v>95.1</v>
      </c>
      <c r="S1149" s="7"/>
      <c r="U1149" s="15"/>
      <c r="W1149" s="2">
        <f>-home-VLOOKUP(Table2[[#This Row],[Home/Neutral]],rtg_vlookup,4,FALSE)+VLOOKUP(Table2[[#This Row],[Visitor/Neutral]],rtg_vlookup,4,FALSE)</f>
        <v>4.5313114754098347</v>
      </c>
      <c r="X1149" s="15"/>
      <c r="Y1149" s="2"/>
      <c r="Z1149" s="2">
        <f>Table2[[#This Row],[A/EV]]-Table2[[#This Row],[H/EV]]</f>
        <v>1.94527406256951</v>
      </c>
      <c r="AA1149" s="29"/>
      <c r="AB1149" s="30"/>
      <c r="AC1149" s="30"/>
      <c r="AD1149" s="30"/>
      <c r="AE1149" s="30"/>
      <c r="AF1149" s="7" t="b">
        <f>IF(VLOOKUP(Table2[[#This Row],[Home/Neutral]],division_lookup,9,FALSE)=VLOOKUP(Table2[[#This Row],[Visitor/Neutral]],division_lookup,9,FALSE),TRUE,FALSE)</f>
        <v>0</v>
      </c>
      <c r="AG1149" s="15" t="str">
        <f>VLOOKUP(Table2[[#This Row],[Home/Neutral]],division_lookup,9,FALSE)</f>
        <v>SW</v>
      </c>
      <c r="AH1149" s="15" t="str">
        <f>IF(Table2[[#This Row],[Total/EV]]&lt;Table2[[#This Row],[Total/V]],"UNDER","OVER")</f>
        <v>OVER</v>
      </c>
      <c r="AI1149" s="26">
        <f>Table2[[#This Row],[SRS/Real]]-Table2[[#This Row],[Spread/V]]</f>
        <v>0</v>
      </c>
      <c r="AJ1149" s="2">
        <f>Table2[[#This Row],[EV/Real]]-Table2[[#This Row],[Spread/V]]</f>
        <v>0</v>
      </c>
      <c r="AK1149" s="2">
        <f>Table2[[#This Row],[SRS/Diff]]-Table2[[#This Row],[EV/Diff]]</f>
        <v>0</v>
      </c>
      <c r="AL1149" s="18">
        <f>Table2[[#This Row],[SRS]]-Table2[[#This Row],[Spread]]</f>
        <v>4.5313114754098347</v>
      </c>
      <c r="AM1149" s="21">
        <f>Table2[[#This Row],[(A) Err]]^2</f>
        <v>20.532783687180853</v>
      </c>
      <c r="AN1149" s="6">
        <f>Table2[[#This Row],[EV]]-Table2[[#This Row],[Spread]]</f>
        <v>1.94527406256951</v>
      </c>
      <c r="AO1149" s="1">
        <f>Table2[[#This Row],[EV Err]]^2</f>
        <v>3.7840911785056859</v>
      </c>
      <c r="AP1149" s="1"/>
    </row>
    <row r="1150" spans="1:42" x14ac:dyDescent="0.25">
      <c r="A1150" s="34">
        <v>42828</v>
      </c>
      <c r="B1150" t="s">
        <v>128</v>
      </c>
      <c r="C1150" t="s">
        <v>110</v>
      </c>
      <c r="E1150" s="21"/>
      <c r="G1150" s="21"/>
      <c r="H1150" s="7"/>
      <c r="I1150" s="21"/>
      <c r="K1150"/>
      <c r="L1150" s="21">
        <f>(Table2[[#This Row],[H/Pace]]/100)*(VLOOKUP(Table2[[#This Row],[Home/Neutral]],home_lookup,8,FALSE)+VLOOKUP(Table2[[#This Row],[Home/Neutral]],OFR_lookup,2,FALSE)+VLOOKUP(Table2[[#This Row],[Visitor/Neutral]],def_diff_lookup,6,FALSE))</f>
        <v>109.08727987783021</v>
      </c>
      <c r="M1150" s="21"/>
      <c r="N1150" s="21">
        <f>(Table2[[#This Row],[A/Pace]]/100)*(VLOOKUP(Table2[[#This Row],[Visitor/Neutral]],OFR_lookup,2,FALSE)+VLOOKUP(Table2[[#This Row],[Home/Neutral]],def_diff_lookup,6,FALSE))</f>
        <v>106.76821133333335</v>
      </c>
      <c r="O1150" s="21"/>
      <c r="P1150" s="21"/>
      <c r="Q1150">
        <f>VLOOKUP(Table2[[#This Row],[Home/Neutral]],pace_lookup,7,FALSE)</f>
        <v>96.3</v>
      </c>
      <c r="R1150" s="5">
        <f>VLOOKUP(Table2[[#This Row],[Visitor/Neutral]],pace_lookup,7,FALSE)</f>
        <v>96.2</v>
      </c>
      <c r="S1150" s="7"/>
      <c r="U1150" s="15"/>
      <c r="W1150" s="2">
        <f>-home-VLOOKUP(Table2[[#This Row],[Home/Neutral]],rtg_vlookup,4,FALSE)+VLOOKUP(Table2[[#This Row],[Visitor/Neutral]],rtg_vlookup,4,FALSE)</f>
        <v>-0.43868852459016583</v>
      </c>
      <c r="X1150" s="15"/>
      <c r="Y1150" s="2"/>
      <c r="Z1150" s="2">
        <f>Table2[[#This Row],[A/EV]]-Table2[[#This Row],[H/EV]]</f>
        <v>-2.319068544496858</v>
      </c>
      <c r="AA1150" s="29"/>
      <c r="AB1150" s="30"/>
      <c r="AC1150" s="30"/>
      <c r="AD1150" s="30"/>
      <c r="AE1150" s="30"/>
      <c r="AF1150" s="7" t="b">
        <f>IF(VLOOKUP(Table2[[#This Row],[Home/Neutral]],division_lookup,9,FALSE)=VLOOKUP(Table2[[#This Row],[Visitor/Neutral]],division_lookup,9,FALSE),TRUE,FALSE)</f>
        <v>1</v>
      </c>
      <c r="AG1150" s="15" t="str">
        <f>VLOOKUP(Table2[[#This Row],[Home/Neutral]],division_lookup,9,FALSE)</f>
        <v>A</v>
      </c>
      <c r="AH1150" s="15" t="str">
        <f>IF(Table2[[#This Row],[Total/EV]]&lt;Table2[[#This Row],[Total/V]],"UNDER","OVER")</f>
        <v>OVER</v>
      </c>
      <c r="AI1150" s="26">
        <f>Table2[[#This Row],[SRS/Real]]-Table2[[#This Row],[Spread/V]]</f>
        <v>0</v>
      </c>
      <c r="AJ1150" s="2">
        <f>Table2[[#This Row],[EV/Real]]-Table2[[#This Row],[Spread/V]]</f>
        <v>0</v>
      </c>
      <c r="AK1150" s="2">
        <f>Table2[[#This Row],[SRS/Diff]]-Table2[[#This Row],[EV/Diff]]</f>
        <v>0</v>
      </c>
      <c r="AL1150" s="18">
        <f>Table2[[#This Row],[SRS]]-Table2[[#This Row],[Spread]]</f>
        <v>-0.43868852459016583</v>
      </c>
      <c r="AM1150" s="21">
        <f>Table2[[#This Row],[(A) Err]]^2</f>
        <v>0.19244762160709653</v>
      </c>
      <c r="AN1150" s="6">
        <f>Table2[[#This Row],[EV]]-Table2[[#This Row],[Spread]]</f>
        <v>-2.319068544496858</v>
      </c>
      <c r="AO1150" s="1">
        <f>Table2[[#This Row],[EV Err]]^2</f>
        <v>5.3780789140747753</v>
      </c>
      <c r="AP1150" s="1"/>
    </row>
    <row r="1151" spans="1:42" x14ac:dyDescent="0.25">
      <c r="A1151" s="34">
        <v>42828</v>
      </c>
      <c r="B1151" t="s">
        <v>129</v>
      </c>
      <c r="C1151" t="s">
        <v>112</v>
      </c>
      <c r="E1151" s="21"/>
      <c r="G1151" s="21"/>
      <c r="H1151" s="7"/>
      <c r="I1151" s="21"/>
      <c r="K1151"/>
      <c r="L1151" s="21">
        <f>(Table2[[#This Row],[H/Pace]]/100)*(VLOOKUP(Table2[[#This Row],[Home/Neutral]],home_lookup,8,FALSE)+VLOOKUP(Table2[[#This Row],[Home/Neutral]],OFR_lookup,2,FALSE)+VLOOKUP(Table2[[#This Row],[Visitor/Neutral]],def_diff_lookup,6,FALSE))</f>
        <v>106.49060376890107</v>
      </c>
      <c r="M1151" s="21"/>
      <c r="N1151" s="21">
        <f>(Table2[[#This Row],[A/Pace]]/100)*(VLOOKUP(Table2[[#This Row],[Visitor/Neutral]],OFR_lookup,2,FALSE)+VLOOKUP(Table2[[#This Row],[Home/Neutral]],def_diff_lookup,6,FALSE))</f>
        <v>103.10341933333333</v>
      </c>
      <c r="O1151" s="21"/>
      <c r="P1151" s="21"/>
      <c r="Q1151">
        <f>VLOOKUP(Table2[[#This Row],[Home/Neutral]],pace_lookup,7,FALSE)</f>
        <v>99</v>
      </c>
      <c r="R1151" s="5">
        <f>VLOOKUP(Table2[[#This Row],[Visitor/Neutral]],pace_lookup,7,FALSE)</f>
        <v>97.4</v>
      </c>
      <c r="S1151" s="7"/>
      <c r="U1151" s="15"/>
      <c r="W1151" s="2">
        <f>-home-VLOOKUP(Table2[[#This Row],[Home/Neutral]],rtg_vlookup,4,FALSE)+VLOOKUP(Table2[[#This Row],[Visitor/Neutral]],rtg_vlookup,4,FALSE)</f>
        <v>-2.2486885245901655</v>
      </c>
      <c r="X1151" s="15"/>
      <c r="Y1151" s="2"/>
      <c r="Z1151" s="2">
        <f>Table2[[#This Row],[A/EV]]-Table2[[#This Row],[H/EV]]</f>
        <v>-3.3871844355677325</v>
      </c>
      <c r="AA1151" s="29"/>
      <c r="AB1151" s="30"/>
      <c r="AC1151" s="30"/>
      <c r="AD1151" s="30"/>
      <c r="AE1151" s="30"/>
      <c r="AF1151" s="7" t="b">
        <f>IF(VLOOKUP(Table2[[#This Row],[Home/Neutral]],division_lookup,9,FALSE)=VLOOKUP(Table2[[#This Row],[Visitor/Neutral]],division_lookup,9,FALSE),TRUE,FALSE)</f>
        <v>0</v>
      </c>
      <c r="AG1151" s="15" t="str">
        <f>VLOOKUP(Table2[[#This Row],[Home/Neutral]],division_lookup,9,FALSE)</f>
        <v>NW</v>
      </c>
      <c r="AH1151" s="15" t="str">
        <f>IF(Table2[[#This Row],[Total/EV]]&lt;Table2[[#This Row],[Total/V]],"UNDER","OVER")</f>
        <v>OVER</v>
      </c>
      <c r="AI1151" s="26">
        <f>Table2[[#This Row],[SRS/Real]]-Table2[[#This Row],[Spread/V]]</f>
        <v>0</v>
      </c>
      <c r="AJ1151" s="2">
        <f>Table2[[#This Row],[EV/Real]]-Table2[[#This Row],[Spread/V]]</f>
        <v>0</v>
      </c>
      <c r="AK1151" s="2">
        <f>Table2[[#This Row],[SRS/Diff]]-Table2[[#This Row],[EV/Diff]]</f>
        <v>0</v>
      </c>
      <c r="AL1151" s="18">
        <f>Table2[[#This Row],[SRS]]-Table2[[#This Row],[Spread]]</f>
        <v>-2.2486885245901655</v>
      </c>
      <c r="AM1151" s="21">
        <f>Table2[[#This Row],[(A) Err]]^2</f>
        <v>5.0566000806234959</v>
      </c>
      <c r="AN1151" s="6">
        <f>Table2[[#This Row],[EV]]-Table2[[#This Row],[Spread]]</f>
        <v>-3.3871844355677325</v>
      </c>
      <c r="AO1151" s="1">
        <f>Table2[[#This Row],[EV Err]]^2</f>
        <v>11.473018400552299</v>
      </c>
      <c r="AP1151" s="1"/>
    </row>
    <row r="1152" spans="1:42" x14ac:dyDescent="0.25">
      <c r="A1152" s="34">
        <v>42828</v>
      </c>
      <c r="B1152" t="s">
        <v>131</v>
      </c>
      <c r="C1152" t="s">
        <v>119</v>
      </c>
      <c r="E1152" s="21"/>
      <c r="G1152" s="21"/>
      <c r="H1152" s="7"/>
      <c r="I1152" s="21"/>
      <c r="K1152"/>
      <c r="L1152" s="21">
        <f>(Table2[[#This Row],[H/Pace]]/100)*(VLOOKUP(Table2[[#This Row],[Home/Neutral]],home_lookup,8,FALSE)+VLOOKUP(Table2[[#This Row],[Home/Neutral]],OFR_lookup,2,FALSE)+VLOOKUP(Table2[[#This Row],[Visitor/Neutral]],def_diff_lookup,6,FALSE))</f>
        <v>99.730069791197664</v>
      </c>
      <c r="M1152" s="21"/>
      <c r="N1152" s="21">
        <f>(Table2[[#This Row],[A/Pace]]/100)*(VLOOKUP(Table2[[#This Row],[Visitor/Neutral]],OFR_lookup,2,FALSE)+VLOOKUP(Table2[[#This Row],[Home/Neutral]],def_diff_lookup,6,FALSE))</f>
        <v>110.64591100000001</v>
      </c>
      <c r="O1152" s="21"/>
      <c r="P1152" s="21"/>
      <c r="Q1152">
        <f>VLOOKUP(Table2[[#This Row],[Home/Neutral]],pace_lookup,7,FALSE)</f>
        <v>101.7</v>
      </c>
      <c r="R1152" s="5">
        <f>VLOOKUP(Table2[[#This Row],[Visitor/Neutral]],pace_lookup,7,FALSE)</f>
        <v>96.9</v>
      </c>
      <c r="S1152" s="7"/>
      <c r="U1152" s="15"/>
      <c r="W1152" s="2">
        <f>-home-VLOOKUP(Table2[[#This Row],[Home/Neutral]],rtg_vlookup,4,FALSE)+VLOOKUP(Table2[[#This Row],[Visitor/Neutral]],rtg_vlookup,4,FALSE)</f>
        <v>7.2813114754098347</v>
      </c>
      <c r="X1152" s="15"/>
      <c r="Y1152" s="2"/>
      <c r="Z1152" s="2">
        <f>Table2[[#This Row],[A/EV]]-Table2[[#This Row],[H/EV]]</f>
        <v>10.915841208802348</v>
      </c>
      <c r="AA1152" s="29"/>
      <c r="AB1152" s="30"/>
      <c r="AC1152" s="30"/>
      <c r="AD1152" s="30"/>
      <c r="AE1152" s="30"/>
      <c r="AF1152" s="7" t="b">
        <f>IF(VLOOKUP(Table2[[#This Row],[Home/Neutral]],division_lookup,9,FALSE)=VLOOKUP(Table2[[#This Row],[Visitor/Neutral]],division_lookup,9,FALSE),TRUE,FALSE)</f>
        <v>0</v>
      </c>
      <c r="AG1152" s="15" t="str">
        <f>VLOOKUP(Table2[[#This Row],[Home/Neutral]],division_lookup,9,FALSE)</f>
        <v>P</v>
      </c>
      <c r="AH1152" s="15" t="str">
        <f>IF(Table2[[#This Row],[Total/EV]]&lt;Table2[[#This Row],[Total/V]],"UNDER","OVER")</f>
        <v>OVER</v>
      </c>
      <c r="AI1152" s="26">
        <f>Table2[[#This Row],[SRS/Real]]-Table2[[#This Row],[Spread/V]]</f>
        <v>0</v>
      </c>
      <c r="AJ1152" s="2">
        <f>Table2[[#This Row],[EV/Real]]-Table2[[#This Row],[Spread/V]]</f>
        <v>0</v>
      </c>
      <c r="AK1152" s="2">
        <f>Table2[[#This Row],[SRS/Diff]]-Table2[[#This Row],[EV/Diff]]</f>
        <v>0</v>
      </c>
      <c r="AL1152" s="18">
        <f>Table2[[#This Row],[SRS]]-Table2[[#This Row],[Spread]]</f>
        <v>7.2813114754098347</v>
      </c>
      <c r="AM1152" s="21">
        <f>Table2[[#This Row],[(A) Err]]^2</f>
        <v>53.017496801934946</v>
      </c>
      <c r="AN1152" s="6">
        <f>Table2[[#This Row],[EV]]-Table2[[#This Row],[Spread]]</f>
        <v>10.915841208802348</v>
      </c>
      <c r="AO1152" s="1">
        <f>Table2[[#This Row],[EV Err]]^2</f>
        <v>119.15558929578751</v>
      </c>
      <c r="AP1152" s="1"/>
    </row>
    <row r="1153" spans="1:42" x14ac:dyDescent="0.25">
      <c r="A1153" s="34">
        <v>42828</v>
      </c>
      <c r="B1153" t="s">
        <v>134</v>
      </c>
      <c r="C1153" t="s">
        <v>136</v>
      </c>
      <c r="E1153" s="21"/>
      <c r="G1153" s="21"/>
      <c r="H1153" s="7"/>
      <c r="I1153" s="21"/>
      <c r="K1153"/>
      <c r="L1153" s="21">
        <f>(Table2[[#This Row],[H/Pace]]/100)*(VLOOKUP(Table2[[#This Row],[Home/Neutral]],home_lookup,8,FALSE)+VLOOKUP(Table2[[#This Row],[Home/Neutral]],OFR_lookup,2,FALSE)+VLOOKUP(Table2[[#This Row],[Visitor/Neutral]],def_diff_lookup,6,FALSE))</f>
        <v>96.479813436381932</v>
      </c>
      <c r="M1153" s="21"/>
      <c r="N1153" s="21">
        <f>(Table2[[#This Row],[A/Pace]]/100)*(VLOOKUP(Table2[[#This Row],[Visitor/Neutral]],OFR_lookup,2,FALSE)+VLOOKUP(Table2[[#This Row],[Home/Neutral]],def_diff_lookup,6,FALSE))</f>
        <v>96.125934999999998</v>
      </c>
      <c r="O1153" s="21"/>
      <c r="P1153" s="21"/>
      <c r="Q1153">
        <f>VLOOKUP(Table2[[#This Row],[Home/Neutral]],pace_lookup,7,FALSE)</f>
        <v>93.4</v>
      </c>
      <c r="R1153" s="5">
        <f>VLOOKUP(Table2[[#This Row],[Visitor/Neutral]],pace_lookup,7,FALSE)</f>
        <v>91.5</v>
      </c>
      <c r="S1153" s="7"/>
      <c r="U1153" s="15"/>
      <c r="W1153" s="2">
        <f>-home-VLOOKUP(Table2[[#This Row],[Home/Neutral]],rtg_vlookup,4,FALSE)+VLOOKUP(Table2[[#This Row],[Visitor/Neutral]],rtg_vlookup,4,FALSE)</f>
        <v>-5.9186885245901646</v>
      </c>
      <c r="X1153" s="15"/>
      <c r="Y1153" s="2"/>
      <c r="Z1153" s="2">
        <f>Table2[[#This Row],[A/EV]]-Table2[[#This Row],[H/EV]]</f>
        <v>-0.35387843638193317</v>
      </c>
      <c r="AA1153" s="29"/>
      <c r="AB1153" s="30"/>
      <c r="AC1153" s="30"/>
      <c r="AD1153" s="30"/>
      <c r="AE1153" s="30"/>
      <c r="AF1153" s="7" t="b">
        <f>IF(VLOOKUP(Table2[[#This Row],[Home/Neutral]],division_lookup,9,FALSE)=VLOOKUP(Table2[[#This Row],[Visitor/Neutral]],division_lookup,9,FALSE),TRUE,FALSE)</f>
        <v>0</v>
      </c>
      <c r="AG1153" s="15" t="str">
        <f>VLOOKUP(Table2[[#This Row],[Home/Neutral]],division_lookup,9,FALSE)</f>
        <v>SW</v>
      </c>
      <c r="AH1153" s="15" t="str">
        <f>IF(Table2[[#This Row],[Total/EV]]&lt;Table2[[#This Row],[Total/V]],"UNDER","OVER")</f>
        <v>OVER</v>
      </c>
      <c r="AI1153" s="26">
        <f>Table2[[#This Row],[SRS/Real]]-Table2[[#This Row],[Spread/V]]</f>
        <v>0</v>
      </c>
      <c r="AJ1153" s="2">
        <f>Table2[[#This Row],[EV/Real]]-Table2[[#This Row],[Spread/V]]</f>
        <v>0</v>
      </c>
      <c r="AK1153" s="2">
        <f>Table2[[#This Row],[SRS/Diff]]-Table2[[#This Row],[EV/Diff]]</f>
        <v>0</v>
      </c>
      <c r="AL1153" s="18">
        <f>Table2[[#This Row],[SRS]]-Table2[[#This Row],[Spread]]</f>
        <v>-5.9186885245901646</v>
      </c>
      <c r="AM1153" s="21">
        <f>Table2[[#This Row],[(A) Err]]^2</f>
        <v>35.030873851115302</v>
      </c>
      <c r="AN1153" s="6">
        <f>Table2[[#This Row],[EV]]-Table2[[#This Row],[Spread]]</f>
        <v>-0.35387843638193317</v>
      </c>
      <c r="AO1153" s="1">
        <f>Table2[[#This Row],[EV Err]]^2</f>
        <v>0.12522994773612192</v>
      </c>
      <c r="AP1153" s="1"/>
    </row>
    <row r="1154" spans="1:42" x14ac:dyDescent="0.25">
      <c r="A1154" s="34">
        <v>42828</v>
      </c>
      <c r="B1154" t="s">
        <v>135</v>
      </c>
      <c r="C1154" t="s">
        <v>138</v>
      </c>
      <c r="E1154" s="21"/>
      <c r="G1154" s="21"/>
      <c r="H1154" s="7"/>
      <c r="I1154" s="21"/>
      <c r="K1154"/>
      <c r="L1154" s="21">
        <f>(Table2[[#This Row],[H/Pace]]/100)*(VLOOKUP(Table2[[#This Row],[Home/Neutral]],home_lookup,8,FALSE)+VLOOKUP(Table2[[#This Row],[Home/Neutral]],OFR_lookup,2,FALSE)+VLOOKUP(Table2[[#This Row],[Visitor/Neutral]],def_diff_lookup,6,FALSE))</f>
        <v>111.29988035324615</v>
      </c>
      <c r="M1154" s="21"/>
      <c r="N1154" s="21">
        <f>(Table2[[#This Row],[A/Pace]]/100)*(VLOOKUP(Table2[[#This Row],[Visitor/Neutral]],OFR_lookup,2,FALSE)+VLOOKUP(Table2[[#This Row],[Home/Neutral]],def_diff_lookup,6,FALSE))</f>
        <v>97.164274999999989</v>
      </c>
      <c r="O1154" s="21"/>
      <c r="P1154" s="21"/>
      <c r="Q1154">
        <f>VLOOKUP(Table2[[#This Row],[Home/Neutral]],pace_lookup,7,FALSE)</f>
        <v>95.4</v>
      </c>
      <c r="R1154" s="5">
        <f>VLOOKUP(Table2[[#This Row],[Visitor/Neutral]],pace_lookup,7,FALSE)</f>
        <v>97.5</v>
      </c>
      <c r="S1154" s="7"/>
      <c r="U1154" s="15"/>
      <c r="W1154" s="2">
        <f>-home-VLOOKUP(Table2[[#This Row],[Home/Neutral]],rtg_vlookup,4,FALSE)+VLOOKUP(Table2[[#This Row],[Visitor/Neutral]],rtg_vlookup,4,FALSE)</f>
        <v>-18.348688524590166</v>
      </c>
      <c r="X1154" s="15"/>
      <c r="Y1154" s="2"/>
      <c r="Z1154" s="2">
        <f>Table2[[#This Row],[A/EV]]-Table2[[#This Row],[H/EV]]</f>
        <v>-14.135605353246163</v>
      </c>
      <c r="AA1154" s="29"/>
      <c r="AB1154" s="30"/>
      <c r="AC1154" s="30"/>
      <c r="AD1154" s="30"/>
      <c r="AE1154" s="30"/>
      <c r="AF1154" s="7" t="b">
        <f>IF(VLOOKUP(Table2[[#This Row],[Home/Neutral]],division_lookup,9,FALSE)=VLOOKUP(Table2[[#This Row],[Visitor/Neutral]],division_lookup,9,FALSE),TRUE,FALSE)</f>
        <v>1</v>
      </c>
      <c r="AG1154" s="15" t="str">
        <f>VLOOKUP(Table2[[#This Row],[Home/Neutral]],division_lookup,9,FALSE)</f>
        <v>A</v>
      </c>
      <c r="AH1154" s="15" t="str">
        <f>IF(Table2[[#This Row],[Total/EV]]&lt;Table2[[#This Row],[Total/V]],"UNDER","OVER")</f>
        <v>OVER</v>
      </c>
      <c r="AI1154" s="26">
        <f>Table2[[#This Row],[SRS/Real]]-Table2[[#This Row],[Spread/V]]</f>
        <v>0</v>
      </c>
      <c r="AJ1154" s="2">
        <f>Table2[[#This Row],[EV/Real]]-Table2[[#This Row],[Spread/V]]</f>
        <v>0</v>
      </c>
      <c r="AK1154" s="2">
        <f>Table2[[#This Row],[SRS/Diff]]-Table2[[#This Row],[EV/Diff]]</f>
        <v>0</v>
      </c>
      <c r="AL1154" s="18">
        <f>Table2[[#This Row],[SRS]]-Table2[[#This Row],[Spread]]</f>
        <v>-18.348688524590166</v>
      </c>
      <c r="AM1154" s="21">
        <f>Table2[[#This Row],[(A) Err]]^2</f>
        <v>336.67437057242682</v>
      </c>
      <c r="AN1154" s="6">
        <f>Table2[[#This Row],[EV]]-Table2[[#This Row],[Spread]]</f>
        <v>-14.135605353246163</v>
      </c>
      <c r="AO1154" s="1">
        <f>Table2[[#This Row],[EV Err]]^2</f>
        <v>199.81533870272159</v>
      </c>
      <c r="AP1154" s="1"/>
    </row>
    <row r="1155" spans="1:42" x14ac:dyDescent="0.25">
      <c r="A1155" s="34">
        <v>42830</v>
      </c>
      <c r="B1155" t="s">
        <v>114</v>
      </c>
      <c r="C1155" t="s">
        <v>130</v>
      </c>
      <c r="E1155" s="21"/>
      <c r="G1155" s="21"/>
      <c r="H1155" s="7"/>
      <c r="I1155" s="21"/>
      <c r="K1155"/>
      <c r="L1155" s="21">
        <f>(Table2[[#This Row],[H/Pace]]/100)*(VLOOKUP(Table2[[#This Row],[Home/Neutral]],home_lookup,8,FALSE)+VLOOKUP(Table2[[#This Row],[Home/Neutral]],OFR_lookup,2,FALSE)+VLOOKUP(Table2[[#This Row],[Visitor/Neutral]],def_diff_lookup,6,FALSE))</f>
        <v>114.09574276756466</v>
      </c>
      <c r="M1155" s="21"/>
      <c r="N1155" s="21">
        <f>(Table2[[#This Row],[A/Pace]]/100)*(VLOOKUP(Table2[[#This Row],[Visitor/Neutral]],OFR_lookup,2,FALSE)+VLOOKUP(Table2[[#This Row],[Home/Neutral]],def_diff_lookup,6,FALSE))</f>
        <v>91.652518000000001</v>
      </c>
      <c r="O1155" s="21"/>
      <c r="P1155" s="21"/>
      <c r="Q1155">
        <f>VLOOKUP(Table2[[#This Row],[Home/Neutral]],pace_lookup,7,FALSE)</f>
        <v>97.3</v>
      </c>
      <c r="R1155" s="5">
        <f>VLOOKUP(Table2[[#This Row],[Visitor/Neutral]],pace_lookup,7,FALSE)</f>
        <v>94.2</v>
      </c>
      <c r="S1155" s="7"/>
      <c r="U1155" s="15"/>
      <c r="W1155" s="2">
        <f>-home-VLOOKUP(Table2[[#This Row],[Home/Neutral]],rtg_vlookup,4,FALSE)+VLOOKUP(Table2[[#This Row],[Visitor/Neutral]],rtg_vlookup,4,FALSE)</f>
        <v>-20.058688524590167</v>
      </c>
      <c r="X1155" s="15"/>
      <c r="Y1155" s="2"/>
      <c r="Z1155" s="2">
        <f>Table2[[#This Row],[A/EV]]-Table2[[#This Row],[H/EV]]</f>
        <v>-22.443224767564658</v>
      </c>
      <c r="AA1155" s="29"/>
      <c r="AB1155" s="30"/>
      <c r="AC1155" s="30"/>
      <c r="AD1155" s="30"/>
      <c r="AE1155" s="30"/>
      <c r="AF1155" s="7" t="b">
        <f>IF(VLOOKUP(Table2[[#This Row],[Home/Neutral]],division_lookup,9,FALSE)=VLOOKUP(Table2[[#This Row],[Visitor/Neutral]],division_lookup,9,FALSE),TRUE,FALSE)</f>
        <v>0</v>
      </c>
      <c r="AG1155" s="15" t="str">
        <f>VLOOKUP(Table2[[#This Row],[Home/Neutral]],division_lookup,9,FALSE)</f>
        <v>C</v>
      </c>
      <c r="AH1155" s="15" t="str">
        <f>IF(Table2[[#This Row],[Total/EV]]&lt;Table2[[#This Row],[Total/V]],"UNDER","OVER")</f>
        <v>OVER</v>
      </c>
      <c r="AI1155" s="26">
        <f>Table2[[#This Row],[SRS/Real]]-Table2[[#This Row],[Spread/V]]</f>
        <v>0</v>
      </c>
      <c r="AJ1155" s="2">
        <f>Table2[[#This Row],[EV/Real]]-Table2[[#This Row],[Spread/V]]</f>
        <v>0</v>
      </c>
      <c r="AK1155" s="2">
        <f>Table2[[#This Row],[SRS/Diff]]-Table2[[#This Row],[EV/Diff]]</f>
        <v>0</v>
      </c>
      <c r="AL1155" s="18">
        <f>Table2[[#This Row],[SRS]]-Table2[[#This Row],[Spread]]</f>
        <v>-20.058688524590167</v>
      </c>
      <c r="AM1155" s="21">
        <f>Table2[[#This Row],[(A) Err]]^2</f>
        <v>402.35098532652523</v>
      </c>
      <c r="AN1155" s="6">
        <f>Table2[[#This Row],[EV]]-Table2[[#This Row],[Spread]]</f>
        <v>-22.443224767564658</v>
      </c>
      <c r="AO1155" s="1">
        <f>Table2[[#This Row],[EV Err]]^2</f>
        <v>503.69833796742768</v>
      </c>
      <c r="AP1155" s="1"/>
    </row>
    <row r="1156" spans="1:42" x14ac:dyDescent="0.25">
      <c r="A1156" s="34">
        <v>42830</v>
      </c>
      <c r="B1156" t="s">
        <v>118</v>
      </c>
      <c r="C1156" t="s">
        <v>126</v>
      </c>
      <c r="E1156" s="21"/>
      <c r="G1156" s="21"/>
      <c r="H1156" s="7"/>
      <c r="I1156" s="21"/>
      <c r="K1156"/>
      <c r="L1156" s="21">
        <f>(Table2[[#This Row],[H/Pace]]/100)*(VLOOKUP(Table2[[#This Row],[Home/Neutral]],home_lookup,8,FALSE)+VLOOKUP(Table2[[#This Row],[Home/Neutral]],OFR_lookup,2,FALSE)+VLOOKUP(Table2[[#This Row],[Visitor/Neutral]],def_diff_lookup,6,FALSE))</f>
        <v>117.97535838078237</v>
      </c>
      <c r="M1156" s="21"/>
      <c r="N1156" s="21">
        <f>(Table2[[#This Row],[A/Pace]]/100)*(VLOOKUP(Table2[[#This Row],[Visitor/Neutral]],OFR_lookup,2,FALSE)+VLOOKUP(Table2[[#This Row],[Home/Neutral]],def_diff_lookup,6,FALSE))</f>
        <v>102.91163300000001</v>
      </c>
      <c r="O1156" s="21"/>
      <c r="P1156" s="21"/>
      <c r="Q1156">
        <f>VLOOKUP(Table2[[#This Row],[Home/Neutral]],pace_lookup,7,FALSE)</f>
        <v>100.4</v>
      </c>
      <c r="R1156" s="5">
        <f>VLOOKUP(Table2[[#This Row],[Visitor/Neutral]],pace_lookup,7,FALSE)</f>
        <v>95.7</v>
      </c>
      <c r="S1156" s="7"/>
      <c r="U1156" s="15"/>
      <c r="W1156" s="2">
        <f>-home-VLOOKUP(Table2[[#This Row],[Home/Neutral]],rtg_vlookup,4,FALSE)+VLOOKUP(Table2[[#This Row],[Visitor/Neutral]],rtg_vlookup,4,FALSE)</f>
        <v>-15.378688524590165</v>
      </c>
      <c r="X1156" s="15"/>
      <c r="Y1156" s="2"/>
      <c r="Z1156" s="2">
        <f>Table2[[#This Row],[A/EV]]-Table2[[#This Row],[H/EV]]</f>
        <v>-15.063725380782358</v>
      </c>
      <c r="AA1156" s="29"/>
      <c r="AB1156" s="30"/>
      <c r="AC1156" s="30"/>
      <c r="AD1156" s="30"/>
      <c r="AE1156" s="30"/>
      <c r="AF1156" s="7" t="b">
        <f>IF(VLOOKUP(Table2[[#This Row],[Home/Neutral]],division_lookup,9,FALSE)=VLOOKUP(Table2[[#This Row],[Visitor/Neutral]],division_lookup,9,FALSE),TRUE,FALSE)</f>
        <v>0</v>
      </c>
      <c r="AG1156" s="15" t="str">
        <f>VLOOKUP(Table2[[#This Row],[Home/Neutral]],division_lookup,9,FALSE)</f>
        <v>P</v>
      </c>
      <c r="AH1156" s="15" t="str">
        <f>IF(Table2[[#This Row],[Total/EV]]&lt;Table2[[#This Row],[Total/V]],"UNDER","OVER")</f>
        <v>OVER</v>
      </c>
      <c r="AI1156" s="26">
        <f>Table2[[#This Row],[SRS/Real]]-Table2[[#This Row],[Spread/V]]</f>
        <v>0</v>
      </c>
      <c r="AJ1156" s="2">
        <f>Table2[[#This Row],[EV/Real]]-Table2[[#This Row],[Spread/V]]</f>
        <v>0</v>
      </c>
      <c r="AK1156" s="2">
        <f>Table2[[#This Row],[SRS/Diff]]-Table2[[#This Row],[EV/Diff]]</f>
        <v>0</v>
      </c>
      <c r="AL1156" s="18">
        <f>Table2[[#This Row],[SRS]]-Table2[[#This Row],[Spread]]</f>
        <v>-15.378688524590165</v>
      </c>
      <c r="AM1156" s="21">
        <f>Table2[[#This Row],[(A) Err]]^2</f>
        <v>236.50406073636125</v>
      </c>
      <c r="AN1156" s="6">
        <f>Table2[[#This Row],[EV]]-Table2[[#This Row],[Spread]]</f>
        <v>-15.063725380782358</v>
      </c>
      <c r="AO1156" s="1">
        <f>Table2[[#This Row],[EV Err]]^2</f>
        <v>226.9158223476266</v>
      </c>
      <c r="AP1156" s="1"/>
    </row>
    <row r="1157" spans="1:42" x14ac:dyDescent="0.25">
      <c r="A1157" s="34">
        <v>42830</v>
      </c>
      <c r="B1157" t="s">
        <v>120</v>
      </c>
      <c r="C1157" t="s">
        <v>135</v>
      </c>
      <c r="E1157" s="21"/>
      <c r="G1157" s="21"/>
      <c r="H1157" s="7"/>
      <c r="I1157" s="21"/>
      <c r="K1157"/>
      <c r="L1157" s="21">
        <f>(Table2[[#This Row],[H/Pace]]/100)*(VLOOKUP(Table2[[#This Row],[Home/Neutral]],home_lookup,8,FALSE)+VLOOKUP(Table2[[#This Row],[Home/Neutral]],OFR_lookup,2,FALSE)+VLOOKUP(Table2[[#This Row],[Visitor/Neutral]],def_diff_lookup,6,FALSE))</f>
        <v>106.8704354293086</v>
      </c>
      <c r="M1157" s="21"/>
      <c r="N1157" s="21">
        <f>(Table2[[#This Row],[A/Pace]]/100)*(VLOOKUP(Table2[[#This Row],[Visitor/Neutral]],OFR_lookup,2,FALSE)+VLOOKUP(Table2[[#This Row],[Home/Neutral]],def_diff_lookup,6,FALSE))</f>
        <v>109.953906</v>
      </c>
      <c r="O1157" s="21"/>
      <c r="P1157" s="21"/>
      <c r="Q1157">
        <f>VLOOKUP(Table2[[#This Row],[Home/Neutral]],pace_lookup,7,FALSE)</f>
        <v>98.3</v>
      </c>
      <c r="R1157" s="5">
        <f>VLOOKUP(Table2[[#This Row],[Visitor/Neutral]],pace_lookup,7,FALSE)</f>
        <v>95.4</v>
      </c>
      <c r="S1157" s="7"/>
      <c r="U1157" s="15"/>
      <c r="W1157" s="2">
        <f>-home-VLOOKUP(Table2[[#This Row],[Home/Neutral]],rtg_vlookup,4,FALSE)+VLOOKUP(Table2[[#This Row],[Visitor/Neutral]],rtg_vlookup,4,FALSE)</f>
        <v>7.8613114754098348</v>
      </c>
      <c r="X1157" s="15"/>
      <c r="Y1157" s="2"/>
      <c r="Z1157" s="2">
        <f>Table2[[#This Row],[A/EV]]-Table2[[#This Row],[H/EV]]</f>
        <v>3.0834705706914036</v>
      </c>
      <c r="AA1157" s="29"/>
      <c r="AB1157" s="30"/>
      <c r="AC1157" s="30"/>
      <c r="AD1157" s="30"/>
      <c r="AE1157" s="30"/>
      <c r="AF1157" s="7" t="b">
        <f>IF(VLOOKUP(Table2[[#This Row],[Home/Neutral]],division_lookup,9,FALSE)=VLOOKUP(Table2[[#This Row],[Visitor/Neutral]],division_lookup,9,FALSE),TRUE,FALSE)</f>
        <v>0</v>
      </c>
      <c r="AG1157" s="15" t="str">
        <f>VLOOKUP(Table2[[#This Row],[Home/Neutral]],division_lookup,9,FALSE)</f>
        <v>C</v>
      </c>
      <c r="AH1157" s="15" t="str">
        <f>IF(Table2[[#This Row],[Total/EV]]&lt;Table2[[#This Row],[Total/V]],"UNDER","OVER")</f>
        <v>OVER</v>
      </c>
      <c r="AI1157" s="26">
        <f>Table2[[#This Row],[SRS/Real]]-Table2[[#This Row],[Spread/V]]</f>
        <v>0</v>
      </c>
      <c r="AJ1157" s="2">
        <f>Table2[[#This Row],[EV/Real]]-Table2[[#This Row],[Spread/V]]</f>
        <v>0</v>
      </c>
      <c r="AK1157" s="2">
        <f>Table2[[#This Row],[SRS/Diff]]-Table2[[#This Row],[EV/Diff]]</f>
        <v>0</v>
      </c>
      <c r="AL1157" s="18">
        <f>Table2[[#This Row],[SRS]]-Table2[[#This Row],[Spread]]</f>
        <v>7.8613114754098348</v>
      </c>
      <c r="AM1157" s="21">
        <f>Table2[[#This Row],[(A) Err]]^2</f>
        <v>61.800218113410352</v>
      </c>
      <c r="AN1157" s="6">
        <f>Table2[[#This Row],[EV]]-Table2[[#This Row],[Spread]]</f>
        <v>3.0834705706914036</v>
      </c>
      <c r="AO1157" s="1">
        <f>Table2[[#This Row],[EV Err]]^2</f>
        <v>9.5077907603199705</v>
      </c>
      <c r="AP1157" s="1"/>
    </row>
    <row r="1158" spans="1:42" x14ac:dyDescent="0.25">
      <c r="A1158" s="34">
        <v>42830</v>
      </c>
      <c r="B1158" t="s">
        <v>127</v>
      </c>
      <c r="C1158" t="s">
        <v>116</v>
      </c>
      <c r="E1158" s="21"/>
      <c r="G1158" s="21"/>
      <c r="H1158" s="7"/>
      <c r="I1158" s="21"/>
      <c r="K1158"/>
      <c r="L1158" s="21">
        <f>(Table2[[#This Row],[H/Pace]]/100)*(VLOOKUP(Table2[[#This Row],[Home/Neutral]],home_lookup,8,FALSE)+VLOOKUP(Table2[[#This Row],[Home/Neutral]],OFR_lookup,2,FALSE)+VLOOKUP(Table2[[#This Row],[Visitor/Neutral]],def_diff_lookup,6,FALSE))</f>
        <v>102.93768493743048</v>
      </c>
      <c r="M1158" s="21"/>
      <c r="N1158" s="21">
        <f>(Table2[[#This Row],[A/Pace]]/100)*(VLOOKUP(Table2[[#This Row],[Visitor/Neutral]],OFR_lookup,2,FALSE)+VLOOKUP(Table2[[#This Row],[Home/Neutral]],def_diff_lookup,6,FALSE))</f>
        <v>103.93178566666666</v>
      </c>
      <c r="O1158" s="21"/>
      <c r="P1158" s="21"/>
      <c r="Q1158">
        <f>VLOOKUP(Table2[[#This Row],[Home/Neutral]],pace_lookup,7,FALSE)</f>
        <v>99.3</v>
      </c>
      <c r="R1158" s="5">
        <f>VLOOKUP(Table2[[#This Row],[Visitor/Neutral]],pace_lookup,7,FALSE)</f>
        <v>99.1</v>
      </c>
      <c r="S1158" s="7"/>
      <c r="U1158" s="15"/>
      <c r="W1158" s="2">
        <f>-home-VLOOKUP(Table2[[#This Row],[Home/Neutral]],rtg_vlookup,4,FALSE)+VLOOKUP(Table2[[#This Row],[Visitor/Neutral]],rtg_vlookup,4,FALSE)</f>
        <v>-0.85868852459016554</v>
      </c>
      <c r="X1158" s="15"/>
      <c r="Y1158" s="2"/>
      <c r="Z1158" s="2">
        <f>Table2[[#This Row],[A/EV]]-Table2[[#This Row],[H/EV]]</f>
        <v>0.99410072923618031</v>
      </c>
      <c r="AA1158" s="29"/>
      <c r="AB1158" s="30"/>
      <c r="AC1158" s="30"/>
      <c r="AD1158" s="30"/>
      <c r="AE1158" s="30"/>
      <c r="AF1158" s="7" t="b">
        <f>IF(VLOOKUP(Table2[[#This Row],[Home/Neutral]],division_lookup,9,FALSE)=VLOOKUP(Table2[[#This Row],[Visitor/Neutral]],division_lookup,9,FALSE),TRUE,FALSE)</f>
        <v>0</v>
      </c>
      <c r="AG1158" s="15" t="str">
        <f>VLOOKUP(Table2[[#This Row],[Home/Neutral]],division_lookup,9,FALSE)</f>
        <v>SW</v>
      </c>
      <c r="AH1158" s="15" t="str">
        <f>IF(Table2[[#This Row],[Total/EV]]&lt;Table2[[#This Row],[Total/V]],"UNDER","OVER")</f>
        <v>OVER</v>
      </c>
      <c r="AI1158" s="26">
        <f>Table2[[#This Row],[SRS/Real]]-Table2[[#This Row],[Spread/V]]</f>
        <v>0</v>
      </c>
      <c r="AJ1158" s="2">
        <f>Table2[[#This Row],[EV/Real]]-Table2[[#This Row],[Spread/V]]</f>
        <v>0</v>
      </c>
      <c r="AK1158" s="2">
        <f>Table2[[#This Row],[SRS/Diff]]-Table2[[#This Row],[EV/Diff]]</f>
        <v>0</v>
      </c>
      <c r="AL1158" s="18">
        <f>Table2[[#This Row],[SRS]]-Table2[[#This Row],[Spread]]</f>
        <v>-0.85868852459016554</v>
      </c>
      <c r="AM1158" s="21">
        <f>Table2[[#This Row],[(A) Err]]^2</f>
        <v>0.73734598226283532</v>
      </c>
      <c r="AN1158" s="6">
        <f>Table2[[#This Row],[EV]]-Table2[[#This Row],[Spread]]</f>
        <v>0.99410072923618031</v>
      </c>
      <c r="AO1158" s="1">
        <f>Table2[[#This Row],[EV Err]]^2</f>
        <v>0.98823625986790553</v>
      </c>
      <c r="AP1158" s="1"/>
    </row>
    <row r="1159" spans="1:42" x14ac:dyDescent="0.25">
      <c r="A1159" s="34">
        <v>42830</v>
      </c>
      <c r="B1159" t="s">
        <v>128</v>
      </c>
      <c r="C1159" t="s">
        <v>113</v>
      </c>
      <c r="E1159" s="21"/>
      <c r="G1159" s="21"/>
      <c r="H1159" s="7"/>
      <c r="I1159" s="21"/>
      <c r="K1159"/>
      <c r="L1159" s="21">
        <f>(Table2[[#This Row],[H/Pace]]/100)*(VLOOKUP(Table2[[#This Row],[Home/Neutral]],home_lookup,8,FALSE)+VLOOKUP(Table2[[#This Row],[Home/Neutral]],OFR_lookup,2,FALSE)+VLOOKUP(Table2[[#This Row],[Visitor/Neutral]],def_diff_lookup,6,FALSE))</f>
        <v>107.96056987783021</v>
      </c>
      <c r="M1159" s="21"/>
      <c r="N1159" s="21">
        <f>(Table2[[#This Row],[A/Pace]]/100)*(VLOOKUP(Table2[[#This Row],[Visitor/Neutral]],OFR_lookup,2,FALSE)+VLOOKUP(Table2[[#This Row],[Home/Neutral]],def_diff_lookup,6,FALSE))</f>
        <v>108.400369</v>
      </c>
      <c r="O1159" s="21"/>
      <c r="P1159" s="21"/>
      <c r="Q1159">
        <f>VLOOKUP(Table2[[#This Row],[Home/Neutral]],pace_lookup,7,FALSE)</f>
        <v>96.3</v>
      </c>
      <c r="R1159" s="5">
        <f>VLOOKUP(Table2[[#This Row],[Visitor/Neutral]],pace_lookup,7,FALSE)</f>
        <v>95.1</v>
      </c>
      <c r="S1159" s="7"/>
      <c r="U1159" s="15"/>
      <c r="W1159" s="2">
        <f>-home-VLOOKUP(Table2[[#This Row],[Home/Neutral]],rtg_vlookup,4,FALSE)+VLOOKUP(Table2[[#This Row],[Visitor/Neutral]],rtg_vlookup,4,FALSE)</f>
        <v>3.7313114754098344</v>
      </c>
      <c r="X1159" s="15"/>
      <c r="Y1159" s="2"/>
      <c r="Z1159" s="2">
        <f>Table2[[#This Row],[A/EV]]-Table2[[#This Row],[H/EV]]</f>
        <v>0.43979912216978789</v>
      </c>
      <c r="AA1159" s="29"/>
      <c r="AB1159" s="30"/>
      <c r="AC1159" s="30"/>
      <c r="AD1159" s="30"/>
      <c r="AE1159" s="30"/>
      <c r="AF1159" s="7" t="b">
        <f>IF(VLOOKUP(Table2[[#This Row],[Home/Neutral]],division_lookup,9,FALSE)=VLOOKUP(Table2[[#This Row],[Visitor/Neutral]],division_lookup,9,FALSE),TRUE,FALSE)</f>
        <v>0</v>
      </c>
      <c r="AG1159" s="15" t="str">
        <f>VLOOKUP(Table2[[#This Row],[Home/Neutral]],division_lookup,9,FALSE)</f>
        <v>A</v>
      </c>
      <c r="AH1159" s="15" t="str">
        <f>IF(Table2[[#This Row],[Total/EV]]&lt;Table2[[#This Row],[Total/V]],"UNDER","OVER")</f>
        <v>OVER</v>
      </c>
      <c r="AI1159" s="26">
        <f>Table2[[#This Row],[SRS/Real]]-Table2[[#This Row],[Spread/V]]</f>
        <v>0</v>
      </c>
      <c r="AJ1159" s="2">
        <f>Table2[[#This Row],[EV/Real]]-Table2[[#This Row],[Spread/V]]</f>
        <v>0</v>
      </c>
      <c r="AK1159" s="2">
        <f>Table2[[#This Row],[SRS/Diff]]-Table2[[#This Row],[EV/Diff]]</f>
        <v>0</v>
      </c>
      <c r="AL1159" s="18">
        <f>Table2[[#This Row],[SRS]]-Table2[[#This Row],[Spread]]</f>
        <v>3.7313114754098344</v>
      </c>
      <c r="AM1159" s="21">
        <f>Table2[[#This Row],[(A) Err]]^2</f>
        <v>13.922685326525116</v>
      </c>
      <c r="AN1159" s="6">
        <f>Table2[[#This Row],[EV]]-Table2[[#This Row],[Spread]]</f>
        <v>0.43979912216978789</v>
      </c>
      <c r="AO1159" s="1">
        <f>Table2[[#This Row],[EV Err]]^2</f>
        <v>0.19342326786131603</v>
      </c>
      <c r="AP1159" s="1"/>
    </row>
    <row r="1160" spans="1:42" x14ac:dyDescent="0.25">
      <c r="A1160" s="34">
        <v>42830</v>
      </c>
      <c r="B1160" t="s">
        <v>129</v>
      </c>
      <c r="C1160" t="s">
        <v>125</v>
      </c>
      <c r="E1160" s="21"/>
      <c r="G1160" s="21"/>
      <c r="H1160" s="7"/>
      <c r="I1160" s="21"/>
      <c r="K1160"/>
      <c r="L1160" s="21">
        <f>(Table2[[#This Row],[H/Pace]]/100)*(VLOOKUP(Table2[[#This Row],[Home/Neutral]],home_lookup,8,FALSE)+VLOOKUP(Table2[[#This Row],[Home/Neutral]],OFR_lookup,2,FALSE)+VLOOKUP(Table2[[#This Row],[Visitor/Neutral]],def_diff_lookup,6,FALSE))</f>
        <v>109.46060376890108</v>
      </c>
      <c r="M1160" s="21"/>
      <c r="N1160" s="21">
        <f>(Table2[[#This Row],[A/Pace]]/100)*(VLOOKUP(Table2[[#This Row],[Visitor/Neutral]],OFR_lookup,2,FALSE)+VLOOKUP(Table2[[#This Row],[Home/Neutral]],def_diff_lookup,6,FALSE))</f>
        <v>100.25696566666666</v>
      </c>
      <c r="O1160" s="21"/>
      <c r="P1160" s="21"/>
      <c r="Q1160">
        <f>VLOOKUP(Table2[[#This Row],[Home/Neutral]],pace_lookup,7,FALSE)</f>
        <v>99</v>
      </c>
      <c r="R1160" s="5">
        <f>VLOOKUP(Table2[[#This Row],[Visitor/Neutral]],pace_lookup,7,FALSE)</f>
        <v>96.1</v>
      </c>
      <c r="S1160" s="7"/>
      <c r="U1160" s="15"/>
      <c r="W1160" s="2">
        <f>-home-VLOOKUP(Table2[[#This Row],[Home/Neutral]],rtg_vlookup,4,FALSE)+VLOOKUP(Table2[[#This Row],[Visitor/Neutral]],rtg_vlookup,4,FALSE)</f>
        <v>-6.768688524590166</v>
      </c>
      <c r="X1160" s="15"/>
      <c r="Y1160" s="2"/>
      <c r="Z1160" s="2">
        <f>Table2[[#This Row],[A/EV]]-Table2[[#This Row],[H/EV]]</f>
        <v>-9.2036381022344216</v>
      </c>
      <c r="AA1160" s="29"/>
      <c r="AB1160" s="30"/>
      <c r="AC1160" s="30"/>
      <c r="AD1160" s="30"/>
      <c r="AE1160" s="30"/>
      <c r="AF1160" s="7" t="b">
        <f>IF(VLOOKUP(Table2[[#This Row],[Home/Neutral]],division_lookup,9,FALSE)=VLOOKUP(Table2[[#This Row],[Visitor/Neutral]],division_lookup,9,FALSE),TRUE,FALSE)</f>
        <v>0</v>
      </c>
      <c r="AG1160" s="15" t="str">
        <f>VLOOKUP(Table2[[#This Row],[Home/Neutral]],division_lookup,9,FALSE)</f>
        <v>NW</v>
      </c>
      <c r="AH1160" s="15" t="str">
        <f>IF(Table2[[#This Row],[Total/EV]]&lt;Table2[[#This Row],[Total/V]],"UNDER","OVER")</f>
        <v>OVER</v>
      </c>
      <c r="AI1160" s="26">
        <f>Table2[[#This Row],[SRS/Real]]-Table2[[#This Row],[Spread/V]]</f>
        <v>0</v>
      </c>
      <c r="AJ1160" s="2">
        <f>Table2[[#This Row],[EV/Real]]-Table2[[#This Row],[Spread/V]]</f>
        <v>0</v>
      </c>
      <c r="AK1160" s="2">
        <f>Table2[[#This Row],[SRS/Diff]]-Table2[[#This Row],[EV/Diff]]</f>
        <v>0</v>
      </c>
      <c r="AL1160" s="18">
        <f>Table2[[#This Row],[SRS]]-Table2[[#This Row],[Spread]]</f>
        <v>-6.768688524590166</v>
      </c>
      <c r="AM1160" s="21">
        <f>Table2[[#This Row],[(A) Err]]^2</f>
        <v>45.8151443429186</v>
      </c>
      <c r="AN1160" s="6">
        <f>Table2[[#This Row],[EV]]-Table2[[#This Row],[Spread]]</f>
        <v>-9.2036381022344216</v>
      </c>
      <c r="AO1160" s="1">
        <f>Table2[[#This Row],[EV Err]]^2</f>
        <v>84.706954316901232</v>
      </c>
      <c r="AP1160" s="1"/>
    </row>
    <row r="1161" spans="1:42" x14ac:dyDescent="0.25">
      <c r="A1161" s="34">
        <v>42830</v>
      </c>
      <c r="B1161" t="s">
        <v>138</v>
      </c>
      <c r="C1161" t="s">
        <v>111</v>
      </c>
      <c r="E1161" s="21"/>
      <c r="G1161" s="21"/>
      <c r="H1161" s="7"/>
      <c r="I1161" s="21"/>
      <c r="K1161"/>
      <c r="L1161" s="21">
        <f>(Table2[[#This Row],[H/Pace]]/100)*(VLOOKUP(Table2[[#This Row],[Home/Neutral]],home_lookup,8,FALSE)+VLOOKUP(Table2[[#This Row],[Home/Neutral]],OFR_lookup,2,FALSE)+VLOOKUP(Table2[[#This Row],[Visitor/Neutral]],def_diff_lookup,6,FALSE))</f>
        <v>103.28778353124009</v>
      </c>
      <c r="M1161" s="21"/>
      <c r="N1161" s="21">
        <f>(Table2[[#This Row],[A/Pace]]/100)*(VLOOKUP(Table2[[#This Row],[Visitor/Neutral]],OFR_lookup,2,FALSE)+VLOOKUP(Table2[[#This Row],[Home/Neutral]],def_diff_lookup,6,FALSE))</f>
        <v>105.96338</v>
      </c>
      <c r="O1161" s="21"/>
      <c r="P1161" s="21"/>
      <c r="Q1161">
        <f>VLOOKUP(Table2[[#This Row],[Home/Neutral]],pace_lookup,7,FALSE)</f>
        <v>97.5</v>
      </c>
      <c r="R1161" s="5">
        <f>VLOOKUP(Table2[[#This Row],[Visitor/Neutral]],pace_lookup,7,FALSE)</f>
        <v>102</v>
      </c>
      <c r="S1161" s="7"/>
      <c r="U1161" s="15"/>
      <c r="W1161" s="2">
        <f>-home-VLOOKUP(Table2[[#This Row],[Home/Neutral]],rtg_vlookup,4,FALSE)+VLOOKUP(Table2[[#This Row],[Visitor/Neutral]],rtg_vlookup,4,FALSE)</f>
        <v>-1.9286885245901644</v>
      </c>
      <c r="X1161" s="15"/>
      <c r="Y1161" s="2"/>
      <c r="Z1161" s="2">
        <f>Table2[[#This Row],[A/EV]]-Table2[[#This Row],[H/EV]]</f>
        <v>2.6755964687599061</v>
      </c>
      <c r="AA1161" s="29"/>
      <c r="AB1161" s="30"/>
      <c r="AC1161" s="30"/>
      <c r="AD1161" s="30"/>
      <c r="AE1161" s="30"/>
      <c r="AF1161" s="7" t="b">
        <f>IF(VLOOKUP(Table2[[#This Row],[Home/Neutral]],division_lookup,9,FALSE)=VLOOKUP(Table2[[#This Row],[Visitor/Neutral]],division_lookup,9,FALSE),TRUE,FALSE)</f>
        <v>1</v>
      </c>
      <c r="AG1161" s="15" t="str">
        <f>VLOOKUP(Table2[[#This Row],[Home/Neutral]],division_lookup,9,FALSE)</f>
        <v>A</v>
      </c>
      <c r="AH1161" s="15" t="str">
        <f>IF(Table2[[#This Row],[Total/EV]]&lt;Table2[[#This Row],[Total/V]],"UNDER","OVER")</f>
        <v>OVER</v>
      </c>
      <c r="AI1161" s="26">
        <f>Table2[[#This Row],[SRS/Real]]-Table2[[#This Row],[Spread/V]]</f>
        <v>0</v>
      </c>
      <c r="AJ1161" s="2">
        <f>Table2[[#This Row],[EV/Real]]-Table2[[#This Row],[Spread/V]]</f>
        <v>0</v>
      </c>
      <c r="AK1161" s="2">
        <f>Table2[[#This Row],[SRS/Diff]]-Table2[[#This Row],[EV/Diff]]</f>
        <v>0</v>
      </c>
      <c r="AL1161" s="18">
        <f>Table2[[#This Row],[SRS]]-Table2[[#This Row],[Spread]]</f>
        <v>-1.9286885245901644</v>
      </c>
      <c r="AM1161" s="21">
        <f>Table2[[#This Row],[(A) Err]]^2</f>
        <v>3.7198394248857851</v>
      </c>
      <c r="AN1161" s="6">
        <f>Table2[[#This Row],[EV]]-Table2[[#This Row],[Spread]]</f>
        <v>2.6755964687599061</v>
      </c>
      <c r="AO1161" s="1">
        <f>Table2[[#This Row],[EV Err]]^2</f>
        <v>7.1588164636404787</v>
      </c>
      <c r="AP1161" s="1"/>
    </row>
    <row r="1162" spans="1:42" x14ac:dyDescent="0.25">
      <c r="A1162" s="34">
        <v>42830</v>
      </c>
      <c r="B1162" t="s">
        <v>133</v>
      </c>
      <c r="C1162" t="s">
        <v>115</v>
      </c>
      <c r="E1162" s="21"/>
      <c r="G1162" s="21"/>
      <c r="H1162" s="7"/>
      <c r="I1162" s="21"/>
      <c r="K1162"/>
      <c r="L1162" s="21">
        <f>(Table2[[#This Row],[H/Pace]]/100)*(VLOOKUP(Table2[[#This Row],[Home/Neutral]],home_lookup,8,FALSE)+VLOOKUP(Table2[[#This Row],[Home/Neutral]],OFR_lookup,2,FALSE)+VLOOKUP(Table2[[#This Row],[Visitor/Neutral]],def_diff_lookup,6,FALSE))</f>
        <v>107.38258748279979</v>
      </c>
      <c r="M1162" s="21"/>
      <c r="N1162" s="21">
        <f>(Table2[[#This Row],[A/Pace]]/100)*(VLOOKUP(Table2[[#This Row],[Visitor/Neutral]],OFR_lookup,2,FALSE)+VLOOKUP(Table2[[#This Row],[Home/Neutral]],def_diff_lookup,6,FALSE))</f>
        <v>93.211834333333343</v>
      </c>
      <c r="O1162" s="21"/>
      <c r="P1162" s="21"/>
      <c r="Q1162">
        <f>VLOOKUP(Table2[[#This Row],[Home/Neutral]],pace_lookup,7,FALSE)</f>
        <v>94.2</v>
      </c>
      <c r="R1162" s="5">
        <f>VLOOKUP(Table2[[#This Row],[Visitor/Neutral]],pace_lookup,7,FALSE)</f>
        <v>92.9</v>
      </c>
      <c r="S1162" s="7"/>
      <c r="U1162" s="15"/>
      <c r="W1162" s="2">
        <f>-home-VLOOKUP(Table2[[#This Row],[Home/Neutral]],rtg_vlookup,4,FALSE)+VLOOKUP(Table2[[#This Row],[Visitor/Neutral]],rtg_vlookup,4,FALSE)</f>
        <v>-9.7186885245901653</v>
      </c>
      <c r="X1162" s="15"/>
      <c r="Y1162" s="2"/>
      <c r="Z1162" s="2">
        <f>Table2[[#This Row],[A/EV]]-Table2[[#This Row],[H/EV]]</f>
        <v>-14.170753149466449</v>
      </c>
      <c r="AA1162" s="29"/>
      <c r="AB1162" s="30"/>
      <c r="AC1162" s="30"/>
      <c r="AD1162" s="30"/>
      <c r="AE1162" s="30"/>
      <c r="AF1162" s="7" t="b">
        <f>IF(VLOOKUP(Table2[[#This Row],[Home/Neutral]],division_lookup,9,FALSE)=VLOOKUP(Table2[[#This Row],[Visitor/Neutral]],division_lookup,9,FALSE),TRUE,FALSE)</f>
        <v>0</v>
      </c>
      <c r="AG1162" s="15" t="str">
        <f>VLOOKUP(Table2[[#This Row],[Home/Neutral]],division_lookup,9,FALSE)</f>
        <v>P</v>
      </c>
      <c r="AH1162" s="15" t="str">
        <f>IF(Table2[[#This Row],[Total/EV]]&lt;Table2[[#This Row],[Total/V]],"UNDER","OVER")</f>
        <v>OVER</v>
      </c>
      <c r="AI1162" s="26">
        <f>Table2[[#This Row],[SRS/Real]]-Table2[[#This Row],[Spread/V]]</f>
        <v>0</v>
      </c>
      <c r="AJ1162" s="2">
        <f>Table2[[#This Row],[EV/Real]]-Table2[[#This Row],[Spread/V]]</f>
        <v>0</v>
      </c>
      <c r="AK1162" s="2">
        <f>Table2[[#This Row],[SRS/Diff]]-Table2[[#This Row],[EV/Diff]]</f>
        <v>0</v>
      </c>
      <c r="AL1162" s="18">
        <f>Table2[[#This Row],[SRS]]-Table2[[#This Row],[Spread]]</f>
        <v>-9.7186885245901653</v>
      </c>
      <c r="AM1162" s="21">
        <f>Table2[[#This Row],[(A) Err]]^2</f>
        <v>94.45290663800057</v>
      </c>
      <c r="AN1162" s="6">
        <f>Table2[[#This Row],[EV]]-Table2[[#This Row],[Spread]]</f>
        <v>-14.170753149466449</v>
      </c>
      <c r="AO1162" s="1">
        <f>Table2[[#This Row],[EV Err]]^2</f>
        <v>200.81024482311329</v>
      </c>
      <c r="AP1162" s="1"/>
    </row>
    <row r="1163" spans="1:42" x14ac:dyDescent="0.25">
      <c r="A1163" s="34">
        <v>42830</v>
      </c>
      <c r="B1163" t="s">
        <v>134</v>
      </c>
      <c r="C1163" t="s">
        <v>123</v>
      </c>
      <c r="E1163" s="21"/>
      <c r="G1163" s="21"/>
      <c r="H1163" s="7"/>
      <c r="I1163" s="21"/>
      <c r="K1163"/>
      <c r="L1163" s="21">
        <f>(Table2[[#This Row],[H/Pace]]/100)*(VLOOKUP(Table2[[#This Row],[Home/Neutral]],home_lookup,8,FALSE)+VLOOKUP(Table2[[#This Row],[Home/Neutral]],OFR_lookup,2,FALSE)+VLOOKUP(Table2[[#This Row],[Visitor/Neutral]],def_diff_lookup,6,FALSE))</f>
        <v>97.357773436381933</v>
      </c>
      <c r="M1163" s="21"/>
      <c r="N1163" s="21">
        <f>(Table2[[#This Row],[A/Pace]]/100)*(VLOOKUP(Table2[[#This Row],[Visitor/Neutral]],OFR_lookup,2,FALSE)+VLOOKUP(Table2[[#This Row],[Home/Neutral]],def_diff_lookup,6,FALSE))</f>
        <v>94.752991666666674</v>
      </c>
      <c r="O1163" s="21"/>
      <c r="P1163" s="21"/>
      <c r="Q1163">
        <f>VLOOKUP(Table2[[#This Row],[Home/Neutral]],pace_lookup,7,FALSE)</f>
        <v>93.4</v>
      </c>
      <c r="R1163" s="5">
        <f>VLOOKUP(Table2[[#This Row],[Visitor/Neutral]],pace_lookup,7,FALSE)</f>
        <v>92.5</v>
      </c>
      <c r="S1163" s="7"/>
      <c r="U1163" s="15"/>
      <c r="W1163" s="2">
        <f>-home-VLOOKUP(Table2[[#This Row],[Home/Neutral]],rtg_vlookup,4,FALSE)+VLOOKUP(Table2[[#This Row],[Visitor/Neutral]],rtg_vlookup,4,FALSE)</f>
        <v>-9.4886885245901649</v>
      </c>
      <c r="X1163" s="15"/>
      <c r="Y1163" s="2"/>
      <c r="Z1163" s="2">
        <f>Table2[[#This Row],[A/EV]]-Table2[[#This Row],[H/EV]]</f>
        <v>-2.6047817697152595</v>
      </c>
      <c r="AA1163" s="29"/>
      <c r="AB1163" s="30"/>
      <c r="AC1163" s="30"/>
      <c r="AD1163" s="30"/>
      <c r="AE1163" s="30"/>
      <c r="AF1163" s="7" t="b">
        <f>IF(VLOOKUP(Table2[[#This Row],[Home/Neutral]],division_lookup,9,FALSE)=VLOOKUP(Table2[[#This Row],[Visitor/Neutral]],division_lookup,9,FALSE),TRUE,FALSE)</f>
        <v>1</v>
      </c>
      <c r="AG1163" s="15" t="str">
        <f>VLOOKUP(Table2[[#This Row],[Home/Neutral]],division_lookup,9,FALSE)</f>
        <v>SW</v>
      </c>
      <c r="AH1163" s="15" t="str">
        <f>IF(Table2[[#This Row],[Total/EV]]&lt;Table2[[#This Row],[Total/V]],"UNDER","OVER")</f>
        <v>OVER</v>
      </c>
      <c r="AI1163" s="26">
        <f>Table2[[#This Row],[SRS/Real]]-Table2[[#This Row],[Spread/V]]</f>
        <v>0</v>
      </c>
      <c r="AJ1163" s="2">
        <f>Table2[[#This Row],[EV/Real]]-Table2[[#This Row],[Spread/V]]</f>
        <v>0</v>
      </c>
      <c r="AK1163" s="2">
        <f>Table2[[#This Row],[SRS/Diff]]-Table2[[#This Row],[EV/Diff]]</f>
        <v>0</v>
      </c>
      <c r="AL1163" s="18">
        <f>Table2[[#This Row],[SRS]]-Table2[[#This Row],[Spread]]</f>
        <v>-9.4886885245901649</v>
      </c>
      <c r="AM1163" s="21">
        <f>Table2[[#This Row],[(A) Err]]^2</f>
        <v>90.035209916689084</v>
      </c>
      <c r="AN1163" s="6">
        <f>Table2[[#This Row],[EV]]-Table2[[#This Row],[Spread]]</f>
        <v>-2.6047817697152595</v>
      </c>
      <c r="AO1163" s="1">
        <f>Table2[[#This Row],[EV Err]]^2</f>
        <v>6.7848880678409591</v>
      </c>
      <c r="AP1163" s="1"/>
    </row>
    <row r="1164" spans="1:42" x14ac:dyDescent="0.25">
      <c r="A1164" s="34">
        <v>42830</v>
      </c>
      <c r="B1164" t="s">
        <v>136</v>
      </c>
      <c r="C1164" t="s">
        <v>132</v>
      </c>
      <c r="E1164" s="21"/>
      <c r="G1164" s="21"/>
      <c r="H1164" s="7"/>
      <c r="I1164" s="21"/>
      <c r="K1164"/>
      <c r="L1164" s="21">
        <f>(Table2[[#This Row],[H/Pace]]/100)*(VLOOKUP(Table2[[#This Row],[Home/Neutral]],home_lookup,8,FALSE)+VLOOKUP(Table2[[#This Row],[Home/Neutral]],OFR_lookup,2,FALSE)+VLOOKUP(Table2[[#This Row],[Visitor/Neutral]],def_diff_lookup,6,FALSE))</f>
        <v>110.10793534991899</v>
      </c>
      <c r="M1164" s="21"/>
      <c r="N1164" s="21">
        <f>(Table2[[#This Row],[A/Pace]]/100)*(VLOOKUP(Table2[[#This Row],[Visitor/Neutral]],OFR_lookup,2,FALSE)+VLOOKUP(Table2[[#This Row],[Home/Neutral]],def_diff_lookup,6,FALSE))</f>
        <v>103.98271866666667</v>
      </c>
      <c r="O1164" s="21"/>
      <c r="P1164" s="21"/>
      <c r="Q1164">
        <f>VLOOKUP(Table2[[#This Row],[Home/Neutral]],pace_lookup,7,FALSE)</f>
        <v>91.5</v>
      </c>
      <c r="R1164" s="5">
        <f>VLOOKUP(Table2[[#This Row],[Visitor/Neutral]],pace_lookup,7,FALSE)</f>
        <v>98.8</v>
      </c>
      <c r="S1164" s="7"/>
      <c r="U1164" s="15"/>
      <c r="W1164" s="2">
        <f>-home-VLOOKUP(Table2[[#This Row],[Home/Neutral]],rtg_vlookup,4,FALSE)+VLOOKUP(Table2[[#This Row],[Visitor/Neutral]],rtg_vlookup,4,FALSE)</f>
        <v>-9.4686885245901653</v>
      </c>
      <c r="X1164" s="15"/>
      <c r="Y1164" s="2"/>
      <c r="Z1164" s="2">
        <f>Table2[[#This Row],[A/EV]]-Table2[[#This Row],[H/EV]]</f>
        <v>-6.1252166832523187</v>
      </c>
      <c r="AA1164" s="29"/>
      <c r="AB1164" s="30"/>
      <c r="AC1164" s="30"/>
      <c r="AD1164" s="30"/>
      <c r="AE1164" s="30"/>
      <c r="AF1164" s="7" t="b">
        <f>IF(VLOOKUP(Table2[[#This Row],[Home/Neutral]],division_lookup,9,FALSE)=VLOOKUP(Table2[[#This Row],[Visitor/Neutral]],division_lookup,9,FALSE),TRUE,FALSE)</f>
        <v>1</v>
      </c>
      <c r="AG1164" s="15" t="str">
        <f>VLOOKUP(Table2[[#This Row],[Home/Neutral]],division_lookup,9,FALSE)</f>
        <v>NW</v>
      </c>
      <c r="AH1164" s="15" t="str">
        <f>IF(Table2[[#This Row],[Total/EV]]&lt;Table2[[#This Row],[Total/V]],"UNDER","OVER")</f>
        <v>OVER</v>
      </c>
      <c r="AI1164" s="26">
        <f>Table2[[#This Row],[SRS/Real]]-Table2[[#This Row],[Spread/V]]</f>
        <v>0</v>
      </c>
      <c r="AJ1164" s="2">
        <f>Table2[[#This Row],[EV/Real]]-Table2[[#This Row],[Spread/V]]</f>
        <v>0</v>
      </c>
      <c r="AK1164" s="2">
        <f>Table2[[#This Row],[SRS/Diff]]-Table2[[#This Row],[EV/Diff]]</f>
        <v>0</v>
      </c>
      <c r="AL1164" s="18">
        <f>Table2[[#This Row],[SRS]]-Table2[[#This Row],[Spread]]</f>
        <v>-9.4686885245901653</v>
      </c>
      <c r="AM1164" s="21">
        <f>Table2[[#This Row],[(A) Err]]^2</f>
        <v>89.656062375705488</v>
      </c>
      <c r="AN1164" s="6">
        <f>Table2[[#This Row],[EV]]-Table2[[#This Row],[Spread]]</f>
        <v>-6.1252166832523187</v>
      </c>
      <c r="AO1164" s="1">
        <f>Table2[[#This Row],[EV Err]]^2</f>
        <v>37.518279416792538</v>
      </c>
      <c r="AP1164" s="1"/>
    </row>
    <row r="1165" spans="1:42" x14ac:dyDescent="0.25">
      <c r="A1165" s="34">
        <v>42830</v>
      </c>
      <c r="B1165" t="s">
        <v>137</v>
      </c>
      <c r="C1165" t="s">
        <v>112</v>
      </c>
      <c r="E1165" s="21"/>
      <c r="G1165" s="21"/>
      <c r="H1165" s="7"/>
      <c r="I1165" s="21"/>
      <c r="K1165"/>
      <c r="L1165" s="21">
        <f>(Table2[[#This Row],[H/Pace]]/100)*(VLOOKUP(Table2[[#This Row],[Home/Neutral]],home_lookup,8,FALSE)+VLOOKUP(Table2[[#This Row],[Home/Neutral]],OFR_lookup,2,FALSE)+VLOOKUP(Table2[[#This Row],[Visitor/Neutral]],def_diff_lookup,6,FALSE))</f>
        <v>107.0041325542187</v>
      </c>
      <c r="M1165" s="21"/>
      <c r="N1165" s="21">
        <f>(Table2[[#This Row],[A/Pace]]/100)*(VLOOKUP(Table2[[#This Row],[Visitor/Neutral]],OFR_lookup,2,FALSE)+VLOOKUP(Table2[[#This Row],[Home/Neutral]],def_diff_lookup,6,FALSE))</f>
        <v>108.39223933333334</v>
      </c>
      <c r="O1165" s="21"/>
      <c r="P1165" s="21"/>
      <c r="Q1165">
        <f>VLOOKUP(Table2[[#This Row],[Home/Neutral]],pace_lookup,7,FALSE)</f>
        <v>96</v>
      </c>
      <c r="R1165" s="5">
        <f>VLOOKUP(Table2[[#This Row],[Visitor/Neutral]],pace_lookup,7,FALSE)</f>
        <v>97.4</v>
      </c>
      <c r="S1165" s="7"/>
      <c r="U1165" s="15"/>
      <c r="W1165" s="2">
        <f>-home-VLOOKUP(Table2[[#This Row],[Home/Neutral]],rtg_vlookup,4,FALSE)+VLOOKUP(Table2[[#This Row],[Visitor/Neutral]],rtg_vlookup,4,FALSE)</f>
        <v>2.251311475409834</v>
      </c>
      <c r="X1165" s="15"/>
      <c r="Y1165" s="2"/>
      <c r="Z1165" s="2">
        <f>Table2[[#This Row],[A/EV]]-Table2[[#This Row],[H/EV]]</f>
        <v>1.3881067791146364</v>
      </c>
      <c r="AA1165" s="29"/>
      <c r="AB1165" s="30"/>
      <c r="AC1165" s="30"/>
      <c r="AD1165" s="30"/>
      <c r="AE1165" s="30"/>
      <c r="AF1165" s="7" t="b">
        <f>IF(VLOOKUP(Table2[[#This Row],[Home/Neutral]],division_lookup,9,FALSE)=VLOOKUP(Table2[[#This Row],[Visitor/Neutral]],division_lookup,9,FALSE),TRUE,FALSE)</f>
        <v>1</v>
      </c>
      <c r="AG1165" s="15" t="str">
        <f>VLOOKUP(Table2[[#This Row],[Home/Neutral]],division_lookup,9,FALSE)</f>
        <v>SE</v>
      </c>
      <c r="AH1165" s="15" t="str">
        <f>IF(Table2[[#This Row],[Total/EV]]&lt;Table2[[#This Row],[Total/V]],"UNDER","OVER")</f>
        <v>OVER</v>
      </c>
      <c r="AI1165" s="26">
        <f>Table2[[#This Row],[SRS/Real]]-Table2[[#This Row],[Spread/V]]</f>
        <v>0</v>
      </c>
      <c r="AJ1165" s="2">
        <f>Table2[[#This Row],[EV/Real]]-Table2[[#This Row],[Spread/V]]</f>
        <v>0</v>
      </c>
      <c r="AK1165" s="2">
        <f>Table2[[#This Row],[SRS/Diff]]-Table2[[#This Row],[EV/Diff]]</f>
        <v>0</v>
      </c>
      <c r="AL1165" s="18">
        <f>Table2[[#This Row],[SRS]]-Table2[[#This Row],[Spread]]</f>
        <v>2.251311475409834</v>
      </c>
      <c r="AM1165" s="21">
        <f>Table2[[#This Row],[(A) Err]]^2</f>
        <v>5.0684033593120033</v>
      </c>
      <c r="AN1165" s="6">
        <f>Table2[[#This Row],[EV]]-Table2[[#This Row],[Spread]]</f>
        <v>1.3881067791146364</v>
      </c>
      <c r="AO1165" s="1">
        <f>Table2[[#This Row],[EV Err]]^2</f>
        <v>1.9268404302240101</v>
      </c>
      <c r="AP1165" s="1"/>
    </row>
    <row r="1166" spans="1:42" x14ac:dyDescent="0.25">
      <c r="A1166" s="34">
        <v>42831</v>
      </c>
      <c r="B1166" t="s">
        <v>110</v>
      </c>
      <c r="C1166" t="s">
        <v>114</v>
      </c>
      <c r="E1166" s="21"/>
      <c r="G1166" s="21"/>
      <c r="H1166" s="7"/>
      <c r="I1166" s="21"/>
      <c r="K1166"/>
      <c r="L1166" s="21">
        <f>(Table2[[#This Row],[H/Pace]]/100)*(VLOOKUP(Table2[[#This Row],[Home/Neutral]],home_lookup,8,FALSE)+VLOOKUP(Table2[[#This Row],[Home/Neutral]],OFR_lookup,2,FALSE)+VLOOKUP(Table2[[#This Row],[Visitor/Neutral]],def_diff_lookup,6,FALSE))</f>
        <v>105.25321118900941</v>
      </c>
      <c r="M1166" s="21"/>
      <c r="N1166" s="21">
        <f>(Table2[[#This Row],[A/Pace]]/100)*(VLOOKUP(Table2[[#This Row],[Visitor/Neutral]],OFR_lookup,2,FALSE)+VLOOKUP(Table2[[#This Row],[Home/Neutral]],def_diff_lookup,6,FALSE))</f>
        <v>112.37728366666666</v>
      </c>
      <c r="O1166" s="21"/>
      <c r="P1166" s="21"/>
      <c r="Q1166">
        <f>VLOOKUP(Table2[[#This Row],[Home/Neutral]],pace_lookup,7,FALSE)</f>
        <v>96.2</v>
      </c>
      <c r="R1166" s="5">
        <f>VLOOKUP(Table2[[#This Row],[Visitor/Neutral]],pace_lookup,7,FALSE)</f>
        <v>97.3</v>
      </c>
      <c r="S1166" s="7"/>
      <c r="U1166" s="15"/>
      <c r="W1166" s="2">
        <f>-home-VLOOKUP(Table2[[#This Row],[Home/Neutral]],rtg_vlookup,4,FALSE)+VLOOKUP(Table2[[#This Row],[Visitor/Neutral]],rtg_vlookup,4,FALSE)</f>
        <v>5.3913114754098341</v>
      </c>
      <c r="X1166" s="15"/>
      <c r="Y1166" s="2"/>
      <c r="Z1166" s="2">
        <f>Table2[[#This Row],[A/EV]]-Table2[[#This Row],[H/EV]]</f>
        <v>7.1240724776572506</v>
      </c>
      <c r="AA1166" s="29"/>
      <c r="AB1166" s="30"/>
      <c r="AC1166" s="30"/>
      <c r="AD1166" s="30"/>
      <c r="AE1166" s="30"/>
      <c r="AF1166" s="7" t="b">
        <f>IF(VLOOKUP(Table2[[#This Row],[Home/Neutral]],division_lookup,9,FALSE)=VLOOKUP(Table2[[#This Row],[Visitor/Neutral]],division_lookup,9,FALSE),TRUE,FALSE)</f>
        <v>0</v>
      </c>
      <c r="AG1166" s="15" t="str">
        <f>VLOOKUP(Table2[[#This Row],[Home/Neutral]],division_lookup,9,FALSE)</f>
        <v>A</v>
      </c>
      <c r="AH1166" s="15" t="str">
        <f>IF(Table2[[#This Row],[Total/EV]]&lt;Table2[[#This Row],[Total/V]],"UNDER","OVER")</f>
        <v>OVER</v>
      </c>
      <c r="AI1166" s="26">
        <f>Table2[[#This Row],[SRS/Real]]-Table2[[#This Row],[Spread/V]]</f>
        <v>0</v>
      </c>
      <c r="AJ1166" s="2">
        <f>Table2[[#This Row],[EV/Real]]-Table2[[#This Row],[Spread/V]]</f>
        <v>0</v>
      </c>
      <c r="AK1166" s="2">
        <f>Table2[[#This Row],[SRS/Diff]]-Table2[[#This Row],[EV/Diff]]</f>
        <v>0</v>
      </c>
      <c r="AL1166" s="18">
        <f>Table2[[#This Row],[SRS]]-Table2[[#This Row],[Spread]]</f>
        <v>5.3913114754098341</v>
      </c>
      <c r="AM1166" s="21">
        <f>Table2[[#This Row],[(A) Err]]^2</f>
        <v>29.066239424885762</v>
      </c>
      <c r="AN1166" s="6">
        <f>Table2[[#This Row],[EV]]-Table2[[#This Row],[Spread]]</f>
        <v>7.1240724776572506</v>
      </c>
      <c r="AO1166" s="1">
        <f>Table2[[#This Row],[EV Err]]^2</f>
        <v>50.752408666913517</v>
      </c>
      <c r="AP1166" s="1"/>
    </row>
    <row r="1167" spans="1:42" x14ac:dyDescent="0.25">
      <c r="A1167" s="34">
        <v>42831</v>
      </c>
      <c r="B1167" t="s">
        <v>112</v>
      </c>
      <c r="C1167" t="s">
        <v>124</v>
      </c>
      <c r="E1167" s="21"/>
      <c r="G1167" s="21"/>
      <c r="H1167" s="7"/>
      <c r="I1167" s="21"/>
      <c r="K1167"/>
      <c r="L1167" s="21">
        <f>(Table2[[#This Row],[H/Pace]]/100)*(VLOOKUP(Table2[[#This Row],[Home/Neutral]],home_lookup,8,FALSE)+VLOOKUP(Table2[[#This Row],[Home/Neutral]],OFR_lookup,2,FALSE)+VLOOKUP(Table2[[#This Row],[Visitor/Neutral]],def_diff_lookup,6,FALSE))</f>
        <v>102.02722195313484</v>
      </c>
      <c r="M1167" s="21"/>
      <c r="N1167" s="21">
        <f>(Table2[[#This Row],[A/Pace]]/100)*(VLOOKUP(Table2[[#This Row],[Visitor/Neutral]],OFR_lookup,2,FALSE)+VLOOKUP(Table2[[#This Row],[Home/Neutral]],def_diff_lookup,6,FALSE))</f>
        <v>95.869779666666659</v>
      </c>
      <c r="O1167" s="21"/>
      <c r="P1167" s="21"/>
      <c r="Q1167">
        <f>VLOOKUP(Table2[[#This Row],[Home/Neutral]],pace_lookup,7,FALSE)</f>
        <v>97.4</v>
      </c>
      <c r="R1167" s="5">
        <f>VLOOKUP(Table2[[#This Row],[Visitor/Neutral]],pace_lookup,7,FALSE)</f>
        <v>93.7</v>
      </c>
      <c r="S1167" s="7"/>
      <c r="U1167" s="15"/>
      <c r="W1167" s="2">
        <f>-home-VLOOKUP(Table2[[#This Row],[Home/Neutral]],rtg_vlookup,4,FALSE)+VLOOKUP(Table2[[#This Row],[Visitor/Neutral]],rtg_vlookup,4,FALSE)</f>
        <v>-6.018688524590166</v>
      </c>
      <c r="X1167" s="15"/>
      <c r="Y1167" s="2"/>
      <c r="Z1167" s="2">
        <f>Table2[[#This Row],[A/EV]]-Table2[[#This Row],[H/EV]]</f>
        <v>-6.1574422864681821</v>
      </c>
      <c r="AA1167" s="29"/>
      <c r="AB1167" s="30"/>
      <c r="AC1167" s="30"/>
      <c r="AD1167" s="30"/>
      <c r="AE1167" s="30"/>
      <c r="AF1167" s="7" t="b">
        <f>IF(VLOOKUP(Table2[[#This Row],[Home/Neutral]],division_lookup,9,FALSE)=VLOOKUP(Table2[[#This Row],[Visitor/Neutral]],division_lookup,9,FALSE),TRUE,FALSE)</f>
        <v>1</v>
      </c>
      <c r="AG1167" s="15" t="str">
        <f>VLOOKUP(Table2[[#This Row],[Home/Neutral]],division_lookup,9,FALSE)</f>
        <v>SE</v>
      </c>
      <c r="AH1167" s="15" t="str">
        <f>IF(Table2[[#This Row],[Total/EV]]&lt;Table2[[#This Row],[Total/V]],"UNDER","OVER")</f>
        <v>OVER</v>
      </c>
      <c r="AI1167" s="26">
        <f>Table2[[#This Row],[SRS/Real]]-Table2[[#This Row],[Spread/V]]</f>
        <v>0</v>
      </c>
      <c r="AJ1167" s="2">
        <f>Table2[[#This Row],[EV/Real]]-Table2[[#This Row],[Spread/V]]</f>
        <v>0</v>
      </c>
      <c r="AK1167" s="2">
        <f>Table2[[#This Row],[SRS/Diff]]-Table2[[#This Row],[EV/Diff]]</f>
        <v>0</v>
      </c>
      <c r="AL1167" s="18">
        <f>Table2[[#This Row],[SRS]]-Table2[[#This Row],[Spread]]</f>
        <v>-6.018688524590166</v>
      </c>
      <c r="AM1167" s="21">
        <f>Table2[[#This Row],[(A) Err]]^2</f>
        <v>36.224611556033352</v>
      </c>
      <c r="AN1167" s="6">
        <f>Table2[[#This Row],[EV]]-Table2[[#This Row],[Spread]]</f>
        <v>-6.1574422864681821</v>
      </c>
      <c r="AO1167" s="1">
        <f>Table2[[#This Row],[EV Err]]^2</f>
        <v>37.914095511186517</v>
      </c>
      <c r="AP1167" s="1"/>
    </row>
    <row r="1168" spans="1:42" x14ac:dyDescent="0.25">
      <c r="A1168" s="34">
        <v>42831</v>
      </c>
      <c r="B1168" t="s">
        <v>117</v>
      </c>
      <c r="C1168" t="s">
        <v>135</v>
      </c>
      <c r="E1168" s="21"/>
      <c r="G1168" s="21"/>
      <c r="H1168" s="7"/>
      <c r="I1168" s="21"/>
      <c r="K1168"/>
      <c r="L1168" s="21">
        <f>(Table2[[#This Row],[H/Pace]]/100)*(VLOOKUP(Table2[[#This Row],[Home/Neutral]],home_lookup,8,FALSE)+VLOOKUP(Table2[[#This Row],[Home/Neutral]],OFR_lookup,2,FALSE)+VLOOKUP(Table2[[#This Row],[Visitor/Neutral]],def_diff_lookup,6,FALSE))</f>
        <v>113.08259591446428</v>
      </c>
      <c r="M1168" s="21"/>
      <c r="N1168" s="21">
        <f>(Table2[[#This Row],[A/Pace]]/100)*(VLOOKUP(Table2[[#This Row],[Visitor/Neutral]],OFR_lookup,2,FALSE)+VLOOKUP(Table2[[#This Row],[Home/Neutral]],def_diff_lookup,6,FALSE))</f>
        <v>104.554266</v>
      </c>
      <c r="O1168" s="21"/>
      <c r="P1168" s="21"/>
      <c r="Q1168">
        <f>VLOOKUP(Table2[[#This Row],[Home/Neutral]],pace_lookup,7,FALSE)</f>
        <v>94</v>
      </c>
      <c r="R1168" s="5">
        <f>VLOOKUP(Table2[[#This Row],[Visitor/Neutral]],pace_lookup,7,FALSE)</f>
        <v>95.4</v>
      </c>
      <c r="S1168" s="7"/>
      <c r="U1168" s="15"/>
      <c r="W1168" s="2">
        <f>-home-VLOOKUP(Table2[[#This Row],[Home/Neutral]],rtg_vlookup,4,FALSE)+VLOOKUP(Table2[[#This Row],[Visitor/Neutral]],rtg_vlookup,4,FALSE)</f>
        <v>1.5913114754098343</v>
      </c>
      <c r="X1168" s="15"/>
      <c r="Y1168" s="2"/>
      <c r="Z1168" s="2">
        <f>Table2[[#This Row],[A/EV]]-Table2[[#This Row],[H/EV]]</f>
        <v>-8.5283299144642797</v>
      </c>
      <c r="AA1168" s="29"/>
      <c r="AB1168" s="30"/>
      <c r="AC1168" s="30"/>
      <c r="AD1168" s="30"/>
      <c r="AE1168" s="30"/>
      <c r="AF1168" s="7" t="b">
        <f>IF(VLOOKUP(Table2[[#This Row],[Home/Neutral]],division_lookup,9,FALSE)=VLOOKUP(Table2[[#This Row],[Visitor/Neutral]],division_lookup,9,FALSE),TRUE,FALSE)</f>
        <v>0</v>
      </c>
      <c r="AG1168" s="15" t="str">
        <f>VLOOKUP(Table2[[#This Row],[Home/Neutral]],division_lookup,9,FALSE)</f>
        <v>C</v>
      </c>
      <c r="AH1168" s="15" t="str">
        <f>IF(Table2[[#This Row],[Total/EV]]&lt;Table2[[#This Row],[Total/V]],"UNDER","OVER")</f>
        <v>OVER</v>
      </c>
      <c r="AI1168" s="26">
        <f>Table2[[#This Row],[SRS/Real]]-Table2[[#This Row],[Spread/V]]</f>
        <v>0</v>
      </c>
      <c r="AJ1168" s="2">
        <f>Table2[[#This Row],[EV/Real]]-Table2[[#This Row],[Spread/V]]</f>
        <v>0</v>
      </c>
      <c r="AK1168" s="2">
        <f>Table2[[#This Row],[SRS/Diff]]-Table2[[#This Row],[EV/Diff]]</f>
        <v>0</v>
      </c>
      <c r="AL1168" s="18">
        <f>Table2[[#This Row],[SRS]]-Table2[[#This Row],[Spread]]</f>
        <v>1.5913114754098343</v>
      </c>
      <c r="AM1168" s="21">
        <f>Table2[[#This Row],[(A) Err]]^2</f>
        <v>2.5322722117710237</v>
      </c>
      <c r="AN1168" s="6">
        <f>Table2[[#This Row],[EV]]-Table2[[#This Row],[Spread]]</f>
        <v>-8.5283299144642797</v>
      </c>
      <c r="AO1168" s="1">
        <f>Table2[[#This Row],[EV Err]]^2</f>
        <v>72.732411129946314</v>
      </c>
      <c r="AP1168" s="1"/>
    </row>
    <row r="1169" spans="1:42" x14ac:dyDescent="0.25">
      <c r="A1169" s="34">
        <v>42831</v>
      </c>
      <c r="B1169" t="s">
        <v>119</v>
      </c>
      <c r="C1169" t="s">
        <v>116</v>
      </c>
      <c r="E1169" s="21"/>
      <c r="G1169" s="21"/>
      <c r="H1169" s="7"/>
      <c r="I1169" s="21"/>
      <c r="K1169"/>
      <c r="L1169" s="21">
        <f>(Table2[[#This Row],[H/Pace]]/100)*(VLOOKUP(Table2[[#This Row],[Home/Neutral]],home_lookup,8,FALSE)+VLOOKUP(Table2[[#This Row],[Home/Neutral]],OFR_lookup,2,FALSE)+VLOOKUP(Table2[[#This Row],[Visitor/Neutral]],def_diff_lookup,6,FALSE))</f>
        <v>109.16175376977627</v>
      </c>
      <c r="M1169" s="21"/>
      <c r="N1169" s="21">
        <f>(Table2[[#This Row],[A/Pace]]/100)*(VLOOKUP(Table2[[#This Row],[Visitor/Neutral]],OFR_lookup,2,FALSE)+VLOOKUP(Table2[[#This Row],[Home/Neutral]],def_diff_lookup,6,FALSE))</f>
        <v>107.91560566666666</v>
      </c>
      <c r="O1169" s="21"/>
      <c r="P1169" s="21"/>
      <c r="Q1169">
        <f>VLOOKUP(Table2[[#This Row],[Home/Neutral]],pace_lookup,7,FALSE)</f>
        <v>96.9</v>
      </c>
      <c r="R1169" s="5">
        <f>VLOOKUP(Table2[[#This Row],[Visitor/Neutral]],pace_lookup,7,FALSE)</f>
        <v>99.1</v>
      </c>
      <c r="S1169" s="7"/>
      <c r="U1169" s="15"/>
      <c r="W1169" s="2">
        <f>-home-VLOOKUP(Table2[[#This Row],[Home/Neutral]],rtg_vlookup,4,FALSE)+VLOOKUP(Table2[[#This Row],[Visitor/Neutral]],rtg_vlookup,4,FALSE)</f>
        <v>-7.1986885245901657</v>
      </c>
      <c r="X1169" s="15"/>
      <c r="Y1169" s="2"/>
      <c r="Z1169" s="2">
        <f>Table2[[#This Row],[A/EV]]-Table2[[#This Row],[H/EV]]</f>
        <v>-1.2461481031096042</v>
      </c>
      <c r="AA1169" s="29"/>
      <c r="AB1169" s="30"/>
      <c r="AC1169" s="30"/>
      <c r="AD1169" s="30"/>
      <c r="AE1169" s="30"/>
      <c r="AF1169" s="7" t="b">
        <f>IF(VLOOKUP(Table2[[#This Row],[Home/Neutral]],division_lookup,9,FALSE)=VLOOKUP(Table2[[#This Row],[Visitor/Neutral]],division_lookup,9,FALSE),TRUE,FALSE)</f>
        <v>0</v>
      </c>
      <c r="AG1169" s="15" t="str">
        <f>VLOOKUP(Table2[[#This Row],[Home/Neutral]],division_lookup,9,FALSE)</f>
        <v>SW</v>
      </c>
      <c r="AH1169" s="15" t="str">
        <f>IF(Table2[[#This Row],[Total/EV]]&lt;Table2[[#This Row],[Total/V]],"UNDER","OVER")</f>
        <v>OVER</v>
      </c>
      <c r="AI1169" s="26">
        <f>Table2[[#This Row],[SRS/Real]]-Table2[[#This Row],[Spread/V]]</f>
        <v>0</v>
      </c>
      <c r="AJ1169" s="2">
        <f>Table2[[#This Row],[EV/Real]]-Table2[[#This Row],[Spread/V]]</f>
        <v>0</v>
      </c>
      <c r="AK1169" s="2">
        <f>Table2[[#This Row],[SRS/Diff]]-Table2[[#This Row],[EV/Diff]]</f>
        <v>0</v>
      </c>
      <c r="AL1169" s="18">
        <f>Table2[[#This Row],[SRS]]-Table2[[#This Row],[Spread]]</f>
        <v>-7.1986885245901657</v>
      </c>
      <c r="AM1169" s="21">
        <f>Table2[[#This Row],[(A) Err]]^2</f>
        <v>51.821116474066137</v>
      </c>
      <c r="AN1169" s="6">
        <f>Table2[[#This Row],[EV]]-Table2[[#This Row],[Spread]]</f>
        <v>-1.2461481031096042</v>
      </c>
      <c r="AO1169" s="1">
        <f>Table2[[#This Row],[EV Err]]^2</f>
        <v>1.5528850948836648</v>
      </c>
      <c r="AP1169" s="1"/>
    </row>
    <row r="1170" spans="1:42" x14ac:dyDescent="0.25">
      <c r="A1170" s="34">
        <v>42831</v>
      </c>
      <c r="B1170" t="s">
        <v>121</v>
      </c>
      <c r="C1170" t="s">
        <v>115</v>
      </c>
      <c r="E1170" s="21"/>
      <c r="G1170" s="21"/>
      <c r="H1170" s="7"/>
      <c r="I1170" s="21"/>
      <c r="K1170"/>
      <c r="L1170" s="21">
        <f>(Table2[[#This Row],[H/Pace]]/100)*(VLOOKUP(Table2[[#This Row],[Home/Neutral]],home_lookup,8,FALSE)+VLOOKUP(Table2[[#This Row],[Home/Neutral]],OFR_lookup,2,FALSE)+VLOOKUP(Table2[[#This Row],[Visitor/Neutral]],def_diff_lookup,6,FALSE))</f>
        <v>113.20560060751254</v>
      </c>
      <c r="M1170" s="21"/>
      <c r="N1170" s="21">
        <f>(Table2[[#This Row],[A/Pace]]/100)*(VLOOKUP(Table2[[#This Row],[Visitor/Neutral]],OFR_lookup,2,FALSE)+VLOOKUP(Table2[[#This Row],[Home/Neutral]],def_diff_lookup,6,FALSE))</f>
        <v>86.225754333333342</v>
      </c>
      <c r="O1170" s="21"/>
      <c r="P1170" s="21"/>
      <c r="Q1170">
        <f>VLOOKUP(Table2[[#This Row],[Home/Neutral]],pace_lookup,7,FALSE)</f>
        <v>96.4</v>
      </c>
      <c r="R1170" s="5">
        <f>VLOOKUP(Table2[[#This Row],[Visitor/Neutral]],pace_lookup,7,FALSE)</f>
        <v>92.9</v>
      </c>
      <c r="S1170" s="7"/>
      <c r="U1170" s="15"/>
      <c r="W1170" s="2">
        <f>-home-VLOOKUP(Table2[[#This Row],[Home/Neutral]],rtg_vlookup,4,FALSE)+VLOOKUP(Table2[[#This Row],[Visitor/Neutral]],rtg_vlookup,4,FALSE)</f>
        <v>-24.368688524590166</v>
      </c>
      <c r="X1170" s="15"/>
      <c r="Y1170" s="2"/>
      <c r="Z1170" s="2">
        <f>Table2[[#This Row],[A/EV]]-Table2[[#This Row],[H/EV]]</f>
        <v>-26.979846274179195</v>
      </c>
      <c r="AA1170" s="29"/>
      <c r="AB1170" s="30"/>
      <c r="AC1170" s="30"/>
      <c r="AD1170" s="30"/>
      <c r="AE1170" s="30"/>
      <c r="AF1170" s="7" t="b">
        <f>IF(VLOOKUP(Table2[[#This Row],[Home/Neutral]],division_lookup,9,FALSE)=VLOOKUP(Table2[[#This Row],[Visitor/Neutral]],division_lookup,9,FALSE),TRUE,FALSE)</f>
        <v>0</v>
      </c>
      <c r="AG1170" s="15" t="str">
        <f>VLOOKUP(Table2[[#This Row],[Home/Neutral]],division_lookup,9,FALSE)</f>
        <v>P</v>
      </c>
      <c r="AH1170" s="15" t="str">
        <f>IF(Table2[[#This Row],[Total/EV]]&lt;Table2[[#This Row],[Total/V]],"UNDER","OVER")</f>
        <v>OVER</v>
      </c>
      <c r="AI1170" s="26">
        <f>Table2[[#This Row],[SRS/Real]]-Table2[[#This Row],[Spread/V]]</f>
        <v>0</v>
      </c>
      <c r="AJ1170" s="2">
        <f>Table2[[#This Row],[EV/Real]]-Table2[[#This Row],[Spread/V]]</f>
        <v>0</v>
      </c>
      <c r="AK1170" s="2">
        <f>Table2[[#This Row],[SRS/Diff]]-Table2[[#This Row],[EV/Diff]]</f>
        <v>0</v>
      </c>
      <c r="AL1170" s="18">
        <f>Table2[[#This Row],[SRS]]-Table2[[#This Row],[Spread]]</f>
        <v>-24.368688524590166</v>
      </c>
      <c r="AM1170" s="21">
        <f>Table2[[#This Row],[(A) Err]]^2</f>
        <v>593.8329804084924</v>
      </c>
      <c r="AN1170" s="6">
        <f>Table2[[#This Row],[EV]]-Table2[[#This Row],[Spread]]</f>
        <v>-26.979846274179195</v>
      </c>
      <c r="AO1170" s="1">
        <f>Table2[[#This Row],[EV Err]]^2</f>
        <v>727.91210497834095</v>
      </c>
      <c r="AP1170" s="1"/>
    </row>
    <row r="1171" spans="1:42" x14ac:dyDescent="0.25">
      <c r="A1171" s="34">
        <v>42831</v>
      </c>
      <c r="B1171" t="s">
        <v>123</v>
      </c>
      <c r="C1171" t="s">
        <v>129</v>
      </c>
      <c r="E1171" s="21"/>
      <c r="G1171" s="21"/>
      <c r="H1171" s="7"/>
      <c r="I1171" s="21"/>
      <c r="K1171"/>
      <c r="L1171" s="21">
        <f>(Table2[[#This Row],[H/Pace]]/100)*(VLOOKUP(Table2[[#This Row],[Home/Neutral]],home_lookup,8,FALSE)+VLOOKUP(Table2[[#This Row],[Home/Neutral]],OFR_lookup,2,FALSE)+VLOOKUP(Table2[[#This Row],[Visitor/Neutral]],def_diff_lookup,6,FALSE))</f>
        <v>99.977927095639188</v>
      </c>
      <c r="M1171" s="21"/>
      <c r="N1171" s="21">
        <f>(Table2[[#This Row],[A/Pace]]/100)*(VLOOKUP(Table2[[#This Row],[Visitor/Neutral]],OFR_lookup,2,FALSE)+VLOOKUP(Table2[[#This Row],[Home/Neutral]],def_diff_lookup,6,FALSE))</f>
        <v>101.66870999999999</v>
      </c>
      <c r="O1171" s="21"/>
      <c r="P1171" s="21"/>
      <c r="Q1171">
        <f>VLOOKUP(Table2[[#This Row],[Home/Neutral]],pace_lookup,7,FALSE)</f>
        <v>92.5</v>
      </c>
      <c r="R1171" s="5">
        <f>VLOOKUP(Table2[[#This Row],[Visitor/Neutral]],pace_lookup,7,FALSE)</f>
        <v>99</v>
      </c>
      <c r="S1171" s="7"/>
      <c r="U1171" s="15"/>
      <c r="W1171" s="2">
        <f>-home-VLOOKUP(Table2[[#This Row],[Home/Neutral]],rtg_vlookup,4,FALSE)+VLOOKUP(Table2[[#This Row],[Visitor/Neutral]],rtg_vlookup,4,FALSE)</f>
        <v>-1.9486885245901659</v>
      </c>
      <c r="X1171" s="15"/>
      <c r="Y1171" s="2"/>
      <c r="Z1171" s="2">
        <f>Table2[[#This Row],[A/EV]]-Table2[[#This Row],[H/EV]]</f>
        <v>1.6907829043608018</v>
      </c>
      <c r="AA1171" s="29"/>
      <c r="AB1171" s="30"/>
      <c r="AC1171" s="30"/>
      <c r="AD1171" s="30"/>
      <c r="AE1171" s="30"/>
      <c r="AF1171" s="7" t="b">
        <f>IF(VLOOKUP(Table2[[#This Row],[Home/Neutral]],division_lookup,9,FALSE)=VLOOKUP(Table2[[#This Row],[Visitor/Neutral]],division_lookup,9,FALSE),TRUE,FALSE)</f>
        <v>0</v>
      </c>
      <c r="AG1171" s="15" t="str">
        <f>VLOOKUP(Table2[[#This Row],[Home/Neutral]],division_lookup,9,FALSE)</f>
        <v>SW</v>
      </c>
      <c r="AH1171" s="15" t="str">
        <f>IF(Table2[[#This Row],[Total/EV]]&lt;Table2[[#This Row],[Total/V]],"UNDER","OVER")</f>
        <v>OVER</v>
      </c>
      <c r="AI1171" s="26">
        <f>Table2[[#This Row],[SRS/Real]]-Table2[[#This Row],[Spread/V]]</f>
        <v>0</v>
      </c>
      <c r="AJ1171" s="2">
        <f>Table2[[#This Row],[EV/Real]]-Table2[[#This Row],[Spread/V]]</f>
        <v>0</v>
      </c>
      <c r="AK1171" s="2">
        <f>Table2[[#This Row],[SRS/Diff]]-Table2[[#This Row],[EV/Diff]]</f>
        <v>0</v>
      </c>
      <c r="AL1171" s="18">
        <f>Table2[[#This Row],[SRS]]-Table2[[#This Row],[Spread]]</f>
        <v>-1.9486885245901659</v>
      </c>
      <c r="AM1171" s="21">
        <f>Table2[[#This Row],[(A) Err]]^2</f>
        <v>3.7973869658693977</v>
      </c>
      <c r="AN1171" s="6">
        <f>Table2[[#This Row],[EV]]-Table2[[#This Row],[Spread]]</f>
        <v>1.6907829043608018</v>
      </c>
      <c r="AO1171" s="1">
        <f>Table2[[#This Row],[EV Err]]^2</f>
        <v>2.8587468296787484</v>
      </c>
      <c r="AP1171" s="1"/>
    </row>
    <row r="1172" spans="1:42" x14ac:dyDescent="0.25">
      <c r="A1172" s="34">
        <v>42831</v>
      </c>
      <c r="B1172" t="s">
        <v>131</v>
      </c>
      <c r="C1172" t="s">
        <v>118</v>
      </c>
      <c r="E1172" s="21"/>
      <c r="G1172" s="21"/>
      <c r="H1172" s="7"/>
      <c r="I1172" s="21"/>
      <c r="K1172"/>
      <c r="L1172" s="21">
        <f>(Table2[[#This Row],[H/Pace]]/100)*(VLOOKUP(Table2[[#This Row],[Home/Neutral]],home_lookup,8,FALSE)+VLOOKUP(Table2[[#This Row],[Home/Neutral]],OFR_lookup,2,FALSE)+VLOOKUP(Table2[[#This Row],[Visitor/Neutral]],def_diff_lookup,6,FALSE))</f>
        <v>95.804449791197669</v>
      </c>
      <c r="M1172" s="21"/>
      <c r="N1172" s="21">
        <f>(Table2[[#This Row],[A/Pace]]/100)*(VLOOKUP(Table2[[#This Row],[Visitor/Neutral]],OFR_lookup,2,FALSE)+VLOOKUP(Table2[[#This Row],[Home/Neutral]],def_diff_lookup,6,FALSE))</f>
        <v>118.53792933333332</v>
      </c>
      <c r="O1172" s="21"/>
      <c r="P1172" s="21"/>
      <c r="Q1172">
        <f>VLOOKUP(Table2[[#This Row],[Home/Neutral]],pace_lookup,7,FALSE)</f>
        <v>101.7</v>
      </c>
      <c r="R1172" s="5">
        <f>VLOOKUP(Table2[[#This Row],[Visitor/Neutral]],pace_lookup,7,FALSE)</f>
        <v>100.4</v>
      </c>
      <c r="S1172" s="7"/>
      <c r="U1172" s="15"/>
      <c r="W1172" s="2">
        <f>-home-VLOOKUP(Table2[[#This Row],[Home/Neutral]],rtg_vlookup,4,FALSE)+VLOOKUP(Table2[[#This Row],[Visitor/Neutral]],rtg_vlookup,4,FALSE)</f>
        <v>15.021311475409835</v>
      </c>
      <c r="X1172" s="15"/>
      <c r="Y1172" s="2"/>
      <c r="Z1172" s="2">
        <f>Table2[[#This Row],[A/EV]]-Table2[[#This Row],[H/EV]]</f>
        <v>22.733479542135655</v>
      </c>
      <c r="AA1172" s="29"/>
      <c r="AB1172" s="30"/>
      <c r="AC1172" s="30"/>
      <c r="AD1172" s="30"/>
      <c r="AE1172" s="30"/>
      <c r="AF1172" s="7" t="b">
        <f>IF(VLOOKUP(Table2[[#This Row],[Home/Neutral]],division_lookup,9,FALSE)=VLOOKUP(Table2[[#This Row],[Visitor/Neutral]],division_lookup,9,FALSE),TRUE,FALSE)</f>
        <v>1</v>
      </c>
      <c r="AG1172" s="15" t="str">
        <f>VLOOKUP(Table2[[#This Row],[Home/Neutral]],division_lookup,9,FALSE)</f>
        <v>P</v>
      </c>
      <c r="AH1172" s="15" t="str">
        <f>IF(Table2[[#This Row],[Total/EV]]&lt;Table2[[#This Row],[Total/V]],"UNDER","OVER")</f>
        <v>OVER</v>
      </c>
      <c r="AI1172" s="26">
        <f>Table2[[#This Row],[SRS/Real]]-Table2[[#This Row],[Spread/V]]</f>
        <v>0</v>
      </c>
      <c r="AJ1172" s="2">
        <f>Table2[[#This Row],[EV/Real]]-Table2[[#This Row],[Spread/V]]</f>
        <v>0</v>
      </c>
      <c r="AK1172" s="2">
        <f>Table2[[#This Row],[SRS/Diff]]-Table2[[#This Row],[EV/Diff]]</f>
        <v>0</v>
      </c>
      <c r="AL1172" s="18">
        <f>Table2[[#This Row],[SRS]]-Table2[[#This Row],[Spread]]</f>
        <v>15.021311475409835</v>
      </c>
      <c r="AM1172" s="21">
        <f>Table2[[#This Row],[(A) Err]]^2</f>
        <v>225.6397984412792</v>
      </c>
      <c r="AN1172" s="6">
        <f>Table2[[#This Row],[EV]]-Table2[[#This Row],[Spread]]</f>
        <v>22.733479542135655</v>
      </c>
      <c r="AO1172" s="1">
        <f>Table2[[#This Row],[EV Err]]^2</f>
        <v>516.81109209270028</v>
      </c>
      <c r="AP1172" s="1"/>
    </row>
    <row r="1173" spans="1:42" x14ac:dyDescent="0.25">
      <c r="A1173" s="34">
        <v>42831</v>
      </c>
      <c r="B1173" t="s">
        <v>134</v>
      </c>
      <c r="C1173" t="s">
        <v>122</v>
      </c>
      <c r="E1173" s="21"/>
      <c r="G1173" s="21"/>
      <c r="H1173" s="7"/>
      <c r="I1173" s="21"/>
      <c r="K1173"/>
      <c r="L1173" s="21">
        <f>(Table2[[#This Row],[H/Pace]]/100)*(VLOOKUP(Table2[[#This Row],[Home/Neutral]],home_lookup,8,FALSE)+VLOOKUP(Table2[[#This Row],[Home/Neutral]],OFR_lookup,2,FALSE)+VLOOKUP(Table2[[#This Row],[Visitor/Neutral]],def_diff_lookup,6,FALSE))</f>
        <v>104.93251343638192</v>
      </c>
      <c r="M1173" s="21"/>
      <c r="N1173" s="21">
        <f>(Table2[[#This Row],[A/Pace]]/100)*(VLOOKUP(Table2[[#This Row],[Visitor/Neutral]],OFR_lookup,2,FALSE)+VLOOKUP(Table2[[#This Row],[Home/Neutral]],def_diff_lookup,6,FALSE))</f>
        <v>107.82087799999999</v>
      </c>
      <c r="O1173" s="21"/>
      <c r="P1173" s="21"/>
      <c r="Q1173">
        <f>VLOOKUP(Table2[[#This Row],[Home/Neutral]],pace_lookup,7,FALSE)</f>
        <v>93.4</v>
      </c>
      <c r="R1173" s="5">
        <f>VLOOKUP(Table2[[#This Row],[Visitor/Neutral]],pace_lookup,7,FALSE)</f>
        <v>100.2</v>
      </c>
      <c r="S1173" s="7"/>
      <c r="U1173" s="15"/>
      <c r="W1173" s="2">
        <f>-home-VLOOKUP(Table2[[#This Row],[Home/Neutral]],rtg_vlookup,4,FALSE)+VLOOKUP(Table2[[#This Row],[Visitor/Neutral]],rtg_vlookup,4,FALSE)</f>
        <v>-12.418688524590165</v>
      </c>
      <c r="X1173" s="15"/>
      <c r="Y1173" s="2"/>
      <c r="Z1173" s="2">
        <f>Table2[[#This Row],[A/EV]]-Table2[[#This Row],[H/EV]]</f>
        <v>2.8883645636180688</v>
      </c>
      <c r="AA1173" s="29"/>
      <c r="AB1173" s="30"/>
      <c r="AC1173" s="30"/>
      <c r="AD1173" s="30"/>
      <c r="AE1173" s="30"/>
      <c r="AF1173" s="7" t="b">
        <f>IF(VLOOKUP(Table2[[#This Row],[Home/Neutral]],division_lookup,9,FALSE)=VLOOKUP(Table2[[#This Row],[Visitor/Neutral]],division_lookup,9,FALSE),TRUE,FALSE)</f>
        <v>0</v>
      </c>
      <c r="AG1173" s="15" t="str">
        <f>VLOOKUP(Table2[[#This Row],[Home/Neutral]],division_lookup,9,FALSE)</f>
        <v>SW</v>
      </c>
      <c r="AH1173" s="15" t="str">
        <f>IF(Table2[[#This Row],[Total/EV]]&lt;Table2[[#This Row],[Total/V]],"UNDER","OVER")</f>
        <v>OVER</v>
      </c>
      <c r="AI1173" s="26">
        <f>Table2[[#This Row],[SRS/Real]]-Table2[[#This Row],[Spread/V]]</f>
        <v>0</v>
      </c>
      <c r="AJ1173" s="2">
        <f>Table2[[#This Row],[EV/Real]]-Table2[[#This Row],[Spread/V]]</f>
        <v>0</v>
      </c>
      <c r="AK1173" s="2">
        <f>Table2[[#This Row],[SRS/Diff]]-Table2[[#This Row],[EV/Diff]]</f>
        <v>0</v>
      </c>
      <c r="AL1173" s="18">
        <f>Table2[[#This Row],[SRS]]-Table2[[#This Row],[Spread]]</f>
        <v>-12.418688524590165</v>
      </c>
      <c r="AM1173" s="21">
        <f>Table2[[#This Row],[(A) Err]]^2</f>
        <v>154.22382467078745</v>
      </c>
      <c r="AN1173" s="6">
        <f>Table2[[#This Row],[EV]]-Table2[[#This Row],[Spread]]</f>
        <v>2.8883645636180688</v>
      </c>
      <c r="AO1173" s="1">
        <f>Table2[[#This Row],[EV Err]]^2</f>
        <v>8.3426498523645964</v>
      </c>
      <c r="AP1173" s="1"/>
    </row>
    <row r="1174" spans="1:42" x14ac:dyDescent="0.25">
      <c r="A1174" s="34">
        <v>42832</v>
      </c>
      <c r="B1174" t="s">
        <v>109</v>
      </c>
      <c r="C1174" t="s">
        <v>110</v>
      </c>
      <c r="E1174" s="21"/>
      <c r="G1174" s="21"/>
      <c r="H1174" s="7"/>
      <c r="I1174" s="21"/>
      <c r="K1174"/>
      <c r="L1174" s="21">
        <f>(Table2[[#This Row],[H/Pace]]/100)*(VLOOKUP(Table2[[#This Row],[Home/Neutral]],home_lookup,8,FALSE)+VLOOKUP(Table2[[#This Row],[Home/Neutral]],OFR_lookup,2,FALSE)+VLOOKUP(Table2[[#This Row],[Visitor/Neutral]],def_diff_lookup,6,FALSE))</f>
        <v>101.11968660728638</v>
      </c>
      <c r="M1174" s="21"/>
      <c r="N1174" s="21">
        <f>(Table2[[#This Row],[A/Pace]]/100)*(VLOOKUP(Table2[[#This Row],[Visitor/Neutral]],OFR_lookup,2,FALSE)+VLOOKUP(Table2[[#This Row],[Home/Neutral]],def_diff_lookup,6,FALSE))</f>
        <v>97.138591333333338</v>
      </c>
      <c r="O1174" s="21"/>
      <c r="P1174" s="21"/>
      <c r="Q1174">
        <f>VLOOKUP(Table2[[#This Row],[Home/Neutral]],pace_lookup,7,FALSE)</f>
        <v>99.2</v>
      </c>
      <c r="R1174" s="5">
        <f>VLOOKUP(Table2[[#This Row],[Visitor/Neutral]],pace_lookup,7,FALSE)</f>
        <v>96.2</v>
      </c>
      <c r="S1174" s="7"/>
      <c r="U1174" s="15"/>
      <c r="W1174" s="2">
        <f>-home-VLOOKUP(Table2[[#This Row],[Home/Neutral]],rtg_vlookup,4,FALSE)+VLOOKUP(Table2[[#This Row],[Visitor/Neutral]],rtg_vlookup,4,FALSE)</f>
        <v>-4.5786885245901656</v>
      </c>
      <c r="X1174" s="15"/>
      <c r="Y1174" s="2"/>
      <c r="Z1174" s="2">
        <f>Table2[[#This Row],[A/EV]]-Table2[[#This Row],[H/EV]]</f>
        <v>-3.981095273953045</v>
      </c>
      <c r="AA1174" s="29"/>
      <c r="AB1174" s="30"/>
      <c r="AC1174" s="30"/>
      <c r="AD1174" s="30"/>
      <c r="AE1174" s="30"/>
      <c r="AF1174" s="7" t="b">
        <f>IF(VLOOKUP(Table2[[#This Row],[Home/Neutral]],division_lookup,9,FALSE)=VLOOKUP(Table2[[#This Row],[Visitor/Neutral]],division_lookup,9,FALSE),TRUE,FALSE)</f>
        <v>0</v>
      </c>
      <c r="AG1174" s="15" t="str">
        <f>VLOOKUP(Table2[[#This Row],[Home/Neutral]],division_lookup,9,FALSE)</f>
        <v>SE</v>
      </c>
      <c r="AH1174" s="15" t="str">
        <f>IF(Table2[[#This Row],[Total/EV]]&lt;Table2[[#This Row],[Total/V]],"UNDER","OVER")</f>
        <v>OVER</v>
      </c>
      <c r="AI1174" s="26">
        <f>Table2[[#This Row],[SRS/Real]]-Table2[[#This Row],[Spread/V]]</f>
        <v>0</v>
      </c>
      <c r="AJ1174" s="2">
        <f>Table2[[#This Row],[EV/Real]]-Table2[[#This Row],[Spread/V]]</f>
        <v>0</v>
      </c>
      <c r="AK1174" s="2">
        <f>Table2[[#This Row],[SRS/Diff]]-Table2[[#This Row],[EV/Diff]]</f>
        <v>0</v>
      </c>
      <c r="AL1174" s="18">
        <f>Table2[[#This Row],[SRS]]-Table2[[#This Row],[Spread]]</f>
        <v>-4.5786885245901656</v>
      </c>
      <c r="AM1174" s="21">
        <f>Table2[[#This Row],[(A) Err]]^2</f>
        <v>20.964388605213667</v>
      </c>
      <c r="AN1174" s="6">
        <f>Table2[[#This Row],[EV]]-Table2[[#This Row],[Spread]]</f>
        <v>-3.981095273953045</v>
      </c>
      <c r="AO1174" s="1">
        <f>Table2[[#This Row],[EV Err]]^2</f>
        <v>15.849119580291271</v>
      </c>
      <c r="AP1174" s="1"/>
    </row>
    <row r="1175" spans="1:42" x14ac:dyDescent="0.25">
      <c r="A1175" s="34">
        <v>42832</v>
      </c>
      <c r="B1175" t="s">
        <v>120</v>
      </c>
      <c r="C1175" t="s">
        <v>125</v>
      </c>
      <c r="E1175" s="21"/>
      <c r="G1175" s="21"/>
      <c r="H1175" s="7"/>
      <c r="I1175" s="21"/>
      <c r="K1175"/>
      <c r="L1175" s="21">
        <f>(Table2[[#This Row],[H/Pace]]/100)*(VLOOKUP(Table2[[#This Row],[Home/Neutral]],home_lookup,8,FALSE)+VLOOKUP(Table2[[#This Row],[Home/Neutral]],OFR_lookup,2,FALSE)+VLOOKUP(Table2[[#This Row],[Visitor/Neutral]],def_diff_lookup,6,FALSE))</f>
        <v>108.02054542930861</v>
      </c>
      <c r="M1175" s="21"/>
      <c r="N1175" s="21">
        <f>(Table2[[#This Row],[A/Pace]]/100)*(VLOOKUP(Table2[[#This Row],[Visitor/Neutral]],OFR_lookup,2,FALSE)+VLOOKUP(Table2[[#This Row],[Home/Neutral]],def_diff_lookup,6,FALSE))</f>
        <v>103.79344566666666</v>
      </c>
      <c r="O1175" s="21"/>
      <c r="P1175" s="21"/>
      <c r="Q1175">
        <f>VLOOKUP(Table2[[#This Row],[Home/Neutral]],pace_lookup,7,FALSE)</f>
        <v>98.3</v>
      </c>
      <c r="R1175" s="5">
        <f>VLOOKUP(Table2[[#This Row],[Visitor/Neutral]],pace_lookup,7,FALSE)</f>
        <v>96.1</v>
      </c>
      <c r="S1175" s="7"/>
      <c r="U1175" s="15"/>
      <c r="W1175" s="2">
        <f>-home-VLOOKUP(Table2[[#This Row],[Home/Neutral]],rtg_vlookup,4,FALSE)+VLOOKUP(Table2[[#This Row],[Visitor/Neutral]],rtg_vlookup,4,FALSE)</f>
        <v>-0.5586885245901656</v>
      </c>
      <c r="X1175" s="15"/>
      <c r="Y1175" s="2"/>
      <c r="Z1175" s="2">
        <f>Table2[[#This Row],[A/EV]]-Table2[[#This Row],[H/EV]]</f>
        <v>-4.2270997626419557</v>
      </c>
      <c r="AA1175" s="29"/>
      <c r="AB1175" s="30"/>
      <c r="AC1175" s="30"/>
      <c r="AD1175" s="30"/>
      <c r="AE1175" s="30"/>
      <c r="AF1175" s="7" t="b">
        <f>IF(VLOOKUP(Table2[[#This Row],[Home/Neutral]],division_lookup,9,FALSE)=VLOOKUP(Table2[[#This Row],[Visitor/Neutral]],division_lookup,9,FALSE),TRUE,FALSE)</f>
        <v>1</v>
      </c>
      <c r="AG1175" s="15" t="str">
        <f>VLOOKUP(Table2[[#This Row],[Home/Neutral]],division_lookup,9,FALSE)</f>
        <v>C</v>
      </c>
      <c r="AH1175" s="15" t="str">
        <f>IF(Table2[[#This Row],[Total/EV]]&lt;Table2[[#This Row],[Total/V]],"UNDER","OVER")</f>
        <v>OVER</v>
      </c>
      <c r="AI1175" s="26">
        <f>Table2[[#This Row],[SRS/Real]]-Table2[[#This Row],[Spread/V]]</f>
        <v>0</v>
      </c>
      <c r="AJ1175" s="2">
        <f>Table2[[#This Row],[EV/Real]]-Table2[[#This Row],[Spread/V]]</f>
        <v>0</v>
      </c>
      <c r="AK1175" s="2">
        <f>Table2[[#This Row],[SRS/Diff]]-Table2[[#This Row],[EV/Diff]]</f>
        <v>0</v>
      </c>
      <c r="AL1175" s="18">
        <f>Table2[[#This Row],[SRS]]-Table2[[#This Row],[Spread]]</f>
        <v>-0.5586885245901656</v>
      </c>
      <c r="AM1175" s="21">
        <f>Table2[[#This Row],[(A) Err]]^2</f>
        <v>0.31213286750873609</v>
      </c>
      <c r="AN1175" s="6">
        <f>Table2[[#This Row],[EV]]-Table2[[#This Row],[Spread]]</f>
        <v>-4.2270997626419557</v>
      </c>
      <c r="AO1175" s="1">
        <f>Table2[[#This Row],[EV Err]]^2</f>
        <v>17.86837240332768</v>
      </c>
      <c r="AP1175" s="1"/>
    </row>
    <row r="1176" spans="1:42" x14ac:dyDescent="0.25">
      <c r="A1176" s="34">
        <v>42832</v>
      </c>
      <c r="B1176" t="s">
        <v>128</v>
      </c>
      <c r="C1176" t="s">
        <v>137</v>
      </c>
      <c r="E1176" s="21"/>
      <c r="G1176" s="21"/>
      <c r="H1176" s="7"/>
      <c r="I1176" s="21"/>
      <c r="K1176"/>
      <c r="L1176" s="21">
        <f>(Table2[[#This Row],[H/Pace]]/100)*(VLOOKUP(Table2[[#This Row],[Home/Neutral]],home_lookup,8,FALSE)+VLOOKUP(Table2[[#This Row],[Home/Neutral]],OFR_lookup,2,FALSE)+VLOOKUP(Table2[[#This Row],[Visitor/Neutral]],def_diff_lookup,6,FALSE))</f>
        <v>111.77404987783019</v>
      </c>
      <c r="M1176" s="21"/>
      <c r="N1176" s="21">
        <f>(Table2[[#This Row],[A/Pace]]/100)*(VLOOKUP(Table2[[#This Row],[Visitor/Neutral]],OFR_lookup,2,FALSE)+VLOOKUP(Table2[[#This Row],[Home/Neutral]],def_diff_lookup,6,FALSE))</f>
        <v>105.90304</v>
      </c>
      <c r="O1176" s="21"/>
      <c r="P1176" s="21"/>
      <c r="Q1176">
        <f>VLOOKUP(Table2[[#This Row],[Home/Neutral]],pace_lookup,7,FALSE)</f>
        <v>96.3</v>
      </c>
      <c r="R1176" s="5">
        <f>VLOOKUP(Table2[[#This Row],[Visitor/Neutral]],pace_lookup,7,FALSE)</f>
        <v>96</v>
      </c>
      <c r="S1176" s="7"/>
      <c r="U1176" s="15"/>
      <c r="W1176" s="2">
        <f>-home-VLOOKUP(Table2[[#This Row],[Home/Neutral]],rtg_vlookup,4,FALSE)+VLOOKUP(Table2[[#This Row],[Visitor/Neutral]],rtg_vlookup,4,FALSE)</f>
        <v>-3.9086885245901657</v>
      </c>
      <c r="X1176" s="15"/>
      <c r="Y1176" s="2"/>
      <c r="Z1176" s="2">
        <f>Table2[[#This Row],[A/EV]]-Table2[[#This Row],[H/EV]]</f>
        <v>-5.8710098778301898</v>
      </c>
      <c r="AA1176" s="29"/>
      <c r="AB1176" s="30"/>
      <c r="AC1176" s="30"/>
      <c r="AD1176" s="30"/>
      <c r="AE1176" s="30"/>
      <c r="AF1176" s="7" t="b">
        <f>IF(VLOOKUP(Table2[[#This Row],[Home/Neutral]],division_lookup,9,FALSE)=VLOOKUP(Table2[[#This Row],[Visitor/Neutral]],division_lookup,9,FALSE),TRUE,FALSE)</f>
        <v>0</v>
      </c>
      <c r="AG1176" s="15" t="str">
        <f>VLOOKUP(Table2[[#This Row],[Home/Neutral]],division_lookup,9,FALSE)</f>
        <v>A</v>
      </c>
      <c r="AH1176" s="15" t="str">
        <f>IF(Table2[[#This Row],[Total/EV]]&lt;Table2[[#This Row],[Total/V]],"UNDER","OVER")</f>
        <v>OVER</v>
      </c>
      <c r="AI1176" s="26">
        <f>Table2[[#This Row],[SRS/Real]]-Table2[[#This Row],[Spread/V]]</f>
        <v>0</v>
      </c>
      <c r="AJ1176" s="2">
        <f>Table2[[#This Row],[EV/Real]]-Table2[[#This Row],[Spread/V]]</f>
        <v>0</v>
      </c>
      <c r="AK1176" s="2">
        <f>Table2[[#This Row],[SRS/Diff]]-Table2[[#This Row],[EV/Diff]]</f>
        <v>0</v>
      </c>
      <c r="AL1176" s="18">
        <f>Table2[[#This Row],[SRS]]-Table2[[#This Row],[Spread]]</f>
        <v>-3.9086885245901657</v>
      </c>
      <c r="AM1176" s="21">
        <f>Table2[[#This Row],[(A) Err]]^2</f>
        <v>15.277845982262846</v>
      </c>
      <c r="AN1176" s="6">
        <f>Table2[[#This Row],[EV]]-Table2[[#This Row],[Spread]]</f>
        <v>-5.8710098778301898</v>
      </c>
      <c r="AO1176" s="1">
        <f>Table2[[#This Row],[EV Err]]^2</f>
        <v>34.46875698557966</v>
      </c>
      <c r="AP1176" s="1"/>
    </row>
    <row r="1177" spans="1:42" x14ac:dyDescent="0.25">
      <c r="A1177" s="34">
        <v>42832</v>
      </c>
      <c r="B1177" t="s">
        <v>130</v>
      </c>
      <c r="C1177" t="s">
        <v>111</v>
      </c>
      <c r="E1177" s="21"/>
      <c r="G1177" s="21"/>
      <c r="H1177" s="7"/>
      <c r="I1177" s="21"/>
      <c r="K1177"/>
      <c r="L1177" s="21">
        <f>(Table2[[#This Row],[H/Pace]]/100)*(VLOOKUP(Table2[[#This Row],[Home/Neutral]],home_lookup,8,FALSE)+VLOOKUP(Table2[[#This Row],[Home/Neutral]],OFR_lookup,2,FALSE)+VLOOKUP(Table2[[#This Row],[Visitor/Neutral]],def_diff_lookup,6,FALSE))</f>
        <v>100.5289649671094</v>
      </c>
      <c r="M1177" s="21"/>
      <c r="N1177" s="21">
        <f>(Table2[[#This Row],[A/Pace]]/100)*(VLOOKUP(Table2[[#This Row],[Visitor/Neutral]],OFR_lookup,2,FALSE)+VLOOKUP(Table2[[#This Row],[Home/Neutral]],def_diff_lookup,6,FALSE))</f>
        <v>104.01517999999999</v>
      </c>
      <c r="O1177" s="21"/>
      <c r="P1177" s="21"/>
      <c r="Q1177">
        <f>VLOOKUP(Table2[[#This Row],[Home/Neutral]],pace_lookup,7,FALSE)</f>
        <v>94.2</v>
      </c>
      <c r="R1177" s="5">
        <f>VLOOKUP(Table2[[#This Row],[Visitor/Neutral]],pace_lookup,7,FALSE)</f>
        <v>102</v>
      </c>
      <c r="S1177" s="7"/>
      <c r="U1177" s="15"/>
      <c r="W1177" s="2">
        <f>-home-VLOOKUP(Table2[[#This Row],[Home/Neutral]],rtg_vlookup,4,FALSE)+VLOOKUP(Table2[[#This Row],[Visitor/Neutral]],rtg_vlookup,4,FALSE)</f>
        <v>-2.9286885245901644</v>
      </c>
      <c r="X1177" s="15"/>
      <c r="Y1177" s="2"/>
      <c r="Z1177" s="2">
        <f>Table2[[#This Row],[A/EV]]-Table2[[#This Row],[H/EV]]</f>
        <v>3.4862150328905841</v>
      </c>
      <c r="AA1177" s="29"/>
      <c r="AB1177" s="30"/>
      <c r="AC1177" s="30"/>
      <c r="AD1177" s="30"/>
      <c r="AE1177" s="30"/>
      <c r="AF1177" s="7" t="b">
        <f>IF(VLOOKUP(Table2[[#This Row],[Home/Neutral]],division_lookup,9,FALSE)=VLOOKUP(Table2[[#This Row],[Visitor/Neutral]],division_lookup,9,FALSE),TRUE,FALSE)</f>
        <v>0</v>
      </c>
      <c r="AG1177" s="15" t="str">
        <f>VLOOKUP(Table2[[#This Row],[Home/Neutral]],division_lookup,9,FALSE)</f>
        <v>SE</v>
      </c>
      <c r="AH1177" s="15" t="str">
        <f>IF(Table2[[#This Row],[Total/EV]]&lt;Table2[[#This Row],[Total/V]],"UNDER","OVER")</f>
        <v>OVER</v>
      </c>
      <c r="AI1177" s="26">
        <f>Table2[[#This Row],[SRS/Real]]-Table2[[#This Row],[Spread/V]]</f>
        <v>0</v>
      </c>
      <c r="AJ1177" s="2">
        <f>Table2[[#This Row],[EV/Real]]-Table2[[#This Row],[Spread/V]]</f>
        <v>0</v>
      </c>
      <c r="AK1177" s="2">
        <f>Table2[[#This Row],[SRS/Diff]]-Table2[[#This Row],[EV/Diff]]</f>
        <v>0</v>
      </c>
      <c r="AL1177" s="18">
        <f>Table2[[#This Row],[SRS]]-Table2[[#This Row],[Spread]]</f>
        <v>-2.9286885245901644</v>
      </c>
      <c r="AM1177" s="21">
        <f>Table2[[#This Row],[(A) Err]]^2</f>
        <v>8.5772164740661143</v>
      </c>
      <c r="AN1177" s="6">
        <f>Table2[[#This Row],[EV]]-Table2[[#This Row],[Spread]]</f>
        <v>3.4862150328905841</v>
      </c>
      <c r="AO1177" s="1">
        <f>Table2[[#This Row],[EV Err]]^2</f>
        <v>12.153695255552297</v>
      </c>
      <c r="AP1177" s="1"/>
    </row>
    <row r="1178" spans="1:42" x14ac:dyDescent="0.25">
      <c r="A1178" s="34">
        <v>42832</v>
      </c>
      <c r="B1178" t="s">
        <v>138</v>
      </c>
      <c r="C1178" t="s">
        <v>113</v>
      </c>
      <c r="E1178" s="21"/>
      <c r="G1178" s="21"/>
      <c r="H1178" s="7"/>
      <c r="I1178" s="21"/>
      <c r="K1178"/>
      <c r="L1178" s="21">
        <f>(Table2[[#This Row],[H/Pace]]/100)*(VLOOKUP(Table2[[#This Row],[Home/Neutral]],home_lookup,8,FALSE)+VLOOKUP(Table2[[#This Row],[Home/Neutral]],OFR_lookup,2,FALSE)+VLOOKUP(Table2[[#This Row],[Visitor/Neutral]],def_diff_lookup,6,FALSE))</f>
        <v>98.666283531240097</v>
      </c>
      <c r="M1178" s="21"/>
      <c r="N1178" s="21">
        <f>(Table2[[#This Row],[A/Pace]]/100)*(VLOOKUP(Table2[[#This Row],[Visitor/Neutral]],OFR_lookup,2,FALSE)+VLOOKUP(Table2[[#This Row],[Home/Neutral]],def_diff_lookup,6,FALSE))</f>
        <v>107.049949</v>
      </c>
      <c r="O1178" s="21"/>
      <c r="P1178" s="21"/>
      <c r="Q1178">
        <f>VLOOKUP(Table2[[#This Row],[Home/Neutral]],pace_lookup,7,FALSE)</f>
        <v>97.5</v>
      </c>
      <c r="R1178" s="5">
        <f>VLOOKUP(Table2[[#This Row],[Visitor/Neutral]],pace_lookup,7,FALSE)</f>
        <v>95.1</v>
      </c>
      <c r="S1178" s="7"/>
      <c r="U1178" s="15"/>
      <c r="W1178" s="2">
        <f>-home-VLOOKUP(Table2[[#This Row],[Home/Neutral]],rtg_vlookup,4,FALSE)+VLOOKUP(Table2[[#This Row],[Visitor/Neutral]],rtg_vlookup,4,FALSE)</f>
        <v>11.501311475409835</v>
      </c>
      <c r="X1178" s="15"/>
      <c r="Y1178" s="2"/>
      <c r="Z1178" s="2">
        <f>Table2[[#This Row],[A/EV]]-Table2[[#This Row],[H/EV]]</f>
        <v>8.3836654687599008</v>
      </c>
      <c r="AA1178" s="29"/>
      <c r="AB1178" s="30"/>
      <c r="AC1178" s="30"/>
      <c r="AD1178" s="30"/>
      <c r="AE1178" s="30"/>
      <c r="AF1178" s="7" t="b">
        <f>IF(VLOOKUP(Table2[[#This Row],[Home/Neutral]],division_lookup,9,FALSE)=VLOOKUP(Table2[[#This Row],[Visitor/Neutral]],division_lookup,9,FALSE),TRUE,FALSE)</f>
        <v>0</v>
      </c>
      <c r="AG1178" s="15" t="str">
        <f>VLOOKUP(Table2[[#This Row],[Home/Neutral]],division_lookup,9,FALSE)</f>
        <v>A</v>
      </c>
      <c r="AH1178" s="15" t="str">
        <f>IF(Table2[[#This Row],[Total/EV]]&lt;Table2[[#This Row],[Total/V]],"UNDER","OVER")</f>
        <v>OVER</v>
      </c>
      <c r="AI1178" s="26">
        <f>Table2[[#This Row],[SRS/Real]]-Table2[[#This Row],[Spread/V]]</f>
        <v>0</v>
      </c>
      <c r="AJ1178" s="2">
        <f>Table2[[#This Row],[EV/Real]]-Table2[[#This Row],[Spread/V]]</f>
        <v>0</v>
      </c>
      <c r="AK1178" s="2">
        <f>Table2[[#This Row],[SRS/Diff]]-Table2[[#This Row],[EV/Diff]]</f>
        <v>0</v>
      </c>
      <c r="AL1178" s="18">
        <f>Table2[[#This Row],[SRS]]-Table2[[#This Row],[Spread]]</f>
        <v>11.501311475409835</v>
      </c>
      <c r="AM1178" s="21">
        <f>Table2[[#This Row],[(A) Err]]^2</f>
        <v>132.28016565439395</v>
      </c>
      <c r="AN1178" s="6">
        <f>Table2[[#This Row],[EV]]-Table2[[#This Row],[Spread]]</f>
        <v>8.3836654687599008</v>
      </c>
      <c r="AO1178" s="1">
        <f>Table2[[#This Row],[EV Err]]^2</f>
        <v>70.285846692077172</v>
      </c>
      <c r="AP1178" s="1"/>
    </row>
    <row r="1179" spans="1:42" x14ac:dyDescent="0.25">
      <c r="A1179" s="34">
        <v>42832</v>
      </c>
      <c r="B1179" t="s">
        <v>132</v>
      </c>
      <c r="C1179" t="s">
        <v>126</v>
      </c>
      <c r="E1179" s="21"/>
      <c r="G1179" s="21"/>
      <c r="H1179" s="7"/>
      <c r="I1179" s="21"/>
      <c r="K1179"/>
      <c r="L1179" s="21">
        <f>(Table2[[#This Row],[H/Pace]]/100)*(VLOOKUP(Table2[[#This Row],[Home/Neutral]],home_lookup,8,FALSE)+VLOOKUP(Table2[[#This Row],[Home/Neutral]],OFR_lookup,2,FALSE)+VLOOKUP(Table2[[#This Row],[Visitor/Neutral]],def_diff_lookup,6,FALSE))</f>
        <v>112.14610144606979</v>
      </c>
      <c r="M1179" s="21"/>
      <c r="N1179" s="21">
        <f>(Table2[[#This Row],[A/Pace]]/100)*(VLOOKUP(Table2[[#This Row],[Visitor/Neutral]],OFR_lookup,2,FALSE)+VLOOKUP(Table2[[#This Row],[Home/Neutral]],def_diff_lookup,6,FALSE))</f>
        <v>109.28525300000001</v>
      </c>
      <c r="O1179" s="21"/>
      <c r="P1179" s="21"/>
      <c r="Q1179">
        <f>VLOOKUP(Table2[[#This Row],[Home/Neutral]],pace_lookup,7,FALSE)</f>
        <v>98.8</v>
      </c>
      <c r="R1179" s="5">
        <f>VLOOKUP(Table2[[#This Row],[Visitor/Neutral]],pace_lookup,7,FALSE)</f>
        <v>95.7</v>
      </c>
      <c r="S1179" s="7"/>
      <c r="U1179" s="15"/>
      <c r="W1179" s="2">
        <f>-home-VLOOKUP(Table2[[#This Row],[Home/Neutral]],rtg_vlookup,4,FALSE)+VLOOKUP(Table2[[#This Row],[Visitor/Neutral]],rtg_vlookup,4,FALSE)</f>
        <v>-1.5186885245901658</v>
      </c>
      <c r="X1179" s="15"/>
      <c r="Y1179" s="2"/>
      <c r="Z1179" s="2">
        <f>Table2[[#This Row],[A/EV]]-Table2[[#This Row],[H/EV]]</f>
        <v>-2.8608484460697809</v>
      </c>
      <c r="AA1179" s="29"/>
      <c r="AB1179" s="30"/>
      <c r="AC1179" s="30"/>
      <c r="AD1179" s="30"/>
      <c r="AE1179" s="30"/>
      <c r="AF1179" s="7" t="b">
        <f>IF(VLOOKUP(Table2[[#This Row],[Home/Neutral]],division_lookup,9,FALSE)=VLOOKUP(Table2[[#This Row],[Visitor/Neutral]],division_lookup,9,FALSE),TRUE,FALSE)</f>
        <v>1</v>
      </c>
      <c r="AG1179" s="15" t="str">
        <f>VLOOKUP(Table2[[#This Row],[Home/Neutral]],division_lookup,9,FALSE)</f>
        <v>NW</v>
      </c>
      <c r="AH1179" s="15" t="str">
        <f>IF(Table2[[#This Row],[Total/EV]]&lt;Table2[[#This Row],[Total/V]],"UNDER","OVER")</f>
        <v>OVER</v>
      </c>
      <c r="AI1179" s="26">
        <f>Table2[[#This Row],[SRS/Real]]-Table2[[#This Row],[Spread/V]]</f>
        <v>0</v>
      </c>
      <c r="AJ1179" s="2">
        <f>Table2[[#This Row],[EV/Real]]-Table2[[#This Row],[Spread/V]]</f>
        <v>0</v>
      </c>
      <c r="AK1179" s="2">
        <f>Table2[[#This Row],[SRS/Diff]]-Table2[[#This Row],[EV/Diff]]</f>
        <v>0</v>
      </c>
      <c r="AL1179" s="18">
        <f>Table2[[#This Row],[SRS]]-Table2[[#This Row],[Spread]]</f>
        <v>-1.5186885245901658</v>
      </c>
      <c r="AM1179" s="21">
        <f>Table2[[#This Row],[(A) Err]]^2</f>
        <v>2.3064148347218545</v>
      </c>
      <c r="AN1179" s="6">
        <f>Table2[[#This Row],[EV]]-Table2[[#This Row],[Spread]]</f>
        <v>-2.8608484460697809</v>
      </c>
      <c r="AO1179" s="1">
        <f>Table2[[#This Row],[EV Err]]^2</f>
        <v>8.18445383137988</v>
      </c>
      <c r="AP1179" s="1"/>
    </row>
    <row r="1180" spans="1:42" x14ac:dyDescent="0.25">
      <c r="A1180" s="34">
        <v>42833</v>
      </c>
      <c r="B1180" t="s">
        <v>114</v>
      </c>
      <c r="C1180" t="s">
        <v>109</v>
      </c>
      <c r="E1180" s="21"/>
      <c r="G1180" s="21"/>
      <c r="H1180" s="7"/>
      <c r="I1180" s="21"/>
      <c r="K1180"/>
      <c r="L1180" s="21">
        <f>(Table2[[#This Row],[H/Pace]]/100)*(VLOOKUP(Table2[[#This Row],[Home/Neutral]],home_lookup,8,FALSE)+VLOOKUP(Table2[[#This Row],[Home/Neutral]],OFR_lookup,2,FALSE)+VLOOKUP(Table2[[#This Row],[Visitor/Neutral]],def_diff_lookup,6,FALSE))</f>
        <v>107.59610276756466</v>
      </c>
      <c r="M1180" s="21"/>
      <c r="N1180" s="21">
        <f>(Table2[[#This Row],[A/Pace]]/100)*(VLOOKUP(Table2[[#This Row],[Visitor/Neutral]],OFR_lookup,2,FALSE)+VLOOKUP(Table2[[#This Row],[Home/Neutral]],def_diff_lookup,6,FALSE))</f>
        <v>100.73330133333333</v>
      </c>
      <c r="O1180" s="21"/>
      <c r="P1180" s="21"/>
      <c r="Q1180">
        <f>VLOOKUP(Table2[[#This Row],[Home/Neutral]],pace_lookup,7,FALSE)</f>
        <v>97.3</v>
      </c>
      <c r="R1180" s="5">
        <f>VLOOKUP(Table2[[#This Row],[Visitor/Neutral]],pace_lookup,7,FALSE)</f>
        <v>99.2</v>
      </c>
      <c r="S1180" s="7"/>
      <c r="U1180" s="15"/>
      <c r="W1180" s="2">
        <f>-home-VLOOKUP(Table2[[#This Row],[Home/Neutral]],rtg_vlookup,4,FALSE)+VLOOKUP(Table2[[#This Row],[Visitor/Neutral]],rtg_vlookup,4,FALSE)</f>
        <v>-9.1486885245901668</v>
      </c>
      <c r="X1180" s="15"/>
      <c r="Y1180" s="2"/>
      <c r="Z1180" s="2">
        <f>Table2[[#This Row],[A/EV]]-Table2[[#This Row],[H/EV]]</f>
        <v>-6.8628014342313293</v>
      </c>
      <c r="AA1180" s="29"/>
      <c r="AB1180" s="30"/>
      <c r="AC1180" s="30"/>
      <c r="AD1180" s="30"/>
      <c r="AE1180" s="30"/>
      <c r="AF1180" s="7" t="b">
        <f>IF(VLOOKUP(Table2[[#This Row],[Home/Neutral]],division_lookup,9,FALSE)=VLOOKUP(Table2[[#This Row],[Visitor/Neutral]],division_lookup,9,FALSE),TRUE,FALSE)</f>
        <v>0</v>
      </c>
      <c r="AG1180" s="15" t="str">
        <f>VLOOKUP(Table2[[#This Row],[Home/Neutral]],division_lookup,9,FALSE)</f>
        <v>C</v>
      </c>
      <c r="AH1180" s="15" t="str">
        <f>IF(Table2[[#This Row],[Total/EV]]&lt;Table2[[#This Row],[Total/V]],"UNDER","OVER")</f>
        <v>OVER</v>
      </c>
      <c r="AI1180" s="26">
        <f>Table2[[#This Row],[SRS/Real]]-Table2[[#This Row],[Spread/V]]</f>
        <v>0</v>
      </c>
      <c r="AJ1180" s="2">
        <f>Table2[[#This Row],[EV/Real]]-Table2[[#This Row],[Spread/V]]</f>
        <v>0</v>
      </c>
      <c r="AK1180" s="2">
        <f>Table2[[#This Row],[SRS/Diff]]-Table2[[#This Row],[EV/Diff]]</f>
        <v>0</v>
      </c>
      <c r="AL1180" s="18">
        <f>Table2[[#This Row],[SRS]]-Table2[[#This Row],[Spread]]</f>
        <v>-9.1486885245901668</v>
      </c>
      <c r="AM1180" s="21">
        <f>Table2[[#This Row],[(A) Err]]^2</f>
        <v>83.698501719967808</v>
      </c>
      <c r="AN1180" s="6">
        <f>Table2[[#This Row],[EV]]-Table2[[#This Row],[Spread]]</f>
        <v>-6.8628014342313293</v>
      </c>
      <c r="AO1180" s="1">
        <f>Table2[[#This Row],[EV Err]]^2</f>
        <v>47.098043525687594</v>
      </c>
      <c r="AP1180" s="1"/>
    </row>
    <row r="1181" spans="1:42" x14ac:dyDescent="0.25">
      <c r="A1181" s="34">
        <v>42833</v>
      </c>
      <c r="B1181" t="s">
        <v>115</v>
      </c>
      <c r="C1181" t="s">
        <v>134</v>
      </c>
      <c r="E1181" s="21"/>
      <c r="G1181" s="21"/>
      <c r="H1181" s="7"/>
      <c r="I1181" s="21"/>
      <c r="K1181"/>
      <c r="L1181" s="21">
        <f>(Table2[[#This Row],[H/Pace]]/100)*(VLOOKUP(Table2[[#This Row],[Home/Neutral]],home_lookup,8,FALSE)+VLOOKUP(Table2[[#This Row],[Home/Neutral]],OFR_lookup,2,FALSE)+VLOOKUP(Table2[[#This Row],[Visitor/Neutral]],def_diff_lookup,6,FALSE))</f>
        <v>94.14223311596777</v>
      </c>
      <c r="M1181" s="21"/>
      <c r="N1181" s="21">
        <f>(Table2[[#This Row],[A/Pace]]/100)*(VLOOKUP(Table2[[#This Row],[Visitor/Neutral]],OFR_lookup,2,FALSE)+VLOOKUP(Table2[[#This Row],[Home/Neutral]],def_diff_lookup,6,FALSE))</f>
        <v>104.59461266666666</v>
      </c>
      <c r="O1181" s="21"/>
      <c r="P1181" s="21"/>
      <c r="Q1181">
        <f>VLOOKUP(Table2[[#This Row],[Home/Neutral]],pace_lookup,7,FALSE)</f>
        <v>92.9</v>
      </c>
      <c r="R1181" s="5">
        <f>VLOOKUP(Table2[[#This Row],[Visitor/Neutral]],pace_lookup,7,FALSE)</f>
        <v>93.4</v>
      </c>
      <c r="S1181" s="7"/>
      <c r="U1181" s="15"/>
      <c r="W1181" s="2">
        <f>-home-VLOOKUP(Table2[[#This Row],[Home/Neutral]],rtg_vlookup,4,FALSE)+VLOOKUP(Table2[[#This Row],[Visitor/Neutral]],rtg_vlookup,4,FALSE)</f>
        <v>13.471311475409834</v>
      </c>
      <c r="X1181" s="15"/>
      <c r="Y1181" s="2"/>
      <c r="Z1181" s="2">
        <f>Table2[[#This Row],[A/EV]]-Table2[[#This Row],[H/EV]]</f>
        <v>10.452379550698893</v>
      </c>
      <c r="AA1181" s="29"/>
      <c r="AB1181" s="30"/>
      <c r="AC1181" s="30"/>
      <c r="AD1181" s="30"/>
      <c r="AE1181" s="30"/>
      <c r="AF1181" s="7" t="b">
        <f>IF(VLOOKUP(Table2[[#This Row],[Home/Neutral]],division_lookup,9,FALSE)=VLOOKUP(Table2[[#This Row],[Visitor/Neutral]],division_lookup,9,FALSE),TRUE,FALSE)</f>
        <v>1</v>
      </c>
      <c r="AG1181" s="15" t="str">
        <f>VLOOKUP(Table2[[#This Row],[Home/Neutral]],division_lookup,9,FALSE)</f>
        <v>SW</v>
      </c>
      <c r="AH1181" s="15" t="str">
        <f>IF(Table2[[#This Row],[Total/EV]]&lt;Table2[[#This Row],[Total/V]],"UNDER","OVER")</f>
        <v>OVER</v>
      </c>
      <c r="AI1181" s="26">
        <f>Table2[[#This Row],[SRS/Real]]-Table2[[#This Row],[Spread/V]]</f>
        <v>0</v>
      </c>
      <c r="AJ1181" s="2">
        <f>Table2[[#This Row],[EV/Real]]-Table2[[#This Row],[Spread/V]]</f>
        <v>0</v>
      </c>
      <c r="AK1181" s="2">
        <f>Table2[[#This Row],[SRS/Diff]]-Table2[[#This Row],[EV/Diff]]</f>
        <v>0</v>
      </c>
      <c r="AL1181" s="18">
        <f>Table2[[#This Row],[SRS]]-Table2[[#This Row],[Spread]]</f>
        <v>13.471311475409834</v>
      </c>
      <c r="AM1181" s="21">
        <f>Table2[[#This Row],[(A) Err]]^2</f>
        <v>181.47623286750868</v>
      </c>
      <c r="AN1181" s="6">
        <f>Table2[[#This Row],[EV]]-Table2[[#This Row],[Spread]]</f>
        <v>10.452379550698893</v>
      </c>
      <c r="AO1181" s="1">
        <f>Table2[[#This Row],[EV Err]]^2</f>
        <v>109.25223827186839</v>
      </c>
      <c r="AP1181" s="1"/>
    </row>
    <row r="1182" spans="1:42" x14ac:dyDescent="0.25">
      <c r="A1182" s="34">
        <v>42833</v>
      </c>
      <c r="B1182" t="s">
        <v>116</v>
      </c>
      <c r="C1182" t="s">
        <v>127</v>
      </c>
      <c r="E1182" s="21"/>
      <c r="G1182" s="21"/>
      <c r="H1182" s="7"/>
      <c r="I1182" s="21"/>
      <c r="K1182"/>
      <c r="L1182" s="21">
        <f>(Table2[[#This Row],[H/Pace]]/100)*(VLOOKUP(Table2[[#This Row],[Home/Neutral]],home_lookup,8,FALSE)+VLOOKUP(Table2[[#This Row],[Home/Neutral]],OFR_lookup,2,FALSE)+VLOOKUP(Table2[[#This Row],[Visitor/Neutral]],def_diff_lookup,6,FALSE))</f>
        <v>103.62739470161863</v>
      </c>
      <c r="M1182" s="21"/>
      <c r="N1182" s="21">
        <f>(Table2[[#This Row],[A/Pace]]/100)*(VLOOKUP(Table2[[#This Row],[Visitor/Neutral]],OFR_lookup,2,FALSE)+VLOOKUP(Table2[[#This Row],[Home/Neutral]],def_diff_lookup,6,FALSE))</f>
        <v>102.23497699999999</v>
      </c>
      <c r="O1182" s="21"/>
      <c r="P1182" s="21"/>
      <c r="Q1182">
        <f>VLOOKUP(Table2[[#This Row],[Home/Neutral]],pace_lookup,7,FALSE)</f>
        <v>99.1</v>
      </c>
      <c r="R1182" s="5">
        <f>VLOOKUP(Table2[[#This Row],[Visitor/Neutral]],pace_lookup,7,FALSE)</f>
        <v>99.3</v>
      </c>
      <c r="S1182" s="7"/>
      <c r="U1182" s="15"/>
      <c r="W1182" s="2">
        <f>-home-VLOOKUP(Table2[[#This Row],[Home/Neutral]],rtg_vlookup,4,FALSE)+VLOOKUP(Table2[[#This Row],[Visitor/Neutral]],rtg_vlookup,4,FALSE)</f>
        <v>-4.6986885245901657</v>
      </c>
      <c r="X1182" s="15"/>
      <c r="Y1182" s="2"/>
      <c r="Z1182" s="2">
        <f>Table2[[#This Row],[A/EV]]-Table2[[#This Row],[H/EV]]</f>
        <v>-1.3924177016186405</v>
      </c>
      <c r="AA1182" s="29"/>
      <c r="AB1182" s="30"/>
      <c r="AC1182" s="30"/>
      <c r="AD1182" s="30"/>
      <c r="AE1182" s="30"/>
      <c r="AF1182" s="7" t="b">
        <f>IF(VLOOKUP(Table2[[#This Row],[Home/Neutral]],division_lookup,9,FALSE)=VLOOKUP(Table2[[#This Row],[Visitor/Neutral]],division_lookup,9,FALSE),TRUE,FALSE)</f>
        <v>0</v>
      </c>
      <c r="AG1182" s="15" t="str">
        <f>VLOOKUP(Table2[[#This Row],[Home/Neutral]],division_lookup,9,FALSE)</f>
        <v>NW</v>
      </c>
      <c r="AH1182" s="15" t="str">
        <f>IF(Table2[[#This Row],[Total/EV]]&lt;Table2[[#This Row],[Total/V]],"UNDER","OVER")</f>
        <v>OVER</v>
      </c>
      <c r="AI1182" s="26">
        <f>Table2[[#This Row],[SRS/Real]]-Table2[[#This Row],[Spread/V]]</f>
        <v>0</v>
      </c>
      <c r="AJ1182" s="2">
        <f>Table2[[#This Row],[EV/Real]]-Table2[[#This Row],[Spread/V]]</f>
        <v>0</v>
      </c>
      <c r="AK1182" s="2">
        <f>Table2[[#This Row],[SRS/Diff]]-Table2[[#This Row],[EV/Diff]]</f>
        <v>0</v>
      </c>
      <c r="AL1182" s="18">
        <f>Table2[[#This Row],[SRS]]-Table2[[#This Row],[Spread]]</f>
        <v>-4.6986885245901657</v>
      </c>
      <c r="AM1182" s="21">
        <f>Table2[[#This Row],[(A) Err]]^2</f>
        <v>22.077673851115307</v>
      </c>
      <c r="AN1182" s="6">
        <f>Table2[[#This Row],[EV]]-Table2[[#This Row],[Spread]]</f>
        <v>-1.3924177016186405</v>
      </c>
      <c r="AO1182" s="1">
        <f>Table2[[#This Row],[EV Err]]^2</f>
        <v>1.9388270557809375</v>
      </c>
      <c r="AP1182" s="1"/>
    </row>
    <row r="1183" spans="1:42" x14ac:dyDescent="0.25">
      <c r="A1183" s="34">
        <v>42833</v>
      </c>
      <c r="B1183" t="s">
        <v>119</v>
      </c>
      <c r="C1183" t="s">
        <v>117</v>
      </c>
      <c r="E1183" s="21"/>
      <c r="G1183" s="21"/>
      <c r="H1183" s="7"/>
      <c r="I1183" s="21"/>
      <c r="K1183"/>
      <c r="L1183" s="21">
        <f>(Table2[[#This Row],[H/Pace]]/100)*(VLOOKUP(Table2[[#This Row],[Home/Neutral]],home_lookup,8,FALSE)+VLOOKUP(Table2[[#This Row],[Home/Neutral]],OFR_lookup,2,FALSE)+VLOOKUP(Table2[[#This Row],[Visitor/Neutral]],def_diff_lookup,6,FALSE))</f>
        <v>105.13071376977628</v>
      </c>
      <c r="M1183" s="21"/>
      <c r="N1183" s="21">
        <f>(Table2[[#This Row],[A/Pace]]/100)*(VLOOKUP(Table2[[#This Row],[Visitor/Neutral]],OFR_lookup,2,FALSE)+VLOOKUP(Table2[[#This Row],[Home/Neutral]],def_diff_lookup,6,FALSE))</f>
        <v>100.62292666666666</v>
      </c>
      <c r="O1183" s="21"/>
      <c r="P1183" s="21"/>
      <c r="Q1183">
        <f>VLOOKUP(Table2[[#This Row],[Home/Neutral]],pace_lookup,7,FALSE)</f>
        <v>96.9</v>
      </c>
      <c r="R1183" s="5">
        <f>VLOOKUP(Table2[[#This Row],[Visitor/Neutral]],pace_lookup,7,FALSE)</f>
        <v>94</v>
      </c>
      <c r="S1183" s="7"/>
      <c r="U1183" s="15"/>
      <c r="W1183" s="2">
        <f>-home-VLOOKUP(Table2[[#This Row],[Home/Neutral]],rtg_vlookup,4,FALSE)+VLOOKUP(Table2[[#This Row],[Visitor/Neutral]],rtg_vlookup,4,FALSE)</f>
        <v>-4.8886885245901652</v>
      </c>
      <c r="X1183" s="15"/>
      <c r="Y1183" s="2"/>
      <c r="Z1183" s="2">
        <f>Table2[[#This Row],[A/EV]]-Table2[[#This Row],[H/EV]]</f>
        <v>-4.5077871031096208</v>
      </c>
      <c r="AA1183" s="29"/>
      <c r="AB1183" s="30"/>
      <c r="AC1183" s="30"/>
      <c r="AD1183" s="30"/>
      <c r="AE1183" s="30"/>
      <c r="AF1183" s="7" t="b">
        <f>IF(VLOOKUP(Table2[[#This Row],[Home/Neutral]],division_lookup,9,FALSE)=VLOOKUP(Table2[[#This Row],[Visitor/Neutral]],division_lookup,9,FALSE),TRUE,FALSE)</f>
        <v>0</v>
      </c>
      <c r="AG1183" s="15" t="str">
        <f>VLOOKUP(Table2[[#This Row],[Home/Neutral]],division_lookup,9,FALSE)</f>
        <v>SW</v>
      </c>
      <c r="AH1183" s="15" t="str">
        <f>IF(Table2[[#This Row],[Total/EV]]&lt;Table2[[#This Row],[Total/V]],"UNDER","OVER")</f>
        <v>OVER</v>
      </c>
      <c r="AI1183" s="26">
        <f>Table2[[#This Row],[SRS/Real]]-Table2[[#This Row],[Spread/V]]</f>
        <v>0</v>
      </c>
      <c r="AJ1183" s="2">
        <f>Table2[[#This Row],[EV/Real]]-Table2[[#This Row],[Spread/V]]</f>
        <v>0</v>
      </c>
      <c r="AK1183" s="2">
        <f>Table2[[#This Row],[SRS/Diff]]-Table2[[#This Row],[EV/Diff]]</f>
        <v>0</v>
      </c>
      <c r="AL1183" s="18">
        <f>Table2[[#This Row],[SRS]]-Table2[[#This Row],[Spread]]</f>
        <v>-4.8886885245901652</v>
      </c>
      <c r="AM1183" s="21">
        <f>Table2[[#This Row],[(A) Err]]^2</f>
        <v>23.899275490459566</v>
      </c>
      <c r="AN1183" s="6">
        <f>Table2[[#This Row],[EV]]-Table2[[#This Row],[Spread]]</f>
        <v>-4.5077871031096208</v>
      </c>
      <c r="AO1183" s="1">
        <f>Table2[[#This Row],[EV Err]]^2</f>
        <v>20.320144566961428</v>
      </c>
      <c r="AP1183" s="1"/>
    </row>
    <row r="1184" spans="1:42" x14ac:dyDescent="0.25">
      <c r="A1184" s="34">
        <v>42833</v>
      </c>
      <c r="B1184" t="s">
        <v>122</v>
      </c>
      <c r="C1184" t="s">
        <v>133</v>
      </c>
      <c r="E1184" s="21"/>
      <c r="G1184" s="21"/>
      <c r="H1184" s="7"/>
      <c r="I1184" s="21"/>
      <c r="K1184"/>
      <c r="L1184" s="21">
        <f>(Table2[[#This Row],[H/Pace]]/100)*(VLOOKUP(Table2[[#This Row],[Home/Neutral]],home_lookup,8,FALSE)+VLOOKUP(Table2[[#This Row],[Home/Neutral]],OFR_lookup,2,FALSE)+VLOOKUP(Table2[[#This Row],[Visitor/Neutral]],def_diff_lookup,6,FALSE))</f>
        <v>113.05446832744731</v>
      </c>
      <c r="M1184" s="21"/>
      <c r="N1184" s="21">
        <f>(Table2[[#This Row],[A/Pace]]/100)*(VLOOKUP(Table2[[#This Row],[Visitor/Neutral]],OFR_lookup,2,FALSE)+VLOOKUP(Table2[[#This Row],[Home/Neutral]],def_diff_lookup,6,FALSE))</f>
        <v>106.00859799999999</v>
      </c>
      <c r="O1184" s="21"/>
      <c r="P1184" s="21"/>
      <c r="Q1184">
        <f>VLOOKUP(Table2[[#This Row],[Home/Neutral]],pace_lookup,7,FALSE)</f>
        <v>100.2</v>
      </c>
      <c r="R1184" s="5">
        <f>VLOOKUP(Table2[[#This Row],[Visitor/Neutral]],pace_lookup,7,FALSE)</f>
        <v>94.2</v>
      </c>
      <c r="S1184" s="7"/>
      <c r="U1184" s="15"/>
      <c r="W1184" s="2">
        <f>-home-VLOOKUP(Table2[[#This Row],[Home/Neutral]],rtg_vlookup,4,FALSE)+VLOOKUP(Table2[[#This Row],[Visitor/Neutral]],rtg_vlookup,4,FALSE)</f>
        <v>-2.4486885245901657</v>
      </c>
      <c r="X1184" s="15"/>
      <c r="Y1184" s="2"/>
      <c r="Z1184" s="2">
        <f>Table2[[#This Row],[A/EV]]-Table2[[#This Row],[H/EV]]</f>
        <v>-7.045870327447318</v>
      </c>
      <c r="AA1184" s="29"/>
      <c r="AB1184" s="30"/>
      <c r="AC1184" s="30"/>
      <c r="AD1184" s="30"/>
      <c r="AE1184" s="30"/>
      <c r="AF1184" s="7" t="b">
        <f>IF(VLOOKUP(Table2[[#This Row],[Home/Neutral]],division_lookup,9,FALSE)=VLOOKUP(Table2[[#This Row],[Visitor/Neutral]],division_lookup,9,FALSE),TRUE,FALSE)</f>
        <v>1</v>
      </c>
      <c r="AG1184" s="15" t="str">
        <f>VLOOKUP(Table2[[#This Row],[Home/Neutral]],division_lookup,9,FALSE)</f>
        <v>P</v>
      </c>
      <c r="AH1184" s="15" t="str">
        <f>IF(Table2[[#This Row],[Total/EV]]&lt;Table2[[#This Row],[Total/V]],"UNDER","OVER")</f>
        <v>OVER</v>
      </c>
      <c r="AI1184" s="26">
        <f>Table2[[#This Row],[SRS/Real]]-Table2[[#This Row],[Spread/V]]</f>
        <v>0</v>
      </c>
      <c r="AJ1184" s="2">
        <f>Table2[[#This Row],[EV/Real]]-Table2[[#This Row],[Spread/V]]</f>
        <v>0</v>
      </c>
      <c r="AK1184" s="2">
        <f>Table2[[#This Row],[SRS/Diff]]-Table2[[#This Row],[EV/Diff]]</f>
        <v>0</v>
      </c>
      <c r="AL1184" s="18">
        <f>Table2[[#This Row],[SRS]]-Table2[[#This Row],[Spread]]</f>
        <v>-2.4486885245901657</v>
      </c>
      <c r="AM1184" s="21">
        <f>Table2[[#This Row],[(A) Err]]^2</f>
        <v>5.996075490459563</v>
      </c>
      <c r="AN1184" s="6">
        <f>Table2[[#This Row],[EV]]-Table2[[#This Row],[Spread]]</f>
        <v>-7.045870327447318</v>
      </c>
      <c r="AO1184" s="1">
        <f>Table2[[#This Row],[EV Err]]^2</f>
        <v>49.644288671202574</v>
      </c>
      <c r="AP1184" s="1"/>
    </row>
    <row r="1185" spans="1:42" x14ac:dyDescent="0.25">
      <c r="A1185" s="34">
        <v>42833</v>
      </c>
      <c r="B1185" t="s">
        <v>123</v>
      </c>
      <c r="C1185" t="s">
        <v>128</v>
      </c>
      <c r="E1185" s="21"/>
      <c r="G1185" s="21"/>
      <c r="H1185" s="7"/>
      <c r="I1185" s="21"/>
      <c r="K1185"/>
      <c r="L1185" s="21">
        <f>(Table2[[#This Row],[H/Pace]]/100)*(VLOOKUP(Table2[[#This Row],[Home/Neutral]],home_lookup,8,FALSE)+VLOOKUP(Table2[[#This Row],[Home/Neutral]],OFR_lookup,2,FALSE)+VLOOKUP(Table2[[#This Row],[Visitor/Neutral]],def_diff_lookup,6,FALSE))</f>
        <v>104.65842709563918</v>
      </c>
      <c r="M1185" s="21"/>
      <c r="N1185" s="21">
        <f>(Table2[[#This Row],[A/Pace]]/100)*(VLOOKUP(Table2[[#This Row],[Visitor/Neutral]],OFR_lookup,2,FALSE)+VLOOKUP(Table2[[#This Row],[Home/Neutral]],def_diff_lookup,6,FALSE))</f>
        <v>100.52339699999999</v>
      </c>
      <c r="O1185" s="21"/>
      <c r="P1185" s="21"/>
      <c r="Q1185">
        <f>VLOOKUP(Table2[[#This Row],[Home/Neutral]],pace_lookup,7,FALSE)</f>
        <v>92.5</v>
      </c>
      <c r="R1185" s="5">
        <f>VLOOKUP(Table2[[#This Row],[Visitor/Neutral]],pace_lookup,7,FALSE)</f>
        <v>96.3</v>
      </c>
      <c r="S1185" s="7"/>
      <c r="U1185" s="15"/>
      <c r="W1185" s="2">
        <f>-home-VLOOKUP(Table2[[#This Row],[Home/Neutral]],rtg_vlookup,4,FALSE)+VLOOKUP(Table2[[#This Row],[Visitor/Neutral]],rtg_vlookup,4,FALSE)</f>
        <v>-5.3186885245901658</v>
      </c>
      <c r="X1185" s="15"/>
      <c r="Y1185" s="2"/>
      <c r="Z1185" s="2">
        <f>Table2[[#This Row],[A/EV]]-Table2[[#This Row],[H/EV]]</f>
        <v>-4.1350300956391948</v>
      </c>
      <c r="AA1185" s="29"/>
      <c r="AB1185" s="30"/>
      <c r="AC1185" s="30"/>
      <c r="AD1185" s="30"/>
      <c r="AE1185" s="30"/>
      <c r="AF1185" s="7" t="b">
        <f>IF(VLOOKUP(Table2[[#This Row],[Home/Neutral]],division_lookup,9,FALSE)=VLOOKUP(Table2[[#This Row],[Visitor/Neutral]],division_lookup,9,FALSE),TRUE,FALSE)</f>
        <v>0</v>
      </c>
      <c r="AG1185" s="15" t="str">
        <f>VLOOKUP(Table2[[#This Row],[Home/Neutral]],division_lookup,9,FALSE)</f>
        <v>SW</v>
      </c>
      <c r="AH1185" s="15" t="str">
        <f>IF(Table2[[#This Row],[Total/EV]]&lt;Table2[[#This Row],[Total/V]],"UNDER","OVER")</f>
        <v>OVER</v>
      </c>
      <c r="AI1185" s="26">
        <f>Table2[[#This Row],[SRS/Real]]-Table2[[#This Row],[Spread/V]]</f>
        <v>0</v>
      </c>
      <c r="AJ1185" s="2">
        <f>Table2[[#This Row],[EV/Real]]-Table2[[#This Row],[Spread/V]]</f>
        <v>0</v>
      </c>
      <c r="AK1185" s="2">
        <f>Table2[[#This Row],[SRS/Diff]]-Table2[[#This Row],[EV/Diff]]</f>
        <v>0</v>
      </c>
      <c r="AL1185" s="18">
        <f>Table2[[#This Row],[SRS]]-Table2[[#This Row],[Spread]]</f>
        <v>-5.3186885245901658</v>
      </c>
      <c r="AM1185" s="21">
        <f>Table2[[#This Row],[(A) Err]]^2</f>
        <v>28.288447621607116</v>
      </c>
      <c r="AN1185" s="6">
        <f>Table2[[#This Row],[EV]]-Table2[[#This Row],[Spread]]</f>
        <v>-4.1350300956391948</v>
      </c>
      <c r="AO1185" s="1">
        <f>Table2[[#This Row],[EV Err]]^2</f>
        <v>17.098473891841888</v>
      </c>
      <c r="AP1185" s="1"/>
    </row>
    <row r="1186" spans="1:42" x14ac:dyDescent="0.25">
      <c r="A1186" s="34">
        <v>42833</v>
      </c>
      <c r="B1186" t="s">
        <v>131</v>
      </c>
      <c r="C1186" t="s">
        <v>129</v>
      </c>
      <c r="E1186" s="21"/>
      <c r="G1186" s="21"/>
      <c r="H1186" s="7"/>
      <c r="I1186" s="21"/>
      <c r="K1186"/>
      <c r="L1186" s="21">
        <f>(Table2[[#This Row],[H/Pace]]/100)*(VLOOKUP(Table2[[#This Row],[Home/Neutral]],home_lookup,8,FALSE)+VLOOKUP(Table2[[#This Row],[Home/Neutral]],OFR_lookup,2,FALSE)+VLOOKUP(Table2[[#This Row],[Visitor/Neutral]],def_diff_lookup,6,FALSE))</f>
        <v>95.011189791197665</v>
      </c>
      <c r="M1186" s="21"/>
      <c r="N1186" s="21">
        <f>(Table2[[#This Row],[A/Pace]]/100)*(VLOOKUP(Table2[[#This Row],[Visitor/Neutral]],OFR_lookup,2,FALSE)+VLOOKUP(Table2[[#This Row],[Home/Neutral]],def_diff_lookup,6,FALSE))</f>
        <v>106.30190999999999</v>
      </c>
      <c r="O1186" s="21"/>
      <c r="P1186" s="21"/>
      <c r="Q1186">
        <f>VLOOKUP(Table2[[#This Row],[Home/Neutral]],pace_lookup,7,FALSE)</f>
        <v>101.7</v>
      </c>
      <c r="R1186" s="5">
        <f>VLOOKUP(Table2[[#This Row],[Visitor/Neutral]],pace_lookup,7,FALSE)</f>
        <v>99</v>
      </c>
      <c r="S1186" s="7"/>
      <c r="U1186" s="15"/>
      <c r="W1186" s="2">
        <f>-home-VLOOKUP(Table2[[#This Row],[Home/Neutral]],rtg_vlookup,4,FALSE)+VLOOKUP(Table2[[#This Row],[Visitor/Neutral]],rtg_vlookup,4,FALSE)</f>
        <v>5.1113114754098339</v>
      </c>
      <c r="X1186" s="15"/>
      <c r="Y1186" s="2"/>
      <c r="Z1186" s="2">
        <f>Table2[[#This Row],[A/EV]]-Table2[[#This Row],[H/EV]]</f>
        <v>11.290720208802327</v>
      </c>
      <c r="AA1186" s="29"/>
      <c r="AB1186" s="30"/>
      <c r="AC1186" s="30"/>
      <c r="AD1186" s="30"/>
      <c r="AE1186" s="30"/>
      <c r="AF1186" s="7" t="b">
        <f>IF(VLOOKUP(Table2[[#This Row],[Home/Neutral]],division_lookup,9,FALSE)=VLOOKUP(Table2[[#This Row],[Visitor/Neutral]],division_lookup,9,FALSE),TRUE,FALSE)</f>
        <v>0</v>
      </c>
      <c r="AG1186" s="15" t="str">
        <f>VLOOKUP(Table2[[#This Row],[Home/Neutral]],division_lookup,9,FALSE)</f>
        <v>P</v>
      </c>
      <c r="AH1186" s="15" t="str">
        <f>IF(Table2[[#This Row],[Total/EV]]&lt;Table2[[#This Row],[Total/V]],"UNDER","OVER")</f>
        <v>OVER</v>
      </c>
      <c r="AI1186" s="26">
        <f>Table2[[#This Row],[SRS/Real]]-Table2[[#This Row],[Spread/V]]</f>
        <v>0</v>
      </c>
      <c r="AJ1186" s="2">
        <f>Table2[[#This Row],[EV/Real]]-Table2[[#This Row],[Spread/V]]</f>
        <v>0</v>
      </c>
      <c r="AK1186" s="2">
        <f>Table2[[#This Row],[SRS/Diff]]-Table2[[#This Row],[EV/Diff]]</f>
        <v>0</v>
      </c>
      <c r="AL1186" s="18">
        <f>Table2[[#This Row],[SRS]]-Table2[[#This Row],[Spread]]</f>
        <v>5.1113114754098339</v>
      </c>
      <c r="AM1186" s="21">
        <f>Table2[[#This Row],[(A) Err]]^2</f>
        <v>26.125504998656254</v>
      </c>
      <c r="AN1186" s="6">
        <f>Table2[[#This Row],[EV]]-Table2[[#This Row],[Spread]]</f>
        <v>11.290720208802327</v>
      </c>
      <c r="AO1186" s="1">
        <f>Table2[[#This Row],[EV Err]]^2</f>
        <v>127.48036283345726</v>
      </c>
      <c r="AP1186" s="1"/>
    </row>
    <row r="1187" spans="1:42" x14ac:dyDescent="0.25">
      <c r="A1187" s="34">
        <v>42833</v>
      </c>
      <c r="B1187" t="s">
        <v>135</v>
      </c>
      <c r="C1187" t="s">
        <v>124</v>
      </c>
      <c r="E1187" s="21"/>
      <c r="G1187" s="21"/>
      <c r="H1187" s="7"/>
      <c r="I1187" s="21"/>
      <c r="K1187"/>
      <c r="L1187" s="21">
        <f>(Table2[[#This Row],[H/Pace]]/100)*(VLOOKUP(Table2[[#This Row],[Home/Neutral]],home_lookup,8,FALSE)+VLOOKUP(Table2[[#This Row],[Home/Neutral]],OFR_lookup,2,FALSE)+VLOOKUP(Table2[[#This Row],[Visitor/Neutral]],def_diff_lookup,6,FALSE))</f>
        <v>107.55066035324614</v>
      </c>
      <c r="M1187" s="21"/>
      <c r="N1187" s="21">
        <f>(Table2[[#This Row],[A/Pace]]/100)*(VLOOKUP(Table2[[#This Row],[Visitor/Neutral]],OFR_lookup,2,FALSE)+VLOOKUP(Table2[[#This Row],[Home/Neutral]],def_diff_lookup,6,FALSE))</f>
        <v>97.584489666666656</v>
      </c>
      <c r="O1187" s="21"/>
      <c r="P1187" s="21"/>
      <c r="Q1187">
        <f>VLOOKUP(Table2[[#This Row],[Home/Neutral]],pace_lookup,7,FALSE)</f>
        <v>95.4</v>
      </c>
      <c r="R1187" s="5">
        <f>VLOOKUP(Table2[[#This Row],[Visitor/Neutral]],pace_lookup,7,FALSE)</f>
        <v>93.7</v>
      </c>
      <c r="S1187" s="7"/>
      <c r="U1187" s="15"/>
      <c r="W1187" s="2">
        <f>-home-VLOOKUP(Table2[[#This Row],[Home/Neutral]],rtg_vlookup,4,FALSE)+VLOOKUP(Table2[[#This Row],[Visitor/Neutral]],rtg_vlookup,4,FALSE)</f>
        <v>-9.9186885245901646</v>
      </c>
      <c r="X1187" s="15"/>
      <c r="Y1187" s="2"/>
      <c r="Z1187" s="2">
        <f>Table2[[#This Row],[A/EV]]-Table2[[#This Row],[H/EV]]</f>
        <v>-9.9661706865794883</v>
      </c>
      <c r="AA1187" s="29"/>
      <c r="AB1187" s="30"/>
      <c r="AC1187" s="30"/>
      <c r="AD1187" s="30"/>
      <c r="AE1187" s="30"/>
      <c r="AF1187" s="7" t="b">
        <f>IF(VLOOKUP(Table2[[#This Row],[Home/Neutral]],division_lookup,9,FALSE)=VLOOKUP(Table2[[#This Row],[Visitor/Neutral]],division_lookup,9,FALSE),TRUE,FALSE)</f>
        <v>0</v>
      </c>
      <c r="AG1187" s="15" t="str">
        <f>VLOOKUP(Table2[[#This Row],[Home/Neutral]],division_lookup,9,FALSE)</f>
        <v>A</v>
      </c>
      <c r="AH1187" s="15" t="str">
        <f>IF(Table2[[#This Row],[Total/EV]]&lt;Table2[[#This Row],[Total/V]],"UNDER","OVER")</f>
        <v>OVER</v>
      </c>
      <c r="AI1187" s="26">
        <f>Table2[[#This Row],[SRS/Real]]-Table2[[#This Row],[Spread/V]]</f>
        <v>0</v>
      </c>
      <c r="AJ1187" s="2">
        <f>Table2[[#This Row],[EV/Real]]-Table2[[#This Row],[Spread/V]]</f>
        <v>0</v>
      </c>
      <c r="AK1187" s="2">
        <f>Table2[[#This Row],[SRS/Diff]]-Table2[[#This Row],[EV/Diff]]</f>
        <v>0</v>
      </c>
      <c r="AL1187" s="18">
        <f>Table2[[#This Row],[SRS]]-Table2[[#This Row],[Spread]]</f>
        <v>-9.9186885245901646</v>
      </c>
      <c r="AM1187" s="21">
        <f>Table2[[#This Row],[(A) Err]]^2</f>
        <v>98.380382047836619</v>
      </c>
      <c r="AN1187" s="6">
        <f>Table2[[#This Row],[EV]]-Table2[[#This Row],[Spread]]</f>
        <v>-9.9661706865794883</v>
      </c>
      <c r="AO1187" s="1">
        <f>Table2[[#This Row],[EV Err]]^2</f>
        <v>99.324558154036268</v>
      </c>
      <c r="AP1187" s="1"/>
    </row>
    <row r="1188" spans="1:42" x14ac:dyDescent="0.25">
      <c r="A1188" s="34">
        <v>42833</v>
      </c>
      <c r="B1188" t="s">
        <v>136</v>
      </c>
      <c r="C1188" t="s">
        <v>126</v>
      </c>
      <c r="E1188" s="21"/>
      <c r="G1188" s="21"/>
      <c r="H1188" s="7"/>
      <c r="I1188" s="21"/>
      <c r="K1188"/>
      <c r="L1188" s="21">
        <f>(Table2[[#This Row],[H/Pace]]/100)*(VLOOKUP(Table2[[#This Row],[Home/Neutral]],home_lookup,8,FALSE)+VLOOKUP(Table2[[#This Row],[Home/Neutral]],OFR_lookup,2,FALSE)+VLOOKUP(Table2[[#This Row],[Visitor/Neutral]],def_diff_lookup,6,FALSE))</f>
        <v>107.994285349919</v>
      </c>
      <c r="M1188" s="21"/>
      <c r="N1188" s="21">
        <f>(Table2[[#This Row],[A/Pace]]/100)*(VLOOKUP(Table2[[#This Row],[Visitor/Neutral]],OFR_lookup,2,FALSE)+VLOOKUP(Table2[[#This Row],[Home/Neutral]],def_diff_lookup,6,FALSE))</f>
        <v>99.705683000000008</v>
      </c>
      <c r="O1188" s="21"/>
      <c r="P1188" s="21"/>
      <c r="Q1188">
        <f>VLOOKUP(Table2[[#This Row],[Home/Neutral]],pace_lookup,7,FALSE)</f>
        <v>91.5</v>
      </c>
      <c r="R1188" s="5">
        <f>VLOOKUP(Table2[[#This Row],[Visitor/Neutral]],pace_lookup,7,FALSE)</f>
        <v>95.7</v>
      </c>
      <c r="S1188" s="7"/>
      <c r="U1188" s="15"/>
      <c r="W1188" s="2">
        <f>-home-VLOOKUP(Table2[[#This Row],[Home/Neutral]],rtg_vlookup,4,FALSE)+VLOOKUP(Table2[[#This Row],[Visitor/Neutral]],rtg_vlookup,4,FALSE)</f>
        <v>-8.2086885245901655</v>
      </c>
      <c r="X1188" s="15"/>
      <c r="Y1188" s="2"/>
      <c r="Z1188" s="2">
        <f>Table2[[#This Row],[A/EV]]-Table2[[#This Row],[H/EV]]</f>
        <v>-8.2886023499189889</v>
      </c>
      <c r="AA1188" s="29"/>
      <c r="AB1188" s="30"/>
      <c r="AC1188" s="30"/>
      <c r="AD1188" s="30"/>
      <c r="AE1188" s="30"/>
      <c r="AF1188" s="7" t="b">
        <f>IF(VLOOKUP(Table2[[#This Row],[Home/Neutral]],division_lookup,9,FALSE)=VLOOKUP(Table2[[#This Row],[Visitor/Neutral]],division_lookup,9,FALSE),TRUE,FALSE)</f>
        <v>1</v>
      </c>
      <c r="AG1188" s="15" t="str">
        <f>VLOOKUP(Table2[[#This Row],[Home/Neutral]],division_lookup,9,FALSE)</f>
        <v>NW</v>
      </c>
      <c r="AH1188" s="15" t="str">
        <f>IF(Table2[[#This Row],[Total/EV]]&lt;Table2[[#This Row],[Total/V]],"UNDER","OVER")</f>
        <v>OVER</v>
      </c>
      <c r="AI1188" s="26">
        <f>Table2[[#This Row],[SRS/Real]]-Table2[[#This Row],[Spread/V]]</f>
        <v>0</v>
      </c>
      <c r="AJ1188" s="2">
        <f>Table2[[#This Row],[EV/Real]]-Table2[[#This Row],[Spread/V]]</f>
        <v>0</v>
      </c>
      <c r="AK1188" s="2">
        <f>Table2[[#This Row],[SRS/Diff]]-Table2[[#This Row],[EV/Diff]]</f>
        <v>0</v>
      </c>
      <c r="AL1188" s="18">
        <f>Table2[[#This Row],[SRS]]-Table2[[#This Row],[Spread]]</f>
        <v>-8.2086885245901655</v>
      </c>
      <c r="AM1188" s="21">
        <f>Table2[[#This Row],[(A) Err]]^2</f>
        <v>67.382567293738262</v>
      </c>
      <c r="AN1188" s="6">
        <f>Table2[[#This Row],[EV]]-Table2[[#This Row],[Spread]]</f>
        <v>-8.2886023499189889</v>
      </c>
      <c r="AO1188" s="1">
        <f>Table2[[#This Row],[EV Err]]^2</f>
        <v>68.700928915082585</v>
      </c>
      <c r="AP1188" s="1"/>
    </row>
    <row r="1189" spans="1:42" x14ac:dyDescent="0.25">
      <c r="A1189" s="34">
        <v>42834</v>
      </c>
      <c r="B1189" t="s">
        <v>111</v>
      </c>
      <c r="C1189" t="s">
        <v>113</v>
      </c>
      <c r="E1189" s="21"/>
      <c r="G1189" s="21"/>
      <c r="H1189" s="7"/>
      <c r="I1189" s="21"/>
      <c r="K1189"/>
      <c r="L1189" s="21">
        <f>(Table2[[#This Row],[H/Pace]]/100)*(VLOOKUP(Table2[[#This Row],[Home/Neutral]],home_lookup,8,FALSE)+VLOOKUP(Table2[[#This Row],[Home/Neutral]],OFR_lookup,2,FALSE)+VLOOKUP(Table2[[#This Row],[Visitor/Neutral]],def_diff_lookup,6,FALSE))</f>
        <v>99.722218327716362</v>
      </c>
      <c r="M1189" s="21"/>
      <c r="N1189" s="21">
        <f>(Table2[[#This Row],[A/Pace]]/100)*(VLOOKUP(Table2[[#This Row],[Visitor/Neutral]],OFR_lookup,2,FALSE)+VLOOKUP(Table2[[#This Row],[Home/Neutral]],def_diff_lookup,6,FALSE))</f>
        <v>109.49401899999999</v>
      </c>
      <c r="O1189" s="21"/>
      <c r="P1189" s="21"/>
      <c r="Q1189">
        <f>VLOOKUP(Table2[[#This Row],[Home/Neutral]],pace_lookup,7,FALSE)</f>
        <v>102</v>
      </c>
      <c r="R1189" s="5">
        <f>VLOOKUP(Table2[[#This Row],[Visitor/Neutral]],pace_lookup,7,FALSE)</f>
        <v>95.1</v>
      </c>
      <c r="S1189" s="7"/>
      <c r="U1189" s="15"/>
      <c r="W1189" s="2">
        <f>-home-VLOOKUP(Table2[[#This Row],[Home/Neutral]],rtg_vlookup,4,FALSE)+VLOOKUP(Table2[[#This Row],[Visitor/Neutral]],rtg_vlookup,4,FALSE)</f>
        <v>10.651311475409834</v>
      </c>
      <c r="X1189" s="15"/>
      <c r="Y1189" s="2"/>
      <c r="Z1189" s="2">
        <f>Table2[[#This Row],[A/EV]]-Table2[[#This Row],[H/EV]]</f>
        <v>9.7718006722836321</v>
      </c>
      <c r="AA1189" s="29"/>
      <c r="AB1189" s="30"/>
      <c r="AC1189" s="30"/>
      <c r="AD1189" s="30"/>
      <c r="AE1189" s="30"/>
      <c r="AF1189" s="7" t="b">
        <f>IF(VLOOKUP(Table2[[#This Row],[Home/Neutral]],division_lookup,9,FALSE)=VLOOKUP(Table2[[#This Row],[Visitor/Neutral]],division_lookup,9,FALSE),TRUE,FALSE)</f>
        <v>0</v>
      </c>
      <c r="AG1189" s="15" t="str">
        <f>VLOOKUP(Table2[[#This Row],[Home/Neutral]],division_lookup,9,FALSE)</f>
        <v>A</v>
      </c>
      <c r="AH1189" s="15" t="str">
        <f>IF(Table2[[#This Row],[Total/EV]]&lt;Table2[[#This Row],[Total/V]],"UNDER","OVER")</f>
        <v>OVER</v>
      </c>
      <c r="AI1189" s="26">
        <f>Table2[[#This Row],[SRS/Real]]-Table2[[#This Row],[Spread/V]]</f>
        <v>0</v>
      </c>
      <c r="AJ1189" s="2">
        <f>Table2[[#This Row],[EV/Real]]-Table2[[#This Row],[Spread/V]]</f>
        <v>0</v>
      </c>
      <c r="AK1189" s="2">
        <f>Table2[[#This Row],[SRS/Diff]]-Table2[[#This Row],[EV/Diff]]</f>
        <v>0</v>
      </c>
      <c r="AL1189" s="18">
        <f>Table2[[#This Row],[SRS]]-Table2[[#This Row],[Spread]]</f>
        <v>10.651311475409834</v>
      </c>
      <c r="AM1189" s="21">
        <f>Table2[[#This Row],[(A) Err]]^2</f>
        <v>113.45043614619722</v>
      </c>
      <c r="AN1189" s="6">
        <f>Table2[[#This Row],[EV]]-Table2[[#This Row],[Spread]]</f>
        <v>9.7718006722836321</v>
      </c>
      <c r="AO1189" s="1">
        <f>Table2[[#This Row],[EV Err]]^2</f>
        <v>95.488088378842846</v>
      </c>
      <c r="AP1189" s="1"/>
    </row>
    <row r="1190" spans="1:42" x14ac:dyDescent="0.25">
      <c r="A1190" s="34">
        <v>42834</v>
      </c>
      <c r="B1190" t="s">
        <v>112</v>
      </c>
      <c r="C1190" t="s">
        <v>110</v>
      </c>
      <c r="E1190" s="21"/>
      <c r="G1190" s="21"/>
      <c r="H1190" s="7"/>
      <c r="I1190" s="21"/>
      <c r="K1190"/>
      <c r="L1190" s="21">
        <f>(Table2[[#This Row],[H/Pace]]/100)*(VLOOKUP(Table2[[#This Row],[Home/Neutral]],home_lookup,8,FALSE)+VLOOKUP(Table2[[#This Row],[Home/Neutral]],OFR_lookup,2,FALSE)+VLOOKUP(Table2[[#This Row],[Visitor/Neutral]],def_diff_lookup,6,FALSE))</f>
        <v>104.88104195313484</v>
      </c>
      <c r="M1190" s="21"/>
      <c r="N1190" s="21">
        <f>(Table2[[#This Row],[A/Pace]]/100)*(VLOOKUP(Table2[[#This Row],[Visitor/Neutral]],OFR_lookup,2,FALSE)+VLOOKUP(Table2[[#This Row],[Home/Neutral]],def_diff_lookup,6,FALSE))</f>
        <v>102.85287133333334</v>
      </c>
      <c r="O1190" s="21"/>
      <c r="P1190" s="21"/>
      <c r="Q1190">
        <f>VLOOKUP(Table2[[#This Row],[Home/Neutral]],pace_lookup,7,FALSE)</f>
        <v>97.4</v>
      </c>
      <c r="R1190" s="5">
        <f>VLOOKUP(Table2[[#This Row],[Visitor/Neutral]],pace_lookup,7,FALSE)</f>
        <v>96.2</v>
      </c>
      <c r="S1190" s="7"/>
      <c r="U1190" s="15"/>
      <c r="W1190" s="2">
        <f>-home-VLOOKUP(Table2[[#This Row],[Home/Neutral]],rtg_vlookup,4,FALSE)+VLOOKUP(Table2[[#This Row],[Visitor/Neutral]],rtg_vlookup,4,FALSE)</f>
        <v>-4.3386885245901654</v>
      </c>
      <c r="X1190" s="15"/>
      <c r="Y1190" s="2"/>
      <c r="Z1190" s="2">
        <f>Table2[[#This Row],[A/EV]]-Table2[[#This Row],[H/EV]]</f>
        <v>-2.0281706198015002</v>
      </c>
      <c r="AA1190" s="29"/>
      <c r="AB1190" s="30"/>
      <c r="AC1190" s="30"/>
      <c r="AD1190" s="30"/>
      <c r="AE1190" s="30"/>
      <c r="AF1190" s="7" t="b">
        <f>IF(VLOOKUP(Table2[[#This Row],[Home/Neutral]],division_lookup,9,FALSE)=VLOOKUP(Table2[[#This Row],[Visitor/Neutral]],division_lookup,9,FALSE),TRUE,FALSE)</f>
        <v>0</v>
      </c>
      <c r="AG1190" s="15" t="str">
        <f>VLOOKUP(Table2[[#This Row],[Home/Neutral]],division_lookup,9,FALSE)</f>
        <v>SE</v>
      </c>
      <c r="AH1190" s="15" t="str">
        <f>IF(Table2[[#This Row],[Total/EV]]&lt;Table2[[#This Row],[Total/V]],"UNDER","OVER")</f>
        <v>OVER</v>
      </c>
      <c r="AI1190" s="26">
        <f>Table2[[#This Row],[SRS/Real]]-Table2[[#This Row],[Spread/V]]</f>
        <v>0</v>
      </c>
      <c r="AJ1190" s="2">
        <f>Table2[[#This Row],[EV/Real]]-Table2[[#This Row],[Spread/V]]</f>
        <v>0</v>
      </c>
      <c r="AK1190" s="2">
        <f>Table2[[#This Row],[SRS/Diff]]-Table2[[#This Row],[EV/Diff]]</f>
        <v>0</v>
      </c>
      <c r="AL1190" s="18">
        <f>Table2[[#This Row],[SRS]]-Table2[[#This Row],[Spread]]</f>
        <v>-4.3386885245901654</v>
      </c>
      <c r="AM1190" s="21">
        <f>Table2[[#This Row],[(A) Err]]^2</f>
        <v>18.824218113410385</v>
      </c>
      <c r="AN1190" s="6">
        <f>Table2[[#This Row],[EV]]-Table2[[#This Row],[Spread]]</f>
        <v>-2.0281706198015002</v>
      </c>
      <c r="AO1190" s="1">
        <f>Table2[[#This Row],[EV Err]]^2</f>
        <v>4.1134760630260017</v>
      </c>
      <c r="AP1190" s="1"/>
    </row>
    <row r="1191" spans="1:42" x14ac:dyDescent="0.25">
      <c r="A1191" s="34">
        <v>42834</v>
      </c>
      <c r="B1191" t="s">
        <v>118</v>
      </c>
      <c r="C1191" t="s">
        <v>127</v>
      </c>
      <c r="E1191" s="21"/>
      <c r="G1191" s="21"/>
      <c r="H1191" s="7"/>
      <c r="I1191" s="21"/>
      <c r="K1191"/>
      <c r="L1191" s="21">
        <f>(Table2[[#This Row],[H/Pace]]/100)*(VLOOKUP(Table2[[#This Row],[Home/Neutral]],home_lookup,8,FALSE)+VLOOKUP(Table2[[#This Row],[Home/Neutral]],OFR_lookup,2,FALSE)+VLOOKUP(Table2[[#This Row],[Visitor/Neutral]],def_diff_lookup,6,FALSE))</f>
        <v>113.44731838078236</v>
      </c>
      <c r="M1191" s="21"/>
      <c r="N1191" s="21">
        <f>(Table2[[#This Row],[A/Pace]]/100)*(VLOOKUP(Table2[[#This Row],[Visitor/Neutral]],OFR_lookup,2,FALSE)+VLOOKUP(Table2[[#This Row],[Home/Neutral]],def_diff_lookup,6,FALSE))</f>
        <v>100.84477699999999</v>
      </c>
      <c r="O1191" s="21"/>
      <c r="P1191" s="21"/>
      <c r="Q1191">
        <f>VLOOKUP(Table2[[#This Row],[Home/Neutral]],pace_lookup,7,FALSE)</f>
        <v>100.4</v>
      </c>
      <c r="R1191" s="5">
        <f>VLOOKUP(Table2[[#This Row],[Visitor/Neutral]],pace_lookup,7,FALSE)</f>
        <v>99.3</v>
      </c>
      <c r="S1191" s="7"/>
      <c r="U1191" s="15"/>
      <c r="W1191" s="2">
        <f>-home-VLOOKUP(Table2[[#This Row],[Home/Neutral]],rtg_vlookup,4,FALSE)+VLOOKUP(Table2[[#This Row],[Visitor/Neutral]],rtg_vlookup,4,FALSE)</f>
        <v>-16.858688524590164</v>
      </c>
      <c r="X1191" s="15"/>
      <c r="Y1191" s="2"/>
      <c r="Z1191" s="2">
        <f>Table2[[#This Row],[A/EV]]-Table2[[#This Row],[H/EV]]</f>
        <v>-12.60254138078237</v>
      </c>
      <c r="AA1191" s="29"/>
      <c r="AB1191" s="30"/>
      <c r="AC1191" s="30"/>
      <c r="AD1191" s="30"/>
      <c r="AE1191" s="30"/>
      <c r="AF1191" s="7" t="b">
        <f>IF(VLOOKUP(Table2[[#This Row],[Home/Neutral]],division_lookup,9,FALSE)=VLOOKUP(Table2[[#This Row],[Visitor/Neutral]],division_lookup,9,FALSE),TRUE,FALSE)</f>
        <v>0</v>
      </c>
      <c r="AG1191" s="15" t="str">
        <f>VLOOKUP(Table2[[#This Row],[Home/Neutral]],division_lookup,9,FALSE)</f>
        <v>P</v>
      </c>
      <c r="AH1191" s="15" t="str">
        <f>IF(Table2[[#This Row],[Total/EV]]&lt;Table2[[#This Row],[Total/V]],"UNDER","OVER")</f>
        <v>OVER</v>
      </c>
      <c r="AI1191" s="26">
        <f>Table2[[#This Row],[SRS/Real]]-Table2[[#This Row],[Spread/V]]</f>
        <v>0</v>
      </c>
      <c r="AJ1191" s="2">
        <f>Table2[[#This Row],[EV/Real]]-Table2[[#This Row],[Spread/V]]</f>
        <v>0</v>
      </c>
      <c r="AK1191" s="2">
        <f>Table2[[#This Row],[SRS/Diff]]-Table2[[#This Row],[EV/Diff]]</f>
        <v>0</v>
      </c>
      <c r="AL1191" s="18">
        <f>Table2[[#This Row],[SRS]]-Table2[[#This Row],[Spread]]</f>
        <v>-16.858688524590164</v>
      </c>
      <c r="AM1191" s="21">
        <f>Table2[[#This Row],[(A) Err]]^2</f>
        <v>284.21537876914806</v>
      </c>
      <c r="AN1191" s="6">
        <f>Table2[[#This Row],[EV]]-Table2[[#This Row],[Spread]]</f>
        <v>-12.60254138078237</v>
      </c>
      <c r="AO1191" s="1">
        <f>Table2[[#This Row],[EV Err]]^2</f>
        <v>158.82404925433198</v>
      </c>
      <c r="AP1191" s="1"/>
    </row>
    <row r="1192" spans="1:42" x14ac:dyDescent="0.25">
      <c r="A1192" s="34">
        <v>42834</v>
      </c>
      <c r="B1192" t="s">
        <v>130</v>
      </c>
      <c r="C1192" t="s">
        <v>120</v>
      </c>
      <c r="E1192" s="21"/>
      <c r="G1192" s="21"/>
      <c r="H1192" s="7"/>
      <c r="I1192" s="21"/>
      <c r="K1192"/>
      <c r="L1192" s="21">
        <f>(Table2[[#This Row],[H/Pace]]/100)*(VLOOKUP(Table2[[#This Row],[Home/Neutral]],home_lookup,8,FALSE)+VLOOKUP(Table2[[#This Row],[Home/Neutral]],OFR_lookup,2,FALSE)+VLOOKUP(Table2[[#This Row],[Visitor/Neutral]],def_diff_lookup,6,FALSE))</f>
        <v>98.145704967109396</v>
      </c>
      <c r="M1192" s="21"/>
      <c r="N1192" s="21">
        <f>(Table2[[#This Row],[A/Pace]]/100)*(VLOOKUP(Table2[[#This Row],[Visitor/Neutral]],OFR_lookup,2,FALSE)+VLOOKUP(Table2[[#This Row],[Home/Neutral]],def_diff_lookup,6,FALSE))</f>
        <v>101.75590033333333</v>
      </c>
      <c r="O1192" s="21"/>
      <c r="P1192" s="21"/>
      <c r="Q1192">
        <f>VLOOKUP(Table2[[#This Row],[Home/Neutral]],pace_lookup,7,FALSE)</f>
        <v>94.2</v>
      </c>
      <c r="R1192" s="5">
        <f>VLOOKUP(Table2[[#This Row],[Visitor/Neutral]],pace_lookup,7,FALSE)</f>
        <v>98.3</v>
      </c>
      <c r="S1192" s="7"/>
      <c r="U1192" s="15"/>
      <c r="W1192" s="2">
        <f>-home-VLOOKUP(Table2[[#This Row],[Home/Neutral]],rtg_vlookup,4,FALSE)+VLOOKUP(Table2[[#This Row],[Visitor/Neutral]],rtg_vlookup,4,FALSE)</f>
        <v>1.1513114754098348</v>
      </c>
      <c r="X1192" s="15"/>
      <c r="Y1192" s="2"/>
      <c r="Z1192" s="2">
        <f>Table2[[#This Row],[A/EV]]-Table2[[#This Row],[H/EV]]</f>
        <v>3.6101953662239339</v>
      </c>
      <c r="AA1192" s="29"/>
      <c r="AB1192" s="30"/>
      <c r="AC1192" s="30"/>
      <c r="AD1192" s="30"/>
      <c r="AE1192" s="30"/>
      <c r="AF1192" s="7" t="b">
        <f>IF(VLOOKUP(Table2[[#This Row],[Home/Neutral]],division_lookup,9,FALSE)=VLOOKUP(Table2[[#This Row],[Visitor/Neutral]],division_lookup,9,FALSE),TRUE,FALSE)</f>
        <v>0</v>
      </c>
      <c r="AG1192" s="15" t="str">
        <f>VLOOKUP(Table2[[#This Row],[Home/Neutral]],division_lookup,9,FALSE)</f>
        <v>SE</v>
      </c>
      <c r="AH1192" s="15" t="str">
        <f>IF(Table2[[#This Row],[Total/EV]]&lt;Table2[[#This Row],[Total/V]],"UNDER","OVER")</f>
        <v>OVER</v>
      </c>
      <c r="AI1192" s="26">
        <f>Table2[[#This Row],[SRS/Real]]-Table2[[#This Row],[Spread/V]]</f>
        <v>0</v>
      </c>
      <c r="AJ1192" s="2">
        <f>Table2[[#This Row],[EV/Real]]-Table2[[#This Row],[Spread/V]]</f>
        <v>0</v>
      </c>
      <c r="AK1192" s="2">
        <f>Table2[[#This Row],[SRS/Diff]]-Table2[[#This Row],[EV/Diff]]</f>
        <v>0</v>
      </c>
      <c r="AL1192" s="18">
        <f>Table2[[#This Row],[SRS]]-Table2[[#This Row],[Spread]]</f>
        <v>1.1513114754098348</v>
      </c>
      <c r="AM1192" s="21">
        <f>Table2[[#This Row],[(A) Err]]^2</f>
        <v>1.3255181134103706</v>
      </c>
      <c r="AN1192" s="6">
        <f>Table2[[#This Row],[EV]]-Table2[[#This Row],[Spread]]</f>
        <v>3.6101953662239339</v>
      </c>
      <c r="AO1192" s="1">
        <f>Table2[[#This Row],[EV Err]]^2</f>
        <v>13.033510582304764</v>
      </c>
      <c r="AP1192" s="1"/>
    </row>
    <row r="1193" spans="1:42" x14ac:dyDescent="0.25">
      <c r="A1193" s="34">
        <v>42834</v>
      </c>
      <c r="B1193" t="s">
        <v>138</v>
      </c>
      <c r="C1193" t="s">
        <v>125</v>
      </c>
      <c r="E1193" s="21"/>
      <c r="G1193" s="21"/>
      <c r="H1193" s="7"/>
      <c r="I1193" s="21"/>
      <c r="K1193"/>
      <c r="L1193" s="21">
        <f>(Table2[[#This Row],[H/Pace]]/100)*(VLOOKUP(Table2[[#This Row],[Home/Neutral]],home_lookup,8,FALSE)+VLOOKUP(Table2[[#This Row],[Home/Neutral]],OFR_lookup,2,FALSE)+VLOOKUP(Table2[[#This Row],[Visitor/Neutral]],def_diff_lookup,6,FALSE))</f>
        <v>101.12328353124011</v>
      </c>
      <c r="M1193" s="21"/>
      <c r="N1193" s="21">
        <f>(Table2[[#This Row],[A/Pace]]/100)*(VLOOKUP(Table2[[#This Row],[Visitor/Neutral]],OFR_lookup,2,FALSE)+VLOOKUP(Table2[[#This Row],[Home/Neutral]],def_diff_lookup,6,FALSE))</f>
        <v>103.75500566666666</v>
      </c>
      <c r="O1193" s="21"/>
      <c r="P1193" s="21"/>
      <c r="Q1193">
        <f>VLOOKUP(Table2[[#This Row],[Home/Neutral]],pace_lookup,7,FALSE)</f>
        <v>97.5</v>
      </c>
      <c r="R1193" s="5">
        <f>VLOOKUP(Table2[[#This Row],[Visitor/Neutral]],pace_lookup,7,FALSE)</f>
        <v>96.1</v>
      </c>
      <c r="S1193" s="7"/>
      <c r="U1193" s="15"/>
      <c r="W1193" s="2">
        <f>-home-VLOOKUP(Table2[[#This Row],[Home/Neutral]],rtg_vlookup,4,FALSE)+VLOOKUP(Table2[[#This Row],[Visitor/Neutral]],rtg_vlookup,4,FALSE)</f>
        <v>4.3713114754098346</v>
      </c>
      <c r="X1193" s="15"/>
      <c r="Y1193" s="2"/>
      <c r="Z1193" s="2">
        <f>Table2[[#This Row],[A/EV]]-Table2[[#This Row],[H/EV]]</f>
        <v>2.631722135426557</v>
      </c>
      <c r="AA1193" s="29"/>
      <c r="AB1193" s="30"/>
      <c r="AC1193" s="30"/>
      <c r="AD1193" s="30"/>
      <c r="AE1193" s="30"/>
      <c r="AF1193" s="7" t="b">
        <f>IF(VLOOKUP(Table2[[#This Row],[Home/Neutral]],division_lookup,9,FALSE)=VLOOKUP(Table2[[#This Row],[Visitor/Neutral]],division_lookup,9,FALSE),TRUE,FALSE)</f>
        <v>0</v>
      </c>
      <c r="AG1193" s="15" t="str">
        <f>VLOOKUP(Table2[[#This Row],[Home/Neutral]],division_lookup,9,FALSE)</f>
        <v>A</v>
      </c>
      <c r="AH1193" s="15" t="str">
        <f>IF(Table2[[#This Row],[Total/EV]]&lt;Table2[[#This Row],[Total/V]],"UNDER","OVER")</f>
        <v>OVER</v>
      </c>
      <c r="AI1193" s="26">
        <f>Table2[[#This Row],[SRS/Real]]-Table2[[#This Row],[Spread/V]]</f>
        <v>0</v>
      </c>
      <c r="AJ1193" s="2">
        <f>Table2[[#This Row],[EV/Real]]-Table2[[#This Row],[Spread/V]]</f>
        <v>0</v>
      </c>
      <c r="AK1193" s="2">
        <f>Table2[[#This Row],[SRS/Diff]]-Table2[[#This Row],[EV/Diff]]</f>
        <v>0</v>
      </c>
      <c r="AL1193" s="18">
        <f>Table2[[#This Row],[SRS]]-Table2[[#This Row],[Spread]]</f>
        <v>4.3713114754098346</v>
      </c>
      <c r="AM1193" s="21">
        <f>Table2[[#This Row],[(A) Err]]^2</f>
        <v>19.108364015049705</v>
      </c>
      <c r="AN1193" s="6">
        <f>Table2[[#This Row],[EV]]-Table2[[#This Row],[Spread]]</f>
        <v>2.631722135426557</v>
      </c>
      <c r="AO1193" s="1">
        <f>Table2[[#This Row],[EV Err]]^2</f>
        <v>6.9259613980941168</v>
      </c>
      <c r="AP1193" s="1"/>
    </row>
    <row r="1194" spans="1:42" x14ac:dyDescent="0.25">
      <c r="A1194" s="34">
        <v>42834</v>
      </c>
      <c r="B1194" t="s">
        <v>132</v>
      </c>
      <c r="C1194" t="s">
        <v>136</v>
      </c>
      <c r="E1194" s="21"/>
      <c r="G1194" s="21"/>
      <c r="H1194" s="7"/>
      <c r="I1194" s="21"/>
      <c r="K1194"/>
      <c r="L1194" s="21">
        <f>(Table2[[#This Row],[H/Pace]]/100)*(VLOOKUP(Table2[[#This Row],[Home/Neutral]],home_lookup,8,FALSE)+VLOOKUP(Table2[[#This Row],[Home/Neutral]],OFR_lookup,2,FALSE)+VLOOKUP(Table2[[#This Row],[Visitor/Neutral]],def_diff_lookup,6,FALSE))</f>
        <v>104.53850144606979</v>
      </c>
      <c r="M1194" s="21"/>
      <c r="N1194" s="21">
        <f>(Table2[[#This Row],[A/Pace]]/100)*(VLOOKUP(Table2[[#This Row],[Visitor/Neutral]],OFR_lookup,2,FALSE)+VLOOKUP(Table2[[#This Row],[Home/Neutral]],def_diff_lookup,6,FALSE))</f>
        <v>102.42113500000001</v>
      </c>
      <c r="O1194" s="21"/>
      <c r="P1194" s="21"/>
      <c r="Q1194">
        <f>VLOOKUP(Table2[[#This Row],[Home/Neutral]],pace_lookup,7,FALSE)</f>
        <v>98.8</v>
      </c>
      <c r="R1194" s="5">
        <f>VLOOKUP(Table2[[#This Row],[Visitor/Neutral]],pace_lookup,7,FALSE)</f>
        <v>91.5</v>
      </c>
      <c r="S1194" s="7"/>
      <c r="U1194" s="15"/>
      <c r="W1194" s="2">
        <f>-home-VLOOKUP(Table2[[#This Row],[Home/Neutral]],rtg_vlookup,4,FALSE)+VLOOKUP(Table2[[#This Row],[Visitor/Neutral]],rtg_vlookup,4,FALSE)</f>
        <v>3.9113114754098341</v>
      </c>
      <c r="X1194" s="15"/>
      <c r="Y1194" s="2"/>
      <c r="Z1194" s="2">
        <f>Table2[[#This Row],[A/EV]]-Table2[[#This Row],[H/EV]]</f>
        <v>-2.1173664460697807</v>
      </c>
      <c r="AA1194" s="29"/>
      <c r="AB1194" s="30"/>
      <c r="AC1194" s="30"/>
      <c r="AD1194" s="30"/>
      <c r="AE1194" s="30"/>
      <c r="AF1194" s="7" t="b">
        <f>IF(VLOOKUP(Table2[[#This Row],[Home/Neutral]],division_lookup,9,FALSE)=VLOOKUP(Table2[[#This Row],[Visitor/Neutral]],division_lookup,9,FALSE),TRUE,FALSE)</f>
        <v>1</v>
      </c>
      <c r="AG1194" s="15" t="str">
        <f>VLOOKUP(Table2[[#This Row],[Home/Neutral]],division_lookup,9,FALSE)</f>
        <v>NW</v>
      </c>
      <c r="AH1194" s="15" t="str">
        <f>IF(Table2[[#This Row],[Total/EV]]&lt;Table2[[#This Row],[Total/V]],"UNDER","OVER")</f>
        <v>OVER</v>
      </c>
      <c r="AI1194" s="26">
        <f>Table2[[#This Row],[SRS/Real]]-Table2[[#This Row],[Spread/V]]</f>
        <v>0</v>
      </c>
      <c r="AJ1194" s="2">
        <f>Table2[[#This Row],[EV/Real]]-Table2[[#This Row],[Spread/V]]</f>
        <v>0</v>
      </c>
      <c r="AK1194" s="2">
        <f>Table2[[#This Row],[SRS/Diff]]-Table2[[#This Row],[EV/Diff]]</f>
        <v>0</v>
      </c>
      <c r="AL1194" s="18">
        <f>Table2[[#This Row],[SRS]]-Table2[[#This Row],[Spread]]</f>
        <v>3.9113114754098341</v>
      </c>
      <c r="AM1194" s="21">
        <f>Table2[[#This Row],[(A) Err]]^2</f>
        <v>15.298357457672653</v>
      </c>
      <c r="AN1194" s="6">
        <f>Table2[[#This Row],[EV]]-Table2[[#This Row],[Spread]]</f>
        <v>-2.1173664460697807</v>
      </c>
      <c r="AO1194" s="1">
        <f>Table2[[#This Row],[EV Err]]^2</f>
        <v>4.4832406669421738</v>
      </c>
      <c r="AP1194" s="1"/>
    </row>
    <row r="1195" spans="1:42" x14ac:dyDescent="0.25">
      <c r="A1195" s="34">
        <v>42834</v>
      </c>
      <c r="B1195" t="s">
        <v>134</v>
      </c>
      <c r="C1195" t="s">
        <v>121</v>
      </c>
      <c r="E1195" s="21"/>
      <c r="G1195" s="21"/>
      <c r="H1195" s="7"/>
      <c r="I1195" s="21"/>
      <c r="K1195"/>
      <c r="L1195" s="21">
        <f>(Table2[[#This Row],[H/Pace]]/100)*(VLOOKUP(Table2[[#This Row],[Home/Neutral]],home_lookup,8,FALSE)+VLOOKUP(Table2[[#This Row],[Home/Neutral]],OFR_lookup,2,FALSE)+VLOOKUP(Table2[[#This Row],[Visitor/Neutral]],def_diff_lookup,6,FALSE))</f>
        <v>96.675953436381931</v>
      </c>
      <c r="M1195" s="21"/>
      <c r="N1195" s="21">
        <f>(Table2[[#This Row],[A/Pace]]/100)*(VLOOKUP(Table2[[#This Row],[Visitor/Neutral]],OFR_lookup,2,FALSE)+VLOOKUP(Table2[[#This Row],[Home/Neutral]],def_diff_lookup,6,FALSE))</f>
        <v>109.65082266666667</v>
      </c>
      <c r="O1195" s="21"/>
      <c r="P1195" s="21"/>
      <c r="Q1195">
        <f>VLOOKUP(Table2[[#This Row],[Home/Neutral]],pace_lookup,7,FALSE)</f>
        <v>93.4</v>
      </c>
      <c r="R1195" s="5">
        <f>VLOOKUP(Table2[[#This Row],[Visitor/Neutral]],pace_lookup,7,FALSE)</f>
        <v>96.4</v>
      </c>
      <c r="S1195" s="7"/>
      <c r="U1195" s="15"/>
      <c r="W1195" s="2">
        <f>-home-VLOOKUP(Table2[[#This Row],[Home/Neutral]],rtg_vlookup,4,FALSE)+VLOOKUP(Table2[[#This Row],[Visitor/Neutral]],rtg_vlookup,4,FALSE)</f>
        <v>2.5613114754098358</v>
      </c>
      <c r="X1195" s="15"/>
      <c r="Y1195" s="2"/>
      <c r="Z1195" s="2">
        <f>Table2[[#This Row],[A/EV]]-Table2[[#This Row],[H/EV]]</f>
        <v>12.974869230284739</v>
      </c>
      <c r="AA1195" s="29"/>
      <c r="AB1195" s="30"/>
      <c r="AC1195" s="30"/>
      <c r="AD1195" s="30"/>
      <c r="AE1195" s="30"/>
      <c r="AF1195" s="7" t="b">
        <f>IF(VLOOKUP(Table2[[#This Row],[Home/Neutral]],division_lookup,9,FALSE)=VLOOKUP(Table2[[#This Row],[Visitor/Neutral]],division_lookup,9,FALSE),TRUE,FALSE)</f>
        <v>0</v>
      </c>
      <c r="AG1195" s="15" t="str">
        <f>VLOOKUP(Table2[[#This Row],[Home/Neutral]],division_lookup,9,FALSE)</f>
        <v>SW</v>
      </c>
      <c r="AH1195" s="15" t="str">
        <f>IF(Table2[[#This Row],[Total/EV]]&lt;Table2[[#This Row],[Total/V]],"UNDER","OVER")</f>
        <v>OVER</v>
      </c>
      <c r="AI1195" s="26">
        <f>Table2[[#This Row],[SRS/Real]]-Table2[[#This Row],[Spread/V]]</f>
        <v>0</v>
      </c>
      <c r="AJ1195" s="2">
        <f>Table2[[#This Row],[EV/Real]]-Table2[[#This Row],[Spread/V]]</f>
        <v>0</v>
      </c>
      <c r="AK1195" s="2">
        <f>Table2[[#This Row],[SRS/Diff]]-Table2[[#This Row],[EV/Diff]]</f>
        <v>0</v>
      </c>
      <c r="AL1195" s="18">
        <f>Table2[[#This Row],[SRS]]-Table2[[#This Row],[Spread]]</f>
        <v>2.5613114754098358</v>
      </c>
      <c r="AM1195" s="21">
        <f>Table2[[#This Row],[(A) Err]]^2</f>
        <v>6.5603164740661102</v>
      </c>
      <c r="AN1195" s="6">
        <f>Table2[[#This Row],[EV]]-Table2[[#This Row],[Spread]]</f>
        <v>12.974869230284739</v>
      </c>
      <c r="AO1195" s="1">
        <f>Table2[[#This Row],[EV Err]]^2</f>
        <v>168.3472315429897</v>
      </c>
      <c r="AP1195" s="1"/>
    </row>
    <row r="1196" spans="1:42" x14ac:dyDescent="0.25">
      <c r="A1196" s="34">
        <v>42834</v>
      </c>
      <c r="B1196" t="s">
        <v>137</v>
      </c>
      <c r="C1196" t="s">
        <v>124</v>
      </c>
      <c r="E1196" s="21"/>
      <c r="G1196" s="21"/>
      <c r="H1196" s="7"/>
      <c r="I1196" s="21"/>
      <c r="K1196"/>
      <c r="L1196" s="21">
        <f>(Table2[[#This Row],[H/Pace]]/100)*(VLOOKUP(Table2[[#This Row],[Home/Neutral]],home_lookup,8,FALSE)+VLOOKUP(Table2[[#This Row],[Home/Neutral]],OFR_lookup,2,FALSE)+VLOOKUP(Table2[[#This Row],[Visitor/Neutral]],def_diff_lookup,6,FALSE))</f>
        <v>105.77533255421871</v>
      </c>
      <c r="M1196" s="21"/>
      <c r="N1196" s="21">
        <f>(Table2[[#This Row],[A/Pace]]/100)*(VLOOKUP(Table2[[#This Row],[Visitor/Neutral]],OFR_lookup,2,FALSE)+VLOOKUP(Table2[[#This Row],[Home/Neutral]],def_diff_lookup,6,FALSE))</f>
        <v>100.03005966666666</v>
      </c>
      <c r="O1196" s="21"/>
      <c r="P1196" s="21"/>
      <c r="Q1196">
        <f>VLOOKUP(Table2[[#This Row],[Home/Neutral]],pace_lookup,7,FALSE)</f>
        <v>96</v>
      </c>
      <c r="R1196" s="5">
        <f>VLOOKUP(Table2[[#This Row],[Visitor/Neutral]],pace_lookup,7,FALSE)</f>
        <v>93.7</v>
      </c>
      <c r="S1196" s="7"/>
      <c r="U1196" s="15"/>
      <c r="W1196" s="2">
        <f>-home-VLOOKUP(Table2[[#This Row],[Home/Neutral]],rtg_vlookup,4,FALSE)+VLOOKUP(Table2[[#This Row],[Visitor/Neutral]],rtg_vlookup,4,FALSE)</f>
        <v>-0.98868852459016598</v>
      </c>
      <c r="X1196" s="15"/>
      <c r="Y1196" s="2"/>
      <c r="Z1196" s="2">
        <f>Table2[[#This Row],[A/EV]]-Table2[[#This Row],[H/EV]]</f>
        <v>-5.7452728875520478</v>
      </c>
      <c r="AA1196" s="29"/>
      <c r="AB1196" s="30"/>
      <c r="AC1196" s="30"/>
      <c r="AD1196" s="30"/>
      <c r="AE1196" s="30"/>
      <c r="AF1196" s="7" t="b">
        <f>IF(VLOOKUP(Table2[[#This Row],[Home/Neutral]],division_lookup,9,FALSE)=VLOOKUP(Table2[[#This Row],[Visitor/Neutral]],division_lookup,9,FALSE),TRUE,FALSE)</f>
        <v>1</v>
      </c>
      <c r="AG1196" s="15" t="str">
        <f>VLOOKUP(Table2[[#This Row],[Home/Neutral]],division_lookup,9,FALSE)</f>
        <v>SE</v>
      </c>
      <c r="AH1196" s="15" t="str">
        <f>IF(Table2[[#This Row],[Total/EV]]&lt;Table2[[#This Row],[Total/V]],"UNDER","OVER")</f>
        <v>OVER</v>
      </c>
      <c r="AI1196" s="26">
        <f>Table2[[#This Row],[SRS/Real]]-Table2[[#This Row],[Spread/V]]</f>
        <v>0</v>
      </c>
      <c r="AJ1196" s="2">
        <f>Table2[[#This Row],[EV/Real]]-Table2[[#This Row],[Spread/V]]</f>
        <v>0</v>
      </c>
      <c r="AK1196" s="2">
        <f>Table2[[#This Row],[SRS/Diff]]-Table2[[#This Row],[EV/Diff]]</f>
        <v>0</v>
      </c>
      <c r="AL1196" s="18">
        <f>Table2[[#This Row],[SRS]]-Table2[[#This Row],[Spread]]</f>
        <v>-0.98868852459016598</v>
      </c>
      <c r="AM1196" s="21">
        <f>Table2[[#This Row],[(A) Err]]^2</f>
        <v>0.97750499865627927</v>
      </c>
      <c r="AN1196" s="6">
        <f>Table2[[#This Row],[EV]]-Table2[[#This Row],[Spread]]</f>
        <v>-5.7452728875520478</v>
      </c>
      <c r="AO1196" s="1">
        <f>Table2[[#This Row],[EV Err]]^2</f>
        <v>33.008160552440643</v>
      </c>
      <c r="AP1196" s="1"/>
    </row>
    <row r="1197" spans="1:42" x14ac:dyDescent="0.25">
      <c r="A1197" s="34">
        <v>42835</v>
      </c>
      <c r="B1197" t="s">
        <v>109</v>
      </c>
      <c r="C1197" t="s">
        <v>114</v>
      </c>
      <c r="E1197" s="21"/>
      <c r="G1197" s="21"/>
      <c r="H1197" s="7"/>
      <c r="I1197" s="21"/>
      <c r="K1197"/>
      <c r="L1197" s="21">
        <f>(Table2[[#This Row],[H/Pace]]/100)*(VLOOKUP(Table2[[#This Row],[Home/Neutral]],home_lookup,8,FALSE)+VLOOKUP(Table2[[#This Row],[Home/Neutral]],OFR_lookup,2,FALSE)+VLOOKUP(Table2[[#This Row],[Visitor/Neutral]],def_diff_lookup,6,FALSE))</f>
        <v>99.879686607286374</v>
      </c>
      <c r="M1197" s="21"/>
      <c r="N1197" s="21">
        <f>(Table2[[#This Row],[A/Pace]]/100)*(VLOOKUP(Table2[[#This Row],[Visitor/Neutral]],OFR_lookup,2,FALSE)+VLOOKUP(Table2[[#This Row],[Home/Neutral]],def_diff_lookup,6,FALSE))</f>
        <v>104.99221366666666</v>
      </c>
      <c r="O1197" s="21"/>
      <c r="P1197" s="21"/>
      <c r="Q1197">
        <f>VLOOKUP(Table2[[#This Row],[Home/Neutral]],pace_lookup,7,FALSE)</f>
        <v>99.2</v>
      </c>
      <c r="R1197" s="5">
        <f>VLOOKUP(Table2[[#This Row],[Visitor/Neutral]],pace_lookup,7,FALSE)</f>
        <v>97.3</v>
      </c>
      <c r="S1197" s="7"/>
      <c r="U1197" s="15"/>
      <c r="W1197" s="2">
        <f>-home-VLOOKUP(Table2[[#This Row],[Home/Neutral]],rtg_vlookup,4,FALSE)+VLOOKUP(Table2[[#This Row],[Visitor/Neutral]],rtg_vlookup,4,FALSE)</f>
        <v>3.5913114754098343</v>
      </c>
      <c r="X1197" s="15"/>
      <c r="Y1197" s="2"/>
      <c r="Z1197" s="2">
        <f>Table2[[#This Row],[A/EV]]-Table2[[#This Row],[H/EV]]</f>
        <v>5.1125270593802838</v>
      </c>
      <c r="AA1197" s="29"/>
      <c r="AB1197" s="30"/>
      <c r="AC1197" s="30"/>
      <c r="AD1197" s="30"/>
      <c r="AE1197" s="30"/>
      <c r="AF1197" s="7" t="b">
        <f>IF(VLOOKUP(Table2[[#This Row],[Home/Neutral]],division_lookup,9,FALSE)=VLOOKUP(Table2[[#This Row],[Visitor/Neutral]],division_lookup,9,FALSE),TRUE,FALSE)</f>
        <v>0</v>
      </c>
      <c r="AG1197" s="15" t="str">
        <f>VLOOKUP(Table2[[#This Row],[Home/Neutral]],division_lookup,9,FALSE)</f>
        <v>SE</v>
      </c>
      <c r="AH1197" s="15" t="str">
        <f>IF(Table2[[#This Row],[Total/EV]]&lt;Table2[[#This Row],[Total/V]],"UNDER","OVER")</f>
        <v>OVER</v>
      </c>
      <c r="AI1197" s="26">
        <f>Table2[[#This Row],[SRS/Real]]-Table2[[#This Row],[Spread/V]]</f>
        <v>0</v>
      </c>
      <c r="AJ1197" s="2">
        <f>Table2[[#This Row],[EV/Real]]-Table2[[#This Row],[Spread/V]]</f>
        <v>0</v>
      </c>
      <c r="AK1197" s="2">
        <f>Table2[[#This Row],[SRS/Diff]]-Table2[[#This Row],[EV/Diff]]</f>
        <v>0</v>
      </c>
      <c r="AL1197" s="18">
        <f>Table2[[#This Row],[SRS]]-Table2[[#This Row],[Spread]]</f>
        <v>3.5913114754098343</v>
      </c>
      <c r="AM1197" s="21">
        <f>Table2[[#This Row],[(A) Err]]^2</f>
        <v>12.897518113410362</v>
      </c>
      <c r="AN1197" s="6">
        <f>Table2[[#This Row],[EV]]-Table2[[#This Row],[Spread]]</f>
        <v>5.1125270593802838</v>
      </c>
      <c r="AO1197" s="1">
        <f>Table2[[#This Row],[EV Err]]^2</f>
        <v>26.137932932895612</v>
      </c>
      <c r="AP1197" s="1"/>
    </row>
    <row r="1198" spans="1:42" x14ac:dyDescent="0.25">
      <c r="A1198" s="34">
        <v>42835</v>
      </c>
      <c r="B1198" t="s">
        <v>116</v>
      </c>
      <c r="C1198" t="s">
        <v>129</v>
      </c>
      <c r="E1198" s="21"/>
      <c r="G1198" s="21"/>
      <c r="H1198" s="7"/>
      <c r="I1198" s="21"/>
      <c r="K1198"/>
      <c r="L1198" s="21">
        <f>(Table2[[#This Row],[H/Pace]]/100)*(VLOOKUP(Table2[[#This Row],[Home/Neutral]],home_lookup,8,FALSE)+VLOOKUP(Table2[[#This Row],[Home/Neutral]],OFR_lookup,2,FALSE)+VLOOKUP(Table2[[#This Row],[Visitor/Neutral]],def_diff_lookup,6,FALSE))</f>
        <v>103.01297470161865</v>
      </c>
      <c r="M1198" s="21"/>
      <c r="N1198" s="21">
        <f>(Table2[[#This Row],[A/Pace]]/100)*(VLOOKUP(Table2[[#This Row],[Visitor/Neutral]],OFR_lookup,2,FALSE)+VLOOKUP(Table2[[#This Row],[Home/Neutral]],def_diff_lookup,6,FALSE))</f>
        <v>105.44060999999999</v>
      </c>
      <c r="O1198" s="21"/>
      <c r="P1198" s="21"/>
      <c r="Q1198">
        <f>VLOOKUP(Table2[[#This Row],[Home/Neutral]],pace_lookup,7,FALSE)</f>
        <v>99.1</v>
      </c>
      <c r="R1198" s="5">
        <f>VLOOKUP(Table2[[#This Row],[Visitor/Neutral]],pace_lookup,7,FALSE)</f>
        <v>99</v>
      </c>
      <c r="S1198" s="7"/>
      <c r="U1198" s="15"/>
      <c r="W1198" s="2">
        <f>-home-VLOOKUP(Table2[[#This Row],[Home/Neutral]],rtg_vlookup,4,FALSE)+VLOOKUP(Table2[[#This Row],[Visitor/Neutral]],rtg_vlookup,4,FALSE)</f>
        <v>-0.52868852459016602</v>
      </c>
      <c r="X1198" s="15"/>
      <c r="Y1198" s="2"/>
      <c r="Z1198" s="2">
        <f>Table2[[#This Row],[A/EV]]-Table2[[#This Row],[H/EV]]</f>
        <v>2.4276352983813467</v>
      </c>
      <c r="AA1198" s="29"/>
      <c r="AB1198" s="30"/>
      <c r="AC1198" s="30"/>
      <c r="AD1198" s="30"/>
      <c r="AE1198" s="30"/>
      <c r="AF1198" s="7" t="b">
        <f>IF(VLOOKUP(Table2[[#This Row],[Home/Neutral]],division_lookup,9,FALSE)=VLOOKUP(Table2[[#This Row],[Visitor/Neutral]],division_lookup,9,FALSE),TRUE,FALSE)</f>
        <v>1</v>
      </c>
      <c r="AG1198" s="15" t="str">
        <f>VLOOKUP(Table2[[#This Row],[Home/Neutral]],division_lookup,9,FALSE)</f>
        <v>NW</v>
      </c>
      <c r="AH1198" s="15" t="str">
        <f>IF(Table2[[#This Row],[Total/EV]]&lt;Table2[[#This Row],[Total/V]],"UNDER","OVER")</f>
        <v>OVER</v>
      </c>
      <c r="AI1198" s="26">
        <f>Table2[[#This Row],[SRS/Real]]-Table2[[#This Row],[Spread/V]]</f>
        <v>0</v>
      </c>
      <c r="AJ1198" s="2">
        <f>Table2[[#This Row],[EV/Real]]-Table2[[#This Row],[Spread/V]]</f>
        <v>0</v>
      </c>
      <c r="AK1198" s="2">
        <f>Table2[[#This Row],[SRS/Diff]]-Table2[[#This Row],[EV/Diff]]</f>
        <v>0</v>
      </c>
      <c r="AL1198" s="18">
        <f>Table2[[#This Row],[SRS]]-Table2[[#This Row],[Spread]]</f>
        <v>-0.52868852459016602</v>
      </c>
      <c r="AM1198" s="21">
        <f>Table2[[#This Row],[(A) Err]]^2</f>
        <v>0.27951155603332656</v>
      </c>
      <c r="AN1198" s="6">
        <f>Table2[[#This Row],[EV]]-Table2[[#This Row],[Spread]]</f>
        <v>2.4276352983813467</v>
      </c>
      <c r="AO1198" s="1">
        <f>Table2[[#This Row],[EV Err]]^2</f>
        <v>5.8934131419470903</v>
      </c>
      <c r="AP1198" s="1"/>
    </row>
    <row r="1199" spans="1:42" x14ac:dyDescent="0.25">
      <c r="A1199" s="34">
        <v>42835</v>
      </c>
      <c r="B1199" t="s">
        <v>122</v>
      </c>
      <c r="C1199" t="s">
        <v>126</v>
      </c>
      <c r="E1199" s="21"/>
      <c r="G1199" s="21"/>
      <c r="H1199" s="7"/>
      <c r="I1199" s="21"/>
      <c r="K1199"/>
      <c r="L1199" s="21">
        <f>(Table2[[#This Row],[H/Pace]]/100)*(VLOOKUP(Table2[[#This Row],[Home/Neutral]],home_lookup,8,FALSE)+VLOOKUP(Table2[[#This Row],[Home/Neutral]],OFR_lookup,2,FALSE)+VLOOKUP(Table2[[#This Row],[Visitor/Neutral]],def_diff_lookup,6,FALSE))</f>
        <v>113.0244083274473</v>
      </c>
      <c r="M1199" s="21"/>
      <c r="N1199" s="21">
        <f>(Table2[[#This Row],[A/Pace]]/100)*(VLOOKUP(Table2[[#This Row],[Visitor/Neutral]],OFR_lookup,2,FALSE)+VLOOKUP(Table2[[#This Row],[Home/Neutral]],def_diff_lookup,6,FALSE))</f>
        <v>108.366533</v>
      </c>
      <c r="O1199" s="21"/>
      <c r="P1199" s="21"/>
      <c r="Q1199">
        <f>VLOOKUP(Table2[[#This Row],[Home/Neutral]],pace_lookup,7,FALSE)</f>
        <v>100.2</v>
      </c>
      <c r="R1199" s="5">
        <f>VLOOKUP(Table2[[#This Row],[Visitor/Neutral]],pace_lookup,7,FALSE)</f>
        <v>95.7</v>
      </c>
      <c r="S1199" s="7"/>
      <c r="U1199" s="15"/>
      <c r="W1199" s="2">
        <f>-home-VLOOKUP(Table2[[#This Row],[Home/Neutral]],rtg_vlookup,4,FALSE)+VLOOKUP(Table2[[#This Row],[Visitor/Neutral]],rtg_vlookup,4,FALSE)</f>
        <v>-1.7086885245901657</v>
      </c>
      <c r="X1199" s="15"/>
      <c r="Y1199" s="2"/>
      <c r="Z1199" s="2">
        <f>Table2[[#This Row],[A/EV]]-Table2[[#This Row],[H/EV]]</f>
        <v>-4.6578753274473002</v>
      </c>
      <c r="AA1199" s="29"/>
      <c r="AB1199" s="30"/>
      <c r="AC1199" s="30"/>
      <c r="AD1199" s="30"/>
      <c r="AE1199" s="30"/>
      <c r="AF1199" s="7" t="b">
        <f>IF(VLOOKUP(Table2[[#This Row],[Home/Neutral]],division_lookup,9,FALSE)=VLOOKUP(Table2[[#This Row],[Visitor/Neutral]],division_lookup,9,FALSE),TRUE,FALSE)</f>
        <v>0</v>
      </c>
      <c r="AG1199" s="15" t="str">
        <f>VLOOKUP(Table2[[#This Row],[Home/Neutral]],division_lookup,9,FALSE)</f>
        <v>P</v>
      </c>
      <c r="AH1199" s="15" t="str">
        <f>IF(Table2[[#This Row],[Total/EV]]&lt;Table2[[#This Row],[Total/V]],"UNDER","OVER")</f>
        <v>OVER</v>
      </c>
      <c r="AI1199" s="26">
        <f>Table2[[#This Row],[SRS/Real]]-Table2[[#This Row],[Spread/V]]</f>
        <v>0</v>
      </c>
      <c r="AJ1199" s="2">
        <f>Table2[[#This Row],[EV/Real]]-Table2[[#This Row],[Spread/V]]</f>
        <v>0</v>
      </c>
      <c r="AK1199" s="2">
        <f>Table2[[#This Row],[SRS/Diff]]-Table2[[#This Row],[EV/Diff]]</f>
        <v>0</v>
      </c>
      <c r="AL1199" s="18">
        <f>Table2[[#This Row],[SRS]]-Table2[[#This Row],[Spread]]</f>
        <v>-1.7086885245901657</v>
      </c>
      <c r="AM1199" s="21">
        <f>Table2[[#This Row],[(A) Err]]^2</f>
        <v>2.9196164740661175</v>
      </c>
      <c r="AN1199" s="6">
        <f>Table2[[#This Row],[EV]]-Table2[[#This Row],[Spread]]</f>
        <v>-4.6578753274473002</v>
      </c>
      <c r="AO1199" s="1">
        <f>Table2[[#This Row],[EV Err]]^2</f>
        <v>21.695802566042293</v>
      </c>
      <c r="AP1199" s="1"/>
    </row>
    <row r="1200" spans="1:42" x14ac:dyDescent="0.25">
      <c r="A1200" s="34">
        <v>42835</v>
      </c>
      <c r="B1200" t="s">
        <v>123</v>
      </c>
      <c r="C1200" t="s">
        <v>117</v>
      </c>
      <c r="E1200" s="21"/>
      <c r="G1200" s="21"/>
      <c r="H1200" s="7"/>
      <c r="I1200" s="21"/>
      <c r="K1200"/>
      <c r="L1200" s="21">
        <f>(Table2[[#This Row],[H/Pace]]/100)*(VLOOKUP(Table2[[#This Row],[Home/Neutral]],home_lookup,8,FALSE)+VLOOKUP(Table2[[#This Row],[Home/Neutral]],OFR_lookup,2,FALSE)+VLOOKUP(Table2[[#This Row],[Visitor/Neutral]],def_diff_lookup,6,FALSE))</f>
        <v>98.146427095639183</v>
      </c>
      <c r="M1200" s="21"/>
      <c r="N1200" s="21">
        <f>(Table2[[#This Row],[A/Pace]]/100)*(VLOOKUP(Table2[[#This Row],[Visitor/Neutral]],OFR_lookup,2,FALSE)+VLOOKUP(Table2[[#This Row],[Home/Neutral]],def_diff_lookup,6,FALSE))</f>
        <v>94.729126666666644</v>
      </c>
      <c r="O1200" s="21"/>
      <c r="P1200" s="21"/>
      <c r="Q1200">
        <f>VLOOKUP(Table2[[#This Row],[Home/Neutral]],pace_lookup,7,FALSE)</f>
        <v>92.5</v>
      </c>
      <c r="R1200" s="5">
        <f>VLOOKUP(Table2[[#This Row],[Visitor/Neutral]],pace_lookup,7,FALSE)</f>
        <v>94</v>
      </c>
      <c r="S1200" s="7"/>
      <c r="U1200" s="15"/>
      <c r="W1200" s="2">
        <f>-home-VLOOKUP(Table2[[#This Row],[Home/Neutral]],rtg_vlookup,4,FALSE)+VLOOKUP(Table2[[#This Row],[Visitor/Neutral]],rtg_vlookup,4,FALSE)</f>
        <v>-1.8886885245901659</v>
      </c>
      <c r="X1200" s="15"/>
      <c r="Y1200" s="2"/>
      <c r="Z1200" s="2">
        <f>Table2[[#This Row],[A/EV]]-Table2[[#This Row],[H/EV]]</f>
        <v>-3.4173004289725384</v>
      </c>
      <c r="AA1200" s="29"/>
      <c r="AB1200" s="30"/>
      <c r="AC1200" s="30"/>
      <c r="AD1200" s="30"/>
      <c r="AE1200" s="30"/>
      <c r="AF1200" s="7" t="b">
        <f>IF(VLOOKUP(Table2[[#This Row],[Home/Neutral]],division_lookup,9,FALSE)=VLOOKUP(Table2[[#This Row],[Visitor/Neutral]],division_lookup,9,FALSE),TRUE,FALSE)</f>
        <v>0</v>
      </c>
      <c r="AG1200" s="15" t="str">
        <f>VLOOKUP(Table2[[#This Row],[Home/Neutral]],division_lookup,9,FALSE)</f>
        <v>SW</v>
      </c>
      <c r="AH1200" s="15" t="str">
        <f>IF(Table2[[#This Row],[Total/EV]]&lt;Table2[[#This Row],[Total/V]],"UNDER","OVER")</f>
        <v>OVER</v>
      </c>
      <c r="AI1200" s="26">
        <f>Table2[[#This Row],[SRS/Real]]-Table2[[#This Row],[Spread/V]]</f>
        <v>0</v>
      </c>
      <c r="AJ1200" s="2">
        <f>Table2[[#This Row],[EV/Real]]-Table2[[#This Row],[Spread/V]]</f>
        <v>0</v>
      </c>
      <c r="AK1200" s="2">
        <f>Table2[[#This Row],[SRS/Diff]]-Table2[[#This Row],[EV/Diff]]</f>
        <v>0</v>
      </c>
      <c r="AL1200" s="18">
        <f>Table2[[#This Row],[SRS]]-Table2[[#This Row],[Spread]]</f>
        <v>-1.8886885245901659</v>
      </c>
      <c r="AM1200" s="21">
        <f>Table2[[#This Row],[(A) Err]]^2</f>
        <v>3.5671443429185778</v>
      </c>
      <c r="AN1200" s="6">
        <f>Table2[[#This Row],[EV]]-Table2[[#This Row],[Spread]]</f>
        <v>-3.4173004289725384</v>
      </c>
      <c r="AO1200" s="1">
        <f>Table2[[#This Row],[EV Err]]^2</f>
        <v>11.677942221855895</v>
      </c>
      <c r="AP1200" s="1"/>
    </row>
    <row r="1201" spans="1:42" x14ac:dyDescent="0.25">
      <c r="A1201" s="34">
        <v>42835</v>
      </c>
      <c r="B1201" t="s">
        <v>128</v>
      </c>
      <c r="C1201" t="s">
        <v>135</v>
      </c>
      <c r="E1201" s="21"/>
      <c r="G1201" s="21"/>
      <c r="H1201" s="7"/>
      <c r="I1201" s="21"/>
      <c r="K1201"/>
      <c r="L1201" s="21">
        <f>(Table2[[#This Row],[H/Pace]]/100)*(VLOOKUP(Table2[[#This Row],[Home/Neutral]],home_lookup,8,FALSE)+VLOOKUP(Table2[[#This Row],[Home/Neutral]],OFR_lookup,2,FALSE)+VLOOKUP(Table2[[#This Row],[Visitor/Neutral]],def_diff_lookup,6,FALSE))</f>
        <v>109.26061987783019</v>
      </c>
      <c r="M1201" s="21"/>
      <c r="N1201" s="21">
        <f>(Table2[[#This Row],[A/Pace]]/100)*(VLOOKUP(Table2[[#This Row],[Visitor/Neutral]],OFR_lookup,2,FALSE)+VLOOKUP(Table2[[#This Row],[Home/Neutral]],def_diff_lookup,6,FALSE))</f>
        <v>111.270426</v>
      </c>
      <c r="O1201" s="21"/>
      <c r="P1201" s="21"/>
      <c r="Q1201">
        <f>VLOOKUP(Table2[[#This Row],[Home/Neutral]],pace_lookup,7,FALSE)</f>
        <v>96.3</v>
      </c>
      <c r="R1201" s="5">
        <f>VLOOKUP(Table2[[#This Row],[Visitor/Neutral]],pace_lookup,7,FALSE)</f>
        <v>95.4</v>
      </c>
      <c r="S1201" s="7"/>
      <c r="U1201" s="15"/>
      <c r="W1201" s="2">
        <f>-home-VLOOKUP(Table2[[#This Row],[Home/Neutral]],rtg_vlookup,4,FALSE)+VLOOKUP(Table2[[#This Row],[Visitor/Neutral]],rtg_vlookup,4,FALSE)</f>
        <v>5.0213114754098349</v>
      </c>
      <c r="X1201" s="15"/>
      <c r="Y1201" s="2"/>
      <c r="Z1201" s="2">
        <f>Table2[[#This Row],[A/EV]]-Table2[[#This Row],[H/EV]]</f>
        <v>2.009806122169806</v>
      </c>
      <c r="AA1201" s="29"/>
      <c r="AB1201" s="30"/>
      <c r="AC1201" s="30"/>
      <c r="AD1201" s="30"/>
      <c r="AE1201" s="30"/>
      <c r="AF1201" s="7" t="b">
        <f>IF(VLOOKUP(Table2[[#This Row],[Home/Neutral]],division_lookup,9,FALSE)=VLOOKUP(Table2[[#This Row],[Visitor/Neutral]],division_lookup,9,FALSE),TRUE,FALSE)</f>
        <v>1</v>
      </c>
      <c r="AG1201" s="15" t="str">
        <f>VLOOKUP(Table2[[#This Row],[Home/Neutral]],division_lookup,9,FALSE)</f>
        <v>A</v>
      </c>
      <c r="AH1201" s="15" t="str">
        <f>IF(Table2[[#This Row],[Total/EV]]&lt;Table2[[#This Row],[Total/V]],"UNDER","OVER")</f>
        <v>OVER</v>
      </c>
      <c r="AI1201" s="26">
        <f>Table2[[#This Row],[SRS/Real]]-Table2[[#This Row],[Spread/V]]</f>
        <v>0</v>
      </c>
      <c r="AJ1201" s="2">
        <f>Table2[[#This Row],[EV/Real]]-Table2[[#This Row],[Spread/V]]</f>
        <v>0</v>
      </c>
      <c r="AK1201" s="2">
        <f>Table2[[#This Row],[SRS/Diff]]-Table2[[#This Row],[EV/Diff]]</f>
        <v>0</v>
      </c>
      <c r="AL1201" s="18">
        <f>Table2[[#This Row],[SRS]]-Table2[[#This Row],[Spread]]</f>
        <v>5.0213114754098349</v>
      </c>
      <c r="AM1201" s="21">
        <f>Table2[[#This Row],[(A) Err]]^2</f>
        <v>25.213568933082492</v>
      </c>
      <c r="AN1201" s="6">
        <f>Table2[[#This Row],[EV]]-Table2[[#This Row],[Spread]]</f>
        <v>2.009806122169806</v>
      </c>
      <c r="AO1201" s="1">
        <f>Table2[[#This Row],[EV Err]]^2</f>
        <v>4.0393206487112332</v>
      </c>
      <c r="AP1201" s="1"/>
    </row>
    <row r="1202" spans="1:42" x14ac:dyDescent="0.25">
      <c r="A1202" s="34">
        <v>42835</v>
      </c>
      <c r="B1202" t="s">
        <v>131</v>
      </c>
      <c r="C1202" t="s">
        <v>115</v>
      </c>
      <c r="E1202" s="21"/>
      <c r="G1202" s="21"/>
      <c r="H1202" s="7"/>
      <c r="I1202" s="21"/>
      <c r="K1202"/>
      <c r="L1202" s="21">
        <f>(Table2[[#This Row],[H/Pace]]/100)*(VLOOKUP(Table2[[#This Row],[Home/Neutral]],home_lookup,8,FALSE)+VLOOKUP(Table2[[#This Row],[Home/Neutral]],OFR_lookup,2,FALSE)+VLOOKUP(Table2[[#This Row],[Visitor/Neutral]],def_diff_lookup,6,FALSE))</f>
        <v>96.251929791197668</v>
      </c>
      <c r="M1202" s="21"/>
      <c r="N1202" s="21">
        <f>(Table2[[#This Row],[A/Pace]]/100)*(VLOOKUP(Table2[[#This Row],[Visitor/Neutral]],OFR_lookup,2,FALSE)+VLOOKUP(Table2[[#This Row],[Home/Neutral]],def_diff_lookup,6,FALSE))</f>
        <v>91.251644333333346</v>
      </c>
      <c r="O1202" s="21"/>
      <c r="P1202" s="21"/>
      <c r="Q1202">
        <f>VLOOKUP(Table2[[#This Row],[Home/Neutral]],pace_lookup,7,FALSE)</f>
        <v>101.7</v>
      </c>
      <c r="R1202" s="5">
        <f>VLOOKUP(Table2[[#This Row],[Visitor/Neutral]],pace_lookup,7,FALSE)</f>
        <v>92.9</v>
      </c>
      <c r="S1202" s="7"/>
      <c r="U1202" s="15"/>
      <c r="W1202" s="2">
        <f>-home-VLOOKUP(Table2[[#This Row],[Home/Neutral]],rtg_vlookup,4,FALSE)+VLOOKUP(Table2[[#This Row],[Visitor/Neutral]],rtg_vlookup,4,FALSE)</f>
        <v>-5.2586885245901653</v>
      </c>
      <c r="X1202" s="15"/>
      <c r="Y1202" s="2"/>
      <c r="Z1202" s="2">
        <f>Table2[[#This Row],[A/EV]]-Table2[[#This Row],[H/EV]]</f>
        <v>-5.0002854578643223</v>
      </c>
      <c r="AA1202" s="29"/>
      <c r="AB1202" s="30"/>
      <c r="AC1202" s="30"/>
      <c r="AD1202" s="30"/>
      <c r="AE1202" s="30"/>
      <c r="AF1202" s="7" t="b">
        <f>IF(VLOOKUP(Table2[[#This Row],[Home/Neutral]],division_lookup,9,FALSE)=VLOOKUP(Table2[[#This Row],[Visitor/Neutral]],division_lookup,9,FALSE),TRUE,FALSE)</f>
        <v>0</v>
      </c>
      <c r="AG1202" s="15" t="str">
        <f>VLOOKUP(Table2[[#This Row],[Home/Neutral]],division_lookup,9,FALSE)</f>
        <v>P</v>
      </c>
      <c r="AH1202" s="15" t="str">
        <f>IF(Table2[[#This Row],[Total/EV]]&lt;Table2[[#This Row],[Total/V]],"UNDER","OVER")</f>
        <v>OVER</v>
      </c>
      <c r="AI1202" s="26">
        <f>Table2[[#This Row],[SRS/Real]]-Table2[[#This Row],[Spread/V]]</f>
        <v>0</v>
      </c>
      <c r="AJ1202" s="2">
        <f>Table2[[#This Row],[EV/Real]]-Table2[[#This Row],[Spread/V]]</f>
        <v>0</v>
      </c>
      <c r="AK1202" s="2">
        <f>Table2[[#This Row],[SRS/Diff]]-Table2[[#This Row],[EV/Diff]]</f>
        <v>0</v>
      </c>
      <c r="AL1202" s="18">
        <f>Table2[[#This Row],[SRS]]-Table2[[#This Row],[Spread]]</f>
        <v>-5.2586885245901653</v>
      </c>
      <c r="AM1202" s="21">
        <f>Table2[[#This Row],[(A) Err]]^2</f>
        <v>27.653804998656291</v>
      </c>
      <c r="AN1202" s="6">
        <f>Table2[[#This Row],[EV]]-Table2[[#This Row],[Spread]]</f>
        <v>-5.0002854578643223</v>
      </c>
      <c r="AO1202" s="1">
        <f>Table2[[#This Row],[EV Err]]^2</f>
        <v>25.002854660129415</v>
      </c>
      <c r="AP1202" s="1"/>
    </row>
    <row r="1203" spans="1:42" x14ac:dyDescent="0.25">
      <c r="A1203" s="34">
        <v>42835</v>
      </c>
      <c r="B1203" t="s">
        <v>133</v>
      </c>
      <c r="C1203" t="s">
        <v>119</v>
      </c>
      <c r="E1203" s="21"/>
      <c r="G1203" s="21"/>
      <c r="H1203" s="7"/>
      <c r="I1203" s="21"/>
      <c r="K1203"/>
      <c r="L1203" s="21">
        <f>(Table2[[#This Row],[H/Pace]]/100)*(VLOOKUP(Table2[[#This Row],[Home/Neutral]],home_lookup,8,FALSE)+VLOOKUP(Table2[[#This Row],[Home/Neutral]],OFR_lookup,2,FALSE)+VLOOKUP(Table2[[#This Row],[Visitor/Neutral]],def_diff_lookup,6,FALSE))</f>
        <v>110.6042274827998</v>
      </c>
      <c r="M1203" s="21"/>
      <c r="N1203" s="21">
        <f>(Table2[[#This Row],[A/Pace]]/100)*(VLOOKUP(Table2[[#This Row],[Visitor/Neutral]],OFR_lookup,2,FALSE)+VLOOKUP(Table2[[#This Row],[Home/Neutral]],def_diff_lookup,6,FALSE))</f>
        <v>112.69050100000001</v>
      </c>
      <c r="O1203" s="21"/>
      <c r="P1203" s="21"/>
      <c r="Q1203">
        <f>VLOOKUP(Table2[[#This Row],[Home/Neutral]],pace_lookup,7,FALSE)</f>
        <v>94.2</v>
      </c>
      <c r="R1203" s="5">
        <f>VLOOKUP(Table2[[#This Row],[Visitor/Neutral]],pace_lookup,7,FALSE)</f>
        <v>96.9</v>
      </c>
      <c r="S1203" s="7"/>
      <c r="U1203" s="15"/>
      <c r="W1203" s="2">
        <f>-home-VLOOKUP(Table2[[#This Row],[Home/Neutral]],rtg_vlookup,4,FALSE)+VLOOKUP(Table2[[#This Row],[Visitor/Neutral]],rtg_vlookup,4,FALSE)</f>
        <v>2.8213114754098343</v>
      </c>
      <c r="X1203" s="15"/>
      <c r="Y1203" s="2"/>
      <c r="Z1203" s="2">
        <f>Table2[[#This Row],[A/EV]]-Table2[[#This Row],[H/EV]]</f>
        <v>2.0862735172002118</v>
      </c>
      <c r="AA1203" s="29"/>
      <c r="AB1203" s="30"/>
      <c r="AC1203" s="30"/>
      <c r="AD1203" s="30"/>
      <c r="AE1203" s="30"/>
      <c r="AF1203" s="7" t="b">
        <f>IF(VLOOKUP(Table2[[#This Row],[Home/Neutral]],division_lookup,9,FALSE)=VLOOKUP(Table2[[#This Row],[Visitor/Neutral]],division_lookup,9,FALSE),TRUE,FALSE)</f>
        <v>0</v>
      </c>
      <c r="AG1203" s="15" t="str">
        <f>VLOOKUP(Table2[[#This Row],[Home/Neutral]],division_lookup,9,FALSE)</f>
        <v>P</v>
      </c>
      <c r="AH1203" s="15" t="str">
        <f>IF(Table2[[#This Row],[Total/EV]]&lt;Table2[[#This Row],[Total/V]],"UNDER","OVER")</f>
        <v>OVER</v>
      </c>
      <c r="AI1203" s="26">
        <f>Table2[[#This Row],[SRS/Real]]-Table2[[#This Row],[Spread/V]]</f>
        <v>0</v>
      </c>
      <c r="AJ1203" s="2">
        <f>Table2[[#This Row],[EV/Real]]-Table2[[#This Row],[Spread/V]]</f>
        <v>0</v>
      </c>
      <c r="AK1203" s="2">
        <f>Table2[[#This Row],[SRS/Diff]]-Table2[[#This Row],[EV/Diff]]</f>
        <v>0</v>
      </c>
      <c r="AL1203" s="18">
        <f>Table2[[#This Row],[SRS]]-Table2[[#This Row],[Spread]]</f>
        <v>2.8213114754098343</v>
      </c>
      <c r="AM1203" s="21">
        <f>Table2[[#This Row],[(A) Err]]^2</f>
        <v>7.959798441279216</v>
      </c>
      <c r="AN1203" s="6">
        <f>Table2[[#This Row],[EV]]-Table2[[#This Row],[Spread]]</f>
        <v>2.0862735172002118</v>
      </c>
      <c r="AO1203" s="1">
        <f>Table2[[#This Row],[EV Err]]^2</f>
        <v>4.3525371885709427</v>
      </c>
      <c r="AP1203" s="1"/>
    </row>
    <row r="1204" spans="1:42" x14ac:dyDescent="0.25">
      <c r="A1204" s="34">
        <v>42836</v>
      </c>
      <c r="B1204" t="s">
        <v>110</v>
      </c>
      <c r="C1204" t="s">
        <v>111</v>
      </c>
      <c r="E1204" s="21"/>
      <c r="G1204" s="21"/>
      <c r="H1204" s="7"/>
      <c r="I1204" s="21"/>
      <c r="K1204"/>
      <c r="L1204" s="21">
        <f>(Table2[[#This Row],[H/Pace]]/100)*(VLOOKUP(Table2[[#This Row],[Home/Neutral]],home_lookup,8,FALSE)+VLOOKUP(Table2[[#This Row],[Home/Neutral]],OFR_lookup,2,FALSE)+VLOOKUP(Table2[[#This Row],[Visitor/Neutral]],def_diff_lookup,6,FALSE))</f>
        <v>109.8900511890094</v>
      </c>
      <c r="M1204" s="21"/>
      <c r="N1204" s="21">
        <f>(Table2[[#This Row],[A/Pace]]/100)*(VLOOKUP(Table2[[#This Row],[Visitor/Neutral]],OFR_lookup,2,FALSE)+VLOOKUP(Table2[[#This Row],[Home/Neutral]],def_diff_lookup,6,FALSE))</f>
        <v>104.94338</v>
      </c>
      <c r="O1204" s="21"/>
      <c r="P1204" s="21"/>
      <c r="Q1204">
        <f>VLOOKUP(Table2[[#This Row],[Home/Neutral]],pace_lookup,7,FALSE)</f>
        <v>96.2</v>
      </c>
      <c r="R1204" s="5">
        <f>VLOOKUP(Table2[[#This Row],[Visitor/Neutral]],pace_lookup,7,FALSE)</f>
        <v>102</v>
      </c>
      <c r="S1204" s="7"/>
      <c r="U1204" s="15"/>
      <c r="W1204" s="2">
        <f>-home-VLOOKUP(Table2[[#This Row],[Home/Neutral]],rtg_vlookup,4,FALSE)+VLOOKUP(Table2[[#This Row],[Visitor/Neutral]],rtg_vlookup,4,FALSE)</f>
        <v>-12.038688524590166</v>
      </c>
      <c r="X1204" s="15"/>
      <c r="Y1204" s="2"/>
      <c r="Z1204" s="2">
        <f>Table2[[#This Row],[A/EV]]-Table2[[#This Row],[H/EV]]</f>
        <v>-4.9466711890093933</v>
      </c>
      <c r="AA1204" s="29"/>
      <c r="AB1204" s="30"/>
      <c r="AC1204" s="30"/>
      <c r="AD1204" s="30"/>
      <c r="AE1204" s="30"/>
      <c r="AF1204" s="7" t="b">
        <f>IF(VLOOKUP(Table2[[#This Row],[Home/Neutral]],division_lookup,9,FALSE)=VLOOKUP(Table2[[#This Row],[Visitor/Neutral]],division_lookup,9,FALSE),TRUE,FALSE)</f>
        <v>1</v>
      </c>
      <c r="AG1204" s="15" t="str">
        <f>VLOOKUP(Table2[[#This Row],[Home/Neutral]],division_lookup,9,FALSE)</f>
        <v>A</v>
      </c>
      <c r="AH1204" s="15" t="str">
        <f>IF(Table2[[#This Row],[Total/EV]]&lt;Table2[[#This Row],[Total/V]],"UNDER","OVER")</f>
        <v>OVER</v>
      </c>
      <c r="AI1204" s="26">
        <f>Table2[[#This Row],[SRS/Real]]-Table2[[#This Row],[Spread/V]]</f>
        <v>0</v>
      </c>
      <c r="AJ1204" s="2">
        <f>Table2[[#This Row],[EV/Real]]-Table2[[#This Row],[Spread/V]]</f>
        <v>0</v>
      </c>
      <c r="AK1204" s="2">
        <f>Table2[[#This Row],[SRS/Diff]]-Table2[[#This Row],[EV/Diff]]</f>
        <v>0</v>
      </c>
      <c r="AL1204" s="18">
        <f>Table2[[#This Row],[SRS]]-Table2[[#This Row],[Spread]]</f>
        <v>-12.038688524590166</v>
      </c>
      <c r="AM1204" s="21">
        <f>Table2[[#This Row],[(A) Err]]^2</f>
        <v>144.93002139209895</v>
      </c>
      <c r="AN1204" s="6">
        <f>Table2[[#This Row],[EV]]-Table2[[#This Row],[Spread]]</f>
        <v>-4.9466711890093933</v>
      </c>
      <c r="AO1204" s="1">
        <f>Table2[[#This Row],[EV Err]]^2</f>
        <v>24.469555852175606</v>
      </c>
      <c r="AP1204" s="1"/>
    </row>
    <row r="1205" spans="1:42" x14ac:dyDescent="0.25">
      <c r="A1205" s="34">
        <v>42836</v>
      </c>
      <c r="B1205" t="s">
        <v>113</v>
      </c>
      <c r="C1205" t="s">
        <v>130</v>
      </c>
      <c r="E1205" s="21"/>
      <c r="G1205" s="21"/>
      <c r="H1205" s="7"/>
      <c r="I1205" s="21"/>
      <c r="K1205"/>
      <c r="L1205" s="21">
        <f>(Table2[[#This Row],[H/Pace]]/100)*(VLOOKUP(Table2[[#This Row],[Home/Neutral]],home_lookup,8,FALSE)+VLOOKUP(Table2[[#This Row],[Home/Neutral]],OFR_lookup,2,FALSE)+VLOOKUP(Table2[[#This Row],[Visitor/Neutral]],def_diff_lookup,6,FALSE))</f>
        <v>108.95728388016279</v>
      </c>
      <c r="M1205" s="21"/>
      <c r="N1205" s="21">
        <f>(Table2[[#This Row],[A/Pace]]/100)*(VLOOKUP(Table2[[#This Row],[Visitor/Neutral]],OFR_lookup,2,FALSE)+VLOOKUP(Table2[[#This Row],[Home/Neutral]],def_diff_lookup,6,FALSE))</f>
        <v>91.727878000000004</v>
      </c>
      <c r="O1205" s="21"/>
      <c r="P1205" s="21"/>
      <c r="Q1205">
        <f>VLOOKUP(Table2[[#This Row],[Home/Neutral]],pace_lookup,7,FALSE)</f>
        <v>95.1</v>
      </c>
      <c r="R1205" s="5">
        <f>VLOOKUP(Table2[[#This Row],[Visitor/Neutral]],pace_lookup,7,FALSE)</f>
        <v>94.2</v>
      </c>
      <c r="S1205" s="7"/>
      <c r="U1205" s="15"/>
      <c r="W1205" s="2">
        <f>-home-VLOOKUP(Table2[[#This Row],[Home/Neutral]],rtg_vlookup,4,FALSE)+VLOOKUP(Table2[[#This Row],[Visitor/Neutral]],rtg_vlookup,4,FALSE)</f>
        <v>-16.058688524590167</v>
      </c>
      <c r="X1205" s="15"/>
      <c r="Y1205" s="2"/>
      <c r="Z1205" s="2">
        <f>Table2[[#This Row],[A/EV]]-Table2[[#This Row],[H/EV]]</f>
        <v>-17.229405880162787</v>
      </c>
      <c r="AA1205" s="29"/>
      <c r="AB1205" s="30"/>
      <c r="AC1205" s="30"/>
      <c r="AD1205" s="30"/>
      <c r="AE1205" s="30"/>
      <c r="AF1205" s="7" t="b">
        <f>IF(VLOOKUP(Table2[[#This Row],[Home/Neutral]],division_lookup,9,FALSE)=VLOOKUP(Table2[[#This Row],[Visitor/Neutral]],division_lookup,9,FALSE),TRUE,FALSE)</f>
        <v>0</v>
      </c>
      <c r="AG1205" s="15" t="str">
        <f>VLOOKUP(Table2[[#This Row],[Home/Neutral]],division_lookup,9,FALSE)</f>
        <v>C</v>
      </c>
      <c r="AH1205" s="15" t="str">
        <f>IF(Table2[[#This Row],[Total/EV]]&lt;Table2[[#This Row],[Total/V]],"UNDER","OVER")</f>
        <v>OVER</v>
      </c>
      <c r="AI1205" s="26">
        <f>Table2[[#This Row],[SRS/Real]]-Table2[[#This Row],[Spread/V]]</f>
        <v>0</v>
      </c>
      <c r="AJ1205" s="2">
        <f>Table2[[#This Row],[EV/Real]]-Table2[[#This Row],[Spread/V]]</f>
        <v>0</v>
      </c>
      <c r="AK1205" s="2">
        <f>Table2[[#This Row],[SRS/Diff]]-Table2[[#This Row],[EV/Diff]]</f>
        <v>0</v>
      </c>
      <c r="AL1205" s="18">
        <f>Table2[[#This Row],[SRS]]-Table2[[#This Row],[Spread]]</f>
        <v>-16.058688524590167</v>
      </c>
      <c r="AM1205" s="21">
        <f>Table2[[#This Row],[(A) Err]]^2</f>
        <v>257.8814771298039</v>
      </c>
      <c r="AN1205" s="6">
        <f>Table2[[#This Row],[EV]]-Table2[[#This Row],[Spread]]</f>
        <v>-17.229405880162787</v>
      </c>
      <c r="AO1205" s="1">
        <f>Table2[[#This Row],[EV Err]]^2</f>
        <v>296.852426983388</v>
      </c>
      <c r="AP1205" s="1"/>
    </row>
    <row r="1206" spans="1:42" x14ac:dyDescent="0.25">
      <c r="A1206" s="34">
        <v>42836</v>
      </c>
      <c r="B1206" t="s">
        <v>117</v>
      </c>
      <c r="C1206" t="s">
        <v>137</v>
      </c>
      <c r="E1206" s="21"/>
      <c r="G1206" s="21"/>
      <c r="H1206" s="7"/>
      <c r="I1206" s="21"/>
      <c r="K1206"/>
      <c r="L1206" s="21">
        <f>(Table2[[#This Row],[H/Pace]]/100)*(VLOOKUP(Table2[[#This Row],[Home/Neutral]],home_lookup,8,FALSE)+VLOOKUP(Table2[[#This Row],[Home/Neutral]],OFR_lookup,2,FALSE)+VLOOKUP(Table2[[#This Row],[Visitor/Neutral]],def_diff_lookup,6,FALSE))</f>
        <v>115.53599591446428</v>
      </c>
      <c r="M1206" s="21"/>
      <c r="N1206" s="21">
        <f>(Table2[[#This Row],[A/Pace]]/100)*(VLOOKUP(Table2[[#This Row],[Visitor/Neutral]],OFR_lookup,2,FALSE)+VLOOKUP(Table2[[#This Row],[Home/Neutral]],def_diff_lookup,6,FALSE))</f>
        <v>99.144639999999995</v>
      </c>
      <c r="O1206" s="21"/>
      <c r="P1206" s="21"/>
      <c r="Q1206">
        <f>VLOOKUP(Table2[[#This Row],[Home/Neutral]],pace_lookup,7,FALSE)</f>
        <v>94</v>
      </c>
      <c r="R1206" s="5">
        <f>VLOOKUP(Table2[[#This Row],[Visitor/Neutral]],pace_lookup,7,FALSE)</f>
        <v>96</v>
      </c>
      <c r="S1206" s="7"/>
      <c r="U1206" s="15"/>
      <c r="W1206" s="2">
        <f>-home-VLOOKUP(Table2[[#This Row],[Home/Neutral]],rtg_vlookup,4,FALSE)+VLOOKUP(Table2[[#This Row],[Visitor/Neutral]],rtg_vlookup,4,FALSE)</f>
        <v>-7.3386885245901663</v>
      </c>
      <c r="X1206" s="15"/>
      <c r="Y1206" s="2"/>
      <c r="Z1206" s="2">
        <f>Table2[[#This Row],[A/EV]]-Table2[[#This Row],[H/EV]]</f>
        <v>-16.391355914464285</v>
      </c>
      <c r="AA1206" s="29"/>
      <c r="AB1206" s="30"/>
      <c r="AC1206" s="30"/>
      <c r="AD1206" s="30"/>
      <c r="AE1206" s="30"/>
      <c r="AF1206" s="7" t="b">
        <f>IF(VLOOKUP(Table2[[#This Row],[Home/Neutral]],division_lookup,9,FALSE)=VLOOKUP(Table2[[#This Row],[Visitor/Neutral]],division_lookup,9,FALSE),TRUE,FALSE)</f>
        <v>0</v>
      </c>
      <c r="AG1206" s="15" t="str">
        <f>VLOOKUP(Table2[[#This Row],[Home/Neutral]],division_lookup,9,FALSE)</f>
        <v>C</v>
      </c>
      <c r="AH1206" s="15" t="str">
        <f>IF(Table2[[#This Row],[Total/EV]]&lt;Table2[[#This Row],[Total/V]],"UNDER","OVER")</f>
        <v>OVER</v>
      </c>
      <c r="AI1206" s="26">
        <f>Table2[[#This Row],[SRS/Real]]-Table2[[#This Row],[Spread/V]]</f>
        <v>0</v>
      </c>
      <c r="AJ1206" s="2">
        <f>Table2[[#This Row],[EV/Real]]-Table2[[#This Row],[Spread/V]]</f>
        <v>0</v>
      </c>
      <c r="AK1206" s="2">
        <f>Table2[[#This Row],[SRS/Diff]]-Table2[[#This Row],[EV/Diff]]</f>
        <v>0</v>
      </c>
      <c r="AL1206" s="18">
        <f>Table2[[#This Row],[SRS]]-Table2[[#This Row],[Spread]]</f>
        <v>-7.3386885245901663</v>
      </c>
      <c r="AM1206" s="21">
        <f>Table2[[#This Row],[(A) Err]]^2</f>
        <v>53.85634926095139</v>
      </c>
      <c r="AN1206" s="6">
        <f>Table2[[#This Row],[EV]]-Table2[[#This Row],[Spread]]</f>
        <v>-16.391355914464285</v>
      </c>
      <c r="AO1206" s="1">
        <f>Table2[[#This Row],[EV Err]]^2</f>
        <v>268.67654871464327</v>
      </c>
      <c r="AP1206" s="1"/>
    </row>
    <row r="1207" spans="1:42" x14ac:dyDescent="0.25">
      <c r="A1207" s="34">
        <v>42836</v>
      </c>
      <c r="B1207" t="s">
        <v>118</v>
      </c>
      <c r="C1207" t="s">
        <v>136</v>
      </c>
      <c r="E1207" s="21"/>
      <c r="G1207" s="21"/>
      <c r="H1207" s="7"/>
      <c r="I1207" s="21"/>
      <c r="K1207"/>
      <c r="L1207" s="21">
        <f>(Table2[[#This Row],[H/Pace]]/100)*(VLOOKUP(Table2[[#This Row],[Home/Neutral]],home_lookup,8,FALSE)+VLOOKUP(Table2[[#This Row],[Home/Neutral]],OFR_lookup,2,FALSE)+VLOOKUP(Table2[[#This Row],[Visitor/Neutral]],def_diff_lookup,6,FALSE))</f>
        <v>110.24455838078237</v>
      </c>
      <c r="M1207" s="21"/>
      <c r="N1207" s="21">
        <f>(Table2[[#This Row],[A/Pace]]/100)*(VLOOKUP(Table2[[#This Row],[Visitor/Neutral]],OFR_lookup,2,FALSE)+VLOOKUP(Table2[[#This Row],[Home/Neutral]],def_diff_lookup,6,FALSE))</f>
        <v>96.327235000000002</v>
      </c>
      <c r="O1207" s="21"/>
      <c r="P1207" s="21"/>
      <c r="Q1207">
        <f>VLOOKUP(Table2[[#This Row],[Home/Neutral]],pace_lookup,7,FALSE)</f>
        <v>100.4</v>
      </c>
      <c r="R1207" s="5">
        <f>VLOOKUP(Table2[[#This Row],[Visitor/Neutral]],pace_lookup,7,FALSE)</f>
        <v>91.5</v>
      </c>
      <c r="S1207" s="7"/>
      <c r="U1207" s="15"/>
      <c r="W1207" s="2">
        <f>-home-VLOOKUP(Table2[[#This Row],[Home/Neutral]],rtg_vlookup,4,FALSE)+VLOOKUP(Table2[[#This Row],[Visitor/Neutral]],rtg_vlookup,4,FALSE)</f>
        <v>-9.9486885245901657</v>
      </c>
      <c r="X1207" s="15"/>
      <c r="Y1207" s="2"/>
      <c r="Z1207" s="2">
        <f>Table2[[#This Row],[A/EV]]-Table2[[#This Row],[H/EV]]</f>
        <v>-13.917323380782364</v>
      </c>
      <c r="AA1207" s="29"/>
      <c r="AB1207" s="30"/>
      <c r="AC1207" s="30"/>
      <c r="AD1207" s="30"/>
      <c r="AE1207" s="30"/>
      <c r="AF1207" s="7" t="b">
        <f>IF(VLOOKUP(Table2[[#This Row],[Home/Neutral]],division_lookup,9,FALSE)=VLOOKUP(Table2[[#This Row],[Visitor/Neutral]],division_lookup,9,FALSE),TRUE,FALSE)</f>
        <v>0</v>
      </c>
      <c r="AG1207" s="15" t="str">
        <f>VLOOKUP(Table2[[#This Row],[Home/Neutral]],division_lookup,9,FALSE)</f>
        <v>P</v>
      </c>
      <c r="AH1207" s="15" t="str">
        <f>IF(Table2[[#This Row],[Total/EV]]&lt;Table2[[#This Row],[Total/V]],"UNDER","OVER")</f>
        <v>OVER</v>
      </c>
      <c r="AI1207" s="26">
        <f>Table2[[#This Row],[SRS/Real]]-Table2[[#This Row],[Spread/V]]</f>
        <v>0</v>
      </c>
      <c r="AJ1207" s="2">
        <f>Table2[[#This Row],[EV/Real]]-Table2[[#This Row],[Spread/V]]</f>
        <v>0</v>
      </c>
      <c r="AK1207" s="2">
        <f>Table2[[#This Row],[SRS/Diff]]-Table2[[#This Row],[EV/Diff]]</f>
        <v>0</v>
      </c>
      <c r="AL1207" s="18">
        <f>Table2[[#This Row],[SRS]]-Table2[[#This Row],[Spread]]</f>
        <v>-9.9486885245901657</v>
      </c>
      <c r="AM1207" s="21">
        <f>Table2[[#This Row],[(A) Err]]^2</f>
        <v>98.976403359312044</v>
      </c>
      <c r="AN1207" s="6">
        <f>Table2[[#This Row],[EV]]-Table2[[#This Row],[Spread]]</f>
        <v>-13.917323380782364</v>
      </c>
      <c r="AO1207" s="1">
        <f>Table2[[#This Row],[EV Err]]^2</f>
        <v>193.69189008527144</v>
      </c>
      <c r="AP1207" s="1"/>
    </row>
    <row r="1208" spans="1:42" x14ac:dyDescent="0.25">
      <c r="A1208" s="34">
        <v>42836</v>
      </c>
      <c r="B1208" t="s">
        <v>121</v>
      </c>
      <c r="C1208" t="s">
        <v>119</v>
      </c>
      <c r="E1208" s="21"/>
      <c r="G1208" s="21"/>
      <c r="H1208" s="7"/>
      <c r="I1208" s="21"/>
      <c r="K1208"/>
      <c r="L1208" s="21">
        <f>(Table2[[#This Row],[H/Pace]]/100)*(VLOOKUP(Table2[[#This Row],[Home/Neutral]],home_lookup,8,FALSE)+VLOOKUP(Table2[[#This Row],[Home/Neutral]],OFR_lookup,2,FALSE)+VLOOKUP(Table2[[#This Row],[Visitor/Neutral]],def_diff_lookup,6,FALSE))</f>
        <v>116.50248060751254</v>
      </c>
      <c r="M1208" s="21"/>
      <c r="N1208" s="21">
        <f>(Table2[[#This Row],[A/Pace]]/100)*(VLOOKUP(Table2[[#This Row],[Visitor/Neutral]],OFR_lookup,2,FALSE)+VLOOKUP(Table2[[#This Row],[Home/Neutral]],def_diff_lookup,6,FALSE))</f>
        <v>105.40362100000002</v>
      </c>
      <c r="O1208" s="21"/>
      <c r="P1208" s="21"/>
      <c r="Q1208">
        <f>VLOOKUP(Table2[[#This Row],[Home/Neutral]],pace_lookup,7,FALSE)</f>
        <v>96.4</v>
      </c>
      <c r="R1208" s="5">
        <f>VLOOKUP(Table2[[#This Row],[Visitor/Neutral]],pace_lookup,7,FALSE)</f>
        <v>96.9</v>
      </c>
      <c r="S1208" s="7"/>
      <c r="U1208" s="15"/>
      <c r="W1208" s="2">
        <f>-home-VLOOKUP(Table2[[#This Row],[Home/Neutral]],rtg_vlookup,4,FALSE)+VLOOKUP(Table2[[#This Row],[Visitor/Neutral]],rtg_vlookup,4,FALSE)</f>
        <v>-11.828688524590167</v>
      </c>
      <c r="X1208" s="15"/>
      <c r="Y1208" s="2"/>
      <c r="Z1208" s="2">
        <f>Table2[[#This Row],[A/EV]]-Table2[[#This Row],[H/EV]]</f>
        <v>-11.098859607512523</v>
      </c>
      <c r="AA1208" s="29"/>
      <c r="AB1208" s="30"/>
      <c r="AC1208" s="30"/>
      <c r="AD1208" s="30"/>
      <c r="AE1208" s="30"/>
      <c r="AF1208" s="7" t="b">
        <f>IF(VLOOKUP(Table2[[#This Row],[Home/Neutral]],division_lookup,9,FALSE)=VLOOKUP(Table2[[#This Row],[Visitor/Neutral]],division_lookup,9,FALSE),TRUE,FALSE)</f>
        <v>0</v>
      </c>
      <c r="AG1208" s="15" t="str">
        <f>VLOOKUP(Table2[[#This Row],[Home/Neutral]],division_lookup,9,FALSE)</f>
        <v>P</v>
      </c>
      <c r="AH1208" s="15" t="str">
        <f>IF(Table2[[#This Row],[Total/EV]]&lt;Table2[[#This Row],[Total/V]],"UNDER","OVER")</f>
        <v>OVER</v>
      </c>
      <c r="AI1208" s="26">
        <f>Table2[[#This Row],[SRS/Real]]-Table2[[#This Row],[Spread/V]]</f>
        <v>0</v>
      </c>
      <c r="AJ1208" s="2">
        <f>Table2[[#This Row],[EV/Real]]-Table2[[#This Row],[Spread/V]]</f>
        <v>0</v>
      </c>
      <c r="AK1208" s="2">
        <f>Table2[[#This Row],[SRS/Diff]]-Table2[[#This Row],[EV/Diff]]</f>
        <v>0</v>
      </c>
      <c r="AL1208" s="18">
        <f>Table2[[#This Row],[SRS]]-Table2[[#This Row],[Spread]]</f>
        <v>-11.828688524590167</v>
      </c>
      <c r="AM1208" s="21">
        <f>Table2[[#This Row],[(A) Err]]^2</f>
        <v>139.91787221177108</v>
      </c>
      <c r="AN1208" s="6">
        <f>Table2[[#This Row],[EV]]-Table2[[#This Row],[Spread]]</f>
        <v>-11.098859607512523</v>
      </c>
      <c r="AO1208" s="1">
        <f>Table2[[#This Row],[EV Err]]^2</f>
        <v>123.18468458727304</v>
      </c>
      <c r="AP1208" s="1"/>
    </row>
    <row r="1209" spans="1:42" x14ac:dyDescent="0.25">
      <c r="A1209" s="34">
        <v>42836</v>
      </c>
      <c r="B1209" t="s">
        <v>124</v>
      </c>
      <c r="C1209" t="s">
        <v>114</v>
      </c>
      <c r="E1209" s="21"/>
      <c r="G1209" s="21"/>
      <c r="H1209" s="7"/>
      <c r="I1209" s="21"/>
      <c r="K1209"/>
      <c r="L1209" s="21">
        <f>(Table2[[#This Row],[H/Pace]]/100)*(VLOOKUP(Table2[[#This Row],[Home/Neutral]],home_lookup,8,FALSE)+VLOOKUP(Table2[[#This Row],[Home/Neutral]],OFR_lookup,2,FALSE)+VLOOKUP(Table2[[#This Row],[Visitor/Neutral]],def_diff_lookup,6,FALSE))</f>
        <v>100.69532517723557</v>
      </c>
      <c r="M1209" s="21"/>
      <c r="N1209" s="21">
        <f>(Table2[[#This Row],[A/Pace]]/100)*(VLOOKUP(Table2[[#This Row],[Visitor/Neutral]],OFR_lookup,2,FALSE)+VLOOKUP(Table2[[#This Row],[Home/Neutral]],def_diff_lookup,6,FALSE))</f>
        <v>109.52639366666665</v>
      </c>
      <c r="O1209" s="21"/>
      <c r="P1209" s="21"/>
      <c r="Q1209">
        <f>VLOOKUP(Table2[[#This Row],[Home/Neutral]],pace_lookup,7,FALSE)</f>
        <v>93.7</v>
      </c>
      <c r="R1209" s="5">
        <f>VLOOKUP(Table2[[#This Row],[Visitor/Neutral]],pace_lookup,7,FALSE)</f>
        <v>97.3</v>
      </c>
      <c r="S1209" s="7"/>
      <c r="U1209" s="15"/>
      <c r="W1209" s="2">
        <f>-home-VLOOKUP(Table2[[#This Row],[Home/Neutral]],rtg_vlookup,4,FALSE)+VLOOKUP(Table2[[#This Row],[Visitor/Neutral]],rtg_vlookup,4,FALSE)</f>
        <v>7.0713114754098347</v>
      </c>
      <c r="X1209" s="15"/>
      <c r="Y1209" s="2"/>
      <c r="Z1209" s="2">
        <f>Table2[[#This Row],[A/EV]]-Table2[[#This Row],[H/EV]]</f>
        <v>8.8310684894310754</v>
      </c>
      <c r="AA1209" s="29"/>
      <c r="AB1209" s="30"/>
      <c r="AC1209" s="30"/>
      <c r="AD1209" s="30"/>
      <c r="AE1209" s="30"/>
      <c r="AF1209" s="7" t="b">
        <f>IF(VLOOKUP(Table2[[#This Row],[Home/Neutral]],division_lookup,9,FALSE)=VLOOKUP(Table2[[#This Row],[Visitor/Neutral]],division_lookup,9,FALSE),TRUE,FALSE)</f>
        <v>0</v>
      </c>
      <c r="AG1209" s="15" t="str">
        <f>VLOOKUP(Table2[[#This Row],[Home/Neutral]],division_lookup,9,FALSE)</f>
        <v>SE</v>
      </c>
      <c r="AH1209" s="15" t="str">
        <f>IF(Table2[[#This Row],[Total/EV]]&lt;Table2[[#This Row],[Total/V]],"UNDER","OVER")</f>
        <v>OVER</v>
      </c>
      <c r="AI1209" s="26">
        <f>Table2[[#This Row],[SRS/Real]]-Table2[[#This Row],[Spread/V]]</f>
        <v>0</v>
      </c>
      <c r="AJ1209" s="2">
        <f>Table2[[#This Row],[EV/Real]]-Table2[[#This Row],[Spread/V]]</f>
        <v>0</v>
      </c>
      <c r="AK1209" s="2">
        <f>Table2[[#This Row],[SRS/Diff]]-Table2[[#This Row],[EV/Diff]]</f>
        <v>0</v>
      </c>
      <c r="AL1209" s="18">
        <f>Table2[[#This Row],[SRS]]-Table2[[#This Row],[Spread]]</f>
        <v>7.0713114754098347</v>
      </c>
      <c r="AM1209" s="21">
        <f>Table2[[#This Row],[(A) Err]]^2</f>
        <v>50.003445982262811</v>
      </c>
      <c r="AN1209" s="6">
        <f>Table2[[#This Row],[EV]]-Table2[[#This Row],[Spread]]</f>
        <v>8.8310684894310754</v>
      </c>
      <c r="AO1209" s="1">
        <f>Table2[[#This Row],[EV Err]]^2</f>
        <v>77.987770665022452</v>
      </c>
      <c r="AP1209" s="1"/>
    </row>
    <row r="1210" spans="1:42" x14ac:dyDescent="0.25">
      <c r="A1210" s="34">
        <v>42836</v>
      </c>
      <c r="B1210" t="s">
        <v>125</v>
      </c>
      <c r="C1210" t="s">
        <v>112</v>
      </c>
      <c r="E1210" s="21"/>
      <c r="G1210" s="21"/>
      <c r="H1210" s="7"/>
      <c r="I1210" s="21"/>
      <c r="K1210"/>
      <c r="L1210" s="21">
        <f>(Table2[[#This Row],[H/Pace]]/100)*(VLOOKUP(Table2[[#This Row],[Home/Neutral]],home_lookup,8,FALSE)+VLOOKUP(Table2[[#This Row],[Home/Neutral]],OFR_lookup,2,FALSE)+VLOOKUP(Table2[[#This Row],[Visitor/Neutral]],def_diff_lookup,6,FALSE))</f>
        <v>107.60394550061908</v>
      </c>
      <c r="M1210" s="21"/>
      <c r="N1210" s="21">
        <f>(Table2[[#This Row],[A/Pace]]/100)*(VLOOKUP(Table2[[#This Row],[Visitor/Neutral]],OFR_lookup,2,FALSE)+VLOOKUP(Table2[[#This Row],[Home/Neutral]],def_diff_lookup,6,FALSE))</f>
        <v>106.98967933333334</v>
      </c>
      <c r="O1210" s="21"/>
      <c r="P1210" s="21"/>
      <c r="Q1210">
        <f>VLOOKUP(Table2[[#This Row],[Home/Neutral]],pace_lookup,7,FALSE)</f>
        <v>96.1</v>
      </c>
      <c r="R1210" s="5">
        <f>VLOOKUP(Table2[[#This Row],[Visitor/Neutral]],pace_lookup,7,FALSE)</f>
        <v>97.4</v>
      </c>
      <c r="S1210" s="7"/>
      <c r="U1210" s="15"/>
      <c r="W1210" s="2">
        <f>-home-VLOOKUP(Table2[[#This Row],[Home/Neutral]],rtg_vlookup,4,FALSE)+VLOOKUP(Table2[[#This Row],[Visitor/Neutral]],rtg_vlookup,4,FALSE)</f>
        <v>1.7413114754098342</v>
      </c>
      <c r="X1210" s="15"/>
      <c r="Y1210" s="2"/>
      <c r="Z1210" s="2">
        <f>Table2[[#This Row],[A/EV]]-Table2[[#This Row],[H/EV]]</f>
        <v>-0.61426616728573435</v>
      </c>
      <c r="AA1210" s="29"/>
      <c r="AB1210" s="30"/>
      <c r="AC1210" s="30"/>
      <c r="AD1210" s="30"/>
      <c r="AE1210" s="30"/>
      <c r="AF1210" s="7" t="b">
        <f>IF(VLOOKUP(Table2[[#This Row],[Home/Neutral]],division_lookup,9,FALSE)=VLOOKUP(Table2[[#This Row],[Visitor/Neutral]],division_lookup,9,FALSE),TRUE,FALSE)</f>
        <v>0</v>
      </c>
      <c r="AG1210" s="15" t="str">
        <f>VLOOKUP(Table2[[#This Row],[Home/Neutral]],division_lookup,9,FALSE)</f>
        <v>C</v>
      </c>
      <c r="AH1210" s="15" t="str">
        <f>IF(Table2[[#This Row],[Total/EV]]&lt;Table2[[#This Row],[Total/V]],"UNDER","OVER")</f>
        <v>OVER</v>
      </c>
      <c r="AI1210" s="26">
        <f>Table2[[#This Row],[SRS/Real]]-Table2[[#This Row],[Spread/V]]</f>
        <v>0</v>
      </c>
      <c r="AJ1210" s="2">
        <f>Table2[[#This Row],[EV/Real]]-Table2[[#This Row],[Spread/V]]</f>
        <v>0</v>
      </c>
      <c r="AK1210" s="2">
        <f>Table2[[#This Row],[SRS/Diff]]-Table2[[#This Row],[EV/Diff]]</f>
        <v>0</v>
      </c>
      <c r="AL1210" s="18">
        <f>Table2[[#This Row],[SRS]]-Table2[[#This Row],[Spread]]</f>
        <v>1.7413114754098342</v>
      </c>
      <c r="AM1210" s="21">
        <f>Table2[[#This Row],[(A) Err]]^2</f>
        <v>3.0321656543939737</v>
      </c>
      <c r="AN1210" s="6">
        <f>Table2[[#This Row],[EV]]-Table2[[#This Row],[Spread]]</f>
        <v>-0.61426616728573435</v>
      </c>
      <c r="AO1210" s="1">
        <f>Table2[[#This Row],[EV Err]]^2</f>
        <v>0.37732292427190578</v>
      </c>
      <c r="AP1210" s="1"/>
    </row>
    <row r="1211" spans="1:42" x14ac:dyDescent="0.25">
      <c r="A1211" s="34">
        <v>42836</v>
      </c>
      <c r="B1211" t="s">
        <v>138</v>
      </c>
      <c r="C1211" t="s">
        <v>120</v>
      </c>
      <c r="E1211" s="21"/>
      <c r="G1211" s="21"/>
      <c r="H1211" s="7"/>
      <c r="I1211" s="21"/>
      <c r="K1211"/>
      <c r="L1211" s="21">
        <f>(Table2[[#This Row],[H/Pace]]/100)*(VLOOKUP(Table2[[#This Row],[Home/Neutral]],home_lookup,8,FALSE)+VLOOKUP(Table2[[#This Row],[Home/Neutral]],OFR_lookup,2,FALSE)+VLOOKUP(Table2[[#This Row],[Visitor/Neutral]],def_diff_lookup,6,FALSE))</f>
        <v>100.82103353124009</v>
      </c>
      <c r="M1211" s="21"/>
      <c r="N1211" s="21">
        <f>(Table2[[#This Row],[A/Pace]]/100)*(VLOOKUP(Table2[[#This Row],[Visitor/Neutral]],OFR_lookup,2,FALSE)+VLOOKUP(Table2[[#This Row],[Home/Neutral]],def_diff_lookup,6,FALSE))</f>
        <v>103.63343033333334</v>
      </c>
      <c r="O1211" s="21"/>
      <c r="P1211" s="21"/>
      <c r="Q1211">
        <f>VLOOKUP(Table2[[#This Row],[Home/Neutral]],pace_lookup,7,FALSE)</f>
        <v>97.5</v>
      </c>
      <c r="R1211" s="5">
        <f>VLOOKUP(Table2[[#This Row],[Visitor/Neutral]],pace_lookup,7,FALSE)</f>
        <v>98.3</v>
      </c>
      <c r="S1211" s="7"/>
      <c r="U1211" s="15"/>
      <c r="W1211" s="2">
        <f>-home-VLOOKUP(Table2[[#This Row],[Home/Neutral]],rtg_vlookup,4,FALSE)+VLOOKUP(Table2[[#This Row],[Visitor/Neutral]],rtg_vlookup,4,FALSE)</f>
        <v>2.1513114754098348</v>
      </c>
      <c r="X1211" s="15"/>
      <c r="Y1211" s="2"/>
      <c r="Z1211" s="2">
        <f>Table2[[#This Row],[A/EV]]-Table2[[#This Row],[H/EV]]</f>
        <v>2.8123968020932466</v>
      </c>
      <c r="AA1211" s="29"/>
      <c r="AB1211" s="30"/>
      <c r="AC1211" s="30"/>
      <c r="AD1211" s="30"/>
      <c r="AE1211" s="30"/>
      <c r="AF1211" s="7" t="b">
        <f>IF(VLOOKUP(Table2[[#This Row],[Home/Neutral]],division_lookup,9,FALSE)=VLOOKUP(Table2[[#This Row],[Visitor/Neutral]],division_lookup,9,FALSE),TRUE,FALSE)</f>
        <v>0</v>
      </c>
      <c r="AG1211" s="15" t="str">
        <f>VLOOKUP(Table2[[#This Row],[Home/Neutral]],division_lookup,9,FALSE)</f>
        <v>A</v>
      </c>
      <c r="AH1211" s="15" t="str">
        <f>IF(Table2[[#This Row],[Total/EV]]&lt;Table2[[#This Row],[Total/V]],"UNDER","OVER")</f>
        <v>OVER</v>
      </c>
      <c r="AI1211" s="26">
        <f>Table2[[#This Row],[SRS/Real]]-Table2[[#This Row],[Spread/V]]</f>
        <v>0</v>
      </c>
      <c r="AJ1211" s="2">
        <f>Table2[[#This Row],[EV/Real]]-Table2[[#This Row],[Spread/V]]</f>
        <v>0</v>
      </c>
      <c r="AK1211" s="2">
        <f>Table2[[#This Row],[SRS/Diff]]-Table2[[#This Row],[EV/Diff]]</f>
        <v>0</v>
      </c>
      <c r="AL1211" s="18">
        <f>Table2[[#This Row],[SRS]]-Table2[[#This Row],[Spread]]</f>
        <v>2.1513114754098348</v>
      </c>
      <c r="AM1211" s="21">
        <f>Table2[[#This Row],[(A) Err]]^2</f>
        <v>4.6281410642300402</v>
      </c>
      <c r="AN1211" s="6">
        <f>Table2[[#This Row],[EV]]-Table2[[#This Row],[Spread]]</f>
        <v>2.8123968020932466</v>
      </c>
      <c r="AO1211" s="1">
        <f>Table2[[#This Row],[EV Err]]^2</f>
        <v>7.9095757724243203</v>
      </c>
      <c r="AP1211" s="1"/>
    </row>
    <row r="1212" spans="1:42" x14ac:dyDescent="0.25">
      <c r="A1212" s="34">
        <v>42836</v>
      </c>
      <c r="B1212" t="s">
        <v>132</v>
      </c>
      <c r="C1212" t="s">
        <v>134</v>
      </c>
      <c r="E1212" s="21"/>
      <c r="G1212" s="21"/>
      <c r="H1212" s="7"/>
      <c r="I1212" s="21"/>
      <c r="K1212"/>
      <c r="L1212" s="21">
        <f>(Table2[[#This Row],[H/Pace]]/100)*(VLOOKUP(Table2[[#This Row],[Home/Neutral]],home_lookup,8,FALSE)+VLOOKUP(Table2[[#This Row],[Home/Neutral]],OFR_lookup,2,FALSE)+VLOOKUP(Table2[[#This Row],[Visitor/Neutral]],def_diff_lookup,6,FALSE))</f>
        <v>107.6309414460698</v>
      </c>
      <c r="M1212" s="21"/>
      <c r="N1212" s="21">
        <f>(Table2[[#This Row],[A/Pace]]/100)*(VLOOKUP(Table2[[#This Row],[Visitor/Neutral]],OFR_lookup,2,FALSE)+VLOOKUP(Table2[[#This Row],[Home/Neutral]],def_diff_lookup,6,FALSE))</f>
        <v>110.40409266666667</v>
      </c>
      <c r="O1212" s="21"/>
      <c r="P1212" s="21"/>
      <c r="Q1212">
        <f>VLOOKUP(Table2[[#This Row],[Home/Neutral]],pace_lookup,7,FALSE)</f>
        <v>98.8</v>
      </c>
      <c r="R1212" s="5">
        <f>VLOOKUP(Table2[[#This Row],[Visitor/Neutral]],pace_lookup,7,FALSE)</f>
        <v>93.4</v>
      </c>
      <c r="S1212" s="7"/>
      <c r="U1212" s="15"/>
      <c r="W1212" s="2">
        <f>-home-VLOOKUP(Table2[[#This Row],[Home/Neutral]],rtg_vlookup,4,FALSE)+VLOOKUP(Table2[[#This Row],[Visitor/Neutral]],rtg_vlookup,4,FALSE)</f>
        <v>7.0513114754098343</v>
      </c>
      <c r="X1212" s="15"/>
      <c r="Y1212" s="2"/>
      <c r="Z1212" s="2">
        <f>Table2[[#This Row],[A/EV]]-Table2[[#This Row],[H/EV]]</f>
        <v>2.7731512205968727</v>
      </c>
      <c r="AA1212" s="29"/>
      <c r="AB1212" s="30"/>
      <c r="AC1212" s="30"/>
      <c r="AD1212" s="30"/>
      <c r="AE1212" s="30"/>
      <c r="AF1212" s="7" t="b">
        <f>IF(VLOOKUP(Table2[[#This Row],[Home/Neutral]],division_lookup,9,FALSE)=VLOOKUP(Table2[[#This Row],[Visitor/Neutral]],division_lookup,9,FALSE),TRUE,FALSE)</f>
        <v>0</v>
      </c>
      <c r="AG1212" s="15" t="str">
        <f>VLOOKUP(Table2[[#This Row],[Home/Neutral]],division_lookup,9,FALSE)</f>
        <v>NW</v>
      </c>
      <c r="AH1212" s="15" t="str">
        <f>IF(Table2[[#This Row],[Total/EV]]&lt;Table2[[#This Row],[Total/V]],"UNDER","OVER")</f>
        <v>OVER</v>
      </c>
      <c r="AI1212" s="26">
        <f>Table2[[#This Row],[SRS/Real]]-Table2[[#This Row],[Spread/V]]</f>
        <v>0</v>
      </c>
      <c r="AJ1212" s="2">
        <f>Table2[[#This Row],[EV/Real]]-Table2[[#This Row],[Spread/V]]</f>
        <v>0</v>
      </c>
      <c r="AK1212" s="2">
        <f>Table2[[#This Row],[SRS/Diff]]-Table2[[#This Row],[EV/Diff]]</f>
        <v>0</v>
      </c>
      <c r="AL1212" s="18">
        <f>Table2[[#This Row],[SRS]]-Table2[[#This Row],[Spread]]</f>
        <v>7.0513114754098343</v>
      </c>
      <c r="AM1212" s="21">
        <f>Table2[[#This Row],[(A) Err]]^2</f>
        <v>49.720993523246413</v>
      </c>
      <c r="AN1212" s="6">
        <f>Table2[[#This Row],[EV]]-Table2[[#This Row],[Spread]]</f>
        <v>2.7731512205968727</v>
      </c>
      <c r="AO1212" s="1">
        <f>Table2[[#This Row],[EV Err]]^2</f>
        <v>7.6903676922979249</v>
      </c>
      <c r="AP1212" s="1"/>
    </row>
    <row r="1213" spans="1:42" x14ac:dyDescent="0.25">
      <c r="A1213" s="34">
        <v>42837</v>
      </c>
      <c r="B1213" t="s">
        <v>109</v>
      </c>
      <c r="C1213" t="s">
        <v>112</v>
      </c>
      <c r="E1213" s="21"/>
      <c r="G1213" s="21"/>
      <c r="H1213" s="7"/>
      <c r="I1213" s="21"/>
      <c r="K1213"/>
      <c r="L1213" s="21">
        <f>(Table2[[#This Row],[H/Pace]]/100)*(VLOOKUP(Table2[[#This Row],[Home/Neutral]],home_lookup,8,FALSE)+VLOOKUP(Table2[[#This Row],[Home/Neutral]],OFR_lookup,2,FALSE)+VLOOKUP(Table2[[#This Row],[Visitor/Neutral]],def_diff_lookup,6,FALSE))</f>
        <v>99.482886607286375</v>
      </c>
      <c r="M1213" s="21"/>
      <c r="N1213" s="21">
        <f>(Table2[[#This Row],[A/Pace]]/100)*(VLOOKUP(Table2[[#This Row],[Visitor/Neutral]],OFR_lookup,2,FALSE)+VLOOKUP(Table2[[#This Row],[Home/Neutral]],def_diff_lookup,6,FALSE))</f>
        <v>98.282119333333341</v>
      </c>
      <c r="O1213" s="21"/>
      <c r="P1213" s="21"/>
      <c r="Q1213">
        <f>VLOOKUP(Table2[[#This Row],[Home/Neutral]],pace_lookup,7,FALSE)</f>
        <v>99.2</v>
      </c>
      <c r="R1213" s="5">
        <f>VLOOKUP(Table2[[#This Row],[Visitor/Neutral]],pace_lookup,7,FALSE)</f>
        <v>97.4</v>
      </c>
      <c r="S1213" s="7"/>
      <c r="U1213" s="15"/>
      <c r="W1213" s="2">
        <f>-home-VLOOKUP(Table2[[#This Row],[Home/Neutral]],rtg_vlookup,4,FALSE)+VLOOKUP(Table2[[#This Row],[Visitor/Neutral]],rtg_vlookup,4,FALSE)</f>
        <v>-3.018688524590166</v>
      </c>
      <c r="X1213" s="15"/>
      <c r="Y1213" s="2"/>
      <c r="Z1213" s="2">
        <f>Table2[[#This Row],[A/EV]]-Table2[[#This Row],[H/EV]]</f>
        <v>-1.2007672739530335</v>
      </c>
      <c r="AA1213" s="29"/>
      <c r="AB1213" s="30"/>
      <c r="AC1213" s="30"/>
      <c r="AD1213" s="30"/>
      <c r="AE1213" s="30"/>
      <c r="AF1213" s="7" t="b">
        <f>IF(VLOOKUP(Table2[[#This Row],[Home/Neutral]],division_lookup,9,FALSE)=VLOOKUP(Table2[[#This Row],[Visitor/Neutral]],division_lookup,9,FALSE),TRUE,FALSE)</f>
        <v>1</v>
      </c>
      <c r="AG1213" s="15" t="str">
        <f>VLOOKUP(Table2[[#This Row],[Home/Neutral]],division_lookup,9,FALSE)</f>
        <v>SE</v>
      </c>
      <c r="AH1213" s="15" t="str">
        <f>IF(Table2[[#This Row],[Total/EV]]&lt;Table2[[#This Row],[Total/V]],"UNDER","OVER")</f>
        <v>OVER</v>
      </c>
      <c r="AI1213" s="26">
        <f>Table2[[#This Row],[SRS/Real]]-Table2[[#This Row],[Spread/V]]</f>
        <v>0</v>
      </c>
      <c r="AJ1213" s="2">
        <f>Table2[[#This Row],[EV/Real]]-Table2[[#This Row],[Spread/V]]</f>
        <v>0</v>
      </c>
      <c r="AK1213" s="2">
        <f>Table2[[#This Row],[SRS/Diff]]-Table2[[#This Row],[EV/Diff]]</f>
        <v>0</v>
      </c>
      <c r="AL1213" s="18">
        <f>Table2[[#This Row],[SRS]]-Table2[[#This Row],[Spread]]</f>
        <v>-3.018688524590166</v>
      </c>
      <c r="AM1213" s="21">
        <f>Table2[[#This Row],[(A) Err]]^2</f>
        <v>9.1124804084923525</v>
      </c>
      <c r="AN1213" s="6">
        <f>Table2[[#This Row],[EV]]-Table2[[#This Row],[Spread]]</f>
        <v>-1.2007672739530335</v>
      </c>
      <c r="AO1213" s="1">
        <f>Table2[[#This Row],[EV Err]]^2</f>
        <v>1.4418420461965995</v>
      </c>
      <c r="AP1213" s="1"/>
    </row>
    <row r="1214" spans="1:42" x14ac:dyDescent="0.25">
      <c r="A1214" s="34">
        <v>42837</v>
      </c>
      <c r="B1214" t="s">
        <v>115</v>
      </c>
      <c r="C1214" t="s">
        <v>116</v>
      </c>
      <c r="E1214" s="21"/>
      <c r="G1214" s="21"/>
      <c r="H1214" s="7"/>
      <c r="I1214" s="21"/>
      <c r="K1214"/>
      <c r="L1214" s="21">
        <f>(Table2[[#This Row],[H/Pace]]/100)*(VLOOKUP(Table2[[#This Row],[Home/Neutral]],home_lookup,8,FALSE)+VLOOKUP(Table2[[#This Row],[Home/Neutral]],OFR_lookup,2,FALSE)+VLOOKUP(Table2[[#This Row],[Visitor/Neutral]],def_diff_lookup,6,FALSE))</f>
        <v>95.647213115967759</v>
      </c>
      <c r="M1214" s="21"/>
      <c r="N1214" s="21">
        <f>(Table2[[#This Row],[A/Pace]]/100)*(VLOOKUP(Table2[[#This Row],[Visitor/Neutral]],OFR_lookup,2,FALSE)+VLOOKUP(Table2[[#This Row],[Home/Neutral]],def_diff_lookup,6,FALSE))</f>
        <v>104.52638566666667</v>
      </c>
      <c r="O1214" s="21"/>
      <c r="P1214" s="21"/>
      <c r="Q1214">
        <f>VLOOKUP(Table2[[#This Row],[Home/Neutral]],pace_lookup,7,FALSE)</f>
        <v>92.9</v>
      </c>
      <c r="R1214" s="5">
        <f>VLOOKUP(Table2[[#This Row],[Visitor/Neutral]],pace_lookup,7,FALSE)</f>
        <v>99.1</v>
      </c>
      <c r="S1214" s="7"/>
      <c r="U1214" s="15"/>
      <c r="W1214" s="2">
        <f>-home-VLOOKUP(Table2[[#This Row],[Home/Neutral]],rtg_vlookup,4,FALSE)+VLOOKUP(Table2[[#This Row],[Visitor/Neutral]],rtg_vlookup,4,FALSE)</f>
        <v>5.3413114754098334</v>
      </c>
      <c r="X1214" s="15"/>
      <c r="Y1214" s="2"/>
      <c r="Z1214" s="2">
        <f>Table2[[#This Row],[A/EV]]-Table2[[#This Row],[H/EV]]</f>
        <v>8.879172550698911</v>
      </c>
      <c r="AA1214" s="29"/>
      <c r="AB1214" s="30"/>
      <c r="AC1214" s="30"/>
      <c r="AD1214" s="30"/>
      <c r="AE1214" s="30"/>
      <c r="AF1214" s="7" t="b">
        <f>IF(VLOOKUP(Table2[[#This Row],[Home/Neutral]],division_lookup,9,FALSE)=VLOOKUP(Table2[[#This Row],[Visitor/Neutral]],division_lookup,9,FALSE),TRUE,FALSE)</f>
        <v>0</v>
      </c>
      <c r="AG1214" s="15" t="str">
        <f>VLOOKUP(Table2[[#This Row],[Home/Neutral]],division_lookup,9,FALSE)</f>
        <v>SW</v>
      </c>
      <c r="AH1214" s="15" t="str">
        <f>IF(Table2[[#This Row],[Total/EV]]&lt;Table2[[#This Row],[Total/V]],"UNDER","OVER")</f>
        <v>OVER</v>
      </c>
      <c r="AI1214" s="26">
        <f>Table2[[#This Row],[SRS/Real]]-Table2[[#This Row],[Spread/V]]</f>
        <v>0</v>
      </c>
      <c r="AJ1214" s="2">
        <f>Table2[[#This Row],[EV/Real]]-Table2[[#This Row],[Spread/V]]</f>
        <v>0</v>
      </c>
      <c r="AK1214" s="2">
        <f>Table2[[#This Row],[SRS/Diff]]-Table2[[#This Row],[EV/Diff]]</f>
        <v>0</v>
      </c>
      <c r="AL1214" s="18">
        <f>Table2[[#This Row],[SRS]]-Table2[[#This Row],[Spread]]</f>
        <v>5.3413114754098334</v>
      </c>
      <c r="AM1214" s="21">
        <f>Table2[[#This Row],[(A) Err]]^2</f>
        <v>28.529608277344771</v>
      </c>
      <c r="AN1214" s="6">
        <f>Table2[[#This Row],[EV]]-Table2[[#This Row],[Spread]]</f>
        <v>8.879172550698911</v>
      </c>
      <c r="AO1214" s="1">
        <f>Table2[[#This Row],[EV Err]]^2</f>
        <v>78.839705185085009</v>
      </c>
      <c r="AP1214" s="1"/>
    </row>
    <row r="1215" spans="1:42" x14ac:dyDescent="0.25">
      <c r="A1215" s="34">
        <v>42837</v>
      </c>
      <c r="B1215" t="s">
        <v>122</v>
      </c>
      <c r="C1215" t="s">
        <v>127</v>
      </c>
      <c r="E1215" s="21"/>
      <c r="G1215" s="21"/>
      <c r="H1215" s="7"/>
      <c r="I1215" s="21"/>
      <c r="K1215"/>
      <c r="L1215" s="21">
        <f>(Table2[[#This Row],[H/Pace]]/100)*(VLOOKUP(Table2[[#This Row],[Home/Neutral]],home_lookup,8,FALSE)+VLOOKUP(Table2[[#This Row],[Home/Neutral]],OFR_lookup,2,FALSE)+VLOOKUP(Table2[[#This Row],[Visitor/Neutral]],def_diff_lookup,6,FALSE))</f>
        <v>108.50538832744731</v>
      </c>
      <c r="M1215" s="21"/>
      <c r="N1215" s="21">
        <f>(Table2[[#This Row],[A/Pace]]/100)*(VLOOKUP(Table2[[#This Row],[Visitor/Neutral]],OFR_lookup,2,FALSE)+VLOOKUP(Table2[[#This Row],[Home/Neutral]],def_diff_lookup,6,FALSE))</f>
        <v>106.50487699999999</v>
      </c>
      <c r="O1215" s="21"/>
      <c r="P1215" s="21"/>
      <c r="Q1215">
        <f>VLOOKUP(Table2[[#This Row],[Home/Neutral]],pace_lookup,7,FALSE)</f>
        <v>100.2</v>
      </c>
      <c r="R1215" s="5">
        <f>VLOOKUP(Table2[[#This Row],[Visitor/Neutral]],pace_lookup,7,FALSE)</f>
        <v>99.3</v>
      </c>
      <c r="S1215" s="7"/>
      <c r="U1215" s="15"/>
      <c r="W1215" s="2">
        <f>-home-VLOOKUP(Table2[[#This Row],[Home/Neutral]],rtg_vlookup,4,FALSE)+VLOOKUP(Table2[[#This Row],[Visitor/Neutral]],rtg_vlookup,4,FALSE)</f>
        <v>-3.1886885245901659</v>
      </c>
      <c r="X1215" s="15"/>
      <c r="Y1215" s="2"/>
      <c r="Z1215" s="2">
        <f>Table2[[#This Row],[A/EV]]-Table2[[#This Row],[H/EV]]</f>
        <v>-2.0005113274473132</v>
      </c>
      <c r="AA1215" s="29"/>
      <c r="AB1215" s="30"/>
      <c r="AC1215" s="30"/>
      <c r="AD1215" s="30"/>
      <c r="AE1215" s="30"/>
      <c r="AF1215" s="7" t="b">
        <f>IF(VLOOKUP(Table2[[#This Row],[Home/Neutral]],division_lookup,9,FALSE)=VLOOKUP(Table2[[#This Row],[Visitor/Neutral]],division_lookup,9,FALSE),TRUE,FALSE)</f>
        <v>0</v>
      </c>
      <c r="AG1215" s="15" t="str">
        <f>VLOOKUP(Table2[[#This Row],[Home/Neutral]],division_lookup,9,FALSE)</f>
        <v>P</v>
      </c>
      <c r="AH1215" s="15" t="str">
        <f>IF(Table2[[#This Row],[Total/EV]]&lt;Table2[[#This Row],[Total/V]],"UNDER","OVER")</f>
        <v>OVER</v>
      </c>
      <c r="AI1215" s="26">
        <f>Table2[[#This Row],[SRS/Real]]-Table2[[#This Row],[Spread/V]]</f>
        <v>0</v>
      </c>
      <c r="AJ1215" s="2">
        <f>Table2[[#This Row],[EV/Real]]-Table2[[#This Row],[Spread/V]]</f>
        <v>0</v>
      </c>
      <c r="AK1215" s="2">
        <f>Table2[[#This Row],[SRS/Diff]]-Table2[[#This Row],[EV/Diff]]</f>
        <v>0</v>
      </c>
      <c r="AL1215" s="18">
        <f>Table2[[#This Row],[SRS]]-Table2[[#This Row],[Spread]]</f>
        <v>-3.1886885245901659</v>
      </c>
      <c r="AM1215" s="21">
        <f>Table2[[#This Row],[(A) Err]]^2</f>
        <v>10.167734506853009</v>
      </c>
      <c r="AN1215" s="6">
        <f>Table2[[#This Row],[EV]]-Table2[[#This Row],[Spread]]</f>
        <v>-2.0005113274473132</v>
      </c>
      <c r="AO1215" s="1">
        <f>Table2[[#This Row],[EV Err]]^2</f>
        <v>4.0020455712450111</v>
      </c>
      <c r="AP1215" s="1"/>
    </row>
    <row r="1216" spans="1:42" x14ac:dyDescent="0.25">
      <c r="A1216" s="34">
        <v>42837</v>
      </c>
      <c r="B1216" t="s">
        <v>126</v>
      </c>
      <c r="C1216" t="s">
        <v>129</v>
      </c>
      <c r="E1216" s="21"/>
      <c r="G1216" s="21"/>
      <c r="H1216" s="7"/>
      <c r="I1216" s="21"/>
      <c r="K1216"/>
      <c r="L1216" s="21">
        <f>(Table2[[#This Row],[H/Pace]]/100)*(VLOOKUP(Table2[[#This Row],[Home/Neutral]],home_lookup,8,FALSE)+VLOOKUP(Table2[[#This Row],[Home/Neutral]],OFR_lookup,2,FALSE)+VLOOKUP(Table2[[#This Row],[Visitor/Neutral]],def_diff_lookup,6,FALSE))</f>
        <v>113.06501777050786</v>
      </c>
      <c r="M1216" s="21"/>
      <c r="N1216" s="21">
        <f>(Table2[[#This Row],[A/Pace]]/100)*(VLOOKUP(Table2[[#This Row],[Visitor/Neutral]],OFR_lookup,2,FALSE)+VLOOKUP(Table2[[#This Row],[Home/Neutral]],def_diff_lookup,6,FALSE))</f>
        <v>108.36111</v>
      </c>
      <c r="O1216" s="21"/>
      <c r="P1216" s="21"/>
      <c r="Q1216">
        <f>VLOOKUP(Table2[[#This Row],[Home/Neutral]],pace_lookup,7,FALSE)</f>
        <v>95.7</v>
      </c>
      <c r="R1216" s="5">
        <f>VLOOKUP(Table2[[#This Row],[Visitor/Neutral]],pace_lookup,7,FALSE)</f>
        <v>99</v>
      </c>
      <c r="S1216" s="7"/>
      <c r="U1216" s="15"/>
      <c r="W1216" s="2">
        <f>-home-VLOOKUP(Table2[[#This Row],[Home/Neutral]],rtg_vlookup,4,FALSE)+VLOOKUP(Table2[[#This Row],[Visitor/Neutral]],rtg_vlookup,4,FALSE)</f>
        <v>-8.8688524590165851E-2</v>
      </c>
      <c r="X1216" s="15"/>
      <c r="Y1216" s="2"/>
      <c r="Z1216" s="2">
        <f>Table2[[#This Row],[A/EV]]-Table2[[#This Row],[H/EV]]</f>
        <v>-4.7039077705078682</v>
      </c>
      <c r="AA1216" s="29"/>
      <c r="AB1216" s="30"/>
      <c r="AC1216" s="30"/>
      <c r="AD1216" s="30"/>
      <c r="AE1216" s="30"/>
      <c r="AF1216" s="7" t="b">
        <f>IF(VLOOKUP(Table2[[#This Row],[Home/Neutral]],division_lookup,9,FALSE)=VLOOKUP(Table2[[#This Row],[Visitor/Neutral]],division_lookup,9,FALSE),TRUE,FALSE)</f>
        <v>1</v>
      </c>
      <c r="AG1216" s="15" t="str">
        <f>VLOOKUP(Table2[[#This Row],[Home/Neutral]],division_lookup,9,FALSE)</f>
        <v>NW</v>
      </c>
      <c r="AH1216" s="15" t="str">
        <f>IF(Table2[[#This Row],[Total/EV]]&lt;Table2[[#This Row],[Total/V]],"UNDER","OVER")</f>
        <v>OVER</v>
      </c>
      <c r="AI1216" s="26">
        <f>Table2[[#This Row],[SRS/Real]]-Table2[[#This Row],[Spread/V]]</f>
        <v>0</v>
      </c>
      <c r="AJ1216" s="2">
        <f>Table2[[#This Row],[EV/Real]]-Table2[[#This Row],[Spread/V]]</f>
        <v>0</v>
      </c>
      <c r="AK1216" s="2">
        <f>Table2[[#This Row],[SRS/Diff]]-Table2[[#This Row],[EV/Diff]]</f>
        <v>0</v>
      </c>
      <c r="AL1216" s="18">
        <f>Table2[[#This Row],[SRS]]-Table2[[#This Row],[Spread]]</f>
        <v>-8.8688524590165851E-2</v>
      </c>
      <c r="AM1216" s="21">
        <f>Table2[[#This Row],[(A) Err]]^2</f>
        <v>7.8656543939804521E-3</v>
      </c>
      <c r="AN1216" s="6">
        <f>Table2[[#This Row],[EV]]-Table2[[#This Row],[Spread]]</f>
        <v>-4.7039077705078682</v>
      </c>
      <c r="AO1216" s="1">
        <f>Table2[[#This Row],[EV Err]]^2</f>
        <v>22.126748313444303</v>
      </c>
      <c r="AP1216" s="1"/>
    </row>
    <row r="1217" spans="1:42" x14ac:dyDescent="0.25">
      <c r="A1217" s="34">
        <v>42837</v>
      </c>
      <c r="B1217" t="s">
        <v>133</v>
      </c>
      <c r="C1217" t="s">
        <v>131</v>
      </c>
      <c r="E1217" s="21"/>
      <c r="G1217" s="21"/>
      <c r="H1217" s="7"/>
      <c r="I1217" s="21"/>
      <c r="K1217"/>
      <c r="L1217" s="21">
        <f>(Table2[[#This Row],[H/Pace]]/100)*(VLOOKUP(Table2[[#This Row],[Home/Neutral]],home_lookup,8,FALSE)+VLOOKUP(Table2[[#This Row],[Home/Neutral]],OFR_lookup,2,FALSE)+VLOOKUP(Table2[[#This Row],[Visitor/Neutral]],def_diff_lookup,6,FALSE))</f>
        <v>109.10644748279979</v>
      </c>
      <c r="M1217" s="21"/>
      <c r="N1217" s="21">
        <f>(Table2[[#This Row],[A/Pace]]/100)*(VLOOKUP(Table2[[#This Row],[Visitor/Neutral]],OFR_lookup,2,FALSE)+VLOOKUP(Table2[[#This Row],[Home/Neutral]],def_diff_lookup,6,FALSE))</f>
        <v>106.424643</v>
      </c>
      <c r="O1217" s="21"/>
      <c r="P1217" s="21"/>
      <c r="Q1217">
        <f>VLOOKUP(Table2[[#This Row],[Home/Neutral]],pace_lookup,7,FALSE)</f>
        <v>94.2</v>
      </c>
      <c r="R1217" s="5">
        <f>VLOOKUP(Table2[[#This Row],[Visitor/Neutral]],pace_lookup,7,FALSE)</f>
        <v>101.7</v>
      </c>
      <c r="S1217" s="7"/>
      <c r="U1217" s="15"/>
      <c r="W1217" s="2">
        <f>-home-VLOOKUP(Table2[[#This Row],[Home/Neutral]],rtg_vlookup,4,FALSE)+VLOOKUP(Table2[[#This Row],[Visitor/Neutral]],rtg_vlookup,4,FALSE)</f>
        <v>-7.2386885245901658</v>
      </c>
      <c r="X1217" s="15"/>
      <c r="Y1217" s="2"/>
      <c r="Z1217" s="2">
        <f>Table2[[#This Row],[A/EV]]-Table2[[#This Row],[H/EV]]</f>
        <v>-2.6818044827997909</v>
      </c>
      <c r="AA1217" s="29"/>
      <c r="AB1217" s="30"/>
      <c r="AC1217" s="30"/>
      <c r="AD1217" s="30"/>
      <c r="AE1217" s="30"/>
      <c r="AF1217" s="7" t="b">
        <f>IF(VLOOKUP(Table2[[#This Row],[Home/Neutral]],division_lookup,9,FALSE)=VLOOKUP(Table2[[#This Row],[Visitor/Neutral]],division_lookup,9,FALSE),TRUE,FALSE)</f>
        <v>1</v>
      </c>
      <c r="AG1217" s="15" t="str">
        <f>VLOOKUP(Table2[[#This Row],[Home/Neutral]],division_lookup,9,FALSE)</f>
        <v>P</v>
      </c>
      <c r="AH1217" s="15" t="str">
        <f>IF(Table2[[#This Row],[Total/EV]]&lt;Table2[[#This Row],[Total/V]],"UNDER","OVER")</f>
        <v>OVER</v>
      </c>
      <c r="AI1217" s="26">
        <f>Table2[[#This Row],[SRS/Real]]-Table2[[#This Row],[Spread/V]]</f>
        <v>0</v>
      </c>
      <c r="AJ1217" s="2">
        <f>Table2[[#This Row],[EV/Real]]-Table2[[#This Row],[Spread/V]]</f>
        <v>0</v>
      </c>
      <c r="AK1217" s="2">
        <f>Table2[[#This Row],[SRS/Diff]]-Table2[[#This Row],[EV/Diff]]</f>
        <v>0</v>
      </c>
      <c r="AL1217" s="18">
        <f>Table2[[#This Row],[SRS]]-Table2[[#This Row],[Spread]]</f>
        <v>-7.2386885245901658</v>
      </c>
      <c r="AM1217" s="21">
        <f>Table2[[#This Row],[(A) Err]]^2</f>
        <v>52.398611556033352</v>
      </c>
      <c r="AN1217" s="6">
        <f>Table2[[#This Row],[EV]]-Table2[[#This Row],[Spread]]</f>
        <v>-2.6818044827997909</v>
      </c>
      <c r="AO1217" s="1">
        <f>Table2[[#This Row],[EV Err]]^2</f>
        <v>7.1920752839650541</v>
      </c>
      <c r="AP1217" s="1"/>
    </row>
    <row r="1218" spans="1:42" x14ac:dyDescent="0.25">
      <c r="A1218" s="34">
        <v>42838</v>
      </c>
      <c r="B1218" t="s">
        <v>110</v>
      </c>
      <c r="C1218" t="s">
        <v>125</v>
      </c>
      <c r="E1218" s="21"/>
      <c r="G1218" s="21"/>
      <c r="H1218" s="7"/>
      <c r="I1218" s="21"/>
      <c r="K1218"/>
      <c r="L1218" s="21">
        <f>(Table2[[#This Row],[H/Pace]]/100)*(VLOOKUP(Table2[[#This Row],[Home/Neutral]],home_lookup,8,FALSE)+VLOOKUP(Table2[[#This Row],[Home/Neutral]],OFR_lookup,2,FALSE)+VLOOKUP(Table2[[#This Row],[Visitor/Neutral]],def_diff_lookup,6,FALSE))</f>
        <v>107.7544111890094</v>
      </c>
      <c r="M1218" s="21"/>
      <c r="N1218" s="21">
        <f>(Table2[[#This Row],[A/Pace]]/100)*(VLOOKUP(Table2[[#This Row],[Visitor/Neutral]],OFR_lookup,2,FALSE)+VLOOKUP(Table2[[#This Row],[Home/Neutral]],def_diff_lookup,6,FALSE))</f>
        <v>102.79400566666666</v>
      </c>
      <c r="O1218" s="21"/>
      <c r="P1218" s="21"/>
      <c r="Q1218">
        <f>VLOOKUP(Table2[[#This Row],[Home/Neutral]],pace_lookup,7,FALSE)</f>
        <v>96.2</v>
      </c>
      <c r="R1218" s="5">
        <f>VLOOKUP(Table2[[#This Row],[Visitor/Neutral]],pace_lookup,7,FALSE)</f>
        <v>96.1</v>
      </c>
      <c r="S1218" s="7"/>
      <c r="U1218" s="15"/>
      <c r="W1218" s="2">
        <f>-home-VLOOKUP(Table2[[#This Row],[Home/Neutral]],rtg_vlookup,4,FALSE)+VLOOKUP(Table2[[#This Row],[Visitor/Neutral]],rtg_vlookup,4,FALSE)</f>
        <v>-5.7386885245901658</v>
      </c>
      <c r="X1218" s="15"/>
      <c r="Y1218" s="2"/>
      <c r="Z1218" s="2">
        <f>Table2[[#This Row],[A/EV]]-Table2[[#This Row],[H/EV]]</f>
        <v>-4.9604055223427395</v>
      </c>
      <c r="AA1218" s="29"/>
      <c r="AB1218" s="30"/>
      <c r="AC1218" s="30"/>
      <c r="AD1218" s="30"/>
      <c r="AE1218" s="30"/>
      <c r="AF1218" s="7" t="b">
        <f>IF(VLOOKUP(Table2[[#This Row],[Home/Neutral]],division_lookup,9,FALSE)=VLOOKUP(Table2[[#This Row],[Visitor/Neutral]],division_lookup,9,FALSE),TRUE,FALSE)</f>
        <v>0</v>
      </c>
      <c r="AG1218" s="15" t="str">
        <f>VLOOKUP(Table2[[#This Row],[Home/Neutral]],division_lookup,9,FALSE)</f>
        <v>A</v>
      </c>
      <c r="AH1218" s="15" t="str">
        <f>IF(Table2[[#This Row],[Total/EV]]&lt;Table2[[#This Row],[Total/V]],"UNDER","OVER")</f>
        <v>OVER</v>
      </c>
      <c r="AI1218" s="26">
        <f>Table2[[#This Row],[SRS/Real]]-Table2[[#This Row],[Spread/V]]</f>
        <v>0</v>
      </c>
      <c r="AJ1218" s="2">
        <f>Table2[[#This Row],[EV/Real]]-Table2[[#This Row],[Spread/V]]</f>
        <v>0</v>
      </c>
      <c r="AK1218" s="2">
        <f>Table2[[#This Row],[SRS/Diff]]-Table2[[#This Row],[EV/Diff]]</f>
        <v>0</v>
      </c>
      <c r="AL1218" s="18">
        <f>Table2[[#This Row],[SRS]]-Table2[[#This Row],[Spread]]</f>
        <v>-5.7386885245901658</v>
      </c>
      <c r="AM1218" s="21">
        <f>Table2[[#This Row],[(A) Err]]^2</f>
        <v>32.932545982262852</v>
      </c>
      <c r="AN1218" s="6">
        <f>Table2[[#This Row],[EV]]-Table2[[#This Row],[Spread]]</f>
        <v>-4.9604055223427395</v>
      </c>
      <c r="AO1218" s="1">
        <f>Table2[[#This Row],[EV Err]]^2</f>
        <v>24.605622946088346</v>
      </c>
      <c r="AP1218" s="1"/>
    </row>
    <row r="1219" spans="1:42" x14ac:dyDescent="0.25">
      <c r="A1219" s="34">
        <v>42838</v>
      </c>
      <c r="B1219" t="s">
        <v>113</v>
      </c>
      <c r="C1219" t="s">
        <v>111</v>
      </c>
      <c r="E1219" s="21"/>
      <c r="G1219" s="21"/>
      <c r="H1219" s="7"/>
      <c r="I1219" s="21"/>
      <c r="K1219"/>
      <c r="L1219" s="21">
        <f>(Table2[[#This Row],[H/Pace]]/100)*(VLOOKUP(Table2[[#This Row],[Home/Neutral]],home_lookup,8,FALSE)+VLOOKUP(Table2[[#This Row],[Home/Neutral]],OFR_lookup,2,FALSE)+VLOOKUP(Table2[[#This Row],[Visitor/Neutral]],def_diff_lookup,6,FALSE))</f>
        <v>113.21776388016279</v>
      </c>
      <c r="M1219" s="21"/>
      <c r="N1219" s="21">
        <f>(Table2[[#This Row],[A/Pace]]/100)*(VLOOKUP(Table2[[#This Row],[Visitor/Neutral]],OFR_lookup,2,FALSE)+VLOOKUP(Table2[[#This Row],[Home/Neutral]],def_diff_lookup,6,FALSE))</f>
        <v>103.74997999999999</v>
      </c>
      <c r="O1219" s="21"/>
      <c r="P1219" s="21"/>
      <c r="Q1219">
        <f>VLOOKUP(Table2[[#This Row],[Home/Neutral]],pace_lookup,7,FALSE)</f>
        <v>95.1</v>
      </c>
      <c r="R1219" s="5">
        <f>VLOOKUP(Table2[[#This Row],[Visitor/Neutral]],pace_lookup,7,FALSE)</f>
        <v>102</v>
      </c>
      <c r="S1219" s="7"/>
      <c r="U1219" s="15"/>
      <c r="W1219" s="2">
        <f>-home-VLOOKUP(Table2[[#This Row],[Home/Neutral]],rtg_vlookup,4,FALSE)+VLOOKUP(Table2[[#This Row],[Visitor/Neutral]],rtg_vlookup,4,FALSE)</f>
        <v>-16.208688524590166</v>
      </c>
      <c r="X1219" s="15"/>
      <c r="Y1219" s="2"/>
      <c r="Z1219" s="2">
        <f>Table2[[#This Row],[A/EV]]-Table2[[#This Row],[H/EV]]</f>
        <v>-9.4677838801627985</v>
      </c>
      <c r="AA1219" s="29"/>
      <c r="AB1219" s="30"/>
      <c r="AC1219" s="30"/>
      <c r="AD1219" s="30"/>
      <c r="AE1219" s="30"/>
      <c r="AF1219" s="7" t="b">
        <f>IF(VLOOKUP(Table2[[#This Row],[Home/Neutral]],division_lookup,9,FALSE)=VLOOKUP(Table2[[#This Row],[Visitor/Neutral]],division_lookup,9,FALSE),TRUE,FALSE)</f>
        <v>0</v>
      </c>
      <c r="AG1219" s="15" t="str">
        <f>VLOOKUP(Table2[[#This Row],[Home/Neutral]],division_lookup,9,FALSE)</f>
        <v>C</v>
      </c>
      <c r="AH1219" s="15" t="str">
        <f>IF(Table2[[#This Row],[Total/EV]]&lt;Table2[[#This Row],[Total/V]],"UNDER","OVER")</f>
        <v>OVER</v>
      </c>
      <c r="AI1219" s="26">
        <f>Table2[[#This Row],[SRS/Real]]-Table2[[#This Row],[Spread/V]]</f>
        <v>0</v>
      </c>
      <c r="AJ1219" s="2">
        <f>Table2[[#This Row],[EV/Real]]-Table2[[#This Row],[Spread/V]]</f>
        <v>0</v>
      </c>
      <c r="AK1219" s="2">
        <f>Table2[[#This Row],[SRS/Diff]]-Table2[[#This Row],[EV/Diff]]</f>
        <v>0</v>
      </c>
      <c r="AL1219" s="18">
        <f>Table2[[#This Row],[SRS]]-Table2[[#This Row],[Spread]]</f>
        <v>-16.208688524590166</v>
      </c>
      <c r="AM1219" s="21">
        <f>Table2[[#This Row],[(A) Err]]^2</f>
        <v>262.7215836871809</v>
      </c>
      <c r="AN1219" s="6">
        <f>Table2[[#This Row],[EV]]-Table2[[#This Row],[Spread]]</f>
        <v>-9.4677838801627985</v>
      </c>
      <c r="AO1219" s="1">
        <f>Table2[[#This Row],[EV Err]]^2</f>
        <v>89.638931601470532</v>
      </c>
      <c r="AP1219" s="1"/>
    </row>
    <row r="1220" spans="1:42" x14ac:dyDescent="0.25">
      <c r="A1220" s="34">
        <v>42838</v>
      </c>
      <c r="B1220" t="s">
        <v>114</v>
      </c>
      <c r="C1220" t="s">
        <v>135</v>
      </c>
      <c r="E1220" s="21"/>
      <c r="G1220" s="21"/>
      <c r="H1220" s="7"/>
      <c r="I1220" s="21"/>
      <c r="K1220"/>
      <c r="L1220" s="21">
        <f>(Table2[[#This Row],[H/Pace]]/100)*(VLOOKUP(Table2[[#This Row],[Home/Neutral]],home_lookup,8,FALSE)+VLOOKUP(Table2[[#This Row],[Home/Neutral]],OFR_lookup,2,FALSE)+VLOOKUP(Table2[[#This Row],[Visitor/Neutral]],def_diff_lookup,6,FALSE))</f>
        <v>115.15631276756466</v>
      </c>
      <c r="M1220" s="21"/>
      <c r="N1220" s="21">
        <f>(Table2[[#This Row],[A/Pace]]/100)*(VLOOKUP(Table2[[#This Row],[Visitor/Neutral]],OFR_lookup,2,FALSE)+VLOOKUP(Table2[[#This Row],[Home/Neutral]],def_diff_lookup,6,FALSE))</f>
        <v>107.76924600000001</v>
      </c>
      <c r="O1220" s="21"/>
      <c r="P1220" s="21"/>
      <c r="Q1220">
        <f>VLOOKUP(Table2[[#This Row],[Home/Neutral]],pace_lookup,7,FALSE)</f>
        <v>97.3</v>
      </c>
      <c r="R1220" s="5">
        <f>VLOOKUP(Table2[[#This Row],[Visitor/Neutral]],pace_lookup,7,FALSE)</f>
        <v>95.4</v>
      </c>
      <c r="S1220" s="7"/>
      <c r="U1220" s="15"/>
      <c r="W1220" s="2">
        <f>-home-VLOOKUP(Table2[[#This Row],[Home/Neutral]],rtg_vlookup,4,FALSE)+VLOOKUP(Table2[[#This Row],[Visitor/Neutral]],rtg_vlookup,4,FALSE)</f>
        <v>-5.4886885245901658</v>
      </c>
      <c r="X1220" s="15"/>
      <c r="Y1220" s="2"/>
      <c r="Z1220" s="2">
        <f>Table2[[#This Row],[A/EV]]-Table2[[#This Row],[H/EV]]</f>
        <v>-7.3870667675646473</v>
      </c>
      <c r="AA1220" s="29"/>
      <c r="AB1220" s="30"/>
      <c r="AC1220" s="30"/>
      <c r="AD1220" s="30"/>
      <c r="AE1220" s="30"/>
      <c r="AF1220" s="7" t="b">
        <f>IF(VLOOKUP(Table2[[#This Row],[Home/Neutral]],division_lookup,9,FALSE)=VLOOKUP(Table2[[#This Row],[Visitor/Neutral]],division_lookup,9,FALSE),TRUE,FALSE)</f>
        <v>0</v>
      </c>
      <c r="AG1220" s="15" t="str">
        <f>VLOOKUP(Table2[[#This Row],[Home/Neutral]],division_lookup,9,FALSE)</f>
        <v>C</v>
      </c>
      <c r="AH1220" s="15" t="str">
        <f>IF(Table2[[#This Row],[Total/EV]]&lt;Table2[[#This Row],[Total/V]],"UNDER","OVER")</f>
        <v>OVER</v>
      </c>
      <c r="AI1220" s="26">
        <f>Table2[[#This Row],[SRS/Real]]-Table2[[#This Row],[Spread/V]]</f>
        <v>0</v>
      </c>
      <c r="AJ1220" s="2">
        <f>Table2[[#This Row],[EV/Real]]-Table2[[#This Row],[Spread/V]]</f>
        <v>0</v>
      </c>
      <c r="AK1220" s="2">
        <f>Table2[[#This Row],[SRS/Diff]]-Table2[[#This Row],[EV/Diff]]</f>
        <v>0</v>
      </c>
      <c r="AL1220" s="18">
        <f>Table2[[#This Row],[SRS]]-Table2[[#This Row],[Spread]]</f>
        <v>-5.4886885245901658</v>
      </c>
      <c r="AM1220" s="21">
        <f>Table2[[#This Row],[(A) Err]]^2</f>
        <v>30.125701719967772</v>
      </c>
      <c r="AN1220" s="6">
        <f>Table2[[#This Row],[EV]]-Table2[[#This Row],[Spread]]</f>
        <v>-7.3870667675646473</v>
      </c>
      <c r="AO1220" s="1">
        <f>Table2[[#This Row],[EV Err]]^2</f>
        <v>54.568755428458005</v>
      </c>
      <c r="AP1220" s="1"/>
    </row>
    <row r="1221" spans="1:42" x14ac:dyDescent="0.25">
      <c r="A1221" s="34">
        <v>42838</v>
      </c>
      <c r="B1221" t="s">
        <v>118</v>
      </c>
      <c r="C1221" t="s">
        <v>122</v>
      </c>
      <c r="E1221" s="21"/>
      <c r="G1221" s="21"/>
      <c r="H1221" s="7"/>
      <c r="I1221" s="21"/>
      <c r="K1221"/>
      <c r="L1221" s="21">
        <f>(Table2[[#This Row],[H/Pace]]/100)*(VLOOKUP(Table2[[#This Row],[Home/Neutral]],home_lookup,8,FALSE)+VLOOKUP(Table2[[#This Row],[Home/Neutral]],OFR_lookup,2,FALSE)+VLOOKUP(Table2[[#This Row],[Visitor/Neutral]],def_diff_lookup,6,FALSE))</f>
        <v>119.33075838078237</v>
      </c>
      <c r="M1221" s="21"/>
      <c r="N1221" s="21">
        <f>(Table2[[#This Row],[A/Pace]]/100)*(VLOOKUP(Table2[[#This Row],[Visitor/Neutral]],OFR_lookup,2,FALSE)+VLOOKUP(Table2[[#This Row],[Home/Neutral]],def_diff_lookup,6,FALSE))</f>
        <v>108.04131799999999</v>
      </c>
      <c r="O1221" s="21"/>
      <c r="P1221" s="21"/>
      <c r="Q1221">
        <f>VLOOKUP(Table2[[#This Row],[Home/Neutral]],pace_lookup,7,FALSE)</f>
        <v>100.4</v>
      </c>
      <c r="R1221" s="5">
        <f>VLOOKUP(Table2[[#This Row],[Visitor/Neutral]],pace_lookup,7,FALSE)</f>
        <v>100.2</v>
      </c>
      <c r="S1221" s="7"/>
      <c r="U1221" s="15"/>
      <c r="W1221" s="2">
        <f>-home-VLOOKUP(Table2[[#This Row],[Home/Neutral]],rtg_vlookup,4,FALSE)+VLOOKUP(Table2[[#This Row],[Visitor/Neutral]],rtg_vlookup,4,FALSE)</f>
        <v>-16.448688524590168</v>
      </c>
      <c r="X1221" s="15"/>
      <c r="Y1221" s="2"/>
      <c r="Z1221" s="2">
        <f>Table2[[#This Row],[A/EV]]-Table2[[#This Row],[H/EV]]</f>
        <v>-11.289440380782381</v>
      </c>
      <c r="AA1221" s="29"/>
      <c r="AB1221" s="30"/>
      <c r="AC1221" s="30"/>
      <c r="AD1221" s="30"/>
      <c r="AE1221" s="30"/>
      <c r="AF1221" s="7" t="b">
        <f>IF(VLOOKUP(Table2[[#This Row],[Home/Neutral]],division_lookup,9,FALSE)=VLOOKUP(Table2[[#This Row],[Visitor/Neutral]],division_lookup,9,FALSE),TRUE,FALSE)</f>
        <v>1</v>
      </c>
      <c r="AG1221" s="15" t="str">
        <f>VLOOKUP(Table2[[#This Row],[Home/Neutral]],division_lookup,9,FALSE)</f>
        <v>P</v>
      </c>
      <c r="AH1221" s="15" t="str">
        <f>IF(Table2[[#This Row],[Total/EV]]&lt;Table2[[#This Row],[Total/V]],"UNDER","OVER")</f>
        <v>OVER</v>
      </c>
      <c r="AI1221" s="26">
        <f>Table2[[#This Row],[SRS/Real]]-Table2[[#This Row],[Spread/V]]</f>
        <v>0</v>
      </c>
      <c r="AJ1221" s="2">
        <f>Table2[[#This Row],[EV/Real]]-Table2[[#This Row],[Spread/V]]</f>
        <v>0</v>
      </c>
      <c r="AK1221" s="2">
        <f>Table2[[#This Row],[SRS/Diff]]-Table2[[#This Row],[EV/Diff]]</f>
        <v>0</v>
      </c>
      <c r="AL1221" s="18">
        <f>Table2[[#This Row],[SRS]]-Table2[[#This Row],[Spread]]</f>
        <v>-16.448688524590168</v>
      </c>
      <c r="AM1221" s="21">
        <f>Table2[[#This Row],[(A) Err]]^2</f>
        <v>270.55935417898428</v>
      </c>
      <c r="AN1221" s="6">
        <f>Table2[[#This Row],[EV]]-Table2[[#This Row],[Spread]]</f>
        <v>-11.289440380782381</v>
      </c>
      <c r="AO1221" s="1">
        <f>Table2[[#This Row],[EV Err]]^2</f>
        <v>127.45146411123983</v>
      </c>
      <c r="AP1221" s="1"/>
    </row>
    <row r="1222" spans="1:42" x14ac:dyDescent="0.25">
      <c r="A1222" s="34">
        <v>42838</v>
      </c>
      <c r="B1222" t="s">
        <v>119</v>
      </c>
      <c r="C1222" t="s">
        <v>126</v>
      </c>
      <c r="E1222" s="21"/>
      <c r="G1222" s="21"/>
      <c r="H1222" s="7"/>
      <c r="I1222" s="21"/>
      <c r="K1222"/>
      <c r="L1222" s="21">
        <f>(Table2[[#This Row],[H/Pace]]/100)*(VLOOKUP(Table2[[#This Row],[Home/Neutral]],home_lookup,8,FALSE)+VLOOKUP(Table2[[#This Row],[Home/Neutral]],OFR_lookup,2,FALSE)+VLOOKUP(Table2[[#This Row],[Visitor/Neutral]],def_diff_lookup,6,FALSE))</f>
        <v>112.02030376977628</v>
      </c>
      <c r="M1222" s="21"/>
      <c r="N1222" s="21">
        <f>(Table2[[#This Row],[A/Pace]]/100)*(VLOOKUP(Table2[[#This Row],[Visitor/Neutral]],OFR_lookup,2,FALSE)+VLOOKUP(Table2[[#This Row],[Home/Neutral]],def_diff_lookup,6,FALSE))</f>
        <v>106.60565300000002</v>
      </c>
      <c r="O1222" s="21"/>
      <c r="P1222" s="21"/>
      <c r="Q1222">
        <f>VLOOKUP(Table2[[#This Row],[Home/Neutral]],pace_lookup,7,FALSE)</f>
        <v>96.9</v>
      </c>
      <c r="R1222" s="5">
        <f>VLOOKUP(Table2[[#This Row],[Visitor/Neutral]],pace_lookup,7,FALSE)</f>
        <v>95.7</v>
      </c>
      <c r="S1222" s="7"/>
      <c r="U1222" s="15"/>
      <c r="W1222" s="2">
        <f>-home-VLOOKUP(Table2[[#This Row],[Home/Neutral]],rtg_vlookup,4,FALSE)+VLOOKUP(Table2[[#This Row],[Visitor/Neutral]],rtg_vlookup,4,FALSE)</f>
        <v>-7.6386885245901652</v>
      </c>
      <c r="X1222" s="15"/>
      <c r="Y1222" s="2"/>
      <c r="Z1222" s="2">
        <f>Table2[[#This Row],[A/EV]]-Table2[[#This Row],[H/EV]]</f>
        <v>-5.4146507697762587</v>
      </c>
      <c r="AA1222" s="29"/>
      <c r="AB1222" s="30"/>
      <c r="AC1222" s="30"/>
      <c r="AD1222" s="30"/>
      <c r="AE1222" s="30"/>
      <c r="AF1222" s="7" t="b">
        <f>IF(VLOOKUP(Table2[[#This Row],[Home/Neutral]],division_lookup,9,FALSE)=VLOOKUP(Table2[[#This Row],[Visitor/Neutral]],division_lookup,9,FALSE),TRUE,FALSE)</f>
        <v>0</v>
      </c>
      <c r="AG1222" s="15" t="str">
        <f>VLOOKUP(Table2[[#This Row],[Home/Neutral]],division_lookup,9,FALSE)</f>
        <v>SW</v>
      </c>
      <c r="AH1222" s="15" t="str">
        <f>IF(Table2[[#This Row],[Total/EV]]&lt;Table2[[#This Row],[Total/V]],"UNDER","OVER")</f>
        <v>OVER</v>
      </c>
      <c r="AI1222" s="26">
        <f>Table2[[#This Row],[SRS/Real]]-Table2[[#This Row],[Spread/V]]</f>
        <v>0</v>
      </c>
      <c r="AJ1222" s="2">
        <f>Table2[[#This Row],[EV/Real]]-Table2[[#This Row],[Spread/V]]</f>
        <v>0</v>
      </c>
      <c r="AK1222" s="2">
        <f>Table2[[#This Row],[SRS/Diff]]-Table2[[#This Row],[EV/Diff]]</f>
        <v>0</v>
      </c>
      <c r="AL1222" s="18">
        <f>Table2[[#This Row],[SRS]]-Table2[[#This Row],[Spread]]</f>
        <v>-7.6386885245901652</v>
      </c>
      <c r="AM1222" s="21">
        <f>Table2[[#This Row],[(A) Err]]^2</f>
        <v>58.349562375705474</v>
      </c>
      <c r="AN1222" s="6">
        <f>Table2[[#This Row],[EV]]-Table2[[#This Row],[Spread]]</f>
        <v>-5.4146507697762587</v>
      </c>
      <c r="AO1222" s="1">
        <f>Table2[[#This Row],[EV Err]]^2</f>
        <v>29.318442958638631</v>
      </c>
      <c r="AP1222" s="1"/>
    </row>
    <row r="1223" spans="1:42" x14ac:dyDescent="0.25">
      <c r="A1223" s="34">
        <v>42838</v>
      </c>
      <c r="B1223" t="s">
        <v>120</v>
      </c>
      <c r="C1223" t="s">
        <v>109</v>
      </c>
      <c r="E1223" s="21"/>
      <c r="G1223" s="21"/>
      <c r="H1223" s="7"/>
      <c r="I1223" s="21"/>
      <c r="K1223"/>
      <c r="L1223" s="21">
        <f>(Table2[[#This Row],[H/Pace]]/100)*(VLOOKUP(Table2[[#This Row],[Home/Neutral]],home_lookup,8,FALSE)+VLOOKUP(Table2[[#This Row],[Home/Neutral]],OFR_lookup,2,FALSE)+VLOOKUP(Table2[[#This Row],[Visitor/Neutral]],def_diff_lookup,6,FALSE))</f>
        <v>99.232525429308609</v>
      </c>
      <c r="M1223" s="21"/>
      <c r="N1223" s="21">
        <f>(Table2[[#This Row],[A/Pace]]/100)*(VLOOKUP(Table2[[#This Row],[Visitor/Neutral]],OFR_lookup,2,FALSE)+VLOOKUP(Table2[[#This Row],[Home/Neutral]],def_diff_lookup,6,FALSE))</f>
        <v>103.00498133333332</v>
      </c>
      <c r="O1223" s="21"/>
      <c r="P1223" s="21"/>
      <c r="Q1223">
        <f>VLOOKUP(Table2[[#This Row],[Home/Neutral]],pace_lookup,7,FALSE)</f>
        <v>98.3</v>
      </c>
      <c r="R1223" s="5">
        <f>VLOOKUP(Table2[[#This Row],[Visitor/Neutral]],pace_lookup,7,FALSE)</f>
        <v>99.2</v>
      </c>
      <c r="S1223" s="7"/>
      <c r="U1223" s="15"/>
      <c r="W1223" s="2">
        <f>-home-VLOOKUP(Table2[[#This Row],[Home/Neutral]],rtg_vlookup,4,FALSE)+VLOOKUP(Table2[[#This Row],[Visitor/Neutral]],rtg_vlookup,4,FALSE)</f>
        <v>4.2013114754098346</v>
      </c>
      <c r="X1223" s="15"/>
      <c r="Y1223" s="2"/>
      <c r="Z1223" s="2">
        <f>Table2[[#This Row],[A/EV]]-Table2[[#This Row],[H/EV]]</f>
        <v>3.7724559040247101</v>
      </c>
      <c r="AA1223" s="29"/>
      <c r="AB1223" s="30"/>
      <c r="AC1223" s="30"/>
      <c r="AD1223" s="30"/>
      <c r="AE1223" s="30"/>
      <c r="AF1223" s="7" t="b">
        <f>IF(VLOOKUP(Table2[[#This Row],[Home/Neutral]],division_lookup,9,FALSE)=VLOOKUP(Table2[[#This Row],[Visitor/Neutral]],division_lookup,9,FALSE),TRUE,FALSE)</f>
        <v>0</v>
      </c>
      <c r="AG1223" s="15" t="str">
        <f>VLOOKUP(Table2[[#This Row],[Home/Neutral]],division_lookup,9,FALSE)</f>
        <v>C</v>
      </c>
      <c r="AH1223" s="15" t="str">
        <f>IF(Table2[[#This Row],[Total/EV]]&lt;Table2[[#This Row],[Total/V]],"UNDER","OVER")</f>
        <v>OVER</v>
      </c>
      <c r="AI1223" s="26">
        <f>Table2[[#This Row],[SRS/Real]]-Table2[[#This Row],[Spread/V]]</f>
        <v>0</v>
      </c>
      <c r="AJ1223" s="2">
        <f>Table2[[#This Row],[EV/Real]]-Table2[[#This Row],[Spread/V]]</f>
        <v>0</v>
      </c>
      <c r="AK1223" s="2">
        <f>Table2[[#This Row],[SRS/Diff]]-Table2[[#This Row],[EV/Diff]]</f>
        <v>0</v>
      </c>
      <c r="AL1223" s="18">
        <f>Table2[[#This Row],[SRS]]-Table2[[#This Row],[Spread]]</f>
        <v>4.2013114754098346</v>
      </c>
      <c r="AM1223" s="21">
        <f>Table2[[#This Row],[(A) Err]]^2</f>
        <v>17.651018113410363</v>
      </c>
      <c r="AN1223" s="6">
        <f>Table2[[#This Row],[EV]]-Table2[[#This Row],[Spread]]</f>
        <v>3.7724559040247101</v>
      </c>
      <c r="AO1223" s="1">
        <f>Table2[[#This Row],[EV Err]]^2</f>
        <v>14.231423547810893</v>
      </c>
      <c r="AP1223" s="1"/>
    </row>
    <row r="1224" spans="1:42" x14ac:dyDescent="0.25">
      <c r="A1224" s="34">
        <v>42838</v>
      </c>
      <c r="B1224" t="s">
        <v>121</v>
      </c>
      <c r="C1224" t="s">
        <v>133</v>
      </c>
      <c r="E1224" s="21"/>
      <c r="G1224" s="21"/>
      <c r="H1224" s="7"/>
      <c r="I1224" s="21"/>
      <c r="K1224"/>
      <c r="L1224" s="21">
        <f>(Table2[[#This Row],[H/Pace]]/100)*(VLOOKUP(Table2[[#This Row],[Home/Neutral]],home_lookup,8,FALSE)+VLOOKUP(Table2[[#This Row],[Home/Neutral]],OFR_lookup,2,FALSE)+VLOOKUP(Table2[[#This Row],[Visitor/Neutral]],def_diff_lookup,6,FALSE))</f>
        <v>117.00376060751253</v>
      </c>
      <c r="M1224" s="21"/>
      <c r="N1224" s="21">
        <f>(Table2[[#This Row],[A/Pace]]/100)*(VLOOKUP(Table2[[#This Row],[Visitor/Neutral]],OFR_lookup,2,FALSE)+VLOOKUP(Table2[[#This Row],[Home/Neutral]],def_diff_lookup,6,FALSE))</f>
        <v>97.681318000000005</v>
      </c>
      <c r="O1224" s="21"/>
      <c r="P1224" s="21"/>
      <c r="Q1224">
        <f>VLOOKUP(Table2[[#This Row],[Home/Neutral]],pace_lookup,7,FALSE)</f>
        <v>96.4</v>
      </c>
      <c r="R1224" s="5">
        <f>VLOOKUP(Table2[[#This Row],[Visitor/Neutral]],pace_lookup,7,FALSE)</f>
        <v>94.2</v>
      </c>
      <c r="S1224" s="7"/>
      <c r="U1224" s="15"/>
      <c r="W1224" s="2">
        <f>-home-VLOOKUP(Table2[[#This Row],[Home/Neutral]],rtg_vlookup,4,FALSE)+VLOOKUP(Table2[[#This Row],[Visitor/Neutral]],rtg_vlookup,4,FALSE)</f>
        <v>-17.428688524590164</v>
      </c>
      <c r="X1224" s="15"/>
      <c r="Y1224" s="2"/>
      <c r="Z1224" s="2">
        <f>Table2[[#This Row],[A/EV]]-Table2[[#This Row],[H/EV]]</f>
        <v>-19.322442607512528</v>
      </c>
      <c r="AA1224" s="29"/>
      <c r="AB1224" s="30"/>
      <c r="AC1224" s="30"/>
      <c r="AD1224" s="30"/>
      <c r="AE1224" s="30"/>
      <c r="AF1224" s="7" t="b">
        <f>IF(VLOOKUP(Table2[[#This Row],[Home/Neutral]],division_lookup,9,FALSE)=VLOOKUP(Table2[[#This Row],[Visitor/Neutral]],division_lookup,9,FALSE),TRUE,FALSE)</f>
        <v>1</v>
      </c>
      <c r="AG1224" s="15" t="str">
        <f>VLOOKUP(Table2[[#This Row],[Home/Neutral]],division_lookup,9,FALSE)</f>
        <v>P</v>
      </c>
      <c r="AH1224" s="15" t="str">
        <f>IF(Table2[[#This Row],[Total/EV]]&lt;Table2[[#This Row],[Total/V]],"UNDER","OVER")</f>
        <v>OVER</v>
      </c>
      <c r="AI1224" s="26">
        <f>Table2[[#This Row],[SRS/Real]]-Table2[[#This Row],[Spread/V]]</f>
        <v>0</v>
      </c>
      <c r="AJ1224" s="2">
        <f>Table2[[#This Row],[EV/Real]]-Table2[[#This Row],[Spread/V]]</f>
        <v>0</v>
      </c>
      <c r="AK1224" s="2">
        <f>Table2[[#This Row],[SRS/Diff]]-Table2[[#This Row],[EV/Diff]]</f>
        <v>0</v>
      </c>
      <c r="AL1224" s="18">
        <f>Table2[[#This Row],[SRS]]-Table2[[#This Row],[Spread]]</f>
        <v>-17.428688524590164</v>
      </c>
      <c r="AM1224" s="21">
        <f>Table2[[#This Row],[(A) Err]]^2</f>
        <v>303.75918368718089</v>
      </c>
      <c r="AN1224" s="6">
        <f>Table2[[#This Row],[EV]]-Table2[[#This Row],[Spread]]</f>
        <v>-19.322442607512528</v>
      </c>
      <c r="AO1224" s="1">
        <f>Table2[[#This Row],[EV Err]]^2</f>
        <v>373.35678832061552</v>
      </c>
      <c r="AP1224" s="1"/>
    </row>
    <row r="1225" spans="1:42" x14ac:dyDescent="0.25">
      <c r="A1225" s="34">
        <v>42838</v>
      </c>
      <c r="B1225" t="s">
        <v>123</v>
      </c>
      <c r="C1225" t="s">
        <v>115</v>
      </c>
      <c r="E1225" s="21"/>
      <c r="G1225" s="21"/>
      <c r="H1225" s="7"/>
      <c r="I1225" s="21"/>
      <c r="K1225"/>
      <c r="L1225" s="21">
        <f>(Table2[[#This Row],[H/Pace]]/100)*(VLOOKUP(Table2[[#This Row],[Home/Neutral]],home_lookup,8,FALSE)+VLOOKUP(Table2[[#This Row],[Home/Neutral]],OFR_lookup,2,FALSE)+VLOOKUP(Table2[[#This Row],[Visitor/Neutral]],def_diff_lookup,6,FALSE))</f>
        <v>101.10642709563919</v>
      </c>
      <c r="M1225" s="21"/>
      <c r="N1225" s="21">
        <f>(Table2[[#This Row],[A/Pace]]/100)*(VLOOKUP(Table2[[#This Row],[Visitor/Neutral]],OFR_lookup,2,FALSE)+VLOOKUP(Table2[[#This Row],[Home/Neutral]],def_diff_lookup,6,FALSE))</f>
        <v>86.903924333333336</v>
      </c>
      <c r="O1225" s="21"/>
      <c r="P1225" s="21"/>
      <c r="Q1225">
        <f>VLOOKUP(Table2[[#This Row],[Home/Neutral]],pace_lookup,7,FALSE)</f>
        <v>92.5</v>
      </c>
      <c r="R1225" s="5">
        <f>VLOOKUP(Table2[[#This Row],[Visitor/Neutral]],pace_lookup,7,FALSE)</f>
        <v>92.9</v>
      </c>
      <c r="S1225" s="7"/>
      <c r="U1225" s="15"/>
      <c r="W1225" s="2">
        <f>-home-VLOOKUP(Table2[[#This Row],[Home/Neutral]],rtg_vlookup,4,FALSE)+VLOOKUP(Table2[[#This Row],[Visitor/Neutral]],rtg_vlookup,4,FALSE)</f>
        <v>-12.318688524590165</v>
      </c>
      <c r="X1225" s="15"/>
      <c r="Y1225" s="2"/>
      <c r="Z1225" s="2">
        <f>Table2[[#This Row],[A/EV]]-Table2[[#This Row],[H/EV]]</f>
        <v>-14.202502762305855</v>
      </c>
      <c r="AA1225" s="29"/>
      <c r="AB1225" s="30"/>
      <c r="AC1225" s="30"/>
      <c r="AD1225" s="30"/>
      <c r="AE1225" s="30"/>
      <c r="AF1225" s="7" t="b">
        <f>IF(VLOOKUP(Table2[[#This Row],[Home/Neutral]],division_lookup,9,FALSE)=VLOOKUP(Table2[[#This Row],[Visitor/Neutral]],division_lookup,9,FALSE),TRUE,FALSE)</f>
        <v>1</v>
      </c>
      <c r="AG1225" s="15" t="str">
        <f>VLOOKUP(Table2[[#This Row],[Home/Neutral]],division_lookup,9,FALSE)</f>
        <v>SW</v>
      </c>
      <c r="AH1225" s="15" t="str">
        <f>IF(Table2[[#This Row],[Total/EV]]&lt;Table2[[#This Row],[Total/V]],"UNDER","OVER")</f>
        <v>OVER</v>
      </c>
      <c r="AI1225" s="26">
        <f>Table2[[#This Row],[SRS/Real]]-Table2[[#This Row],[Spread/V]]</f>
        <v>0</v>
      </c>
      <c r="AJ1225" s="2">
        <f>Table2[[#This Row],[EV/Real]]-Table2[[#This Row],[Spread/V]]</f>
        <v>0</v>
      </c>
      <c r="AK1225" s="2">
        <f>Table2[[#This Row],[SRS/Diff]]-Table2[[#This Row],[EV/Diff]]</f>
        <v>0</v>
      </c>
      <c r="AL1225" s="18">
        <f>Table2[[#This Row],[SRS]]-Table2[[#This Row],[Spread]]</f>
        <v>-12.318688524590165</v>
      </c>
      <c r="AM1225" s="21">
        <f>Table2[[#This Row],[(A) Err]]^2</f>
        <v>151.75008696586943</v>
      </c>
      <c r="AN1225" s="6">
        <f>Table2[[#This Row],[EV]]-Table2[[#This Row],[Spread]]</f>
        <v>-14.202502762305855</v>
      </c>
      <c r="AO1225" s="1">
        <f>Table2[[#This Row],[EV Err]]^2</f>
        <v>201.71108471330544</v>
      </c>
      <c r="AP1225" s="1"/>
    </row>
    <row r="1226" spans="1:42" x14ac:dyDescent="0.25">
      <c r="A1226" s="34">
        <v>42838</v>
      </c>
      <c r="B1226" t="s">
        <v>124</v>
      </c>
      <c r="C1226" t="s">
        <v>137</v>
      </c>
      <c r="E1226" s="21"/>
      <c r="G1226" s="21"/>
      <c r="H1226" s="7"/>
      <c r="I1226" s="21"/>
      <c r="K1226"/>
      <c r="L1226" s="21">
        <f>(Table2[[#This Row],[H/Pace]]/100)*(VLOOKUP(Table2[[#This Row],[Home/Neutral]],home_lookup,8,FALSE)+VLOOKUP(Table2[[#This Row],[Home/Neutral]],OFR_lookup,2,FALSE)+VLOOKUP(Table2[[#This Row],[Visitor/Neutral]],def_diff_lookup,6,FALSE))</f>
        <v>104.48080517723557</v>
      </c>
      <c r="M1226" s="21"/>
      <c r="N1226" s="21">
        <f>(Table2[[#This Row],[A/Pace]]/100)*(VLOOKUP(Table2[[#This Row],[Visitor/Neutral]],OFR_lookup,2,FALSE)+VLOOKUP(Table2[[#This Row],[Home/Neutral]],def_diff_lookup,6,FALSE))</f>
        <v>100.76703999999999</v>
      </c>
      <c r="O1226" s="21"/>
      <c r="P1226" s="21"/>
      <c r="Q1226">
        <f>VLOOKUP(Table2[[#This Row],[Home/Neutral]],pace_lookup,7,FALSE)</f>
        <v>93.7</v>
      </c>
      <c r="R1226" s="5">
        <f>VLOOKUP(Table2[[#This Row],[Visitor/Neutral]],pace_lookup,7,FALSE)</f>
        <v>96</v>
      </c>
      <c r="S1226" s="7"/>
      <c r="U1226" s="15"/>
      <c r="W1226" s="2">
        <f>-home-VLOOKUP(Table2[[#This Row],[Home/Neutral]],rtg_vlookup,4,FALSE)+VLOOKUP(Table2[[#This Row],[Visitor/Neutral]],rtg_vlookup,4,FALSE)</f>
        <v>-4.5686885245901658</v>
      </c>
      <c r="X1226" s="15"/>
      <c r="Y1226" s="2"/>
      <c r="Z1226" s="2">
        <f>Table2[[#This Row],[A/EV]]-Table2[[#This Row],[H/EV]]</f>
        <v>-3.7137651772355724</v>
      </c>
      <c r="AA1226" s="29"/>
      <c r="AB1226" s="30"/>
      <c r="AC1226" s="30"/>
      <c r="AD1226" s="30"/>
      <c r="AE1226" s="30"/>
      <c r="AF1226" s="7" t="b">
        <f>IF(VLOOKUP(Table2[[#This Row],[Home/Neutral]],division_lookup,9,FALSE)=VLOOKUP(Table2[[#This Row],[Visitor/Neutral]],division_lookup,9,FALSE),TRUE,FALSE)</f>
        <v>1</v>
      </c>
      <c r="AG1226" s="15" t="str">
        <f>VLOOKUP(Table2[[#This Row],[Home/Neutral]],division_lookup,9,FALSE)</f>
        <v>SE</v>
      </c>
      <c r="AH1226" s="15" t="str">
        <f>IF(Table2[[#This Row],[Total/EV]]&lt;Table2[[#This Row],[Total/V]],"UNDER","OVER")</f>
        <v>OVER</v>
      </c>
      <c r="AI1226" s="26">
        <f>Table2[[#This Row],[SRS/Real]]-Table2[[#This Row],[Spread/V]]</f>
        <v>0</v>
      </c>
      <c r="AJ1226" s="2">
        <f>Table2[[#This Row],[EV/Real]]-Table2[[#This Row],[Spread/V]]</f>
        <v>0</v>
      </c>
      <c r="AK1226" s="2">
        <f>Table2[[#This Row],[SRS/Diff]]-Table2[[#This Row],[EV/Diff]]</f>
        <v>0</v>
      </c>
      <c r="AL1226" s="18">
        <f>Table2[[#This Row],[SRS]]-Table2[[#This Row],[Spread]]</f>
        <v>-4.5686885245901658</v>
      </c>
      <c r="AM1226" s="21">
        <f>Table2[[#This Row],[(A) Err]]^2</f>
        <v>20.872914834721865</v>
      </c>
      <c r="AN1226" s="6">
        <f>Table2[[#This Row],[EV]]-Table2[[#This Row],[Spread]]</f>
        <v>-3.7137651772355724</v>
      </c>
      <c r="AO1226" s="1">
        <f>Table2[[#This Row],[EV Err]]^2</f>
        <v>13.792051791647562</v>
      </c>
      <c r="AP1226" s="1"/>
    </row>
    <row r="1227" spans="1:42" x14ac:dyDescent="0.25">
      <c r="A1227" s="34">
        <v>42838</v>
      </c>
      <c r="B1227" t="s">
        <v>128</v>
      </c>
      <c r="C1227" t="s">
        <v>138</v>
      </c>
      <c r="E1227" s="21"/>
      <c r="G1227" s="21"/>
      <c r="H1227" s="7"/>
      <c r="I1227" s="21"/>
      <c r="K1227"/>
      <c r="L1227" s="21">
        <f>(Table2[[#This Row],[H/Pace]]/100)*(VLOOKUP(Table2[[#This Row],[Home/Neutral]],home_lookup,8,FALSE)+VLOOKUP(Table2[[#This Row],[Home/Neutral]],OFR_lookup,2,FALSE)+VLOOKUP(Table2[[#This Row],[Visitor/Neutral]],def_diff_lookup,6,FALSE))</f>
        <v>110.05027987783021</v>
      </c>
      <c r="M1227" s="21"/>
      <c r="N1227" s="21">
        <f>(Table2[[#This Row],[A/Pace]]/100)*(VLOOKUP(Table2[[#This Row],[Visitor/Neutral]],OFR_lookup,2,FALSE)+VLOOKUP(Table2[[#This Row],[Home/Neutral]],def_diff_lookup,6,FALSE))</f>
        <v>99.348275000000001</v>
      </c>
      <c r="O1227" s="21"/>
      <c r="P1227" s="21"/>
      <c r="Q1227">
        <f>VLOOKUP(Table2[[#This Row],[Home/Neutral]],pace_lookup,7,FALSE)</f>
        <v>96.3</v>
      </c>
      <c r="R1227" s="5">
        <f>VLOOKUP(Table2[[#This Row],[Visitor/Neutral]],pace_lookup,7,FALSE)</f>
        <v>97.5</v>
      </c>
      <c r="S1227" s="7"/>
      <c r="U1227" s="15"/>
      <c r="W1227" s="2">
        <f>-home-VLOOKUP(Table2[[#This Row],[Home/Neutral]],rtg_vlookup,4,FALSE)+VLOOKUP(Table2[[#This Row],[Visitor/Neutral]],rtg_vlookup,4,FALSE)</f>
        <v>-10.548688524590167</v>
      </c>
      <c r="X1227" s="15"/>
      <c r="Y1227" s="2"/>
      <c r="Z1227" s="2">
        <f>Table2[[#This Row],[A/EV]]-Table2[[#This Row],[H/EV]]</f>
        <v>-10.702004877830205</v>
      </c>
      <c r="AA1227" s="29"/>
      <c r="AB1227" s="30"/>
      <c r="AC1227" s="30"/>
      <c r="AD1227" s="30"/>
      <c r="AE1227" s="30"/>
      <c r="AF1227" s="7" t="b">
        <f>IF(VLOOKUP(Table2[[#This Row],[Home/Neutral]],division_lookup,9,FALSE)=VLOOKUP(Table2[[#This Row],[Visitor/Neutral]],division_lookup,9,FALSE),TRUE,FALSE)</f>
        <v>1</v>
      </c>
      <c r="AG1227" s="15" t="str">
        <f>VLOOKUP(Table2[[#This Row],[Home/Neutral]],division_lookup,9,FALSE)</f>
        <v>A</v>
      </c>
      <c r="AH1227" s="15" t="str">
        <f>IF(Table2[[#This Row],[Total/EV]]&lt;Table2[[#This Row],[Total/V]],"UNDER","OVER")</f>
        <v>OVER</v>
      </c>
      <c r="AI1227" s="26">
        <f>Table2[[#This Row],[SRS/Real]]-Table2[[#This Row],[Spread/V]]</f>
        <v>0</v>
      </c>
      <c r="AJ1227" s="2">
        <f>Table2[[#This Row],[EV/Real]]-Table2[[#This Row],[Spread/V]]</f>
        <v>0</v>
      </c>
      <c r="AK1227" s="2">
        <f>Table2[[#This Row],[SRS/Diff]]-Table2[[#This Row],[EV/Diff]]</f>
        <v>0</v>
      </c>
      <c r="AL1227" s="18">
        <f>Table2[[#This Row],[SRS]]-Table2[[#This Row],[Spread]]</f>
        <v>-10.548688524590167</v>
      </c>
      <c r="AM1227" s="21">
        <f>Table2[[#This Row],[(A) Err]]^2</f>
        <v>111.27482958882028</v>
      </c>
      <c r="AN1227" s="6">
        <f>Table2[[#This Row],[EV]]-Table2[[#This Row],[Spread]]</f>
        <v>-10.702004877830205</v>
      </c>
      <c r="AO1227" s="1">
        <f>Table2[[#This Row],[EV Err]]^2</f>
        <v>114.53290840510151</v>
      </c>
      <c r="AP1227" s="1"/>
    </row>
    <row r="1228" spans="1:42" x14ac:dyDescent="0.25">
      <c r="A1228" s="34">
        <v>42838</v>
      </c>
      <c r="B1228" t="s">
        <v>129</v>
      </c>
      <c r="C1228" t="s">
        <v>116</v>
      </c>
      <c r="E1228" s="21"/>
      <c r="G1228" s="21"/>
      <c r="H1228" s="7"/>
      <c r="I1228" s="21"/>
      <c r="K1228"/>
      <c r="L1228" s="21">
        <f>(Table2[[#This Row],[H/Pace]]/100)*(VLOOKUP(Table2[[#This Row],[Home/Neutral]],home_lookup,8,FALSE)+VLOOKUP(Table2[[#This Row],[Home/Neutral]],OFR_lookup,2,FALSE)+VLOOKUP(Table2[[#This Row],[Visitor/Neutral]],def_diff_lookup,6,FALSE))</f>
        <v>107.66870376890107</v>
      </c>
      <c r="M1228" s="21"/>
      <c r="N1228" s="21">
        <f>(Table2[[#This Row],[A/Pace]]/100)*(VLOOKUP(Table2[[#This Row],[Visitor/Neutral]],OFR_lookup,2,FALSE)+VLOOKUP(Table2[[#This Row],[Home/Neutral]],def_diff_lookup,6,FALSE))</f>
        <v>103.31736566666667</v>
      </c>
      <c r="O1228" s="21"/>
      <c r="P1228" s="21"/>
      <c r="Q1228">
        <f>VLOOKUP(Table2[[#This Row],[Home/Neutral]],pace_lookup,7,FALSE)</f>
        <v>99</v>
      </c>
      <c r="R1228" s="5">
        <f>VLOOKUP(Table2[[#This Row],[Visitor/Neutral]],pace_lookup,7,FALSE)</f>
        <v>99.1</v>
      </c>
      <c r="S1228" s="7"/>
      <c r="U1228" s="15"/>
      <c r="W1228" s="2">
        <f>-home-VLOOKUP(Table2[[#This Row],[Home/Neutral]],rtg_vlookup,4,FALSE)+VLOOKUP(Table2[[#This Row],[Visitor/Neutral]],rtg_vlookup,4,FALSE)</f>
        <v>-5.0286885245901658</v>
      </c>
      <c r="X1228" s="15"/>
      <c r="Y1228" s="2"/>
      <c r="Z1228" s="2">
        <f>Table2[[#This Row],[A/EV]]-Table2[[#This Row],[H/EV]]</f>
        <v>-4.3513381022343935</v>
      </c>
      <c r="AA1228" s="29"/>
      <c r="AB1228" s="30"/>
      <c r="AC1228" s="30"/>
      <c r="AD1228" s="30"/>
      <c r="AE1228" s="30"/>
      <c r="AF1228" s="7" t="b">
        <f>IF(VLOOKUP(Table2[[#This Row],[Home/Neutral]],division_lookup,9,FALSE)=VLOOKUP(Table2[[#This Row],[Visitor/Neutral]],division_lookup,9,FALSE),TRUE,FALSE)</f>
        <v>1</v>
      </c>
      <c r="AG1228" s="15" t="str">
        <f>VLOOKUP(Table2[[#This Row],[Home/Neutral]],division_lookup,9,FALSE)</f>
        <v>NW</v>
      </c>
      <c r="AH1228" s="15" t="str">
        <f>IF(Table2[[#This Row],[Total/EV]]&lt;Table2[[#This Row],[Total/V]],"UNDER","OVER")</f>
        <v>OVER</v>
      </c>
      <c r="AI1228" s="26">
        <f>Table2[[#This Row],[SRS/Real]]-Table2[[#This Row],[Spread/V]]</f>
        <v>0</v>
      </c>
      <c r="AJ1228" s="2">
        <f>Table2[[#This Row],[EV/Real]]-Table2[[#This Row],[Spread/V]]</f>
        <v>0</v>
      </c>
      <c r="AK1228" s="2">
        <f>Table2[[#This Row],[SRS/Diff]]-Table2[[#This Row],[EV/Diff]]</f>
        <v>0</v>
      </c>
      <c r="AL1228" s="18">
        <f>Table2[[#This Row],[SRS]]-Table2[[#This Row],[Spread]]</f>
        <v>-5.0286885245901658</v>
      </c>
      <c r="AM1228" s="21">
        <f>Table2[[#This Row],[(A) Err]]^2</f>
        <v>25.287708277344819</v>
      </c>
      <c r="AN1228" s="6">
        <f>Table2[[#This Row],[EV]]-Table2[[#This Row],[Spread]]</f>
        <v>-4.3513381022343935</v>
      </c>
      <c r="AO1228" s="1">
        <f>Table2[[#This Row],[EV Err]]^2</f>
        <v>18.934143279956814</v>
      </c>
      <c r="AP1228" s="1"/>
    </row>
    <row r="1229" spans="1:42" x14ac:dyDescent="0.25">
      <c r="A1229" s="34">
        <v>42838</v>
      </c>
      <c r="B1229" t="s">
        <v>130</v>
      </c>
      <c r="C1229" t="s">
        <v>117</v>
      </c>
      <c r="E1229" s="21"/>
      <c r="G1229" s="21"/>
      <c r="H1229" s="7"/>
      <c r="I1229" s="21"/>
      <c r="K1229"/>
      <c r="L1229" s="21">
        <f>(Table2[[#This Row],[H/Pace]]/100)*(VLOOKUP(Table2[[#This Row],[Home/Neutral]],home_lookup,8,FALSE)+VLOOKUP(Table2[[#This Row],[Home/Neutral]],OFR_lookup,2,FALSE)+VLOOKUP(Table2[[#This Row],[Visitor/Neutral]],def_diff_lookup,6,FALSE))</f>
        <v>92.813984967109405</v>
      </c>
      <c r="M1229" s="21"/>
      <c r="N1229" s="21">
        <f>(Table2[[#This Row],[A/Pace]]/100)*(VLOOKUP(Table2[[#This Row],[Visitor/Neutral]],OFR_lookup,2,FALSE)+VLOOKUP(Table2[[#This Row],[Home/Neutral]],def_diff_lookup,6,FALSE))</f>
        <v>97.887526666666645</v>
      </c>
      <c r="O1229" s="21"/>
      <c r="P1229" s="21"/>
      <c r="Q1229">
        <f>VLOOKUP(Table2[[#This Row],[Home/Neutral]],pace_lookup,7,FALSE)</f>
        <v>94.2</v>
      </c>
      <c r="R1229" s="5">
        <f>VLOOKUP(Table2[[#This Row],[Visitor/Neutral]],pace_lookup,7,FALSE)</f>
        <v>94</v>
      </c>
      <c r="S1229" s="7"/>
      <c r="U1229" s="15"/>
      <c r="W1229" s="2">
        <f>-home-VLOOKUP(Table2[[#This Row],[Home/Neutral]],rtg_vlookup,4,FALSE)+VLOOKUP(Table2[[#This Row],[Visitor/Neutral]],rtg_vlookup,4,FALSE)</f>
        <v>7.4213114754098353</v>
      </c>
      <c r="X1229" s="15"/>
      <c r="Y1229" s="2"/>
      <c r="Z1229" s="2">
        <f>Table2[[#This Row],[A/EV]]-Table2[[#This Row],[H/EV]]</f>
        <v>5.0735416995572393</v>
      </c>
      <c r="AA1229" s="29"/>
      <c r="AB1229" s="30"/>
      <c r="AC1229" s="30"/>
      <c r="AD1229" s="30"/>
      <c r="AE1229" s="30"/>
      <c r="AF1229" s="7" t="b">
        <f>IF(VLOOKUP(Table2[[#This Row],[Home/Neutral]],division_lookup,9,FALSE)=VLOOKUP(Table2[[#This Row],[Visitor/Neutral]],division_lookup,9,FALSE),TRUE,FALSE)</f>
        <v>0</v>
      </c>
      <c r="AG1229" s="15" t="str">
        <f>VLOOKUP(Table2[[#This Row],[Home/Neutral]],division_lookup,9,FALSE)</f>
        <v>SE</v>
      </c>
      <c r="AH1229" s="15" t="str">
        <f>IF(Table2[[#This Row],[Total/EV]]&lt;Table2[[#This Row],[Total/V]],"UNDER","OVER")</f>
        <v>OVER</v>
      </c>
      <c r="AI1229" s="26">
        <f>Table2[[#This Row],[SRS/Real]]-Table2[[#This Row],[Spread/V]]</f>
        <v>0</v>
      </c>
      <c r="AJ1229" s="2">
        <f>Table2[[#This Row],[EV/Real]]-Table2[[#This Row],[Spread/V]]</f>
        <v>0</v>
      </c>
      <c r="AK1229" s="2">
        <f>Table2[[#This Row],[SRS/Diff]]-Table2[[#This Row],[EV/Diff]]</f>
        <v>0</v>
      </c>
      <c r="AL1229" s="18">
        <f>Table2[[#This Row],[SRS]]-Table2[[#This Row],[Spread]]</f>
        <v>7.4213114754098353</v>
      </c>
      <c r="AM1229" s="21">
        <f>Table2[[#This Row],[(A) Err]]^2</f>
        <v>55.075864015049703</v>
      </c>
      <c r="AN1229" s="6">
        <f>Table2[[#This Row],[EV]]-Table2[[#This Row],[Spread]]</f>
        <v>5.0735416995572393</v>
      </c>
      <c r="AO1229" s="1">
        <f>Table2[[#This Row],[EV Err]]^2</f>
        <v>25.740825377146159</v>
      </c>
      <c r="AP1229" s="1"/>
    </row>
    <row r="1230" spans="1:42" x14ac:dyDescent="0.25">
      <c r="A1230" s="34">
        <v>42838</v>
      </c>
      <c r="B1230" t="s">
        <v>132</v>
      </c>
      <c r="C1230" t="s">
        <v>127</v>
      </c>
      <c r="E1230" s="21"/>
      <c r="G1230" s="21"/>
      <c r="H1230" s="7"/>
      <c r="I1230" s="21"/>
      <c r="K1230"/>
      <c r="L1230" s="21">
        <f>(Table2[[#This Row],[H/Pace]]/100)*(VLOOKUP(Table2[[#This Row],[Home/Neutral]],home_lookup,8,FALSE)+VLOOKUP(Table2[[#This Row],[Home/Neutral]],OFR_lookup,2,FALSE)+VLOOKUP(Table2[[#This Row],[Visitor/Neutral]],def_diff_lookup,6,FALSE))</f>
        <v>107.69022144606978</v>
      </c>
      <c r="M1230" s="21"/>
      <c r="N1230" s="21">
        <f>(Table2[[#This Row],[A/Pace]]/100)*(VLOOKUP(Table2[[#This Row],[Visitor/Neutral]],OFR_lookup,2,FALSE)+VLOOKUP(Table2[[#This Row],[Home/Neutral]],def_diff_lookup,6,FALSE))</f>
        <v>107.458157</v>
      </c>
      <c r="O1230" s="21"/>
      <c r="P1230" s="21"/>
      <c r="Q1230">
        <f>VLOOKUP(Table2[[#This Row],[Home/Neutral]],pace_lookup,7,FALSE)</f>
        <v>98.8</v>
      </c>
      <c r="R1230" s="5">
        <f>VLOOKUP(Table2[[#This Row],[Visitor/Neutral]],pace_lookup,7,FALSE)</f>
        <v>99.3</v>
      </c>
      <c r="S1230" s="7"/>
      <c r="U1230" s="15"/>
      <c r="W1230" s="2">
        <f>-home-VLOOKUP(Table2[[#This Row],[Home/Neutral]],rtg_vlookup,4,FALSE)+VLOOKUP(Table2[[#This Row],[Visitor/Neutral]],rtg_vlookup,4,FALSE)</f>
        <v>-2.998688524590166</v>
      </c>
      <c r="X1230" s="15"/>
      <c r="Y1230" s="2"/>
      <c r="Z1230" s="2">
        <f>Table2[[#This Row],[A/EV]]-Table2[[#This Row],[H/EV]]</f>
        <v>-0.23206444606978494</v>
      </c>
      <c r="AA1230" s="29"/>
      <c r="AB1230" s="30"/>
      <c r="AC1230" s="30"/>
      <c r="AD1230" s="30"/>
      <c r="AE1230" s="30"/>
      <c r="AF1230" s="7" t="b">
        <f>IF(VLOOKUP(Table2[[#This Row],[Home/Neutral]],division_lookup,9,FALSE)=VLOOKUP(Table2[[#This Row],[Visitor/Neutral]],division_lookup,9,FALSE),TRUE,FALSE)</f>
        <v>0</v>
      </c>
      <c r="AG1230" s="15" t="str">
        <f>VLOOKUP(Table2[[#This Row],[Home/Neutral]],division_lookup,9,FALSE)</f>
        <v>NW</v>
      </c>
      <c r="AH1230" s="15" t="str">
        <f>IF(Table2[[#This Row],[Total/EV]]&lt;Table2[[#This Row],[Total/V]],"UNDER","OVER")</f>
        <v>OVER</v>
      </c>
      <c r="AI1230" s="26">
        <f>Table2[[#This Row],[SRS/Real]]-Table2[[#This Row],[Spread/V]]</f>
        <v>0</v>
      </c>
      <c r="AJ1230" s="2">
        <f>Table2[[#This Row],[EV/Real]]-Table2[[#This Row],[Spread/V]]</f>
        <v>0</v>
      </c>
      <c r="AK1230" s="2">
        <f>Table2[[#This Row],[SRS/Diff]]-Table2[[#This Row],[EV/Diff]]</f>
        <v>0</v>
      </c>
      <c r="AL1230" s="18">
        <f>Table2[[#This Row],[SRS]]-Table2[[#This Row],[Spread]]</f>
        <v>-2.998688524590166</v>
      </c>
      <c r="AM1230" s="21">
        <f>Table2[[#This Row],[(A) Err]]^2</f>
        <v>8.9921328675087473</v>
      </c>
      <c r="AN1230" s="6">
        <f>Table2[[#This Row],[EV]]-Table2[[#This Row],[Spread]]</f>
        <v>-0.23206444606978494</v>
      </c>
      <c r="AO1230" s="1">
        <f>Table2[[#This Row],[EV Err]]^2</f>
        <v>5.3853907129676123E-2</v>
      </c>
      <c r="AP1230" s="1"/>
    </row>
    <row r="1231" spans="1:42" ht="15.75" thickBot="1" x14ac:dyDescent="0.3">
      <c r="A1231" s="34">
        <v>42838</v>
      </c>
      <c r="B1231" t="s">
        <v>136</v>
      </c>
      <c r="C1231" t="s">
        <v>134</v>
      </c>
      <c r="E1231" s="21"/>
      <c r="G1231" s="21"/>
      <c r="H1231" s="8"/>
      <c r="I1231" s="21"/>
      <c r="K1231"/>
      <c r="L1231" s="21">
        <f>(Table2[[#This Row],[H/Pace]]/100)*(VLOOKUP(Table2[[#This Row],[Home/Neutral]],home_lookup,8,FALSE)+VLOOKUP(Table2[[#This Row],[Home/Neutral]],OFR_lookup,2,FALSE)+VLOOKUP(Table2[[#This Row],[Visitor/Neutral]],def_diff_lookup,6,FALSE))</f>
        <v>103.812735349919</v>
      </c>
      <c r="M1231" s="21"/>
      <c r="N1231" s="21">
        <f>(Table2[[#This Row],[A/Pace]]/100)*(VLOOKUP(Table2[[#This Row],[Visitor/Neutral]],OFR_lookup,2,FALSE)+VLOOKUP(Table2[[#This Row],[Home/Neutral]],def_diff_lookup,6,FALSE))</f>
        <v>101.05475266666666</v>
      </c>
      <c r="O1231" s="21"/>
      <c r="P1231" s="21"/>
      <c r="Q1231">
        <f>VLOOKUP(Table2[[#This Row],[Home/Neutral]],pace_lookup,7,FALSE)</f>
        <v>91.5</v>
      </c>
      <c r="R1231" s="5">
        <f>VLOOKUP(Table2[[#This Row],[Visitor/Neutral]],pace_lookup,7,FALSE)</f>
        <v>93.4</v>
      </c>
      <c r="S1231" s="7"/>
      <c r="U1231" s="15"/>
      <c r="W1231" s="2">
        <f>-home-VLOOKUP(Table2[[#This Row],[Home/Neutral]],rtg_vlookup,4,FALSE)+VLOOKUP(Table2[[#This Row],[Visitor/Neutral]],rtg_vlookup,4,FALSE)</f>
        <v>0.36131147540983388</v>
      </c>
      <c r="X1231" s="15"/>
      <c r="Y1231" s="2"/>
      <c r="Z1231" s="2">
        <f>Table2[[#This Row],[A/EV]]-Table2[[#This Row],[H/EV]]</f>
        <v>-2.7579826832523366</v>
      </c>
      <c r="AA1231" s="29"/>
      <c r="AB1231" s="30"/>
      <c r="AC1231" s="30"/>
      <c r="AD1231" s="30"/>
      <c r="AE1231" s="30"/>
      <c r="AF1231" s="7" t="b">
        <f>IF(VLOOKUP(Table2[[#This Row],[Home/Neutral]],division_lookup,9,FALSE)=VLOOKUP(Table2[[#This Row],[Visitor/Neutral]],division_lookup,9,FALSE),TRUE,FALSE)</f>
        <v>0</v>
      </c>
      <c r="AG1231" s="15" t="str">
        <f>VLOOKUP(Table2[[#This Row],[Home/Neutral]],division_lookup,9,FALSE)</f>
        <v>NW</v>
      </c>
      <c r="AH1231" s="15" t="str">
        <f>IF(Table2[[#This Row],[Total/EV]]&lt;Table2[[#This Row],[Total/V]],"UNDER","OVER")</f>
        <v>OVER</v>
      </c>
      <c r="AI1231" s="26">
        <f>Table2[[#This Row],[SRS/Real]]-Table2[[#This Row],[Spread/V]]</f>
        <v>0</v>
      </c>
      <c r="AJ1231" s="2">
        <f>Table2[[#This Row],[EV/Real]]-Table2[[#This Row],[Spread/V]]</f>
        <v>0</v>
      </c>
      <c r="AK1231" s="2">
        <f>Table2[[#This Row],[SRS/Diff]]-Table2[[#This Row],[EV/Diff]]</f>
        <v>0</v>
      </c>
      <c r="AL1231" s="18">
        <f>Table2[[#This Row],[SRS]]-Table2[[#This Row],[Spread]]</f>
        <v>0.36131147540983388</v>
      </c>
      <c r="AM1231" s="21">
        <f>Table2[[#This Row],[(A) Err]]^2</f>
        <v>0.13054598226283098</v>
      </c>
      <c r="AN1231" s="6">
        <f>Table2[[#This Row],[EV]]-Table2[[#This Row],[Spread]]</f>
        <v>-2.7579826832523366</v>
      </c>
      <c r="AO1231" s="1">
        <f>Table2[[#This Row],[EV Err]]^2</f>
        <v>7.6064684811197587</v>
      </c>
      <c r="AP1231" s="1"/>
    </row>
    <row r="1232" spans="1:42" x14ac:dyDescent="0.25">
      <c r="A1232" s="34"/>
      <c r="D1232" s="13">
        <f>SUBTOTAL(101,Table2[H/W])</f>
        <v>0.45081967213114754</v>
      </c>
      <c r="E1232" s="21">
        <f>SUBTOTAL(101,Table2[H/Pts])</f>
        <v>105.06147540983606</v>
      </c>
      <c r="F1232" s="13">
        <f>SUBTOTAL(101,Table2[A/W])</f>
        <v>0.57786885245901642</v>
      </c>
      <c r="G1232" s="21">
        <f>SUBTOTAL(101,Table2[A/Pts])</f>
        <v>102.2827868852459</v>
      </c>
      <c r="H1232" s="27">
        <f>SUBTOTAL(101,Table2[Total])</f>
        <v>207.34426229508196</v>
      </c>
      <c r="I1232" s="13">
        <f>SUBTOTAL(101,Table2[Over %])</f>
        <v>0.52049180327868849</v>
      </c>
      <c r="J1232" s="2">
        <f>SUBTOTAL(101,Table2[Total/V])</f>
        <v>206.81349206349208</v>
      </c>
      <c r="K1232" s="21">
        <f>SUBTOTAL(101,Table2[H/EV/Real])</f>
        <v>104.26666666666667</v>
      </c>
      <c r="L1232" s="21">
        <f>SUBTOTAL(101,Table2[H/EV])</f>
        <v>106.07617195812669</v>
      </c>
      <c r="M1232" s="21">
        <f>SUBTOTAL(101,Table2[A/EV/Real])</f>
        <v>105.22222222222223</v>
      </c>
      <c r="N1232" s="21">
        <f>SUBTOTAL(101,Table2[A/EV])</f>
        <v>103.46694431138216</v>
      </c>
      <c r="O1232" s="13">
        <f>SUBTOTAL(101,Table2[Total/W])</f>
        <v>0.56756756756756754</v>
      </c>
      <c r="P1232" s="21">
        <f>SUBTOTAL(101,Table2[Total/EV])</f>
        <v>209.48888888888888</v>
      </c>
      <c r="R1232" s="7"/>
      <c r="S1232" s="2">
        <f>SUBTOTAL(101,Table2[Spread])</f>
        <v>-2.778688524590164</v>
      </c>
      <c r="T1232" s="2">
        <f>SUBTOTAL(101,Table2[Spread/V])</f>
        <v>-4.5238095238095237</v>
      </c>
      <c r="U1232" s="13">
        <f>SUBTOTAL(101,Table2[SRS/W])</f>
        <v>0.32608695652173914</v>
      </c>
      <c r="V1232" s="2">
        <f>SUBTOTAL(101,Table2[SRS/Real])</f>
        <v>4.0740740740740668E-2</v>
      </c>
      <c r="W1232" s="2"/>
      <c r="X1232" s="13">
        <f>SUBTOTAL(101,Table2[EV/W])</f>
        <v>0.54054054054054057</v>
      </c>
      <c r="Y1232" s="2">
        <f>SUBTOTAL(101,Table2[EV/Real])</f>
        <v>0.90222222222222226</v>
      </c>
      <c r="Z1232"/>
      <c r="AA1232">
        <f>SUBTOTAL(103,Table2[SRS/Side])</f>
        <v>54</v>
      </c>
      <c r="AB1232">
        <f>SUBTOTAL(103,Table2[EV/Side])</f>
        <v>45</v>
      </c>
      <c r="AC1232" s="13">
        <f>SUBTOTAL(101,Table2[SRS/Disagree])</f>
        <v>0.27272727272727271</v>
      </c>
      <c r="AD1232" s="13">
        <f>SUBTOTAL(101,Table2[EV/Agree])</f>
        <v>0.46153846153846156</v>
      </c>
      <c r="AE1232" s="13">
        <f>SUBTOTAL(101,Table2[EV/Disagree])</f>
        <v>0.72727272727272729</v>
      </c>
      <c r="AJ1232" s="2"/>
      <c r="AK1232" s="2"/>
      <c r="AL1232" s="7"/>
      <c r="AN1232" s="5"/>
      <c r="AO1232"/>
    </row>
  </sheetData>
  <conditionalFormatting sqref="AD1233:AE1048576 AA2:AA199 AE200:AE240 AA200:AD200 AA1:AE1 AA1232:AE1232 AB201:AD240 AA201:AA1231 AB210:AB245">
    <cfRule type="cellIs" dxfId="84" priority="10" operator="equal">
      <formula>"AWAY"</formula>
    </cfRule>
    <cfRule type="cellIs" dxfId="83" priority="11" operator="equal">
      <formula>"HOME"</formula>
    </cfRule>
  </conditionalFormatting>
  <conditionalFormatting sqref="AF2:AF1231">
    <cfRule type="cellIs" dxfId="82" priority="8" operator="equal">
      <formula>FALSE</formula>
    </cfRule>
    <cfRule type="cellIs" dxfId="81" priority="9" operator="equal">
      <formula>TRUE</formula>
    </cfRule>
  </conditionalFormatting>
  <conditionalFormatting sqref="AJ1:AK1 AT1233:AT1048576 AI1:AI191 AI200:AI1231 AJ200:AK1232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H2:AH1231">
    <cfRule type="cellIs" dxfId="80" priority="4" operator="equal">
      <formula>"OVER"</formula>
    </cfRule>
    <cfRule type="cellIs" dxfId="79" priority="5" operator="equal">
      <formula>"UNDER"</formula>
    </cfRule>
  </conditionalFormatting>
  <conditionalFormatting sqref="AI2">
    <cfRule type="colorScale" priority="14">
      <colorScale>
        <cfvo type="min"/>
        <cfvo type="max"/>
        <color theme="9" tint="-0.249977111117893"/>
        <color theme="5" tint="-0.249977111117893"/>
      </colorScale>
    </cfRule>
  </conditionalFormatting>
  <conditionalFormatting sqref="AB2:AB1231">
    <cfRule type="cellIs" dxfId="78" priority="2" operator="equal">
      <formula>"HOME"</formula>
    </cfRule>
    <cfRule type="cellIs" dxfId="77" priority="3" operator="equal">
      <formula>"AWAY"</formula>
    </cfRule>
  </conditionalFormatting>
  <conditionalFormatting sqref="AA2:AB1231">
    <cfRule type="cellIs" dxfId="76" priority="1" operator="equal">
      <formula>"PUSH"</formula>
    </cfRule>
  </conditionalFormatting>
  <pageMargins left="0.7" right="0.7" top="0.75" bottom="0.75" header="0.3" footer="0.3"/>
  <ignoredErrors>
    <ignoredError sqref="H209:H212 S209:S212 H213:H225 S213:S225 X209:X225 O209:O225 AJ209:AJ242 D200:D225 F200:F225 D2:D15 F2:F15 D16:D199 F16:F199 B2:B1231 C2:C1231 A2:A1231 D226:D240 F226:F227 F228:F240 H226:H240 O226:O240 S226:S240 X226:X240 AB209:AB242 AA200:AA242 AB244:AB245 AA244:AA245 AJ244:AJ1231 H241:H245 S241:S245 X241:X245 O241:O245" calculatedColumn="1"/>
    <ignoredError sqref="AA243 AB243 AJ243 D241:D245 F241:F245 AA246:AB253" emptyCellReference="1" calculatedColumn="1"/>
    <ignoredError sqref="AI243" emptyCellReference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D34"/>
  <sheetViews>
    <sheetView workbookViewId="0">
      <selection activeCell="K26" sqref="K26:P26"/>
    </sheetView>
  </sheetViews>
  <sheetFormatPr defaultRowHeight="15" x14ac:dyDescent="0.25"/>
  <cols>
    <col min="1" max="1" width="2.7109375" customWidth="1"/>
    <col min="2" max="2" width="10.42578125" bestFit="1" customWidth="1"/>
    <col min="3" max="3" width="4.7109375" customWidth="1"/>
    <col min="4" max="4" width="4.42578125" customWidth="1"/>
    <col min="5" max="5" width="7.7109375" bestFit="1" customWidth="1"/>
    <col min="6" max="6" width="6.7109375" customWidth="1"/>
    <col min="7" max="7" width="6.140625" customWidth="1"/>
    <col min="8" max="8" width="7.7109375" bestFit="1" customWidth="1"/>
    <col min="9" max="9" width="3.42578125" customWidth="1"/>
    <col min="10" max="10" width="13.7109375" bestFit="1" customWidth="1"/>
    <col min="11" max="11" width="5" customWidth="1"/>
    <col min="12" max="12" width="4.85546875" customWidth="1"/>
    <col min="13" max="13" width="10.85546875" bestFit="1" customWidth="1"/>
    <col min="14" max="14" width="5.28515625" customWidth="1"/>
    <col min="15" max="15" width="4.5703125" customWidth="1"/>
    <col min="16" max="16" width="9.7109375" bestFit="1" customWidth="1"/>
    <col min="17" max="17" width="4.85546875" customWidth="1"/>
    <col min="18" max="18" width="5" customWidth="1"/>
    <col min="19" max="19" width="10.42578125" bestFit="1" customWidth="1"/>
    <col min="20" max="21" width="5.140625" customWidth="1"/>
    <col min="22" max="22" width="9.28515625" bestFit="1" customWidth="1"/>
    <col min="23" max="23" width="2.42578125" customWidth="1"/>
    <col min="24" max="24" width="13.7109375" bestFit="1" customWidth="1"/>
    <col min="25" max="25" width="8.42578125" customWidth="1"/>
    <col min="26" max="26" width="11.5703125" customWidth="1"/>
    <col min="27" max="27" width="2.140625" customWidth="1"/>
    <col min="28" max="28" width="13.7109375" bestFit="1" customWidth="1"/>
    <col min="29" max="29" width="8" customWidth="1"/>
    <col min="30" max="30" width="10.28515625" customWidth="1"/>
  </cols>
  <sheetData>
    <row r="1" spans="2:30" ht="8.25" customHeight="1" x14ac:dyDescent="0.25"/>
    <row r="2" spans="2:30" x14ac:dyDescent="0.25">
      <c r="B2" t="s">
        <v>52</v>
      </c>
      <c r="C2" t="s">
        <v>76</v>
      </c>
      <c r="D2" t="s">
        <v>75</v>
      </c>
      <c r="E2" t="s">
        <v>77</v>
      </c>
      <c r="F2" t="s">
        <v>74</v>
      </c>
      <c r="G2" t="s">
        <v>73</v>
      </c>
      <c r="H2" t="s">
        <v>66</v>
      </c>
      <c r="J2" t="s">
        <v>0</v>
      </c>
      <c r="K2" t="s">
        <v>144</v>
      </c>
      <c r="L2" t="s">
        <v>145</v>
      </c>
      <c r="M2" t="s">
        <v>146</v>
      </c>
      <c r="N2" t="s">
        <v>147</v>
      </c>
      <c r="O2" t="s">
        <v>148</v>
      </c>
      <c r="P2" t="s">
        <v>149</v>
      </c>
      <c r="Q2" t="s">
        <v>150</v>
      </c>
      <c r="R2" t="s">
        <v>151</v>
      </c>
      <c r="S2" t="s">
        <v>152</v>
      </c>
      <c r="T2" t="s">
        <v>153</v>
      </c>
      <c r="U2" t="s">
        <v>154</v>
      </c>
      <c r="V2" t="s">
        <v>155</v>
      </c>
      <c r="X2" s="97" t="s">
        <v>55</v>
      </c>
      <c r="Y2" t="s">
        <v>79</v>
      </c>
      <c r="Z2" t="s">
        <v>156</v>
      </c>
      <c r="AB2" s="97" t="s">
        <v>56</v>
      </c>
      <c r="AC2" t="s">
        <v>81</v>
      </c>
      <c r="AD2" t="s">
        <v>157</v>
      </c>
    </row>
    <row r="3" spans="2:30" x14ac:dyDescent="0.25">
      <c r="B3" t="s">
        <v>5</v>
      </c>
      <c r="C3" s="7">
        <f>divisionwins(Table5[[#This Row],[Division]],Table2[SRS/W],Table2[Divisional],Table2[Division])</f>
        <v>0</v>
      </c>
      <c r="D3">
        <f>divisiongames(Table5[[#This Row],[Division]],Table2[SRS/W],Table2[Divisional],Table2[Division])</f>
        <v>2</v>
      </c>
      <c r="E3" s="12">
        <f>Table5[[#This Row],[A/W]]/Table5[[#This Row],[A/G]]</f>
        <v>0</v>
      </c>
      <c r="F3" s="7">
        <f>divisionwins(Table5[[#This Row],[Division]],Table2[EV/W],Table2[Divisional],Table2[Division])</f>
        <v>0</v>
      </c>
      <c r="G3">
        <f>divisiongames(Table5[[#This Row],[Division]],Table2[EV/W],Table2[Divisional],Table2[Division])</f>
        <v>2</v>
      </c>
      <c r="H3" s="70">
        <f>Table5[[#This Row],[EV/W]]/Table5[[#This Row],[EV/G]]</f>
        <v>0</v>
      </c>
      <c r="J3" t="s">
        <v>138</v>
      </c>
      <c r="K3" s="7">
        <f>teamwins(Table8[[#This Row],[Team]],Table2[Home/Neutral],Table2[Visitor/Neutral],Table2[SRS/W],Table2[SRS/Side],0)</f>
        <v>0</v>
      </c>
      <c r="L3">
        <f>TeamGames(Table8[[#This Row],[Team]],Table2[Home/Neutral],Table2[Visitor/Neutral],Table2[SRS/W],Table2[SRS/Side],0)</f>
        <v>0</v>
      </c>
      <c r="M3" s="70" t="e">
        <f>Table8[[#This Row],[(A)/W/W]]/Table8[[#This Row],[(A)/G/W]]</f>
        <v>#DIV/0!</v>
      </c>
      <c r="N3">
        <f>teamwins(Table8[[#This Row],[Team]],Table2[Home/Neutral],Table2[Visitor/Neutral],Table2[SRS/W],Table2[SRS/Side],1)</f>
        <v>2</v>
      </c>
      <c r="O3">
        <f>TeamGames(Table8[[#This Row],[Team]],Table2[Home/Neutral],Table2[Visitor/Neutral],Table2[SRS/W],Table2[SRS/Side],1)</f>
        <v>3</v>
      </c>
      <c r="P3" s="70">
        <f>Table8[[#This Row],[(A)/W/L]]/Table8[[#This Row],[(A)/G/L]]</f>
        <v>0.66666666666666663</v>
      </c>
      <c r="Q3" s="7">
        <f>teamwins(Table8[[#This Row],[Team]],Table2[Home/Neutral],Table2[Visitor/Neutral],Table2[EV/W],Table2[EV/Side],0)</f>
        <v>1</v>
      </c>
      <c r="R3">
        <f>TeamGames(Table8[[#This Row],[Team]],Table2[Home/Neutral],Table2[Visitor/Neutral],Table2[EV/W],Table2[EV/Side],0)</f>
        <v>2</v>
      </c>
      <c r="S3" s="70">
        <f>Table8[[#This Row],[EV/W/W]]/Table8[[#This Row],[EV/G/W]]</f>
        <v>0.5</v>
      </c>
      <c r="T3">
        <f>teamwins(Table8[[#This Row],[Team]],Table2[Home/Neutral],Table2[Visitor/Neutral],Table2[EV/W],Table2[EV/Side],1)</f>
        <v>0</v>
      </c>
      <c r="U3">
        <f>TeamGames(Table8[[#This Row],[Team]],Table2[Home/Neutral],Table2[Visitor/Neutral],Table2[EV/W],Table2[EV/Side],1)</f>
        <v>0</v>
      </c>
      <c r="V3" s="70" t="e">
        <f>Table8[[#This Row],[EV/W/L]]/Table8[[#This Row],[EV/G/L]]</f>
        <v>#DIV/0!</v>
      </c>
      <c r="X3" s="123" t="s">
        <v>138</v>
      </c>
      <c r="Y3" s="124">
        <v>11</v>
      </c>
      <c r="Z3" s="71">
        <v>0.36363636363636365</v>
      </c>
      <c r="AB3" s="123" t="s">
        <v>138</v>
      </c>
      <c r="AC3" s="124">
        <v>5</v>
      </c>
      <c r="AD3" s="71">
        <v>0.2</v>
      </c>
    </row>
    <row r="4" spans="2:30" x14ac:dyDescent="0.25">
      <c r="B4" t="s">
        <v>7</v>
      </c>
      <c r="C4" s="7">
        <f>divisionwins(Table5[[#This Row],[Division]],Table2[SRS/W],Table2[Divisional],Table2[Division])</f>
        <v>0</v>
      </c>
      <c r="D4">
        <f>divisiongames(Table5[[#This Row],[Division]],Table2[SRS/W],Table2[Divisional],Table2[Division])</f>
        <v>1</v>
      </c>
      <c r="E4" s="12">
        <f>Table5[[#This Row],[A/W]]/Table5[[#This Row],[A/G]]</f>
        <v>0</v>
      </c>
      <c r="F4" s="7">
        <f>divisionwins(Table5[[#This Row],[Division]],Table2[EV/W],Table2[Divisional],Table2[Division])</f>
        <v>0</v>
      </c>
      <c r="G4">
        <f>divisiongames(Table5[[#This Row],[Division]],Table2[EV/W],Table2[Divisional],Table2[Division])</f>
        <v>0</v>
      </c>
      <c r="H4" s="70" t="e">
        <f>Table5[[#This Row],[EV/W]]/Table5[[#This Row],[EV/G]]</f>
        <v>#DIV/0!</v>
      </c>
      <c r="J4" t="s">
        <v>132</v>
      </c>
      <c r="K4" s="7">
        <f>teamwins(Table8[[#This Row],[Team]],Table2[Home/Neutral],Table2[Visitor/Neutral],Table2[SRS/W],Table2[SRS/Side],0)</f>
        <v>0</v>
      </c>
      <c r="L4">
        <f>TeamGames(Table8[[#This Row],[Team]],Table2[Home/Neutral],Table2[Visitor/Neutral],Table2[SRS/W],Table2[SRS/Side],0)</f>
        <v>0</v>
      </c>
      <c r="M4" s="70" t="e">
        <f>Table8[[#This Row],[(A)/W/W]]/Table8[[#This Row],[(A)/G/W]]</f>
        <v>#DIV/0!</v>
      </c>
      <c r="N4">
        <f>teamwins(Table8[[#This Row],[Team]],Table2[Home/Neutral],Table2[Visitor/Neutral],Table2[SRS/W],Table2[SRS/Side],1)</f>
        <v>2</v>
      </c>
      <c r="O4">
        <f>TeamGames(Table8[[#This Row],[Team]],Table2[Home/Neutral],Table2[Visitor/Neutral],Table2[SRS/W],Table2[SRS/Side],1)</f>
        <v>3</v>
      </c>
      <c r="P4" s="70">
        <f>Table8[[#This Row],[(A)/W/L]]/Table8[[#This Row],[(A)/G/L]]</f>
        <v>0.66666666666666663</v>
      </c>
      <c r="Q4" s="7">
        <f>teamwins(Table8[[#This Row],[Team]],Table2[Home/Neutral],Table2[Visitor/Neutral],Table2[EV/W],Table2[EV/Side],0)</f>
        <v>1</v>
      </c>
      <c r="R4">
        <f>TeamGames(Table8[[#This Row],[Team]],Table2[Home/Neutral],Table2[Visitor/Neutral],Table2[EV/W],Table2[EV/Side],0)</f>
        <v>1</v>
      </c>
      <c r="S4" s="70">
        <f>Table8[[#This Row],[EV/W/W]]/Table8[[#This Row],[EV/G/W]]</f>
        <v>1</v>
      </c>
      <c r="T4">
        <f>teamwins(Table8[[#This Row],[Team]],Table2[Home/Neutral],Table2[Visitor/Neutral],Table2[EV/W],Table2[EV/Side],1)</f>
        <v>1</v>
      </c>
      <c r="U4">
        <f>TeamGames(Table8[[#This Row],[Team]],Table2[Home/Neutral],Table2[Visitor/Neutral],Table2[EV/W],Table2[EV/Side],1)</f>
        <v>2</v>
      </c>
      <c r="V4" s="70">
        <f>Table8[[#This Row],[EV/W/L]]/Table8[[#This Row],[EV/G/L]]</f>
        <v>0.5</v>
      </c>
      <c r="X4" s="98" t="s">
        <v>132</v>
      </c>
      <c r="Y4" s="15">
        <v>8</v>
      </c>
      <c r="Z4" s="71">
        <v>0.25</v>
      </c>
      <c r="AB4" s="98" t="s">
        <v>132</v>
      </c>
      <c r="AC4" s="15">
        <v>10</v>
      </c>
      <c r="AD4" s="71">
        <v>0.5</v>
      </c>
    </row>
    <row r="5" spans="2:30" x14ac:dyDescent="0.25">
      <c r="B5" t="s">
        <v>9</v>
      </c>
      <c r="C5" s="7">
        <f>divisionwins(Table5[[#This Row],[Division]],Table2[SRS/W],Table2[Divisional],Table2[Division])</f>
        <v>0</v>
      </c>
      <c r="D5">
        <f>divisiongames(Table5[[#This Row],[Division]],Table2[SRS/W],Table2[Divisional],Table2[Division])</f>
        <v>0</v>
      </c>
      <c r="E5" s="12" t="e">
        <f>Table5[[#This Row],[A/W]]/Table5[[#This Row],[A/G]]</f>
        <v>#DIV/0!</v>
      </c>
      <c r="F5" s="7">
        <f>divisionwins(Table5[[#This Row],[Division]],Table2[EV/W],Table2[Divisional],Table2[Division])</f>
        <v>0</v>
      </c>
      <c r="G5">
        <f>divisiongames(Table5[[#This Row],[Division]],Table2[EV/W],Table2[Divisional],Table2[Division])</f>
        <v>0</v>
      </c>
      <c r="H5" s="70" t="e">
        <f>Table5[[#This Row],[EV/W]]/Table5[[#This Row],[EV/G]]</f>
        <v>#DIV/0!</v>
      </c>
      <c r="J5" t="s">
        <v>125</v>
      </c>
      <c r="K5" s="7">
        <f>teamwins(Table8[[#This Row],[Team]],Table2[Home/Neutral],Table2[Visitor/Neutral],Table2[SRS/W],Table2[SRS/Side],0)</f>
        <v>0</v>
      </c>
      <c r="L5">
        <f>TeamGames(Table8[[#This Row],[Team]],Table2[Home/Neutral],Table2[Visitor/Neutral],Table2[SRS/W],Table2[SRS/Side],0)</f>
        <v>1</v>
      </c>
      <c r="M5" s="70">
        <f>Table8[[#This Row],[(A)/W/W]]/Table8[[#This Row],[(A)/G/W]]</f>
        <v>0</v>
      </c>
      <c r="N5">
        <f>teamwins(Table8[[#This Row],[Team]],Table2[Home/Neutral],Table2[Visitor/Neutral],Table2[SRS/W],Table2[SRS/Side],1)</f>
        <v>0</v>
      </c>
      <c r="O5">
        <f>TeamGames(Table8[[#This Row],[Team]],Table2[Home/Neutral],Table2[Visitor/Neutral],Table2[SRS/W],Table2[SRS/Side],1)</f>
        <v>1</v>
      </c>
      <c r="P5" s="70">
        <f>Table8[[#This Row],[(A)/W/L]]/Table8[[#This Row],[(A)/G/L]]</f>
        <v>0</v>
      </c>
      <c r="Q5" s="7">
        <f>teamwins(Table8[[#This Row],[Team]],Table2[Home/Neutral],Table2[Visitor/Neutral],Table2[EV/W],Table2[EV/Side],0)</f>
        <v>0</v>
      </c>
      <c r="R5">
        <f>TeamGames(Table8[[#This Row],[Team]],Table2[Home/Neutral],Table2[Visitor/Neutral],Table2[EV/W],Table2[EV/Side],0)</f>
        <v>1</v>
      </c>
      <c r="S5" s="70">
        <f>Table8[[#This Row],[EV/W/W]]/Table8[[#This Row],[EV/G/W]]</f>
        <v>0</v>
      </c>
      <c r="T5">
        <f>teamwins(Table8[[#This Row],[Team]],Table2[Home/Neutral],Table2[Visitor/Neutral],Table2[EV/W],Table2[EV/Side],1)</f>
        <v>0</v>
      </c>
      <c r="U5">
        <f>TeamGames(Table8[[#This Row],[Team]],Table2[Home/Neutral],Table2[Visitor/Neutral],Table2[EV/W],Table2[EV/Side],1)</f>
        <v>0</v>
      </c>
      <c r="V5" s="70" t="e">
        <f>Table8[[#This Row],[EV/W/L]]/Table8[[#This Row],[EV/G/L]]</f>
        <v>#DIV/0!</v>
      </c>
      <c r="X5" s="123" t="s">
        <v>125</v>
      </c>
      <c r="Y5" s="124">
        <v>9</v>
      </c>
      <c r="Z5" s="71">
        <v>0.33333333333333331</v>
      </c>
      <c r="AB5" s="123" t="s">
        <v>125</v>
      </c>
      <c r="AC5" s="124">
        <v>5</v>
      </c>
      <c r="AD5" s="71">
        <v>0.2</v>
      </c>
    </row>
    <row r="6" spans="2:30" x14ac:dyDescent="0.25">
      <c r="B6" t="s">
        <v>12</v>
      </c>
      <c r="C6" s="7">
        <f>divisionwins(Table5[[#This Row],[Division]],Table2[SRS/W],Table2[Divisional],Table2[Division])</f>
        <v>1</v>
      </c>
      <c r="D6">
        <f>divisiongames(Table5[[#This Row],[Division]],Table2[SRS/W],Table2[Divisional],Table2[Division])</f>
        <v>1</v>
      </c>
      <c r="E6" s="12">
        <f>Table5[[#This Row],[A/W]]/Table5[[#This Row],[A/G]]</f>
        <v>1</v>
      </c>
      <c r="F6" s="7">
        <f>divisionwins(Table5[[#This Row],[Division]],Table2[EV/W],Table2[Divisional],Table2[Division])</f>
        <v>1</v>
      </c>
      <c r="G6">
        <f>divisiongames(Table5[[#This Row],[Division]],Table2[EV/W],Table2[Divisional],Table2[Division])</f>
        <v>1</v>
      </c>
      <c r="H6" s="70">
        <f>Table5[[#This Row],[EV/W]]/Table5[[#This Row],[EV/G]]</f>
        <v>1</v>
      </c>
      <c r="J6" t="s">
        <v>113</v>
      </c>
      <c r="K6" s="7">
        <f>teamwins(Table8[[#This Row],[Team]],Table2[Home/Neutral],Table2[Visitor/Neutral],Table2[SRS/W],Table2[SRS/Side],0)</f>
        <v>1</v>
      </c>
      <c r="L6">
        <f>TeamGames(Table8[[#This Row],[Team]],Table2[Home/Neutral],Table2[Visitor/Neutral],Table2[SRS/W],Table2[SRS/Side],0)</f>
        <v>2</v>
      </c>
      <c r="M6" s="70">
        <f>Table8[[#This Row],[(A)/W/W]]/Table8[[#This Row],[(A)/G/W]]</f>
        <v>0.5</v>
      </c>
      <c r="N6">
        <f>teamwins(Table8[[#This Row],[Team]],Table2[Home/Neutral],Table2[Visitor/Neutral],Table2[SRS/W],Table2[SRS/Side],1)</f>
        <v>0</v>
      </c>
      <c r="O6">
        <f>TeamGames(Table8[[#This Row],[Team]],Table2[Home/Neutral],Table2[Visitor/Neutral],Table2[SRS/W],Table2[SRS/Side],1)</f>
        <v>0</v>
      </c>
      <c r="P6" s="70" t="e">
        <f>Table8[[#This Row],[(A)/W/L]]/Table8[[#This Row],[(A)/G/L]]</f>
        <v>#DIV/0!</v>
      </c>
      <c r="Q6" s="7">
        <f>teamwins(Table8[[#This Row],[Team]],Table2[Home/Neutral],Table2[Visitor/Neutral],Table2[EV/W],Table2[EV/Side],0)</f>
        <v>0</v>
      </c>
      <c r="R6">
        <f>TeamGames(Table8[[#This Row],[Team]],Table2[Home/Neutral],Table2[Visitor/Neutral],Table2[EV/W],Table2[EV/Side],0)</f>
        <v>0</v>
      </c>
      <c r="S6" s="70" t="e">
        <f>Table8[[#This Row],[EV/W/W]]/Table8[[#This Row],[EV/G/W]]</f>
        <v>#DIV/0!</v>
      </c>
      <c r="T6">
        <f>teamwins(Table8[[#This Row],[Team]],Table2[Home/Neutral],Table2[Visitor/Neutral],Table2[EV/W],Table2[EV/Side],1)</f>
        <v>1</v>
      </c>
      <c r="U6">
        <f>TeamGames(Table8[[#This Row],[Team]],Table2[Home/Neutral],Table2[Visitor/Neutral],Table2[EV/W],Table2[EV/Side],1)</f>
        <v>2</v>
      </c>
      <c r="V6" s="70">
        <f>Table8[[#This Row],[EV/W/L]]/Table8[[#This Row],[EV/G/L]]</f>
        <v>0.5</v>
      </c>
      <c r="X6" s="98" t="s">
        <v>113</v>
      </c>
      <c r="Y6" s="15">
        <v>5</v>
      </c>
      <c r="Z6" s="71">
        <v>0.8</v>
      </c>
      <c r="AB6" s="98" t="s">
        <v>113</v>
      </c>
      <c r="AC6" s="15">
        <v>11</v>
      </c>
      <c r="AD6" s="71">
        <v>0.63636363636363635</v>
      </c>
    </row>
    <row r="7" spans="2:30" x14ac:dyDescent="0.25">
      <c r="B7" t="s">
        <v>15</v>
      </c>
      <c r="C7" s="7">
        <f>divisionwins(Table5[[#This Row],[Division]],Table2[SRS/W],Table2[Divisional],Table2[Division])</f>
        <v>0</v>
      </c>
      <c r="D7">
        <f>divisiongames(Table5[[#This Row],[Division]],Table2[SRS/W],Table2[Divisional],Table2[Division])</f>
        <v>1</v>
      </c>
      <c r="E7" s="12">
        <f>Table5[[#This Row],[A/W]]/Table5[[#This Row],[A/G]]</f>
        <v>0</v>
      </c>
      <c r="F7" s="7">
        <f>divisionwins(Table5[[#This Row],[Division]],Table2[EV/W],Table2[Divisional],Table2[Division])</f>
        <v>0</v>
      </c>
      <c r="G7">
        <f>divisiongames(Table5[[#This Row],[Division]],Table2[EV/W],Table2[Divisional],Table2[Division])</f>
        <v>1</v>
      </c>
      <c r="H7" s="70">
        <f>Table5[[#This Row],[EV/W]]/Table5[[#This Row],[EV/G]]</f>
        <v>0</v>
      </c>
      <c r="J7" t="s">
        <v>114</v>
      </c>
      <c r="K7" s="7">
        <f>teamwins(Table8[[#This Row],[Team]],Table2[Home/Neutral],Table2[Visitor/Neutral],Table2[SRS/W],Table2[SRS/Side],0)</f>
        <v>1</v>
      </c>
      <c r="L7">
        <f>TeamGames(Table8[[#This Row],[Team]],Table2[Home/Neutral],Table2[Visitor/Neutral],Table2[SRS/W],Table2[SRS/Side],0)</f>
        <v>2</v>
      </c>
      <c r="M7" s="70">
        <f>Table8[[#This Row],[(A)/W/W]]/Table8[[#This Row],[(A)/G/W]]</f>
        <v>0.5</v>
      </c>
      <c r="N7">
        <f>teamwins(Table8[[#This Row],[Team]],Table2[Home/Neutral],Table2[Visitor/Neutral],Table2[SRS/W],Table2[SRS/Side],1)</f>
        <v>0</v>
      </c>
      <c r="O7">
        <f>TeamGames(Table8[[#This Row],[Team]],Table2[Home/Neutral],Table2[Visitor/Neutral],Table2[SRS/W],Table2[SRS/Side],1)</f>
        <v>0</v>
      </c>
      <c r="P7" s="70" t="e">
        <f>Table8[[#This Row],[(A)/W/L]]/Table8[[#This Row],[(A)/G/L]]</f>
        <v>#DIV/0!</v>
      </c>
      <c r="Q7" s="7">
        <f>teamwins(Table8[[#This Row],[Team]],Table2[Home/Neutral],Table2[Visitor/Neutral],Table2[EV/W],Table2[EV/Side],0)</f>
        <v>1</v>
      </c>
      <c r="R7">
        <f>TeamGames(Table8[[#This Row],[Team]],Table2[Home/Neutral],Table2[Visitor/Neutral],Table2[EV/W],Table2[EV/Side],0)</f>
        <v>1</v>
      </c>
      <c r="S7" s="70">
        <f>Table8[[#This Row],[EV/W/W]]/Table8[[#This Row],[EV/G/W]]</f>
        <v>1</v>
      </c>
      <c r="T7">
        <f>teamwins(Table8[[#This Row],[Team]],Table2[Home/Neutral],Table2[Visitor/Neutral],Table2[EV/W],Table2[EV/Side],1)</f>
        <v>0</v>
      </c>
      <c r="U7">
        <f>TeamGames(Table8[[#This Row],[Team]],Table2[Home/Neutral],Table2[Visitor/Neutral],Table2[EV/W],Table2[EV/Side],1)</f>
        <v>1</v>
      </c>
      <c r="V7" s="70">
        <f>Table8[[#This Row],[EV/W/L]]/Table8[[#This Row],[EV/G/L]]</f>
        <v>0</v>
      </c>
      <c r="X7" s="123" t="s">
        <v>114</v>
      </c>
      <c r="Y7" s="124">
        <v>10</v>
      </c>
      <c r="Z7" s="71">
        <v>0.5</v>
      </c>
      <c r="AB7" s="123" t="s">
        <v>114</v>
      </c>
      <c r="AC7" s="124">
        <v>4</v>
      </c>
      <c r="AD7" s="71">
        <v>0.75</v>
      </c>
    </row>
    <row r="8" spans="2:30" x14ac:dyDescent="0.25">
      <c r="B8" t="s">
        <v>19</v>
      </c>
      <c r="C8" s="7">
        <f>divisionwins(Table5[[#This Row],[Division]],Table2[SRS/W],Table2[Divisional],Table2[Division])</f>
        <v>0</v>
      </c>
      <c r="D8">
        <f>divisiongames(Table5[[#This Row],[Division]],Table2[SRS/W],Table2[Divisional],Table2[Division])</f>
        <v>2</v>
      </c>
      <c r="E8" s="12">
        <f>Table5[[#This Row],[A/W]]/Table5[[#This Row],[A/G]]</f>
        <v>0</v>
      </c>
      <c r="F8" s="7">
        <f>divisionwins(Table5[[#This Row],[Division]],Table2[EV/W],Table2[Divisional],Table2[Division])</f>
        <v>0</v>
      </c>
      <c r="G8">
        <f>divisiongames(Table5[[#This Row],[Division]],Table2[EV/W],Table2[Divisional],Table2[Division])</f>
        <v>2</v>
      </c>
      <c r="H8" s="70">
        <f>Table5[[#This Row],[EV/W]]/Table5[[#This Row],[EV/G]]</f>
        <v>0</v>
      </c>
      <c r="J8" t="s">
        <v>110</v>
      </c>
      <c r="K8" s="7">
        <f>teamwins(Table8[[#This Row],[Team]],Table2[Home/Neutral],Table2[Visitor/Neutral],Table2[SRS/W],Table2[SRS/Side],0)</f>
        <v>0</v>
      </c>
      <c r="L8">
        <f>TeamGames(Table8[[#This Row],[Team]],Table2[Home/Neutral],Table2[Visitor/Neutral],Table2[SRS/W],Table2[SRS/Side],0)</f>
        <v>1</v>
      </c>
      <c r="M8" s="70">
        <f>Table8[[#This Row],[(A)/W/W]]/Table8[[#This Row],[(A)/G/W]]</f>
        <v>0</v>
      </c>
      <c r="N8">
        <f>teamwins(Table8[[#This Row],[Team]],Table2[Home/Neutral],Table2[Visitor/Neutral],Table2[SRS/W],Table2[SRS/Side],1)</f>
        <v>2</v>
      </c>
      <c r="O8">
        <f>TeamGames(Table8[[#This Row],[Team]],Table2[Home/Neutral],Table2[Visitor/Neutral],Table2[SRS/W],Table2[SRS/Side],1)</f>
        <v>2</v>
      </c>
      <c r="P8" s="70">
        <f>Table8[[#This Row],[(A)/W/L]]/Table8[[#This Row],[(A)/G/L]]</f>
        <v>1</v>
      </c>
      <c r="Q8" s="7">
        <f>teamwins(Table8[[#This Row],[Team]],Table2[Home/Neutral],Table2[Visitor/Neutral],Table2[EV/W],Table2[EV/Side],0)</f>
        <v>0</v>
      </c>
      <c r="R8">
        <f>TeamGames(Table8[[#This Row],[Team]],Table2[Home/Neutral],Table2[Visitor/Neutral],Table2[EV/W],Table2[EV/Side],0)</f>
        <v>1</v>
      </c>
      <c r="S8" s="70">
        <f>Table8[[#This Row],[EV/W/W]]/Table8[[#This Row],[EV/G/W]]</f>
        <v>0</v>
      </c>
      <c r="T8">
        <f>teamwins(Table8[[#This Row],[Team]],Table2[Home/Neutral],Table2[Visitor/Neutral],Table2[EV/W],Table2[EV/Side],1)</f>
        <v>1</v>
      </c>
      <c r="U8">
        <f>TeamGames(Table8[[#This Row],[Team]],Table2[Home/Neutral],Table2[Visitor/Neutral],Table2[EV/W],Table2[EV/Side],1)</f>
        <v>1</v>
      </c>
      <c r="V8" s="70">
        <f>Table8[[#This Row],[EV/W/L]]/Table8[[#This Row],[EV/G/L]]</f>
        <v>1</v>
      </c>
      <c r="X8" s="98" t="s">
        <v>110</v>
      </c>
      <c r="Y8" s="15">
        <v>7</v>
      </c>
      <c r="Z8" s="71">
        <v>0.42857142857142855</v>
      </c>
      <c r="AB8" s="98" t="s">
        <v>110</v>
      </c>
      <c r="AC8" s="15">
        <v>9</v>
      </c>
      <c r="AD8" s="71">
        <v>0.77777777777777779</v>
      </c>
    </row>
    <row r="9" spans="2:30" x14ac:dyDescent="0.25">
      <c r="B9" t="s">
        <v>43</v>
      </c>
      <c r="C9">
        <f>SUBTOTAL(109,Table5[A/W])</f>
        <v>1</v>
      </c>
      <c r="D9">
        <f>SUBTOTAL(109,Table5[A/G])</f>
        <v>7</v>
      </c>
      <c r="E9" s="14">
        <f>Table5[[#Totals],[A/W]]/Table5[[#Totals],[A/G]]</f>
        <v>0.14285714285714285</v>
      </c>
      <c r="F9">
        <f>SUBTOTAL(109,Table5[EV/W])</f>
        <v>1</v>
      </c>
      <c r="G9">
        <f>SUBTOTAL(109,Table5[EV/G])</f>
        <v>6</v>
      </c>
      <c r="H9" s="70">
        <f>Table5[[#Totals],[EV/W]]/Table5[[#Totals],[EV/G]]</f>
        <v>0.16666666666666666</v>
      </c>
      <c r="J9" t="s">
        <v>121</v>
      </c>
      <c r="K9" s="7">
        <f>teamwins(Table8[[#This Row],[Team]],Table2[Home/Neutral],Table2[Visitor/Neutral],Table2[SRS/W],Table2[SRS/Side],0)</f>
        <v>1</v>
      </c>
      <c r="L9">
        <f>TeamGames(Table8[[#This Row],[Team]],Table2[Home/Neutral],Table2[Visitor/Neutral],Table2[SRS/W],Table2[SRS/Side],0)</f>
        <v>3</v>
      </c>
      <c r="M9" s="70">
        <f>Table8[[#This Row],[(A)/W/W]]/Table8[[#This Row],[(A)/G/W]]</f>
        <v>0.33333333333333331</v>
      </c>
      <c r="N9">
        <f>teamwins(Table8[[#This Row],[Team]],Table2[Home/Neutral],Table2[Visitor/Neutral],Table2[SRS/W],Table2[SRS/Side],1)</f>
        <v>0</v>
      </c>
      <c r="O9">
        <f>TeamGames(Table8[[#This Row],[Team]],Table2[Home/Neutral],Table2[Visitor/Neutral],Table2[SRS/W],Table2[SRS/Side],1)</f>
        <v>0</v>
      </c>
      <c r="P9" s="70" t="e">
        <f>Table8[[#This Row],[(A)/W/L]]/Table8[[#This Row],[(A)/G/L]]</f>
        <v>#DIV/0!</v>
      </c>
      <c r="Q9" s="7">
        <f>teamwins(Table8[[#This Row],[Team]],Table2[Home/Neutral],Table2[Visitor/Neutral],Table2[EV/W],Table2[EV/Side],0)</f>
        <v>1</v>
      </c>
      <c r="R9">
        <f>TeamGames(Table8[[#This Row],[Team]],Table2[Home/Neutral],Table2[Visitor/Neutral],Table2[EV/W],Table2[EV/Side],0)</f>
        <v>1</v>
      </c>
      <c r="S9" s="70">
        <f>Table8[[#This Row],[EV/W/W]]/Table8[[#This Row],[EV/G/W]]</f>
        <v>1</v>
      </c>
      <c r="T9">
        <f>teamwins(Table8[[#This Row],[Team]],Table2[Home/Neutral],Table2[Visitor/Neutral],Table2[EV/W],Table2[EV/Side],1)</f>
        <v>0</v>
      </c>
      <c r="U9">
        <f>TeamGames(Table8[[#This Row],[Team]],Table2[Home/Neutral],Table2[Visitor/Neutral],Table2[EV/W],Table2[EV/Side],1)</f>
        <v>1</v>
      </c>
      <c r="V9" s="70">
        <f>Table8[[#This Row],[EV/W/L]]/Table8[[#This Row],[EV/G/L]]</f>
        <v>0</v>
      </c>
      <c r="X9" s="123" t="s">
        <v>121</v>
      </c>
      <c r="Y9" s="124">
        <v>9</v>
      </c>
      <c r="Z9" s="71">
        <v>0.55555555555555558</v>
      </c>
      <c r="AB9" s="123" t="s">
        <v>121</v>
      </c>
      <c r="AC9" s="124">
        <v>8</v>
      </c>
      <c r="AD9" s="71">
        <v>0.875</v>
      </c>
    </row>
    <row r="10" spans="2:30" x14ac:dyDescent="0.25">
      <c r="E10" s="11"/>
      <c r="H10" s="11"/>
      <c r="J10" t="s">
        <v>123</v>
      </c>
      <c r="K10" s="7">
        <f>teamwins(Table8[[#This Row],[Team]],Table2[Home/Neutral],Table2[Visitor/Neutral],Table2[SRS/W],Table2[SRS/Side],0)</f>
        <v>1</v>
      </c>
      <c r="L10">
        <f>TeamGames(Table8[[#This Row],[Team]],Table2[Home/Neutral],Table2[Visitor/Neutral],Table2[SRS/W],Table2[SRS/Side],0)</f>
        <v>3</v>
      </c>
      <c r="M10" s="70">
        <f>Table8[[#This Row],[(A)/W/W]]/Table8[[#This Row],[(A)/G/W]]</f>
        <v>0.33333333333333331</v>
      </c>
      <c r="N10">
        <f>teamwins(Table8[[#This Row],[Team]],Table2[Home/Neutral],Table2[Visitor/Neutral],Table2[SRS/W],Table2[SRS/Side],1)</f>
        <v>1</v>
      </c>
      <c r="O10">
        <f>TeamGames(Table8[[#This Row],[Team]],Table2[Home/Neutral],Table2[Visitor/Neutral],Table2[SRS/W],Table2[SRS/Side],1)</f>
        <v>1</v>
      </c>
      <c r="P10" s="70">
        <f>Table8[[#This Row],[(A)/W/L]]/Table8[[#This Row],[(A)/G/L]]</f>
        <v>1</v>
      </c>
      <c r="Q10" s="7">
        <f>teamwins(Table8[[#This Row],[Team]],Table2[Home/Neutral],Table2[Visitor/Neutral],Table2[EV/W],Table2[EV/Side],0)</f>
        <v>1</v>
      </c>
      <c r="R10">
        <f>TeamGames(Table8[[#This Row],[Team]],Table2[Home/Neutral],Table2[Visitor/Neutral],Table2[EV/W],Table2[EV/Side],0)</f>
        <v>2</v>
      </c>
      <c r="S10" s="70">
        <f>Table8[[#This Row],[EV/W/W]]/Table8[[#This Row],[EV/G/W]]</f>
        <v>0.5</v>
      </c>
      <c r="T10">
        <f>teamwins(Table8[[#This Row],[Team]],Table2[Home/Neutral],Table2[Visitor/Neutral],Table2[EV/W],Table2[EV/Side],1)</f>
        <v>0</v>
      </c>
      <c r="U10">
        <f>TeamGames(Table8[[#This Row],[Team]],Table2[Home/Neutral],Table2[Visitor/Neutral],Table2[EV/W],Table2[EV/Side],1)</f>
        <v>1</v>
      </c>
      <c r="V10" s="70">
        <f>Table8[[#This Row],[EV/W/L]]/Table8[[#This Row],[EV/G/L]]</f>
        <v>0</v>
      </c>
      <c r="X10" s="98" t="s">
        <v>123</v>
      </c>
      <c r="Y10" s="15">
        <v>8</v>
      </c>
      <c r="Z10" s="71">
        <v>0.5</v>
      </c>
      <c r="AB10" s="98" t="s">
        <v>123</v>
      </c>
      <c r="AC10" s="15">
        <v>9</v>
      </c>
      <c r="AD10" s="71">
        <v>0.55555555555555558</v>
      </c>
    </row>
    <row r="11" spans="2:30" ht="15.75" thickBot="1" x14ac:dyDescent="0.3">
      <c r="B11" s="80" t="s">
        <v>58</v>
      </c>
      <c r="C11" s="81" t="s">
        <v>76</v>
      </c>
      <c r="D11" s="81" t="s">
        <v>75</v>
      </c>
      <c r="E11" s="81" t="s">
        <v>77</v>
      </c>
      <c r="F11" s="81" t="s">
        <v>74</v>
      </c>
      <c r="G11" s="81" t="s">
        <v>73</v>
      </c>
      <c r="H11" s="81" t="s">
        <v>66</v>
      </c>
      <c r="J11" t="s">
        <v>109</v>
      </c>
      <c r="K11" s="7">
        <f>teamwins(Table8[[#This Row],[Team]],Table2[Home/Neutral],Table2[Visitor/Neutral],Table2[SRS/W],Table2[SRS/Side],0)</f>
        <v>1</v>
      </c>
      <c r="L11">
        <f>TeamGames(Table8[[#This Row],[Team]],Table2[Home/Neutral],Table2[Visitor/Neutral],Table2[SRS/W],Table2[SRS/Side],0)</f>
        <v>3</v>
      </c>
      <c r="M11" s="70">
        <f>Table8[[#This Row],[(A)/W/W]]/Table8[[#This Row],[(A)/G/W]]</f>
        <v>0.33333333333333331</v>
      </c>
      <c r="N11">
        <f>teamwins(Table8[[#This Row],[Team]],Table2[Home/Neutral],Table2[Visitor/Neutral],Table2[SRS/W],Table2[SRS/Side],1)</f>
        <v>0</v>
      </c>
      <c r="O11">
        <f>TeamGames(Table8[[#This Row],[Team]],Table2[Home/Neutral],Table2[Visitor/Neutral],Table2[SRS/W],Table2[SRS/Side],1)</f>
        <v>0</v>
      </c>
      <c r="P11" s="70" t="e">
        <f>Table8[[#This Row],[(A)/W/L]]/Table8[[#This Row],[(A)/G/L]]</f>
        <v>#DIV/0!</v>
      </c>
      <c r="Q11" s="7">
        <f>teamwins(Table8[[#This Row],[Team]],Table2[Home/Neutral],Table2[Visitor/Neutral],Table2[EV/W],Table2[EV/Side],0)</f>
        <v>1</v>
      </c>
      <c r="R11">
        <f>TeamGames(Table8[[#This Row],[Team]],Table2[Home/Neutral],Table2[Visitor/Neutral],Table2[EV/W],Table2[EV/Side],0)</f>
        <v>2</v>
      </c>
      <c r="S11" s="70">
        <f>Table8[[#This Row],[EV/W/W]]/Table8[[#This Row],[EV/G/W]]</f>
        <v>0.5</v>
      </c>
      <c r="T11">
        <f>teamwins(Table8[[#This Row],[Team]],Table2[Home/Neutral],Table2[Visitor/Neutral],Table2[EV/W],Table2[EV/Side],1)</f>
        <v>0</v>
      </c>
      <c r="U11">
        <f>TeamGames(Table8[[#This Row],[Team]],Table2[Home/Neutral],Table2[Visitor/Neutral],Table2[EV/W],Table2[EV/Side],1)</f>
        <v>1</v>
      </c>
      <c r="V11" s="70">
        <f>Table8[[#This Row],[EV/W/L]]/Table8[[#This Row],[EV/G/L]]</f>
        <v>0</v>
      </c>
      <c r="X11" s="123" t="s">
        <v>109</v>
      </c>
      <c r="Y11" s="124">
        <v>8</v>
      </c>
      <c r="Z11" s="71">
        <v>0.75</v>
      </c>
      <c r="AB11" s="123" t="s">
        <v>109</v>
      </c>
      <c r="AC11" s="124">
        <v>8</v>
      </c>
      <c r="AD11" s="71">
        <v>0.5</v>
      </c>
    </row>
    <row r="12" spans="2:30" ht="15.75" thickTop="1" x14ac:dyDescent="0.25">
      <c r="B12" s="82" t="s">
        <v>55</v>
      </c>
      <c r="C12" s="83">
        <f>homewins(Table2[SRS/W],Table2[SRS/Side])</f>
        <v>4</v>
      </c>
      <c r="D12" s="84">
        <f>HomeGames(Table2[SRS/W],Table2[SRS/Side])</f>
        <v>22</v>
      </c>
      <c r="E12" s="85">
        <f>Results!$C12/Results!$D12</f>
        <v>0.18181818181818182</v>
      </c>
      <c r="F12" s="83">
        <f>homewins(Table2[EV/W],Table2[EV/Side])</f>
        <v>11</v>
      </c>
      <c r="G12" s="84">
        <f>HomeGames(Table2[EV/W],Table2[EV/Side])</f>
        <v>22</v>
      </c>
      <c r="H12" s="85">
        <f>F12/G12</f>
        <v>0.5</v>
      </c>
      <c r="J12" t="s">
        <v>124</v>
      </c>
      <c r="K12" s="7">
        <f>teamwins(Table8[[#This Row],[Team]],Table2[Home/Neutral],Table2[Visitor/Neutral],Table2[SRS/W],Table2[SRS/Side],0)</f>
        <v>0</v>
      </c>
      <c r="L12">
        <f>TeamGames(Table8[[#This Row],[Team]],Table2[Home/Neutral],Table2[Visitor/Neutral],Table2[SRS/W],Table2[SRS/Side],0)</f>
        <v>2</v>
      </c>
      <c r="M12" s="70">
        <f>Table8[[#This Row],[(A)/W/W]]/Table8[[#This Row],[(A)/G/W]]</f>
        <v>0</v>
      </c>
      <c r="N12">
        <f>teamwins(Table8[[#This Row],[Team]],Table2[Home/Neutral],Table2[Visitor/Neutral],Table2[SRS/W],Table2[SRS/Side],1)</f>
        <v>1</v>
      </c>
      <c r="O12">
        <f>TeamGames(Table8[[#This Row],[Team]],Table2[Home/Neutral],Table2[Visitor/Neutral],Table2[SRS/W],Table2[SRS/Side],1)</f>
        <v>2</v>
      </c>
      <c r="P12" s="70">
        <f>Table8[[#This Row],[(A)/W/L]]/Table8[[#This Row],[(A)/G/L]]</f>
        <v>0.5</v>
      </c>
      <c r="Q12" s="7">
        <f>teamwins(Table8[[#This Row],[Team]],Table2[Home/Neutral],Table2[Visitor/Neutral],Table2[EV/W],Table2[EV/Side],0)</f>
        <v>0</v>
      </c>
      <c r="R12">
        <f>TeamGames(Table8[[#This Row],[Team]],Table2[Home/Neutral],Table2[Visitor/Neutral],Table2[EV/W],Table2[EV/Side],0)</f>
        <v>0</v>
      </c>
      <c r="S12" s="70" t="e">
        <f>Table8[[#This Row],[EV/W/W]]/Table8[[#This Row],[EV/G/W]]</f>
        <v>#DIV/0!</v>
      </c>
      <c r="T12">
        <f>teamwins(Table8[[#This Row],[Team]],Table2[Home/Neutral],Table2[Visitor/Neutral],Table2[EV/W],Table2[EV/Side],1)</f>
        <v>1</v>
      </c>
      <c r="U12">
        <f>TeamGames(Table8[[#This Row],[Team]],Table2[Home/Neutral],Table2[Visitor/Neutral],Table2[EV/W],Table2[EV/Side],1)</f>
        <v>3</v>
      </c>
      <c r="V12" s="70">
        <f>Table8[[#This Row],[EV/W/L]]/Table8[[#This Row],[EV/G/L]]</f>
        <v>0.33333333333333331</v>
      </c>
      <c r="X12" s="98" t="s">
        <v>124</v>
      </c>
      <c r="Y12" s="15">
        <v>8</v>
      </c>
      <c r="Z12" s="71">
        <v>0.25</v>
      </c>
      <c r="AB12" s="98" t="s">
        <v>124</v>
      </c>
      <c r="AC12" s="15">
        <v>8</v>
      </c>
      <c r="AD12" s="71">
        <v>0.5</v>
      </c>
    </row>
    <row r="13" spans="2:30" x14ac:dyDescent="0.25">
      <c r="B13" s="86" t="s">
        <v>56</v>
      </c>
      <c r="C13" s="87">
        <f>awaywins(Table2[SRS/W],Table2[SRS/Side])</f>
        <v>11</v>
      </c>
      <c r="D13" s="88">
        <f>AwayGames(Table2[SRS/W],Table2[SRS/Side])</f>
        <v>24</v>
      </c>
      <c r="E13" s="89">
        <f>Results!$C13/Results!$D13</f>
        <v>0.45833333333333331</v>
      </c>
      <c r="F13" s="87">
        <f>awaywins(Table2[EV/W],Table2[EV/Side])</f>
        <v>9</v>
      </c>
      <c r="G13" s="88">
        <f>AwayGames(Table2[EV/W],Table2[EV/Side])</f>
        <v>15</v>
      </c>
      <c r="H13" s="89">
        <f>F13/G13</f>
        <v>0.6</v>
      </c>
      <c r="J13" t="s">
        <v>112</v>
      </c>
      <c r="K13" s="7">
        <f>teamwins(Table8[[#This Row],[Team]],Table2[Home/Neutral],Table2[Visitor/Neutral],Table2[SRS/W],Table2[SRS/Side],0)</f>
        <v>0</v>
      </c>
      <c r="L13">
        <f>TeamGames(Table8[[#This Row],[Team]],Table2[Home/Neutral],Table2[Visitor/Neutral],Table2[SRS/W],Table2[SRS/Side],0)</f>
        <v>3</v>
      </c>
      <c r="M13" s="70">
        <f>Table8[[#This Row],[(A)/W/W]]/Table8[[#This Row],[(A)/G/W]]</f>
        <v>0</v>
      </c>
      <c r="N13">
        <f>teamwins(Table8[[#This Row],[Team]],Table2[Home/Neutral],Table2[Visitor/Neutral],Table2[SRS/W],Table2[SRS/Side],1)</f>
        <v>0</v>
      </c>
      <c r="O13">
        <f>TeamGames(Table8[[#This Row],[Team]],Table2[Home/Neutral],Table2[Visitor/Neutral],Table2[SRS/W],Table2[SRS/Side],1)</f>
        <v>1</v>
      </c>
      <c r="P13" s="70">
        <f>Table8[[#This Row],[(A)/W/L]]/Table8[[#This Row],[(A)/G/L]]</f>
        <v>0</v>
      </c>
      <c r="Q13" s="7">
        <f>teamwins(Table8[[#This Row],[Team]],Table2[Home/Neutral],Table2[Visitor/Neutral],Table2[EV/W],Table2[EV/Side],0)</f>
        <v>1</v>
      </c>
      <c r="R13">
        <f>TeamGames(Table8[[#This Row],[Team]],Table2[Home/Neutral],Table2[Visitor/Neutral],Table2[EV/W],Table2[EV/Side],0)</f>
        <v>1</v>
      </c>
      <c r="S13" s="70">
        <f>Table8[[#This Row],[EV/W/W]]/Table8[[#This Row],[EV/G/W]]</f>
        <v>1</v>
      </c>
      <c r="T13">
        <f>teamwins(Table8[[#This Row],[Team]],Table2[Home/Neutral],Table2[Visitor/Neutral],Table2[EV/W],Table2[EV/Side],1)</f>
        <v>0</v>
      </c>
      <c r="U13">
        <f>TeamGames(Table8[[#This Row],[Team]],Table2[Home/Neutral],Table2[Visitor/Neutral],Table2[EV/W],Table2[EV/Side],1)</f>
        <v>2</v>
      </c>
      <c r="V13" s="70">
        <f>Table8[[#This Row],[EV/W/L]]/Table8[[#This Row],[EV/G/L]]</f>
        <v>0</v>
      </c>
      <c r="X13" s="123" t="s">
        <v>112</v>
      </c>
      <c r="Y13" s="124">
        <v>9</v>
      </c>
      <c r="Z13" s="71">
        <v>0.55555555555555558</v>
      </c>
      <c r="AB13" s="123" t="s">
        <v>112</v>
      </c>
      <c r="AC13" s="124">
        <v>7</v>
      </c>
      <c r="AD13" s="71">
        <v>0.7142857142857143</v>
      </c>
    </row>
    <row r="14" spans="2:30" x14ac:dyDescent="0.25">
      <c r="B14" t="s">
        <v>43</v>
      </c>
      <c r="C14">
        <f>SUBTOTAL(109,Table9[A/W])</f>
        <v>15</v>
      </c>
      <c r="D14">
        <f>SUBTOTAL(109,Table9[A/G])</f>
        <v>46</v>
      </c>
      <c r="E14" s="11">
        <f>Table9[[#Totals],[A/W]]/Table9[[#Totals],[A/G]]</f>
        <v>0.32608695652173914</v>
      </c>
      <c r="F14">
        <f>SUBTOTAL(109,Table9[EV/W])</f>
        <v>20</v>
      </c>
      <c r="G14">
        <f>SUBTOTAL(109,Table9[EV/G])</f>
        <v>37</v>
      </c>
      <c r="H14" s="90">
        <f>Table9[[#Totals],[EV/W]]/Table9[[#Totals],[EV/G]]</f>
        <v>0.54054054054054057</v>
      </c>
      <c r="J14" t="s">
        <v>136</v>
      </c>
      <c r="K14" s="7">
        <f>teamwins(Table8[[#This Row],[Team]],Table2[Home/Neutral],Table2[Visitor/Neutral],Table2[SRS/W],Table2[SRS/Side],0)</f>
        <v>0</v>
      </c>
      <c r="L14">
        <f>TeamGames(Table8[[#This Row],[Team]],Table2[Home/Neutral],Table2[Visitor/Neutral],Table2[SRS/W],Table2[SRS/Side],0)</f>
        <v>0</v>
      </c>
      <c r="M14" s="70" t="e">
        <f>Table8[[#This Row],[(A)/W/W]]/Table8[[#This Row],[(A)/G/W]]</f>
        <v>#DIV/0!</v>
      </c>
      <c r="N14">
        <f>teamwins(Table8[[#This Row],[Team]],Table2[Home/Neutral],Table2[Visitor/Neutral],Table2[SRS/W],Table2[SRS/Side],1)</f>
        <v>2</v>
      </c>
      <c r="O14">
        <f>TeamGames(Table8[[#This Row],[Team]],Table2[Home/Neutral],Table2[Visitor/Neutral],Table2[SRS/W],Table2[SRS/Side],1)</f>
        <v>2</v>
      </c>
      <c r="P14" s="70">
        <f>Table8[[#This Row],[(A)/W/L]]/Table8[[#This Row],[(A)/G/L]]</f>
        <v>1</v>
      </c>
      <c r="Q14" s="7">
        <f>teamwins(Table8[[#This Row],[Team]],Table2[Home/Neutral],Table2[Visitor/Neutral],Table2[EV/W],Table2[EV/Side],0)</f>
        <v>0</v>
      </c>
      <c r="R14">
        <f>TeamGames(Table8[[#This Row],[Team]],Table2[Home/Neutral],Table2[Visitor/Neutral],Table2[EV/W],Table2[EV/Side],0)</f>
        <v>0</v>
      </c>
      <c r="S14" s="70" t="e">
        <f>Table8[[#This Row],[EV/W/W]]/Table8[[#This Row],[EV/G/W]]</f>
        <v>#DIV/0!</v>
      </c>
      <c r="T14">
        <f>teamwins(Table8[[#This Row],[Team]],Table2[Home/Neutral],Table2[Visitor/Neutral],Table2[EV/W],Table2[EV/Side],1)</f>
        <v>2</v>
      </c>
      <c r="U14">
        <f>TeamGames(Table8[[#This Row],[Team]],Table2[Home/Neutral],Table2[Visitor/Neutral],Table2[EV/W],Table2[EV/Side],1)</f>
        <v>2</v>
      </c>
      <c r="V14" s="70">
        <f>Table8[[#This Row],[EV/W/L]]/Table8[[#This Row],[EV/G/L]]</f>
        <v>1</v>
      </c>
      <c r="X14" s="98" t="s">
        <v>136</v>
      </c>
      <c r="Y14" s="15">
        <v>7</v>
      </c>
      <c r="Z14" s="71">
        <v>0.42857142857142855</v>
      </c>
      <c r="AB14" s="98" t="s">
        <v>136</v>
      </c>
      <c r="AC14" s="15">
        <v>10</v>
      </c>
      <c r="AD14" s="71">
        <v>0.5</v>
      </c>
    </row>
    <row r="15" spans="2:30" x14ac:dyDescent="0.25">
      <c r="E15" s="114">
        <f>Table2[[#Totals],[SRS/W]]</f>
        <v>0.32608695652173914</v>
      </c>
      <c r="H15" s="114">
        <f>Table2[[#Totals],[EV/W]]</f>
        <v>0.54054054054054057</v>
      </c>
      <c r="J15" t="s">
        <v>133</v>
      </c>
      <c r="K15" s="7">
        <f>teamwins(Table8[[#This Row],[Team]],Table2[Home/Neutral],Table2[Visitor/Neutral],Table2[SRS/W],Table2[SRS/Side],0)</f>
        <v>0</v>
      </c>
      <c r="L15">
        <f>TeamGames(Table8[[#This Row],[Team]],Table2[Home/Neutral],Table2[Visitor/Neutral],Table2[SRS/W],Table2[SRS/Side],0)</f>
        <v>1</v>
      </c>
      <c r="M15" s="70">
        <f>Table8[[#This Row],[(A)/W/W]]/Table8[[#This Row],[(A)/G/W]]</f>
        <v>0</v>
      </c>
      <c r="N15">
        <f>teamwins(Table8[[#This Row],[Team]],Table2[Home/Neutral],Table2[Visitor/Neutral],Table2[SRS/W],Table2[SRS/Side],1)</f>
        <v>1</v>
      </c>
      <c r="O15">
        <f>TeamGames(Table8[[#This Row],[Team]],Table2[Home/Neutral],Table2[Visitor/Neutral],Table2[SRS/W],Table2[SRS/Side],1)</f>
        <v>1</v>
      </c>
      <c r="P15" s="70">
        <f>Table8[[#This Row],[(A)/W/L]]/Table8[[#This Row],[(A)/G/L]]</f>
        <v>1</v>
      </c>
      <c r="Q15" s="7">
        <f>teamwins(Table8[[#This Row],[Team]],Table2[Home/Neutral],Table2[Visitor/Neutral],Table2[EV/W],Table2[EV/Side],0)</f>
        <v>0</v>
      </c>
      <c r="R15">
        <f>TeamGames(Table8[[#This Row],[Team]],Table2[Home/Neutral],Table2[Visitor/Neutral],Table2[EV/W],Table2[EV/Side],0)</f>
        <v>1</v>
      </c>
      <c r="S15" s="70">
        <f>Table8[[#This Row],[EV/W/W]]/Table8[[#This Row],[EV/G/W]]</f>
        <v>0</v>
      </c>
      <c r="T15">
        <f>teamwins(Table8[[#This Row],[Team]],Table2[Home/Neutral],Table2[Visitor/Neutral],Table2[EV/W],Table2[EV/Side],1)</f>
        <v>1</v>
      </c>
      <c r="U15">
        <f>TeamGames(Table8[[#This Row],[Team]],Table2[Home/Neutral],Table2[Visitor/Neutral],Table2[EV/W],Table2[EV/Side],1)</f>
        <v>1</v>
      </c>
      <c r="V15" s="70">
        <f>Table8[[#This Row],[EV/W/L]]/Table8[[#This Row],[EV/G/L]]</f>
        <v>1</v>
      </c>
      <c r="X15" s="123" t="s">
        <v>133</v>
      </c>
      <c r="Y15" s="124">
        <v>9</v>
      </c>
      <c r="Z15" s="71">
        <v>0.33333333333333331</v>
      </c>
      <c r="AB15" s="123" t="s">
        <v>133</v>
      </c>
      <c r="AC15" s="124">
        <v>7</v>
      </c>
      <c r="AD15" s="71">
        <v>0.42857142857142855</v>
      </c>
    </row>
    <row r="16" spans="2:30" x14ac:dyDescent="0.25">
      <c r="J16" t="s">
        <v>128</v>
      </c>
      <c r="K16" s="7">
        <f>teamwins(Table8[[#This Row],[Team]],Table2[Home/Neutral],Table2[Visitor/Neutral],Table2[SRS/W],Table2[SRS/Side],0)</f>
        <v>2</v>
      </c>
      <c r="L16">
        <f>TeamGames(Table8[[#This Row],[Team]],Table2[Home/Neutral],Table2[Visitor/Neutral],Table2[SRS/W],Table2[SRS/Side],0)</f>
        <v>2</v>
      </c>
      <c r="M16" s="70">
        <f>Table8[[#This Row],[(A)/W/W]]/Table8[[#This Row],[(A)/G/W]]</f>
        <v>1</v>
      </c>
      <c r="N16">
        <f>teamwins(Table8[[#This Row],[Team]],Table2[Home/Neutral],Table2[Visitor/Neutral],Table2[SRS/W],Table2[SRS/Side],1)</f>
        <v>1</v>
      </c>
      <c r="O16">
        <f>TeamGames(Table8[[#This Row],[Team]],Table2[Home/Neutral],Table2[Visitor/Neutral],Table2[SRS/W],Table2[SRS/Side],1)</f>
        <v>1</v>
      </c>
      <c r="P16" s="70">
        <f>Table8[[#This Row],[(A)/W/L]]/Table8[[#This Row],[(A)/G/L]]</f>
        <v>1</v>
      </c>
      <c r="Q16" s="7">
        <f>teamwins(Table8[[#This Row],[Team]],Table2[Home/Neutral],Table2[Visitor/Neutral],Table2[EV/W],Table2[EV/Side],0)</f>
        <v>3</v>
      </c>
      <c r="R16">
        <f>TeamGames(Table8[[#This Row],[Team]],Table2[Home/Neutral],Table2[Visitor/Neutral],Table2[EV/W],Table2[EV/Side],0)</f>
        <v>3</v>
      </c>
      <c r="S16" s="70">
        <f>Table8[[#This Row],[EV/W/W]]/Table8[[#This Row],[EV/G/W]]</f>
        <v>1</v>
      </c>
      <c r="T16">
        <f>teamwins(Table8[[#This Row],[Team]],Table2[Home/Neutral],Table2[Visitor/Neutral],Table2[EV/W],Table2[EV/Side],1)</f>
        <v>0</v>
      </c>
      <c r="U16">
        <f>TeamGames(Table8[[#This Row],[Team]],Table2[Home/Neutral],Table2[Visitor/Neutral],Table2[EV/W],Table2[EV/Side],1)</f>
        <v>0</v>
      </c>
      <c r="V16" s="70" t="e">
        <f>Table8[[#This Row],[EV/W/L]]/Table8[[#This Row],[EV/G/L]]</f>
        <v>#DIV/0!</v>
      </c>
      <c r="X16" s="98" t="s">
        <v>128</v>
      </c>
      <c r="Y16" s="15">
        <v>9</v>
      </c>
      <c r="Z16" s="71">
        <v>0.77777777777777779</v>
      </c>
      <c r="AB16" s="98" t="s">
        <v>128</v>
      </c>
      <c r="AC16" s="15">
        <v>7</v>
      </c>
      <c r="AD16" s="71">
        <v>0.2857142857142857</v>
      </c>
    </row>
    <row r="17" spans="2:30" x14ac:dyDescent="0.25">
      <c r="B17" t="s">
        <v>58</v>
      </c>
      <c r="C17" t="s">
        <v>76</v>
      </c>
      <c r="D17" t="s">
        <v>75</v>
      </c>
      <c r="E17" t="s">
        <v>77</v>
      </c>
      <c r="F17" t="s">
        <v>74</v>
      </c>
      <c r="G17" t="s">
        <v>73</v>
      </c>
      <c r="H17" t="s">
        <v>66</v>
      </c>
      <c r="J17" t="s">
        <v>122</v>
      </c>
      <c r="K17" s="7">
        <f>teamwins(Table8[[#This Row],[Team]],Table2[Home/Neutral],Table2[Visitor/Neutral],Table2[SRS/W],Table2[SRS/Side],0)</f>
        <v>1</v>
      </c>
      <c r="L17">
        <f>TeamGames(Table8[[#This Row],[Team]],Table2[Home/Neutral],Table2[Visitor/Neutral],Table2[SRS/W],Table2[SRS/Side],0)</f>
        <v>3</v>
      </c>
      <c r="M17" s="70">
        <f>Table8[[#This Row],[(A)/W/W]]/Table8[[#This Row],[(A)/G/W]]</f>
        <v>0.33333333333333331</v>
      </c>
      <c r="N17">
        <f>teamwins(Table8[[#This Row],[Team]],Table2[Home/Neutral],Table2[Visitor/Neutral],Table2[SRS/W],Table2[SRS/Side],1)</f>
        <v>0</v>
      </c>
      <c r="O17">
        <f>TeamGames(Table8[[#This Row],[Team]],Table2[Home/Neutral],Table2[Visitor/Neutral],Table2[SRS/W],Table2[SRS/Side],1)</f>
        <v>0</v>
      </c>
      <c r="P17" s="70" t="e">
        <f>Table8[[#This Row],[(A)/W/L]]/Table8[[#This Row],[(A)/G/L]]</f>
        <v>#DIV/0!</v>
      </c>
      <c r="Q17" s="7">
        <f>teamwins(Table8[[#This Row],[Team]],Table2[Home/Neutral],Table2[Visitor/Neutral],Table2[EV/W],Table2[EV/Side],0)</f>
        <v>1</v>
      </c>
      <c r="R17">
        <f>TeamGames(Table8[[#This Row],[Team]],Table2[Home/Neutral],Table2[Visitor/Neutral],Table2[EV/W],Table2[EV/Side],0)</f>
        <v>3</v>
      </c>
      <c r="S17" s="70">
        <f>Table8[[#This Row],[EV/W/W]]/Table8[[#This Row],[EV/G/W]]</f>
        <v>0.33333333333333331</v>
      </c>
      <c r="T17">
        <f>teamwins(Table8[[#This Row],[Team]],Table2[Home/Neutral],Table2[Visitor/Neutral],Table2[EV/W],Table2[EV/Side],1)</f>
        <v>0</v>
      </c>
      <c r="U17">
        <f>TeamGames(Table8[[#This Row],[Team]],Table2[Home/Neutral],Table2[Visitor/Neutral],Table2[EV/W],Table2[EV/Side],1)</f>
        <v>0</v>
      </c>
      <c r="V17" s="70" t="e">
        <f>Table8[[#This Row],[EV/W/L]]/Table8[[#This Row],[EV/G/L]]</f>
        <v>#DIV/0!</v>
      </c>
      <c r="X17" s="123" t="s">
        <v>122</v>
      </c>
      <c r="Y17" s="124">
        <v>9</v>
      </c>
      <c r="Z17" s="71">
        <v>0.55555555555555558</v>
      </c>
      <c r="AB17" s="123" t="s">
        <v>122</v>
      </c>
      <c r="AC17" s="124">
        <v>8</v>
      </c>
      <c r="AD17" s="71">
        <v>0.625</v>
      </c>
    </row>
    <row r="18" spans="2:30" x14ac:dyDescent="0.25">
      <c r="B18" t="s">
        <v>64</v>
      </c>
      <c r="C18" s="7"/>
      <c r="E18" s="70"/>
      <c r="F18" s="7"/>
      <c r="H18" s="70"/>
      <c r="J18" t="s">
        <v>130</v>
      </c>
      <c r="K18" s="7">
        <f>teamwins(Table8[[#This Row],[Team]],Table2[Home/Neutral],Table2[Visitor/Neutral],Table2[SRS/W],Table2[SRS/Side],0)</f>
        <v>0</v>
      </c>
      <c r="L18">
        <f>TeamGames(Table8[[#This Row],[Team]],Table2[Home/Neutral],Table2[Visitor/Neutral],Table2[SRS/W],Table2[SRS/Side],0)</f>
        <v>0</v>
      </c>
      <c r="M18" s="70" t="e">
        <f>Table8[[#This Row],[(A)/W/W]]/Table8[[#This Row],[(A)/G/W]]</f>
        <v>#DIV/0!</v>
      </c>
      <c r="N18">
        <f>teamwins(Table8[[#This Row],[Team]],Table2[Home/Neutral],Table2[Visitor/Neutral],Table2[SRS/W],Table2[SRS/Side],1)</f>
        <v>1</v>
      </c>
      <c r="O18">
        <f>TeamGames(Table8[[#This Row],[Team]],Table2[Home/Neutral],Table2[Visitor/Neutral],Table2[SRS/W],Table2[SRS/Side],1)</f>
        <v>3</v>
      </c>
      <c r="P18" s="70">
        <f>Table8[[#This Row],[(A)/W/L]]/Table8[[#This Row],[(A)/G/L]]</f>
        <v>0.33333333333333331</v>
      </c>
      <c r="Q18" s="7">
        <f>teamwins(Table8[[#This Row],[Team]],Table2[Home/Neutral],Table2[Visitor/Neutral],Table2[EV/W],Table2[EV/Side],0)</f>
        <v>0</v>
      </c>
      <c r="R18">
        <f>TeamGames(Table8[[#This Row],[Team]],Table2[Home/Neutral],Table2[Visitor/Neutral],Table2[EV/W],Table2[EV/Side],0)</f>
        <v>0</v>
      </c>
      <c r="S18" s="70" t="e">
        <f>Table8[[#This Row],[EV/W/W]]/Table8[[#This Row],[EV/G/W]]</f>
        <v>#DIV/0!</v>
      </c>
      <c r="T18">
        <f>teamwins(Table8[[#This Row],[Team]],Table2[Home/Neutral],Table2[Visitor/Neutral],Table2[EV/W],Table2[EV/Side],1)</f>
        <v>0</v>
      </c>
      <c r="U18">
        <f>TeamGames(Table8[[#This Row],[Team]],Table2[Home/Neutral],Table2[Visitor/Neutral],Table2[EV/W],Table2[EV/Side],1)</f>
        <v>2</v>
      </c>
      <c r="V18" s="70">
        <f>Table8[[#This Row],[EV/W/L]]/Table8[[#This Row],[EV/G/L]]</f>
        <v>0</v>
      </c>
      <c r="X18" s="98" t="s">
        <v>130</v>
      </c>
      <c r="Y18" s="15">
        <v>9</v>
      </c>
      <c r="Z18" s="71">
        <v>0.33333333333333331</v>
      </c>
      <c r="AB18" s="98" t="s">
        <v>130</v>
      </c>
      <c r="AC18" s="15">
        <v>7</v>
      </c>
      <c r="AD18" s="71">
        <v>0.5714285714285714</v>
      </c>
    </row>
    <row r="19" spans="2:30" x14ac:dyDescent="0.25">
      <c r="B19" t="s">
        <v>65</v>
      </c>
      <c r="C19" s="7"/>
      <c r="E19" s="70"/>
      <c r="F19" s="7"/>
      <c r="H19" s="70"/>
      <c r="J19" t="s">
        <v>115</v>
      </c>
      <c r="K19" s="7">
        <f>teamwins(Table8[[#This Row],[Team]],Table2[Home/Neutral],Table2[Visitor/Neutral],Table2[SRS/W],Table2[SRS/Side],0)</f>
        <v>0</v>
      </c>
      <c r="L19">
        <f>TeamGames(Table8[[#This Row],[Team]],Table2[Home/Neutral],Table2[Visitor/Neutral],Table2[SRS/W],Table2[SRS/Side],0)</f>
        <v>0</v>
      </c>
      <c r="M19" s="70" t="e">
        <f>Table8[[#This Row],[(A)/W/W]]/Table8[[#This Row],[(A)/G/W]]</f>
        <v>#DIV/0!</v>
      </c>
      <c r="N19">
        <f>teamwins(Table8[[#This Row],[Team]],Table2[Home/Neutral],Table2[Visitor/Neutral],Table2[SRS/W],Table2[SRS/Side],1)</f>
        <v>1</v>
      </c>
      <c r="O19">
        <f>TeamGames(Table8[[#This Row],[Team]],Table2[Home/Neutral],Table2[Visitor/Neutral],Table2[SRS/W],Table2[SRS/Side],1)</f>
        <v>3</v>
      </c>
      <c r="P19" s="70">
        <f>Table8[[#This Row],[(A)/W/L]]/Table8[[#This Row],[(A)/G/L]]</f>
        <v>0.33333333333333331</v>
      </c>
      <c r="Q19" s="7">
        <f>teamwins(Table8[[#This Row],[Team]],Table2[Home/Neutral],Table2[Visitor/Neutral],Table2[EV/W],Table2[EV/Side],0)</f>
        <v>0</v>
      </c>
      <c r="R19">
        <f>TeamGames(Table8[[#This Row],[Team]],Table2[Home/Neutral],Table2[Visitor/Neutral],Table2[EV/W],Table2[EV/Side],0)</f>
        <v>0</v>
      </c>
      <c r="S19" s="70" t="e">
        <f>Table8[[#This Row],[EV/W/W]]/Table8[[#This Row],[EV/G/W]]</f>
        <v>#DIV/0!</v>
      </c>
      <c r="T19">
        <f>teamwins(Table8[[#This Row],[Team]],Table2[Home/Neutral],Table2[Visitor/Neutral],Table2[EV/W],Table2[EV/Side],1)</f>
        <v>0</v>
      </c>
      <c r="U19">
        <f>TeamGames(Table8[[#This Row],[Team]],Table2[Home/Neutral],Table2[Visitor/Neutral],Table2[EV/W],Table2[EV/Side],1)</f>
        <v>2</v>
      </c>
      <c r="V19" s="70">
        <f>Table8[[#This Row],[EV/W/L]]/Table8[[#This Row],[EV/G/L]]</f>
        <v>0</v>
      </c>
      <c r="X19" s="123" t="s">
        <v>115</v>
      </c>
      <c r="Y19" s="124">
        <v>5</v>
      </c>
      <c r="Z19" s="71">
        <v>0.2</v>
      </c>
      <c r="AB19" s="123" t="s">
        <v>115</v>
      </c>
      <c r="AC19" s="124">
        <v>10</v>
      </c>
      <c r="AD19" s="71">
        <v>0.3</v>
      </c>
    </row>
    <row r="20" spans="2:30" x14ac:dyDescent="0.25">
      <c r="B20" t="s">
        <v>43</v>
      </c>
      <c r="C20">
        <f>SUBTOTAL(109,Table62[A/W])</f>
        <v>0</v>
      </c>
      <c r="D20">
        <f>SUBTOTAL(109,Table62[A/G])</f>
        <v>0</v>
      </c>
      <c r="E20" s="70"/>
      <c r="F20">
        <f>SUBTOTAL(109,Table62[EV/W])</f>
        <v>0</v>
      </c>
      <c r="G20">
        <f>SUBTOTAL(109,Table62[EV/G])</f>
        <v>0</v>
      </c>
      <c r="H20" s="70"/>
      <c r="J20" t="s">
        <v>111</v>
      </c>
      <c r="K20" s="7">
        <f>teamwins(Table8[[#This Row],[Team]],Table2[Home/Neutral],Table2[Visitor/Neutral],Table2[SRS/W],Table2[SRS/Side],0)</f>
        <v>0</v>
      </c>
      <c r="L20">
        <f>TeamGames(Table8[[#This Row],[Team]],Table2[Home/Neutral],Table2[Visitor/Neutral],Table2[SRS/W],Table2[SRS/Side],0)</f>
        <v>2</v>
      </c>
      <c r="M20" s="70">
        <f>Table8[[#This Row],[(A)/W/W]]/Table8[[#This Row],[(A)/G/W]]</f>
        <v>0</v>
      </c>
      <c r="N20">
        <f>teamwins(Table8[[#This Row],[Team]],Table2[Home/Neutral],Table2[Visitor/Neutral],Table2[SRS/W],Table2[SRS/Side],1)</f>
        <v>0</v>
      </c>
      <c r="O20">
        <f>TeamGames(Table8[[#This Row],[Team]],Table2[Home/Neutral],Table2[Visitor/Neutral],Table2[SRS/W],Table2[SRS/Side],1)</f>
        <v>0</v>
      </c>
      <c r="P20" s="70" t="e">
        <f>Table8[[#This Row],[(A)/W/L]]/Table8[[#This Row],[(A)/G/L]]</f>
        <v>#DIV/0!</v>
      </c>
      <c r="Q20" s="7">
        <f>teamwins(Table8[[#This Row],[Team]],Table2[Home/Neutral],Table2[Visitor/Neutral],Table2[EV/W],Table2[EV/Side],0)</f>
        <v>0</v>
      </c>
      <c r="R20">
        <f>TeamGames(Table8[[#This Row],[Team]],Table2[Home/Neutral],Table2[Visitor/Neutral],Table2[EV/W],Table2[EV/Side],0)</f>
        <v>2</v>
      </c>
      <c r="S20" s="70">
        <f>Table8[[#This Row],[EV/W/W]]/Table8[[#This Row],[EV/G/W]]</f>
        <v>0</v>
      </c>
      <c r="T20">
        <f>teamwins(Table8[[#This Row],[Team]],Table2[Home/Neutral],Table2[Visitor/Neutral],Table2[EV/W],Table2[EV/Side],1)</f>
        <v>0</v>
      </c>
      <c r="U20">
        <f>TeamGames(Table8[[#This Row],[Team]],Table2[Home/Neutral],Table2[Visitor/Neutral],Table2[EV/W],Table2[EV/Side],1)</f>
        <v>0</v>
      </c>
      <c r="V20" s="70" t="e">
        <f>Table8[[#This Row],[EV/W/L]]/Table8[[#This Row],[EV/G/L]]</f>
        <v>#DIV/0!</v>
      </c>
      <c r="X20" s="98" t="s">
        <v>111</v>
      </c>
      <c r="Y20" s="15">
        <v>7</v>
      </c>
      <c r="Z20" s="71">
        <v>0.42857142857142855</v>
      </c>
      <c r="AB20" s="98" t="s">
        <v>111</v>
      </c>
      <c r="AC20" s="15">
        <v>8</v>
      </c>
      <c r="AD20" s="71">
        <v>0.5</v>
      </c>
    </row>
    <row r="21" spans="2:30" x14ac:dyDescent="0.25">
      <c r="E21" s="11"/>
      <c r="H21" s="11"/>
      <c r="J21" t="s">
        <v>116</v>
      </c>
      <c r="K21" s="7">
        <f>teamwins(Table8[[#This Row],[Team]],Table2[Home/Neutral],Table2[Visitor/Neutral],Table2[SRS/W],Table2[SRS/Side],0)</f>
        <v>0</v>
      </c>
      <c r="L21">
        <f>TeamGames(Table8[[#This Row],[Team]],Table2[Home/Neutral],Table2[Visitor/Neutral],Table2[SRS/W],Table2[SRS/Side],0)</f>
        <v>2</v>
      </c>
      <c r="M21" s="70">
        <f>Table8[[#This Row],[(A)/W/W]]/Table8[[#This Row],[(A)/G/W]]</f>
        <v>0</v>
      </c>
      <c r="N21">
        <f>teamwins(Table8[[#This Row],[Team]],Table2[Home/Neutral],Table2[Visitor/Neutral],Table2[SRS/W],Table2[SRS/Side],1)</f>
        <v>1</v>
      </c>
      <c r="O21">
        <f>TeamGames(Table8[[#This Row],[Team]],Table2[Home/Neutral],Table2[Visitor/Neutral],Table2[SRS/W],Table2[SRS/Side],1)</f>
        <v>1</v>
      </c>
      <c r="P21" s="70">
        <f>Table8[[#This Row],[(A)/W/L]]/Table8[[#This Row],[(A)/G/L]]</f>
        <v>1</v>
      </c>
      <c r="Q21" s="7">
        <f>teamwins(Table8[[#This Row],[Team]],Table2[Home/Neutral],Table2[Visitor/Neutral],Table2[EV/W],Table2[EV/Side],0)</f>
        <v>1</v>
      </c>
      <c r="R21">
        <f>TeamGames(Table8[[#This Row],[Team]],Table2[Home/Neutral],Table2[Visitor/Neutral],Table2[EV/W],Table2[EV/Side],0)</f>
        <v>3</v>
      </c>
      <c r="S21" s="70">
        <f>Table8[[#This Row],[EV/W/W]]/Table8[[#This Row],[EV/G/W]]</f>
        <v>0.33333333333333331</v>
      </c>
      <c r="T21">
        <f>teamwins(Table8[[#This Row],[Team]],Table2[Home/Neutral],Table2[Visitor/Neutral],Table2[EV/W],Table2[EV/Side],1)</f>
        <v>0</v>
      </c>
      <c r="U21">
        <f>TeamGames(Table8[[#This Row],[Team]],Table2[Home/Neutral],Table2[Visitor/Neutral],Table2[EV/W],Table2[EV/Side],1)</f>
        <v>0</v>
      </c>
      <c r="V21" s="70" t="e">
        <f>Table8[[#This Row],[EV/W/L]]/Table8[[#This Row],[EV/G/L]]</f>
        <v>#DIV/0!</v>
      </c>
      <c r="X21" s="123" t="s">
        <v>116</v>
      </c>
      <c r="Y21" s="124">
        <v>8</v>
      </c>
      <c r="Z21" s="71">
        <v>0.375</v>
      </c>
      <c r="AB21" s="123" t="s">
        <v>116</v>
      </c>
      <c r="AC21" s="124">
        <v>8</v>
      </c>
      <c r="AD21" s="71">
        <v>0.75</v>
      </c>
    </row>
    <row r="22" spans="2:30" x14ac:dyDescent="0.25">
      <c r="J22" t="s">
        <v>120</v>
      </c>
      <c r="K22" s="7">
        <f>teamwins(Table8[[#This Row],[Team]],Table2[Home/Neutral],Table2[Visitor/Neutral],Table2[SRS/W],Table2[SRS/Side],0)</f>
        <v>0</v>
      </c>
      <c r="L22">
        <f>TeamGames(Table8[[#This Row],[Team]],Table2[Home/Neutral],Table2[Visitor/Neutral],Table2[SRS/W],Table2[SRS/Side],0)</f>
        <v>1</v>
      </c>
      <c r="M22" s="70">
        <f>Table8[[#This Row],[(A)/W/W]]/Table8[[#This Row],[(A)/G/W]]</f>
        <v>0</v>
      </c>
      <c r="N22">
        <f>teamwins(Table8[[#This Row],[Team]],Table2[Home/Neutral],Table2[Visitor/Neutral],Table2[SRS/W],Table2[SRS/Side],1)</f>
        <v>1</v>
      </c>
      <c r="O22">
        <f>TeamGames(Table8[[#This Row],[Team]],Table2[Home/Neutral],Table2[Visitor/Neutral],Table2[SRS/W],Table2[SRS/Side],1)</f>
        <v>2</v>
      </c>
      <c r="P22" s="70">
        <f>Table8[[#This Row],[(A)/W/L]]/Table8[[#This Row],[(A)/G/L]]</f>
        <v>0.5</v>
      </c>
      <c r="Q22" s="7">
        <f>teamwins(Table8[[#This Row],[Team]],Table2[Home/Neutral],Table2[Visitor/Neutral],Table2[EV/W],Table2[EV/Side],0)</f>
        <v>0</v>
      </c>
      <c r="R22">
        <f>TeamGames(Table8[[#This Row],[Team]],Table2[Home/Neutral],Table2[Visitor/Neutral],Table2[EV/W],Table2[EV/Side],0)</f>
        <v>0</v>
      </c>
      <c r="S22" s="70" t="e">
        <f>Table8[[#This Row],[EV/W/W]]/Table8[[#This Row],[EV/G/W]]</f>
        <v>#DIV/0!</v>
      </c>
      <c r="T22">
        <f>teamwins(Table8[[#This Row],[Team]],Table2[Home/Neutral],Table2[Visitor/Neutral],Table2[EV/W],Table2[EV/Side],1)</f>
        <v>1</v>
      </c>
      <c r="U22">
        <f>TeamGames(Table8[[#This Row],[Team]],Table2[Home/Neutral],Table2[Visitor/Neutral],Table2[EV/W],Table2[EV/Side],1)</f>
        <v>2</v>
      </c>
      <c r="V22" s="70">
        <f>Table8[[#This Row],[EV/W/L]]/Table8[[#This Row],[EV/G/L]]</f>
        <v>0.5</v>
      </c>
      <c r="X22" s="98" t="s">
        <v>120</v>
      </c>
      <c r="Y22" s="15">
        <v>11</v>
      </c>
      <c r="Z22" s="71">
        <v>0.45454545454545453</v>
      </c>
      <c r="AB22" s="98" t="s">
        <v>120</v>
      </c>
      <c r="AC22" s="15">
        <v>6</v>
      </c>
      <c r="AD22" s="71">
        <v>0.33333333333333331</v>
      </c>
    </row>
    <row r="23" spans="2:30" x14ac:dyDescent="0.25">
      <c r="J23" t="s">
        <v>127</v>
      </c>
      <c r="K23" s="7">
        <f>teamwins(Table8[[#This Row],[Team]],Table2[Home/Neutral],Table2[Visitor/Neutral],Table2[SRS/W],Table2[SRS/Side],0)</f>
        <v>1</v>
      </c>
      <c r="L23">
        <f>TeamGames(Table8[[#This Row],[Team]],Table2[Home/Neutral],Table2[Visitor/Neutral],Table2[SRS/W],Table2[SRS/Side],0)</f>
        <v>2</v>
      </c>
      <c r="M23" s="70">
        <f>Table8[[#This Row],[(A)/W/W]]/Table8[[#This Row],[(A)/G/W]]</f>
        <v>0.5</v>
      </c>
      <c r="N23">
        <f>teamwins(Table8[[#This Row],[Team]],Table2[Home/Neutral],Table2[Visitor/Neutral],Table2[SRS/W],Table2[SRS/Side],1)</f>
        <v>1</v>
      </c>
      <c r="O23">
        <f>TeamGames(Table8[[#This Row],[Team]],Table2[Home/Neutral],Table2[Visitor/Neutral],Table2[SRS/W],Table2[SRS/Side],1)</f>
        <v>1</v>
      </c>
      <c r="P23" s="70">
        <f>Table8[[#This Row],[(A)/W/L]]/Table8[[#This Row],[(A)/G/L]]</f>
        <v>1</v>
      </c>
      <c r="Q23" s="7">
        <f>teamwins(Table8[[#This Row],[Team]],Table2[Home/Neutral],Table2[Visitor/Neutral],Table2[EV/W],Table2[EV/Side],0)</f>
        <v>2</v>
      </c>
      <c r="R23">
        <f>TeamGames(Table8[[#This Row],[Team]],Table2[Home/Neutral],Table2[Visitor/Neutral],Table2[EV/W],Table2[EV/Side],0)</f>
        <v>3</v>
      </c>
      <c r="S23" s="70">
        <f>Table8[[#This Row],[EV/W/W]]/Table8[[#This Row],[EV/G/W]]</f>
        <v>0.66666666666666663</v>
      </c>
      <c r="T23">
        <f>teamwins(Table8[[#This Row],[Team]],Table2[Home/Neutral],Table2[Visitor/Neutral],Table2[EV/W],Table2[EV/Side],1)</f>
        <v>0</v>
      </c>
      <c r="U23">
        <f>TeamGames(Table8[[#This Row],[Team]],Table2[Home/Neutral],Table2[Visitor/Neutral],Table2[EV/W],Table2[EV/Side],1)</f>
        <v>0</v>
      </c>
      <c r="V23" s="70" t="e">
        <f>Table8[[#This Row],[EV/W/L]]/Table8[[#This Row],[EV/G/L]]</f>
        <v>#DIV/0!</v>
      </c>
      <c r="X23" s="123" t="s">
        <v>127</v>
      </c>
      <c r="Y23" s="124">
        <v>9</v>
      </c>
      <c r="Z23" s="71">
        <v>0.33333333333333331</v>
      </c>
      <c r="AB23" s="123" t="s">
        <v>127</v>
      </c>
      <c r="AC23" s="124">
        <v>8</v>
      </c>
      <c r="AD23" s="71">
        <v>0.5</v>
      </c>
    </row>
    <row r="24" spans="2:30" x14ac:dyDescent="0.25">
      <c r="J24" t="s">
        <v>117</v>
      </c>
      <c r="K24" s="7">
        <f>teamwins(Table8[[#This Row],[Team]],Table2[Home/Neutral],Table2[Visitor/Neutral],Table2[SRS/W],Table2[SRS/Side],0)</f>
        <v>0</v>
      </c>
      <c r="L24">
        <f>TeamGames(Table8[[#This Row],[Team]],Table2[Home/Neutral],Table2[Visitor/Neutral],Table2[SRS/W],Table2[SRS/Side],0)</f>
        <v>2</v>
      </c>
      <c r="M24" s="70">
        <f>Table8[[#This Row],[(A)/W/W]]/Table8[[#This Row],[(A)/G/W]]</f>
        <v>0</v>
      </c>
      <c r="N24">
        <f>teamwins(Table8[[#This Row],[Team]],Table2[Home/Neutral],Table2[Visitor/Neutral],Table2[SRS/W],Table2[SRS/Side],1)</f>
        <v>2</v>
      </c>
      <c r="O24">
        <f>TeamGames(Table8[[#This Row],[Team]],Table2[Home/Neutral],Table2[Visitor/Neutral],Table2[SRS/W],Table2[SRS/Side],1)</f>
        <v>2</v>
      </c>
      <c r="P24" s="70">
        <f>Table8[[#This Row],[(A)/W/L]]/Table8[[#This Row],[(A)/G/L]]</f>
        <v>1</v>
      </c>
      <c r="Q24" s="7">
        <f>teamwins(Table8[[#This Row],[Team]],Table2[Home/Neutral],Table2[Visitor/Neutral],Table2[EV/W],Table2[EV/Side],0)</f>
        <v>2</v>
      </c>
      <c r="R24">
        <f>TeamGames(Table8[[#This Row],[Team]],Table2[Home/Neutral],Table2[Visitor/Neutral],Table2[EV/W],Table2[EV/Side],0)</f>
        <v>2</v>
      </c>
      <c r="S24" s="70">
        <f>Table8[[#This Row],[EV/W/W]]/Table8[[#This Row],[EV/G/W]]</f>
        <v>1</v>
      </c>
      <c r="T24">
        <f>teamwins(Table8[[#This Row],[Team]],Table2[Home/Neutral],Table2[Visitor/Neutral],Table2[EV/W],Table2[EV/Side],1)</f>
        <v>0</v>
      </c>
      <c r="U24">
        <f>TeamGames(Table8[[#This Row],[Team]],Table2[Home/Neutral],Table2[Visitor/Neutral],Table2[EV/W],Table2[EV/Side],1)</f>
        <v>1</v>
      </c>
      <c r="V24" s="70">
        <f>Table8[[#This Row],[EV/W/L]]/Table8[[#This Row],[EV/G/L]]</f>
        <v>0</v>
      </c>
      <c r="X24" s="98" t="s">
        <v>117</v>
      </c>
      <c r="Y24" s="15">
        <v>9</v>
      </c>
      <c r="Z24" s="71">
        <v>0.77777777777777779</v>
      </c>
      <c r="AB24" s="98" t="s">
        <v>117</v>
      </c>
      <c r="AC24" s="15">
        <v>9</v>
      </c>
      <c r="AD24" s="71">
        <v>0.1111111111111111</v>
      </c>
    </row>
    <row r="25" spans="2:30" x14ac:dyDescent="0.25">
      <c r="J25" t="s">
        <v>135</v>
      </c>
      <c r="K25" s="7">
        <f>teamwins(Table8[[#This Row],[Team]],Table2[Home/Neutral],Table2[Visitor/Neutral],Table2[SRS/W],Table2[SRS/Side],0)</f>
        <v>2</v>
      </c>
      <c r="L25">
        <f>TeamGames(Table8[[#This Row],[Team]],Table2[Home/Neutral],Table2[Visitor/Neutral],Table2[SRS/W],Table2[SRS/Side],0)</f>
        <v>2</v>
      </c>
      <c r="M25" s="70">
        <f>Table8[[#This Row],[(A)/W/W]]/Table8[[#This Row],[(A)/G/W]]</f>
        <v>1</v>
      </c>
      <c r="N25">
        <f>teamwins(Table8[[#This Row],[Team]],Table2[Home/Neutral],Table2[Visitor/Neutral],Table2[SRS/W],Table2[SRS/Side],1)</f>
        <v>1</v>
      </c>
      <c r="O25">
        <f>TeamGames(Table8[[#This Row],[Team]],Table2[Home/Neutral],Table2[Visitor/Neutral],Table2[SRS/W],Table2[SRS/Side],1)</f>
        <v>1</v>
      </c>
      <c r="P25" s="70">
        <f>Table8[[#This Row],[(A)/W/L]]/Table8[[#This Row],[(A)/G/L]]</f>
        <v>1</v>
      </c>
      <c r="Q25" s="7">
        <f>teamwins(Table8[[#This Row],[Team]],Table2[Home/Neutral],Table2[Visitor/Neutral],Table2[EV/W],Table2[EV/Side],0)</f>
        <v>1</v>
      </c>
      <c r="R25">
        <f>TeamGames(Table8[[#This Row],[Team]],Table2[Home/Neutral],Table2[Visitor/Neutral],Table2[EV/W],Table2[EV/Side],0)</f>
        <v>1</v>
      </c>
      <c r="S25" s="70">
        <f>Table8[[#This Row],[EV/W/W]]/Table8[[#This Row],[EV/G/W]]</f>
        <v>1</v>
      </c>
      <c r="T25">
        <f>teamwins(Table8[[#This Row],[Team]],Table2[Home/Neutral],Table2[Visitor/Neutral],Table2[EV/W],Table2[EV/Side],1)</f>
        <v>1</v>
      </c>
      <c r="U25">
        <f>TeamGames(Table8[[#This Row],[Team]],Table2[Home/Neutral],Table2[Visitor/Neutral],Table2[EV/W],Table2[EV/Side],1)</f>
        <v>1</v>
      </c>
      <c r="V25" s="70">
        <f>Table8[[#This Row],[EV/W/L]]/Table8[[#This Row],[EV/G/L]]</f>
        <v>1</v>
      </c>
      <c r="X25" s="123" t="s">
        <v>135</v>
      </c>
      <c r="Y25" s="124">
        <v>7</v>
      </c>
      <c r="Z25" s="71">
        <v>0.42857142857142855</v>
      </c>
      <c r="AB25" s="123" t="s">
        <v>135</v>
      </c>
      <c r="AC25" s="124">
        <v>9</v>
      </c>
      <c r="AD25" s="71">
        <v>1</v>
      </c>
    </row>
    <row r="26" spans="2:30" x14ac:dyDescent="0.25">
      <c r="J26" t="s">
        <v>119</v>
      </c>
      <c r="K26" s="7">
        <f>teamwins(Table8[[#This Row],[Team]],Table2[Home/Neutral],Table2[Visitor/Neutral],Table2[SRS/W],Table2[SRS/Side],0)</f>
        <v>0</v>
      </c>
      <c r="L26">
        <f>TeamGames(Table8[[#This Row],[Team]],Table2[Home/Neutral],Table2[Visitor/Neutral],Table2[SRS/W],Table2[SRS/Side],0)</f>
        <v>0</v>
      </c>
      <c r="M26" s="70" t="e">
        <f>Table8[[#This Row],[(A)/W/W]]/Table8[[#This Row],[(A)/G/W]]</f>
        <v>#DIV/0!</v>
      </c>
      <c r="N26">
        <f>teamwins(Table8[[#This Row],[Team]],Table2[Home/Neutral],Table2[Visitor/Neutral],Table2[SRS/W],Table2[SRS/Side],1)</f>
        <v>2</v>
      </c>
      <c r="O26">
        <f>TeamGames(Table8[[#This Row],[Team]],Table2[Home/Neutral],Table2[Visitor/Neutral],Table2[SRS/W],Table2[SRS/Side],1)</f>
        <v>3</v>
      </c>
      <c r="P26" s="70">
        <f>Table8[[#This Row],[(A)/W/L]]/Table8[[#This Row],[(A)/G/L]]</f>
        <v>0.66666666666666663</v>
      </c>
      <c r="Q26" s="7">
        <f>teamwins(Table8[[#This Row],[Team]],Table2[Home/Neutral],Table2[Visitor/Neutral],Table2[EV/W],Table2[EV/Side],0)</f>
        <v>0</v>
      </c>
      <c r="R26">
        <f>TeamGames(Table8[[#This Row],[Team]],Table2[Home/Neutral],Table2[Visitor/Neutral],Table2[EV/W],Table2[EV/Side],0)</f>
        <v>0</v>
      </c>
      <c r="S26" s="70" t="e">
        <f>Table8[[#This Row],[EV/W/W]]/Table8[[#This Row],[EV/G/W]]</f>
        <v>#DIV/0!</v>
      </c>
      <c r="T26">
        <f>teamwins(Table8[[#This Row],[Team]],Table2[Home/Neutral],Table2[Visitor/Neutral],Table2[EV/W],Table2[EV/Side],1)</f>
        <v>1</v>
      </c>
      <c r="U26">
        <f>TeamGames(Table8[[#This Row],[Team]],Table2[Home/Neutral],Table2[Visitor/Neutral],Table2[EV/W],Table2[EV/Side],1)</f>
        <v>2</v>
      </c>
      <c r="V26" s="70">
        <f>Table8[[#This Row],[EV/W/L]]/Table8[[#This Row],[EV/G/L]]</f>
        <v>0.5</v>
      </c>
      <c r="X26" s="98" t="s">
        <v>119</v>
      </c>
      <c r="Y26" s="15">
        <v>6</v>
      </c>
      <c r="Z26" s="71">
        <v>0.5</v>
      </c>
      <c r="AB26" s="98" t="s">
        <v>119</v>
      </c>
      <c r="AC26" s="15">
        <v>10</v>
      </c>
      <c r="AD26" s="71">
        <v>0.9</v>
      </c>
    </row>
    <row r="27" spans="2:30" x14ac:dyDescent="0.25">
      <c r="J27" t="s">
        <v>134</v>
      </c>
      <c r="K27" s="7">
        <f>teamwins(Table8[[#This Row],[Team]],Table2[Home/Neutral],Table2[Visitor/Neutral],Table2[SRS/W],Table2[SRS/Side],0)</f>
        <v>1</v>
      </c>
      <c r="L27">
        <f>TeamGames(Table8[[#This Row],[Team]],Table2[Home/Neutral],Table2[Visitor/Neutral],Table2[SRS/W],Table2[SRS/Side],0)</f>
        <v>2</v>
      </c>
      <c r="M27" s="70">
        <f>Table8[[#This Row],[(A)/W/W]]/Table8[[#This Row],[(A)/G/W]]</f>
        <v>0.5</v>
      </c>
      <c r="N27">
        <f>teamwins(Table8[[#This Row],[Team]],Table2[Home/Neutral],Table2[Visitor/Neutral],Table2[SRS/W],Table2[SRS/Side],1)</f>
        <v>2</v>
      </c>
      <c r="O27">
        <f>TeamGames(Table8[[#This Row],[Team]],Table2[Home/Neutral],Table2[Visitor/Neutral],Table2[SRS/W],Table2[SRS/Side],1)</f>
        <v>2</v>
      </c>
      <c r="P27" s="70">
        <f>Table8[[#This Row],[(A)/W/L]]/Table8[[#This Row],[(A)/G/L]]</f>
        <v>1</v>
      </c>
      <c r="Q27" s="7">
        <f>teamwins(Table8[[#This Row],[Team]],Table2[Home/Neutral],Table2[Visitor/Neutral],Table2[EV/W],Table2[EV/Side],0)</f>
        <v>0</v>
      </c>
      <c r="R27">
        <f>TeamGames(Table8[[#This Row],[Team]],Table2[Home/Neutral],Table2[Visitor/Neutral],Table2[EV/W],Table2[EV/Side],0)</f>
        <v>0</v>
      </c>
      <c r="S27" s="70" t="e">
        <f>Table8[[#This Row],[EV/W/W]]/Table8[[#This Row],[EV/G/W]]</f>
        <v>#DIV/0!</v>
      </c>
      <c r="T27">
        <f>teamwins(Table8[[#This Row],[Team]],Table2[Home/Neutral],Table2[Visitor/Neutral],Table2[EV/W],Table2[EV/Side],1)</f>
        <v>2</v>
      </c>
      <c r="U27">
        <f>TeamGames(Table8[[#This Row],[Team]],Table2[Home/Neutral],Table2[Visitor/Neutral],Table2[EV/W],Table2[EV/Side],1)</f>
        <v>3</v>
      </c>
      <c r="V27" s="70">
        <f>Table8[[#This Row],[EV/W/L]]/Table8[[#This Row],[EV/G/L]]</f>
        <v>0.66666666666666663</v>
      </c>
      <c r="X27" s="123" t="s">
        <v>134</v>
      </c>
      <c r="Y27" s="124">
        <v>7</v>
      </c>
      <c r="Z27" s="71">
        <v>0.2857142857142857</v>
      </c>
      <c r="AB27" s="123" t="s">
        <v>134</v>
      </c>
      <c r="AC27" s="124">
        <v>10</v>
      </c>
      <c r="AD27" s="71">
        <v>1</v>
      </c>
    </row>
    <row r="28" spans="2:30" x14ac:dyDescent="0.25">
      <c r="J28" t="s">
        <v>131</v>
      </c>
      <c r="K28" s="7">
        <f>teamwins(Table8[[#This Row],[Team]],Table2[Home/Neutral],Table2[Visitor/Neutral],Table2[SRS/W],Table2[SRS/Side],0)</f>
        <v>2</v>
      </c>
      <c r="L28">
        <f>TeamGames(Table8[[#This Row],[Team]],Table2[Home/Neutral],Table2[Visitor/Neutral],Table2[SRS/W],Table2[SRS/Side],0)</f>
        <v>3</v>
      </c>
      <c r="M28" s="70">
        <f>Table8[[#This Row],[(A)/W/W]]/Table8[[#This Row],[(A)/G/W]]</f>
        <v>0.66666666666666663</v>
      </c>
      <c r="N28">
        <f>teamwins(Table8[[#This Row],[Team]],Table2[Home/Neutral],Table2[Visitor/Neutral],Table2[SRS/W],Table2[SRS/Side],1)</f>
        <v>0</v>
      </c>
      <c r="O28">
        <f>TeamGames(Table8[[#This Row],[Team]],Table2[Home/Neutral],Table2[Visitor/Neutral],Table2[SRS/W],Table2[SRS/Side],1)</f>
        <v>0</v>
      </c>
      <c r="P28" s="70" t="e">
        <f>Table8[[#This Row],[(A)/W/L]]/Table8[[#This Row],[(A)/G/L]]</f>
        <v>#DIV/0!</v>
      </c>
      <c r="Q28" s="7">
        <f>teamwins(Table8[[#This Row],[Team]],Table2[Home/Neutral],Table2[Visitor/Neutral],Table2[EV/W],Table2[EV/Side],0)</f>
        <v>1</v>
      </c>
      <c r="R28">
        <f>TeamGames(Table8[[#This Row],[Team]],Table2[Home/Neutral],Table2[Visitor/Neutral],Table2[EV/W],Table2[EV/Side],0)</f>
        <v>2</v>
      </c>
      <c r="S28" s="70">
        <f>Table8[[#This Row],[EV/W/W]]/Table8[[#This Row],[EV/G/W]]</f>
        <v>0.5</v>
      </c>
      <c r="T28">
        <f>teamwins(Table8[[#This Row],[Team]],Table2[Home/Neutral],Table2[Visitor/Neutral],Table2[EV/W],Table2[EV/Side],1)</f>
        <v>0</v>
      </c>
      <c r="U28">
        <f>TeamGames(Table8[[#This Row],[Team]],Table2[Home/Neutral],Table2[Visitor/Neutral],Table2[EV/W],Table2[EV/Side],1)</f>
        <v>0</v>
      </c>
      <c r="V28" s="70" t="e">
        <f>Table8[[#This Row],[EV/W/L]]/Table8[[#This Row],[EV/G/L]]</f>
        <v>#DIV/0!</v>
      </c>
      <c r="X28" s="98" t="s">
        <v>131</v>
      </c>
      <c r="Y28" s="15">
        <v>6</v>
      </c>
      <c r="Z28" s="71">
        <v>0.33333333333333331</v>
      </c>
      <c r="AB28" s="98" t="s">
        <v>131</v>
      </c>
      <c r="AC28" s="15">
        <v>11</v>
      </c>
      <c r="AD28" s="71">
        <v>0.63636363636363635</v>
      </c>
    </row>
    <row r="29" spans="2:30" x14ac:dyDescent="0.25">
      <c r="J29" t="s">
        <v>129</v>
      </c>
      <c r="K29" s="7">
        <f>teamwins(Table8[[#This Row],[Team]],Table2[Home/Neutral],Table2[Visitor/Neutral],Table2[SRS/W],Table2[SRS/Side],0)</f>
        <v>0</v>
      </c>
      <c r="L29">
        <f>TeamGames(Table8[[#This Row],[Team]],Table2[Home/Neutral],Table2[Visitor/Neutral],Table2[SRS/W],Table2[SRS/Side],0)</f>
        <v>1</v>
      </c>
      <c r="M29" s="70">
        <f>Table8[[#This Row],[(A)/W/W]]/Table8[[#This Row],[(A)/G/W]]</f>
        <v>0</v>
      </c>
      <c r="N29">
        <f>teamwins(Table8[[#This Row],[Team]],Table2[Home/Neutral],Table2[Visitor/Neutral],Table2[SRS/W],Table2[SRS/Side],1)</f>
        <v>2</v>
      </c>
      <c r="O29">
        <f>TeamGames(Table8[[#This Row],[Team]],Table2[Home/Neutral],Table2[Visitor/Neutral],Table2[SRS/W],Table2[SRS/Side],1)</f>
        <v>3</v>
      </c>
      <c r="P29" s="70">
        <f>Table8[[#This Row],[(A)/W/L]]/Table8[[#This Row],[(A)/G/L]]</f>
        <v>0.66666666666666663</v>
      </c>
      <c r="Q29" s="7">
        <f>teamwins(Table8[[#This Row],[Team]],Table2[Home/Neutral],Table2[Visitor/Neutral],Table2[EV/W],Table2[EV/Side],0)</f>
        <v>1</v>
      </c>
      <c r="R29">
        <f>TeamGames(Table8[[#This Row],[Team]],Table2[Home/Neutral],Table2[Visitor/Neutral],Table2[EV/W],Table2[EV/Side],0)</f>
        <v>2</v>
      </c>
      <c r="S29" s="70">
        <f>Table8[[#This Row],[EV/W/W]]/Table8[[#This Row],[EV/G/W]]</f>
        <v>0.5</v>
      </c>
      <c r="T29">
        <f>teamwins(Table8[[#This Row],[Team]],Table2[Home/Neutral],Table2[Visitor/Neutral],Table2[EV/W],Table2[EV/Side],1)</f>
        <v>1</v>
      </c>
      <c r="U29">
        <f>TeamGames(Table8[[#This Row],[Team]],Table2[Home/Neutral],Table2[Visitor/Neutral],Table2[EV/W],Table2[EV/Side],1)</f>
        <v>2</v>
      </c>
      <c r="V29" s="70">
        <f>Table8[[#This Row],[EV/W/L]]/Table8[[#This Row],[EV/G/L]]</f>
        <v>0.5</v>
      </c>
      <c r="X29" s="123" t="s">
        <v>129</v>
      </c>
      <c r="Y29" s="124">
        <v>11</v>
      </c>
      <c r="Z29" s="71">
        <v>0.45454545454545453</v>
      </c>
      <c r="AB29" s="123" t="s">
        <v>129</v>
      </c>
      <c r="AC29" s="124">
        <v>7</v>
      </c>
      <c r="AD29" s="71">
        <v>0.42857142857142855</v>
      </c>
    </row>
    <row r="30" spans="2:30" x14ac:dyDescent="0.25">
      <c r="J30" t="s">
        <v>126</v>
      </c>
      <c r="K30" s="7">
        <f>teamwins(Table8[[#This Row],[Team]],Table2[Home/Neutral],Table2[Visitor/Neutral],Table2[SRS/W],Table2[SRS/Side],0)</f>
        <v>0</v>
      </c>
      <c r="L30">
        <f>TeamGames(Table8[[#This Row],[Team]],Table2[Home/Neutral],Table2[Visitor/Neutral],Table2[SRS/W],Table2[SRS/Side],0)</f>
        <v>1</v>
      </c>
      <c r="M30" s="70">
        <f>Table8[[#This Row],[(A)/W/W]]/Table8[[#This Row],[(A)/G/W]]</f>
        <v>0</v>
      </c>
      <c r="N30">
        <f>teamwins(Table8[[#This Row],[Team]],Table2[Home/Neutral],Table2[Visitor/Neutral],Table2[SRS/W],Table2[SRS/Side],1)</f>
        <v>2</v>
      </c>
      <c r="O30">
        <f>TeamGames(Table8[[#This Row],[Team]],Table2[Home/Neutral],Table2[Visitor/Neutral],Table2[SRS/W],Table2[SRS/Side],1)</f>
        <v>3</v>
      </c>
      <c r="P30" s="70">
        <f>Table8[[#This Row],[(A)/W/L]]/Table8[[#This Row],[(A)/G/L]]</f>
        <v>0.66666666666666663</v>
      </c>
      <c r="Q30" s="7">
        <f>teamwins(Table8[[#This Row],[Team]],Table2[Home/Neutral],Table2[Visitor/Neutral],Table2[EV/W],Table2[EV/Side],0)</f>
        <v>0</v>
      </c>
      <c r="R30">
        <f>TeamGames(Table8[[#This Row],[Team]],Table2[Home/Neutral],Table2[Visitor/Neutral],Table2[EV/W],Table2[EV/Side],0)</f>
        <v>0</v>
      </c>
      <c r="S30" s="70" t="e">
        <f>Table8[[#This Row],[EV/W/W]]/Table8[[#This Row],[EV/G/W]]</f>
        <v>#DIV/0!</v>
      </c>
      <c r="T30">
        <f>teamwins(Table8[[#This Row],[Team]],Table2[Home/Neutral],Table2[Visitor/Neutral],Table2[EV/W],Table2[EV/Side],1)</f>
        <v>2</v>
      </c>
      <c r="U30">
        <f>TeamGames(Table8[[#This Row],[Team]],Table2[Home/Neutral],Table2[Visitor/Neutral],Table2[EV/W],Table2[EV/Side],1)</f>
        <v>3</v>
      </c>
      <c r="V30" s="70">
        <f>Table8[[#This Row],[EV/W/L]]/Table8[[#This Row],[EV/G/L]]</f>
        <v>0.66666666666666663</v>
      </c>
      <c r="X30" s="98" t="s">
        <v>126</v>
      </c>
      <c r="Y30" s="15">
        <v>7</v>
      </c>
      <c r="Z30" s="71">
        <v>0.42857142857142855</v>
      </c>
      <c r="AB30" s="98" t="s">
        <v>126</v>
      </c>
      <c r="AC30" s="15">
        <v>9</v>
      </c>
      <c r="AD30" s="71">
        <v>0.33333333333333331</v>
      </c>
    </row>
    <row r="31" spans="2:30" x14ac:dyDescent="0.25">
      <c r="D31" s="5"/>
      <c r="J31" t="s">
        <v>118</v>
      </c>
      <c r="K31" s="7">
        <f>teamwins(Table8[[#This Row],[Team]],Table2[Home/Neutral],Table2[Visitor/Neutral],Table2[SRS/W],Table2[SRS/Side],0)</f>
        <v>0</v>
      </c>
      <c r="L31">
        <f>TeamGames(Table8[[#This Row],[Team]],Table2[Home/Neutral],Table2[Visitor/Neutral],Table2[SRS/W],Table2[SRS/Side],0)</f>
        <v>1</v>
      </c>
      <c r="M31" s="70">
        <f>Table8[[#This Row],[(A)/W/W]]/Table8[[#This Row],[(A)/G/W]]</f>
        <v>0</v>
      </c>
      <c r="N31">
        <f>teamwins(Table8[[#This Row],[Team]],Table2[Home/Neutral],Table2[Visitor/Neutral],Table2[SRS/W],Table2[SRS/Side],1)</f>
        <v>3</v>
      </c>
      <c r="O31">
        <f>TeamGames(Table8[[#This Row],[Team]],Table2[Home/Neutral],Table2[Visitor/Neutral],Table2[SRS/W],Table2[SRS/Side],1)</f>
        <v>3</v>
      </c>
      <c r="P31" s="70">
        <f>Table8[[#This Row],[(A)/W/L]]/Table8[[#This Row],[(A)/G/L]]</f>
        <v>1</v>
      </c>
      <c r="Q31" s="7">
        <f>teamwins(Table8[[#This Row],[Team]],Table2[Home/Neutral],Table2[Visitor/Neutral],Table2[EV/W],Table2[EV/Side],0)</f>
        <v>0</v>
      </c>
      <c r="R31">
        <f>TeamGames(Table8[[#This Row],[Team]],Table2[Home/Neutral],Table2[Visitor/Neutral],Table2[EV/W],Table2[EV/Side],0)</f>
        <v>1</v>
      </c>
      <c r="S31" s="70">
        <f>Table8[[#This Row],[EV/W/W]]/Table8[[#This Row],[EV/G/W]]</f>
        <v>0</v>
      </c>
      <c r="T31">
        <f>teamwins(Table8[[#This Row],[Team]],Table2[Home/Neutral],Table2[Visitor/Neutral],Table2[EV/W],Table2[EV/Side],1)</f>
        <v>2</v>
      </c>
      <c r="U31">
        <f>TeamGames(Table8[[#This Row],[Team]],Table2[Home/Neutral],Table2[Visitor/Neutral],Table2[EV/W],Table2[EV/Side],1)</f>
        <v>2</v>
      </c>
      <c r="V31" s="70">
        <f>Table8[[#This Row],[EV/W/L]]/Table8[[#This Row],[EV/G/L]]</f>
        <v>1</v>
      </c>
      <c r="X31" s="123" t="s">
        <v>118</v>
      </c>
      <c r="Y31" s="124">
        <v>7</v>
      </c>
      <c r="Z31" s="71">
        <v>0.42857142857142855</v>
      </c>
      <c r="AB31" s="123" t="s">
        <v>118</v>
      </c>
      <c r="AC31" s="124">
        <v>10</v>
      </c>
      <c r="AD31" s="71">
        <v>0.9</v>
      </c>
    </row>
    <row r="32" spans="2:30" x14ac:dyDescent="0.25">
      <c r="J32" t="s">
        <v>137</v>
      </c>
      <c r="K32" s="7">
        <f>teamwins(Table8[[#This Row],[Team]],Table2[Home/Neutral],Table2[Visitor/Neutral],Table2[SRS/W],Table2[SRS/Side],0)</f>
        <v>1</v>
      </c>
      <c r="L32">
        <f>TeamGames(Table8[[#This Row],[Team]],Table2[Home/Neutral],Table2[Visitor/Neutral],Table2[SRS/W],Table2[SRS/Side],0)</f>
        <v>1</v>
      </c>
      <c r="M32" s="70">
        <f>Table8[[#This Row],[(A)/W/W]]/Table8[[#This Row],[(A)/G/W]]</f>
        <v>1</v>
      </c>
      <c r="N32">
        <f>teamwins(Table8[[#This Row],[Team]],Table2[Home/Neutral],Table2[Visitor/Neutral],Table2[SRS/W],Table2[SRS/Side],1)</f>
        <v>0</v>
      </c>
      <c r="O32">
        <f>TeamGames(Table8[[#This Row],[Team]],Table2[Home/Neutral],Table2[Visitor/Neutral],Table2[SRS/W],Table2[SRS/Side],1)</f>
        <v>2</v>
      </c>
      <c r="P32" s="70">
        <f>Table8[[#This Row],[(A)/W/L]]/Table8[[#This Row],[(A)/G/L]]</f>
        <v>0</v>
      </c>
      <c r="Q32" s="7">
        <f>teamwins(Table8[[#This Row],[Team]],Table2[Home/Neutral],Table2[Visitor/Neutral],Table2[EV/W],Table2[EV/Side],0)</f>
        <v>1</v>
      </c>
      <c r="R32">
        <f>TeamGames(Table8[[#This Row],[Team]],Table2[Home/Neutral],Table2[Visitor/Neutral],Table2[EV/W],Table2[EV/Side],0)</f>
        <v>2</v>
      </c>
      <c r="S32" s="70">
        <f>Table8[[#This Row],[EV/W/W]]/Table8[[#This Row],[EV/G/W]]</f>
        <v>0.5</v>
      </c>
      <c r="T32">
        <f>teamwins(Table8[[#This Row],[Team]],Table2[Home/Neutral],Table2[Visitor/Neutral],Table2[EV/W],Table2[EV/Side],1)</f>
        <v>0</v>
      </c>
      <c r="U32">
        <f>TeamGames(Table8[[#This Row],[Team]],Table2[Home/Neutral],Table2[Visitor/Neutral],Table2[EV/W],Table2[EV/Side],1)</f>
        <v>0</v>
      </c>
      <c r="V32" s="70" t="e">
        <f>Table8[[#This Row],[EV/W/L]]/Table8[[#This Row],[EV/G/L]]</f>
        <v>#DIV/0!</v>
      </c>
      <c r="X32" s="98" t="s">
        <v>137</v>
      </c>
      <c r="Y32" s="15">
        <v>9</v>
      </c>
      <c r="Z32" s="71">
        <v>0.33333333333333331</v>
      </c>
      <c r="AB32" s="98" t="s">
        <v>137</v>
      </c>
      <c r="AC32" s="15">
        <v>6</v>
      </c>
      <c r="AD32" s="71">
        <v>0.5</v>
      </c>
    </row>
    <row r="33" spans="10:22" x14ac:dyDescent="0.25">
      <c r="J33" t="s">
        <v>43</v>
      </c>
      <c r="K33">
        <f>SUBTOTAL(109,Table8[(A)/W/W])</f>
        <v>15</v>
      </c>
      <c r="L33">
        <f>SUBTOTAL(109,Table8[(A)/G/W])</f>
        <v>46</v>
      </c>
      <c r="M33" s="13">
        <f>Table8[[#Totals],[(A)/W/W]]/Table8[[#Totals],[(A)/G/W]]</f>
        <v>0.32608695652173914</v>
      </c>
      <c r="N33" s="68">
        <f>SUBTOTAL(109,Table8[(A)/W/L])</f>
        <v>31</v>
      </c>
      <c r="O33" s="68">
        <f>SUBTOTAL(109,Table8[(A)/G/L])</f>
        <v>46</v>
      </c>
      <c r="P33" s="13">
        <f>Table8[[#Totals],[(A)/W/L]]/Table8[[#Totals],[(A)/G/L]]</f>
        <v>0.67391304347826086</v>
      </c>
      <c r="Q33">
        <f>SUBTOTAL(109,Table8[EV/W/W])</f>
        <v>20</v>
      </c>
      <c r="R33">
        <f>SUBTOTAL(109,Table8[EV/G/W])</f>
        <v>37</v>
      </c>
      <c r="S33" s="13">
        <f>Table8[[#Totals],[EV/W/W]]/Table8[[#Totals],[EV/G/W]]</f>
        <v>0.54054054054054057</v>
      </c>
      <c r="T33" s="68">
        <f>SUBTOTAL(109,Table8[EV/W/L])</f>
        <v>17</v>
      </c>
      <c r="U33" s="68">
        <f>SUBTOTAL(109,Table8[EV/G/L])</f>
        <v>37</v>
      </c>
      <c r="V33" s="13">
        <f>Table8[[#Totals],[EV/W/L]]/Table8[[#Totals],[EV/G/L]]</f>
        <v>0.45945945945945948</v>
      </c>
    </row>
    <row r="34" spans="10:22" x14ac:dyDescent="0.25">
      <c r="M34" s="114">
        <f>Table2[[#Totals],[SRS/W]]</f>
        <v>0.32608695652173914</v>
      </c>
      <c r="P34" s="114">
        <f>1-M34</f>
        <v>0.67391304347826086</v>
      </c>
      <c r="S34" s="114">
        <f>Table2[[#Totals],[EV/W]]</f>
        <v>0.54054054054054057</v>
      </c>
      <c r="V34" s="114">
        <f>1-S34</f>
        <v>0.45945945945945943</v>
      </c>
    </row>
  </sheetData>
  <conditionalFormatting sqref="P3:P32 M3:M32">
    <cfRule type="colorScale" priority="20">
      <colorScale>
        <cfvo type="min"/>
        <cfvo type="max"/>
        <color theme="9" tint="0.39997558519241921"/>
        <color theme="5" tint="-0.249977111117893"/>
      </colorScale>
    </cfRule>
  </conditionalFormatting>
  <conditionalFormatting sqref="V3:V32 S3:S32">
    <cfRule type="colorScale" priority="11">
      <colorScale>
        <cfvo type="min"/>
        <cfvo type="max"/>
        <color theme="5" tint="-0.249977111117893"/>
        <color theme="9" tint="0.39997558519241921"/>
      </colorScale>
    </cfRule>
    <cfRule type="colorScale" priority="19">
      <colorScale>
        <cfvo type="min"/>
        <cfvo type="max"/>
        <color theme="9" tint="0.39997558519241921"/>
        <color theme="5" tint="-0.249977111117893"/>
      </colorScale>
    </cfRule>
  </conditionalFormatting>
  <conditionalFormatting sqref="E3:E8">
    <cfRule type="colorScale" priority="17">
      <colorScale>
        <cfvo type="min"/>
        <cfvo type="max"/>
        <color theme="9" tint="0.39997558519241921"/>
        <color theme="5" tint="-0.249977111117893"/>
      </colorScale>
    </cfRule>
  </conditionalFormatting>
  <conditionalFormatting sqref="H3:H8">
    <cfRule type="colorScale" priority="16">
      <colorScale>
        <cfvo type="min"/>
        <cfvo type="max"/>
        <color theme="9" tint="0.39997558519241921"/>
        <color theme="5" tint="-0.249977111117893"/>
      </colorScale>
    </cfRule>
  </conditionalFormatting>
  <conditionalFormatting sqref="E12:E13">
    <cfRule type="colorScale" priority="15">
      <colorScale>
        <cfvo type="min"/>
        <cfvo type="max"/>
        <color theme="9" tint="0.39997558519241921"/>
        <color theme="5" tint="-0.249977111117893"/>
      </colorScale>
    </cfRule>
  </conditionalFormatting>
  <conditionalFormatting sqref="H12:H13">
    <cfRule type="colorScale" priority="9">
      <colorScale>
        <cfvo type="min"/>
        <cfvo type="max"/>
        <color theme="5" tint="-0.249977111117893"/>
        <color theme="9" tint="0.39997558519241921"/>
      </colorScale>
    </cfRule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  <cfRule type="colorScale" priority="14">
      <colorScale>
        <cfvo type="min"/>
        <cfvo type="max"/>
        <color theme="9" tint="0.39997558519241921"/>
        <color theme="5" tint="-0.249977111117893"/>
      </colorScale>
    </cfRule>
  </conditionalFormatting>
  <conditionalFormatting sqref="E18:E19 H18:H19">
    <cfRule type="colorScale" priority="13">
      <colorScale>
        <cfvo type="min"/>
        <cfvo type="max"/>
        <color theme="9" tint="0.39997558519241921"/>
        <color theme="5" tint="-0.249977111117893"/>
      </colorScale>
    </cfRule>
  </conditionalFormatting>
  <conditionalFormatting pivot="1" sqref="Z3:Z3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AD3:AD32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:P32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:M3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3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3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cellWatches>
    <cellWatch r="C6"/>
  </cellWatches>
  <ignoredErrors>
    <ignoredError sqref="C12:H12 J3:J32" calculatedColumn="1"/>
  </ignoredErrors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2"/>
  <sheetViews>
    <sheetView workbookViewId="0">
      <selection activeCell="D22" sqref="D22"/>
    </sheetView>
  </sheetViews>
  <sheetFormatPr defaultRowHeight="15" x14ac:dyDescent="0.25"/>
  <cols>
    <col min="1" max="1" width="13.7109375" bestFit="1" customWidth="1"/>
    <col min="2" max="2" width="9.5703125" customWidth="1"/>
    <col min="3" max="3" width="9.42578125" customWidth="1"/>
    <col min="4" max="4" width="9.7109375" bestFit="1" customWidth="1"/>
    <col min="5" max="5" width="9.85546875" bestFit="1" customWidth="1"/>
    <col min="6" max="6" width="10.140625" bestFit="1" customWidth="1"/>
    <col min="7" max="7" width="7.42578125" bestFit="1" customWidth="1"/>
    <col min="8" max="8" width="8.5703125" bestFit="1" customWidth="1"/>
    <col min="9" max="9" width="10.42578125" bestFit="1" customWidth="1"/>
    <col min="11" max="11" width="11" bestFit="1" customWidth="1"/>
    <col min="16" max="16" width="7.42578125" bestFit="1" customWidth="1"/>
    <col min="17" max="17" width="23.8554687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53</v>
      </c>
      <c r="F1" t="s">
        <v>50</v>
      </c>
      <c r="G1" t="s">
        <v>51</v>
      </c>
      <c r="H1" t="s">
        <v>143</v>
      </c>
      <c r="I1" t="s">
        <v>52</v>
      </c>
      <c r="K1" t="s">
        <v>45</v>
      </c>
      <c r="N1" t="s">
        <v>49</v>
      </c>
      <c r="O1" t="s">
        <v>57</v>
      </c>
    </row>
    <row r="2" spans="1:15" x14ac:dyDescent="0.25">
      <c r="A2" t="s">
        <v>117</v>
      </c>
      <c r="B2">
        <v>104.49</v>
      </c>
      <c r="C2">
        <v>103</v>
      </c>
      <c r="D2">
        <v>1.49</v>
      </c>
      <c r="E2" s="2">
        <f>Table3[[#This Row],[ORtg/A]]-Table3[[#Totals],[ORtg/A]]</f>
        <v>-2.5130000000000052</v>
      </c>
      <c r="F2" s="2">
        <f>Table3[[#This Row],[DRtg/A]]-Table3[[#Totals],[DRtg/A]]</f>
        <v>-4.0643333333333374</v>
      </c>
      <c r="G2">
        <v>94</v>
      </c>
      <c r="H2" s="2">
        <v>15.074967284891102</v>
      </c>
      <c r="I2" s="30" t="s">
        <v>9</v>
      </c>
      <c r="K2" s="1">
        <f>Table2[[#Totals],[H/Pts]]-Table2[[#Totals],[A/Pts]]</f>
        <v>2.7786885245901658</v>
      </c>
      <c r="M2" t="s">
        <v>48</v>
      </c>
      <c r="N2" s="2">
        <f>SUM(Boxscore!AM2:AM245)</f>
        <v>33331.078555737709</v>
      </c>
      <c r="O2" s="2">
        <f>SUM(Boxscore!AO2:AO245)</f>
        <v>32834.244812952238</v>
      </c>
    </row>
    <row r="3" spans="1:15" x14ac:dyDescent="0.25">
      <c r="A3" t="s">
        <v>126</v>
      </c>
      <c r="B3">
        <v>108.84</v>
      </c>
      <c r="C3">
        <v>110.11</v>
      </c>
      <c r="D3">
        <v>-1.26</v>
      </c>
      <c r="E3" s="2">
        <f>Table3[[#This Row],[ORtg/A]]-Table3[[#Totals],[ORtg/A]]</f>
        <v>1.8370000000000033</v>
      </c>
      <c r="F3" s="2">
        <f>Table3[[#This Row],[DRtg/A]]-Table3[[#Totals],[DRtg/A]]</f>
        <v>3.0456666666666621</v>
      </c>
      <c r="G3">
        <v>95.7</v>
      </c>
      <c r="H3" s="2">
        <v>11.38959746134571</v>
      </c>
      <c r="I3" s="30" t="s">
        <v>19</v>
      </c>
      <c r="M3" t="s">
        <v>63</v>
      </c>
      <c r="N3" s="21">
        <f>SQRT(N2)</f>
        <v>182.56801076787167</v>
      </c>
      <c r="O3" s="2">
        <f>SQRT(O2)</f>
        <v>181.20222077268323</v>
      </c>
    </row>
    <row r="4" spans="1:15" x14ac:dyDescent="0.25">
      <c r="A4" t="s">
        <v>136</v>
      </c>
      <c r="B4">
        <v>106.58</v>
      </c>
      <c r="C4">
        <v>102.41</v>
      </c>
      <c r="D4">
        <v>4.17</v>
      </c>
      <c r="E4" s="2">
        <f>Table3[[#This Row],[ORtg/A]]-Table3[[#Totals],[ORtg/A]]</f>
        <v>-0.42300000000000182</v>
      </c>
      <c r="F4" s="2">
        <f>Table3[[#This Row],[DRtg/A]]-Table3[[#Totals],[DRtg/A]]</f>
        <v>-4.6543333333333408</v>
      </c>
      <c r="G4">
        <v>91.5</v>
      </c>
      <c r="H4" s="2">
        <v>8.400874699365021</v>
      </c>
      <c r="I4" s="30" t="s">
        <v>19</v>
      </c>
    </row>
    <row r="5" spans="1:15" x14ac:dyDescent="0.25">
      <c r="A5" t="s">
        <v>133</v>
      </c>
      <c r="B5">
        <v>108.14</v>
      </c>
      <c r="C5">
        <v>110.14</v>
      </c>
      <c r="D5">
        <v>-2</v>
      </c>
      <c r="E5" s="2">
        <f>Table3[[#This Row],[ORtg/A]]-Table3[[#Totals],[ORtg/A]]</f>
        <v>1.1370000000000005</v>
      </c>
      <c r="F5" s="2">
        <f>Table3[[#This Row],[DRtg/A]]-Table3[[#Totals],[DRtg/A]]</f>
        <v>3.0756666666666632</v>
      </c>
      <c r="G5">
        <v>94.2</v>
      </c>
      <c r="H5" s="2">
        <v>6.7185875613585928</v>
      </c>
      <c r="I5" s="30" t="s">
        <v>5</v>
      </c>
    </row>
    <row r="6" spans="1:15" x14ac:dyDescent="0.25">
      <c r="A6" t="s">
        <v>125</v>
      </c>
      <c r="B6">
        <v>106.41</v>
      </c>
      <c r="C6">
        <v>108.97</v>
      </c>
      <c r="D6">
        <v>-2.56</v>
      </c>
      <c r="E6" s="2">
        <f>Table3[[#This Row],[ORtg/A]]-Table3[[#Totals],[ORtg/A]]</f>
        <v>-0.59300000000000352</v>
      </c>
      <c r="F6" s="2">
        <f>Table3[[#This Row],[DRtg/A]]-Table3[[#Totals],[DRtg/A]]</f>
        <v>1.9056666666666615</v>
      </c>
      <c r="G6">
        <v>96.1</v>
      </c>
      <c r="H6" s="2">
        <v>6.655140305881809</v>
      </c>
      <c r="I6" s="30" t="s">
        <v>9</v>
      </c>
    </row>
    <row r="7" spans="1:15" x14ac:dyDescent="0.25">
      <c r="A7" t="s">
        <v>123</v>
      </c>
      <c r="B7">
        <v>103.96</v>
      </c>
      <c r="C7">
        <v>103.35</v>
      </c>
      <c r="D7">
        <v>0.6</v>
      </c>
      <c r="E7" s="2">
        <f>Table3[[#This Row],[ORtg/A]]-Table3[[#Totals],[ORtg/A]]</f>
        <v>-3.0430000000000064</v>
      </c>
      <c r="F7" s="2">
        <f>Table3[[#This Row],[DRtg/A]]-Table3[[#Totals],[DRtg/A]]</f>
        <v>-3.714333333333343</v>
      </c>
      <c r="G7">
        <v>92.5</v>
      </c>
      <c r="H7" s="2">
        <v>6.2085788421324546</v>
      </c>
      <c r="I7" s="30" t="s">
        <v>7</v>
      </c>
    </row>
    <row r="8" spans="1:15" x14ac:dyDescent="0.25">
      <c r="A8" t="s">
        <v>115</v>
      </c>
      <c r="B8">
        <v>97.26</v>
      </c>
      <c r="C8">
        <v>106.2</v>
      </c>
      <c r="D8">
        <v>-8.94</v>
      </c>
      <c r="E8" s="2">
        <f>Table3[[#This Row],[ORtg/A]]-Table3[[#Totals],[ORtg/A]]</f>
        <v>-9.742999999999995</v>
      </c>
      <c r="F8" s="2">
        <f>Table3[[#This Row],[DRtg/A]]-Table3[[#Totals],[DRtg/A]]</f>
        <v>-0.86433333333333451</v>
      </c>
      <c r="G8">
        <v>92.9</v>
      </c>
      <c r="H8" s="2">
        <v>5.6015056863664379</v>
      </c>
      <c r="I8" s="30" t="s">
        <v>7</v>
      </c>
    </row>
    <row r="9" spans="1:15" x14ac:dyDescent="0.25">
      <c r="A9" t="s">
        <v>137</v>
      </c>
      <c r="B9">
        <v>107.34</v>
      </c>
      <c r="C9">
        <v>110.41</v>
      </c>
      <c r="D9">
        <v>-3.07</v>
      </c>
      <c r="E9" s="2">
        <f>Table3[[#This Row],[ORtg/A]]-Table3[[#Totals],[ORtg/A]]</f>
        <v>0.3370000000000033</v>
      </c>
      <c r="F9" s="2">
        <f>Table3[[#This Row],[DRtg/A]]-Table3[[#Totals],[DRtg/A]]</f>
        <v>3.3456666666666592</v>
      </c>
      <c r="G9">
        <v>96</v>
      </c>
      <c r="H9" s="2">
        <v>5.2169714106444918</v>
      </c>
      <c r="I9" s="30" t="s">
        <v>12</v>
      </c>
    </row>
    <row r="10" spans="1:15" x14ac:dyDescent="0.25">
      <c r="A10" t="s">
        <v>124</v>
      </c>
      <c r="B10">
        <v>103.41</v>
      </c>
      <c r="C10">
        <v>104.69</v>
      </c>
      <c r="D10">
        <v>-1.28</v>
      </c>
      <c r="E10" s="2">
        <f>Table3[[#This Row],[ORtg/A]]-Table3[[#Totals],[ORtg/A]]</f>
        <v>-3.5930000000000035</v>
      </c>
      <c r="F10" s="2">
        <f>Table3[[#This Row],[DRtg/A]]-Table3[[#Totals],[DRtg/A]]</f>
        <v>-2.3743333333333396</v>
      </c>
      <c r="G10">
        <v>93.7</v>
      </c>
      <c r="H10" s="2">
        <v>4.7499952087181443</v>
      </c>
      <c r="I10" s="30" t="s">
        <v>12</v>
      </c>
    </row>
    <row r="11" spans="1:15" x14ac:dyDescent="0.25">
      <c r="A11" t="s">
        <v>128</v>
      </c>
      <c r="B11">
        <v>108.1</v>
      </c>
      <c r="C11">
        <v>110.04</v>
      </c>
      <c r="D11">
        <v>-1.94</v>
      </c>
      <c r="E11" s="2">
        <f>Table3[[#This Row],[ORtg/A]]-Table3[[#Totals],[ORtg/A]]</f>
        <v>1.0969999999999942</v>
      </c>
      <c r="F11" s="2">
        <f>Table3[[#This Row],[DRtg/A]]-Table3[[#Totals],[DRtg/A]]</f>
        <v>2.9756666666666689</v>
      </c>
      <c r="G11">
        <v>96.3</v>
      </c>
      <c r="H11" s="2">
        <v>4.6229209530947211</v>
      </c>
      <c r="I11" s="30" t="s">
        <v>15</v>
      </c>
    </row>
    <row r="12" spans="1:15" x14ac:dyDescent="0.25">
      <c r="A12" t="s">
        <v>130</v>
      </c>
      <c r="B12">
        <v>97.99</v>
      </c>
      <c r="C12">
        <v>106.71</v>
      </c>
      <c r="D12">
        <v>-8.7100000000000009</v>
      </c>
      <c r="E12" s="2">
        <f>Table3[[#This Row],[ORtg/A]]-Table3[[#Totals],[ORtg/A]]</f>
        <v>-9.0130000000000052</v>
      </c>
      <c r="F12" s="2">
        <f>Table3[[#This Row],[DRtg/A]]-Table3[[#Totals],[DRtg/A]]</f>
        <v>-0.3543333333333436</v>
      </c>
      <c r="G12">
        <v>94.2</v>
      </c>
      <c r="H12" s="2">
        <v>4.6029797952329137</v>
      </c>
      <c r="I12" s="30" t="s">
        <v>12</v>
      </c>
    </row>
    <row r="13" spans="1:15" x14ac:dyDescent="0.25">
      <c r="A13" t="s">
        <v>120</v>
      </c>
      <c r="B13">
        <v>103.87</v>
      </c>
      <c r="C13">
        <v>108.66</v>
      </c>
      <c r="D13">
        <v>-4.78</v>
      </c>
      <c r="E13" s="2">
        <f>Table3[[#This Row],[ORtg/A]]-Table3[[#Totals],[ORtg/A]]</f>
        <v>-3.1329999999999956</v>
      </c>
      <c r="F13" s="2">
        <f>Table3[[#This Row],[DRtg/A]]-Table3[[#Totals],[DRtg/A]]</f>
        <v>1.5956666666666592</v>
      </c>
      <c r="G13">
        <v>98.3</v>
      </c>
      <c r="H13" s="2">
        <v>4.1129858555191037</v>
      </c>
      <c r="I13" s="30" t="s">
        <v>9</v>
      </c>
    </row>
    <row r="14" spans="1:15" x14ac:dyDescent="0.25">
      <c r="A14" t="s">
        <v>113</v>
      </c>
      <c r="B14">
        <v>111.01</v>
      </c>
      <c r="C14">
        <v>106.45</v>
      </c>
      <c r="D14">
        <v>4.57</v>
      </c>
      <c r="E14" s="2">
        <f>Table3[[#This Row],[ORtg/A]]-Table3[[#Totals],[ORtg/A]]</f>
        <v>4.007000000000005</v>
      </c>
      <c r="F14" s="2">
        <f>Table3[[#This Row],[DRtg/A]]-Table3[[#Totals],[DRtg/A]]</f>
        <v>-0.61433333333333451</v>
      </c>
      <c r="G14">
        <v>95.1</v>
      </c>
      <c r="H14" s="2">
        <v>3.915609758320497</v>
      </c>
      <c r="I14" s="30" t="s">
        <v>9</v>
      </c>
    </row>
    <row r="15" spans="1:15" x14ac:dyDescent="0.25">
      <c r="A15" t="s">
        <v>121</v>
      </c>
      <c r="B15">
        <v>115.27</v>
      </c>
      <c r="C15">
        <v>102.62</v>
      </c>
      <c r="D15">
        <v>12.65</v>
      </c>
      <c r="E15" s="2">
        <f>Table3[[#This Row],[ORtg/A]]-Table3[[#Totals],[ORtg/A]]</f>
        <v>8.2669999999999959</v>
      </c>
      <c r="F15" s="2">
        <f>Table3[[#This Row],[DRtg/A]]-Table3[[#Totals],[DRtg/A]]</f>
        <v>-4.4443333333333328</v>
      </c>
      <c r="G15">
        <v>96.4</v>
      </c>
      <c r="H15" s="2">
        <v>3.0275289842799409</v>
      </c>
      <c r="I15" s="30" t="s">
        <v>5</v>
      </c>
    </row>
    <row r="16" spans="1:15" x14ac:dyDescent="0.25">
      <c r="A16" t="s">
        <v>138</v>
      </c>
      <c r="B16">
        <v>98.92</v>
      </c>
      <c r="C16">
        <v>108.62</v>
      </c>
      <c r="D16">
        <v>-9.7100000000000009</v>
      </c>
      <c r="E16" s="2">
        <f>Table3[[#This Row],[ORtg/A]]-Table3[[#Totals],[ORtg/A]]</f>
        <v>-8.0829999999999984</v>
      </c>
      <c r="F16" s="2">
        <f>Table3[[#This Row],[DRtg/A]]-Table3[[#Totals],[DRtg/A]]</f>
        <v>1.5556666666666672</v>
      </c>
      <c r="G16">
        <v>97.5</v>
      </c>
      <c r="H16" s="2">
        <v>2.8905215705026697</v>
      </c>
      <c r="I16" s="30" t="s">
        <v>15</v>
      </c>
    </row>
    <row r="17" spans="1:9" x14ac:dyDescent="0.25">
      <c r="A17" t="s">
        <v>114</v>
      </c>
      <c r="B17">
        <v>114.94</v>
      </c>
      <c r="C17">
        <v>106.37</v>
      </c>
      <c r="D17">
        <v>8.57</v>
      </c>
      <c r="E17" s="2">
        <f>Table3[[#This Row],[ORtg/A]]-Table3[[#Totals],[ORtg/A]]</f>
        <v>7.9369999999999976</v>
      </c>
      <c r="F17" s="2">
        <f>Table3[[#This Row],[DRtg/A]]-Table3[[#Totals],[DRtg/A]]</f>
        <v>-0.6943333333333328</v>
      </c>
      <c r="G17">
        <v>97.3</v>
      </c>
      <c r="H17" s="2">
        <v>2.6761450163391567</v>
      </c>
      <c r="I17" s="30" t="s">
        <v>9</v>
      </c>
    </row>
    <row r="18" spans="1:9" x14ac:dyDescent="0.25">
      <c r="A18" t="s">
        <v>129</v>
      </c>
      <c r="B18">
        <v>106.41</v>
      </c>
      <c r="C18">
        <v>104.98</v>
      </c>
      <c r="D18">
        <v>1.43</v>
      </c>
      <c r="E18" s="2">
        <f>Table3[[#This Row],[ORtg/A]]-Table3[[#Totals],[ORtg/A]]</f>
        <v>-0.59300000000000352</v>
      </c>
      <c r="F18" s="2">
        <f>Table3[[#This Row],[DRtg/A]]-Table3[[#Totals],[DRtg/A]]</f>
        <v>-2.0843333333333334</v>
      </c>
      <c r="G18">
        <v>99</v>
      </c>
      <c r="H18" s="2">
        <v>2.2505997665667565</v>
      </c>
      <c r="I18" s="30" t="s">
        <v>19</v>
      </c>
    </row>
    <row r="19" spans="1:9" x14ac:dyDescent="0.25">
      <c r="A19" t="s">
        <v>110</v>
      </c>
      <c r="B19">
        <v>108.01</v>
      </c>
      <c r="C19">
        <v>107.62</v>
      </c>
      <c r="D19">
        <v>0.4</v>
      </c>
      <c r="E19" s="2">
        <f>Table3[[#This Row],[ORtg/A]]-Table3[[#Totals],[ORtg/A]]</f>
        <v>1.007000000000005</v>
      </c>
      <c r="F19" s="2">
        <f>Table3[[#This Row],[DRtg/A]]-Table3[[#Totals],[DRtg/A]]</f>
        <v>0.5556666666666672</v>
      </c>
      <c r="G19">
        <v>96.2</v>
      </c>
      <c r="H19" s="2">
        <v>2.0951557751310386</v>
      </c>
      <c r="I19" s="30" t="s">
        <v>15</v>
      </c>
    </row>
    <row r="20" spans="1:9" x14ac:dyDescent="0.25">
      <c r="A20" t="s">
        <v>135</v>
      </c>
      <c r="B20">
        <v>113.66</v>
      </c>
      <c r="C20">
        <v>107.8</v>
      </c>
      <c r="D20">
        <v>5.86</v>
      </c>
      <c r="E20" s="2">
        <f>Table3[[#This Row],[ORtg/A]]-Table3[[#Totals],[ORtg/A]]</f>
        <v>6.6569999999999965</v>
      </c>
      <c r="F20" s="2">
        <f>Table3[[#This Row],[DRtg/A]]-Table3[[#Totals],[DRtg/A]]</f>
        <v>0.73566666666665981</v>
      </c>
      <c r="G20">
        <v>95.4</v>
      </c>
      <c r="H20" s="2">
        <v>1.4508745841154482</v>
      </c>
      <c r="I20" s="30" t="s">
        <v>15</v>
      </c>
    </row>
    <row r="21" spans="1:9" x14ac:dyDescent="0.25">
      <c r="A21" t="s">
        <v>127</v>
      </c>
      <c r="B21">
        <v>102.86</v>
      </c>
      <c r="C21">
        <v>105.6</v>
      </c>
      <c r="D21">
        <v>-2.74</v>
      </c>
      <c r="E21" s="2">
        <f>Table3[[#This Row],[ORtg/A]]-Table3[[#Totals],[ORtg/A]]</f>
        <v>-4.1430000000000007</v>
      </c>
      <c r="F21" s="2">
        <f>Table3[[#This Row],[DRtg/A]]-Table3[[#Totals],[DRtg/A]]</f>
        <v>-1.464333333333343</v>
      </c>
      <c r="G21">
        <v>99.3</v>
      </c>
      <c r="H21" s="2">
        <v>0.70766156840934547</v>
      </c>
      <c r="I21" s="30" t="s">
        <v>7</v>
      </c>
    </row>
    <row r="22" spans="1:9" x14ac:dyDescent="0.25">
      <c r="A22" t="s">
        <v>122</v>
      </c>
      <c r="B22">
        <v>109.13</v>
      </c>
      <c r="C22">
        <v>111.46</v>
      </c>
      <c r="D22">
        <v>-2.33</v>
      </c>
      <c r="E22" s="2">
        <f>Table3[[#This Row],[ORtg/A]]-Table3[[#Totals],[ORtg/A]]</f>
        <v>2.1269999999999953</v>
      </c>
      <c r="F22" s="2">
        <f>Table3[[#This Row],[DRtg/A]]-Table3[[#Totals],[DRtg/A]]</f>
        <v>4.3956666666666564</v>
      </c>
      <c r="G22">
        <v>100.2</v>
      </c>
      <c r="H22" s="2">
        <v>0.62314403936857876</v>
      </c>
      <c r="I22" s="30" t="s">
        <v>5</v>
      </c>
    </row>
    <row r="23" spans="1:9" x14ac:dyDescent="0.25">
      <c r="A23" t="s">
        <v>132</v>
      </c>
      <c r="B23">
        <v>109.9</v>
      </c>
      <c r="C23">
        <v>112.42</v>
      </c>
      <c r="D23">
        <v>-2.52</v>
      </c>
      <c r="E23" s="2">
        <f>Table3[[#This Row],[ORtg/A]]-Table3[[#Totals],[ORtg/A]]</f>
        <v>2.8970000000000056</v>
      </c>
      <c r="F23" s="2">
        <f>Table3[[#This Row],[DRtg/A]]-Table3[[#Totals],[DRtg/A]]</f>
        <v>5.3556666666666644</v>
      </c>
      <c r="G23">
        <v>98.8</v>
      </c>
      <c r="H23" s="2">
        <v>0.56253317753351784</v>
      </c>
      <c r="I23" s="30" t="s">
        <v>19</v>
      </c>
    </row>
    <row r="24" spans="1:9" x14ac:dyDescent="0.25">
      <c r="A24" t="s">
        <v>116</v>
      </c>
      <c r="B24">
        <v>106.34</v>
      </c>
      <c r="C24">
        <v>107.16</v>
      </c>
      <c r="D24">
        <v>-0.82</v>
      </c>
      <c r="E24" s="2">
        <f>Table3[[#This Row],[ORtg/A]]-Table3[[#Totals],[ORtg/A]]</f>
        <v>-0.6629999999999967</v>
      </c>
      <c r="F24" s="2">
        <f>Table3[[#This Row],[DRtg/A]]-Table3[[#Totals],[DRtg/A]]</f>
        <v>9.5666666666659239E-2</v>
      </c>
      <c r="G24">
        <v>99.1</v>
      </c>
      <c r="H24" s="2">
        <v>-0.30715536331789262</v>
      </c>
      <c r="I24" s="30" t="s">
        <v>19</v>
      </c>
    </row>
    <row r="25" spans="1:9" x14ac:dyDescent="0.25">
      <c r="A25" t="s">
        <v>119</v>
      </c>
      <c r="B25">
        <v>113.22</v>
      </c>
      <c r="C25">
        <v>109.62</v>
      </c>
      <c r="D25">
        <v>3.6</v>
      </c>
      <c r="E25" s="2">
        <f>Table3[[#This Row],[ORtg/A]]-Table3[[#Totals],[ORtg/A]]</f>
        <v>6.2169999999999987</v>
      </c>
      <c r="F25" s="2">
        <f>Table3[[#This Row],[DRtg/A]]-Table3[[#Totals],[DRtg/A]]</f>
        <v>2.5556666666666672</v>
      </c>
      <c r="G25">
        <v>96.9</v>
      </c>
      <c r="H25" s="2">
        <v>-0.66163800848681309</v>
      </c>
      <c r="I25" s="30" t="s">
        <v>7</v>
      </c>
    </row>
    <row r="26" spans="1:9" x14ac:dyDescent="0.25">
      <c r="A26" t="s">
        <v>112</v>
      </c>
      <c r="B26">
        <v>107.94</v>
      </c>
      <c r="C26">
        <v>105.97</v>
      </c>
      <c r="D26">
        <v>1.96</v>
      </c>
      <c r="E26" s="2">
        <f>Table3[[#This Row],[ORtg/A]]-Table3[[#Totals],[ORtg/A]]</f>
        <v>0.93699999999999761</v>
      </c>
      <c r="F26" s="2">
        <f>Table3[[#This Row],[DRtg/A]]-Table3[[#Totals],[DRtg/A]]</f>
        <v>-1.0943333333333385</v>
      </c>
      <c r="G26">
        <v>97.4</v>
      </c>
      <c r="H26" s="2">
        <v>-0.8149254416822298</v>
      </c>
      <c r="I26" s="30" t="s">
        <v>12</v>
      </c>
    </row>
    <row r="27" spans="1:9" x14ac:dyDescent="0.25">
      <c r="A27" t="s">
        <v>109</v>
      </c>
      <c r="B27">
        <v>102.24</v>
      </c>
      <c r="C27">
        <v>100.03</v>
      </c>
      <c r="D27">
        <v>2.2000000000000002</v>
      </c>
      <c r="E27" s="2">
        <f>Table3[[#This Row],[ORtg/A]]-Table3[[#Totals],[ORtg/A]]</f>
        <v>-4.7630000000000052</v>
      </c>
      <c r="F27" s="2">
        <f>Table3[[#This Row],[DRtg/A]]-Table3[[#Totals],[DRtg/A]]</f>
        <v>-7.0343333333333362</v>
      </c>
      <c r="G27">
        <v>99.2</v>
      </c>
      <c r="H27" s="2">
        <v>-0.86049871577313342</v>
      </c>
      <c r="I27" s="30" t="s">
        <v>12</v>
      </c>
    </row>
    <row r="28" spans="1:9" x14ac:dyDescent="0.25">
      <c r="A28" t="s">
        <v>118</v>
      </c>
      <c r="B28">
        <v>117.1</v>
      </c>
      <c r="C28">
        <v>105.76</v>
      </c>
      <c r="D28">
        <v>11.34</v>
      </c>
      <c r="E28" s="2">
        <f>Table3[[#This Row],[ORtg/A]]-Table3[[#Totals],[ORtg/A]]</f>
        <v>10.096999999999994</v>
      </c>
      <c r="F28" s="2">
        <f>Table3[[#This Row],[DRtg/A]]-Table3[[#Totals],[DRtg/A]]</f>
        <v>-1.3043333333333322</v>
      </c>
      <c r="G28">
        <v>100.4</v>
      </c>
      <c r="H28" s="2">
        <v>-2.6403296340148934</v>
      </c>
      <c r="I28" s="30" t="s">
        <v>5</v>
      </c>
    </row>
    <row r="29" spans="1:9" x14ac:dyDescent="0.25">
      <c r="A29" t="s">
        <v>111</v>
      </c>
      <c r="B29">
        <v>102.33</v>
      </c>
      <c r="C29">
        <v>111.19</v>
      </c>
      <c r="D29">
        <v>-8.86</v>
      </c>
      <c r="E29" s="2">
        <f>Table3[[#This Row],[ORtg/A]]-Table3[[#Totals],[ORtg/A]]</f>
        <v>-4.6730000000000018</v>
      </c>
      <c r="F29" s="2">
        <f>Table3[[#This Row],[DRtg/A]]-Table3[[#Totals],[DRtg/A]]</f>
        <v>4.1256666666666604</v>
      </c>
      <c r="G29">
        <v>102</v>
      </c>
      <c r="H29" s="2">
        <v>-3.9487859532192555</v>
      </c>
      <c r="I29" s="30" t="s">
        <v>15</v>
      </c>
    </row>
    <row r="30" spans="1:9" x14ac:dyDescent="0.25">
      <c r="A30" t="s">
        <v>134</v>
      </c>
      <c r="B30">
        <v>112.85</v>
      </c>
      <c r="C30">
        <v>105.54</v>
      </c>
      <c r="D30">
        <v>7.31</v>
      </c>
      <c r="E30" s="2">
        <f>Table3[[#This Row],[ORtg/A]]-Table3[[#Totals],[ORtg/A]]</f>
        <v>5.8469999999999942</v>
      </c>
      <c r="F30" s="2">
        <f>Table3[[#This Row],[DRtg/A]]-Table3[[#Totals],[DRtg/A]]</f>
        <v>-1.5243333333333311</v>
      </c>
      <c r="G30">
        <v>93.4</v>
      </c>
      <c r="H30" s="2">
        <v>-4.8982218739665253</v>
      </c>
      <c r="I30" s="30" t="s">
        <v>7</v>
      </c>
    </row>
    <row r="31" spans="1:9" x14ac:dyDescent="0.25">
      <c r="A31" t="s">
        <v>131</v>
      </c>
      <c r="B31">
        <v>101.57</v>
      </c>
      <c r="C31">
        <v>108.03</v>
      </c>
      <c r="D31">
        <v>-6.46</v>
      </c>
      <c r="E31" s="2">
        <f>Table3[[#This Row],[ORtg/A]]-Table3[[#Totals],[ORtg/A]]</f>
        <v>-5.4330000000000069</v>
      </c>
      <c r="F31" s="2">
        <f>Table3[[#This Row],[DRtg/A]]-Table3[[#Totals],[DRtg/A]]</f>
        <v>0.96566666666666379</v>
      </c>
      <c r="G31">
        <v>101.7</v>
      </c>
      <c r="H31" s="2">
        <v>-6.0626678552628741</v>
      </c>
      <c r="I31" s="30" t="s">
        <v>5</v>
      </c>
    </row>
    <row r="32" spans="1:9" x14ac:dyDescent="0.25">
      <c r="A32" t="s">
        <v>43</v>
      </c>
      <c r="B32" s="2">
        <f>SUBTOTAL(101,Table3[ORtg/A])</f>
        <v>107.003</v>
      </c>
      <c r="C32" s="2">
        <f>SUBTOTAL(101,Table3[DRtg/A])</f>
        <v>107.06433333333334</v>
      </c>
      <c r="D32" s="2">
        <f>SUBTOTAL(101,Table3[NRtg/A])</f>
        <v>-6.1000000000000061E-2</v>
      </c>
      <c r="E32" s="2">
        <f>SUBTOTAL(101,Table3[Off Diff])</f>
        <v>-1.4210854715202005E-15</v>
      </c>
      <c r="F32" s="2">
        <f>SUBTOTAL(101,Table3[Def Diff])</f>
        <v>-3.7895612573872009E-15</v>
      </c>
      <c r="G32" s="2">
        <f>SUBTOTAL(101,Table3[Pace])</f>
        <v>96.69</v>
      </c>
      <c r="H32" s="1">
        <f>SUBTOTAL(101,Table3[H/Edg])</f>
        <v>2.7786885486464619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2"/>
  <sheetViews>
    <sheetView workbookViewId="0">
      <selection activeCell="K7" sqref="K7:K8"/>
    </sheetView>
  </sheetViews>
  <sheetFormatPr defaultRowHeight="15" x14ac:dyDescent="0.25"/>
  <cols>
    <col min="1" max="1" width="10.7109375" bestFit="1" customWidth="1"/>
    <col min="2" max="2" width="11.42578125" customWidth="1"/>
    <col min="3" max="3" width="12.140625" bestFit="1" customWidth="1"/>
    <col min="4" max="4" width="11.42578125" bestFit="1" customWidth="1"/>
    <col min="5" max="5" width="9.140625" bestFit="1" customWidth="1"/>
    <col min="6" max="6" width="11.5703125" bestFit="1" customWidth="1"/>
    <col min="7" max="7" width="10.85546875" bestFit="1" customWidth="1"/>
    <col min="8" max="8" width="8.5703125" bestFit="1" customWidth="1"/>
    <col min="9" max="9" width="17.28515625" style="12" bestFit="1" customWidth="1"/>
  </cols>
  <sheetData>
    <row r="1" spans="1:9" x14ac:dyDescent="0.25">
      <c r="A1" t="s">
        <v>40</v>
      </c>
      <c r="B1" t="s">
        <v>61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s="12" t="s">
        <v>159</v>
      </c>
    </row>
    <row r="2" spans="1:9" x14ac:dyDescent="0.25">
      <c r="A2" s="34">
        <v>42682</v>
      </c>
      <c r="B2" s="35">
        <v>-22</v>
      </c>
      <c r="C2">
        <v>0</v>
      </c>
      <c r="D2">
        <v>1</v>
      </c>
      <c r="E2" s="70">
        <f>Table7[[#This Row],[NBA Wins]]/Table7[[#This Row],[NBA Bets]]</f>
        <v>0</v>
      </c>
      <c r="G2" s="48"/>
      <c r="H2" s="70"/>
    </row>
    <row r="3" spans="1:9" x14ac:dyDescent="0.25">
      <c r="A3" s="34">
        <v>42683</v>
      </c>
      <c r="B3" s="35">
        <v>-22</v>
      </c>
      <c r="C3">
        <v>0</v>
      </c>
      <c r="D3">
        <v>1</v>
      </c>
      <c r="E3" s="70">
        <f>Table7[[#This Row],[NBA Wins]]/Table7[[#This Row],[NBA Bets]]</f>
        <v>0</v>
      </c>
      <c r="G3" s="48"/>
      <c r="H3" s="70"/>
    </row>
    <row r="4" spans="1:9" x14ac:dyDescent="0.25">
      <c r="A4" s="34">
        <v>42685</v>
      </c>
      <c r="B4" s="35">
        <v>-22</v>
      </c>
      <c r="C4">
        <v>0</v>
      </c>
      <c r="D4">
        <v>1</v>
      </c>
      <c r="E4" s="70">
        <f>Table7[[#This Row],[NBA Wins]]/Table7[[#This Row],[NBA Bets]]</f>
        <v>0</v>
      </c>
      <c r="G4" s="48"/>
      <c r="H4" s="70"/>
    </row>
    <row r="5" spans="1:9" x14ac:dyDescent="0.25">
      <c r="A5" s="34">
        <v>42686</v>
      </c>
      <c r="B5" s="35">
        <v>40</v>
      </c>
      <c r="C5">
        <v>2</v>
      </c>
      <c r="D5">
        <v>2</v>
      </c>
      <c r="E5" s="70">
        <f>Table7[[#This Row],[NBA Wins]]/Table7[[#This Row],[NBA Bets]]</f>
        <v>1</v>
      </c>
      <c r="G5" s="48"/>
      <c r="H5" s="70"/>
    </row>
    <row r="6" spans="1:9" x14ac:dyDescent="0.25">
      <c r="A6" s="34">
        <v>42687</v>
      </c>
      <c r="B6" s="35">
        <v>26</v>
      </c>
      <c r="C6">
        <v>0</v>
      </c>
      <c r="D6">
        <v>2</v>
      </c>
      <c r="E6" s="70">
        <f>Table7[[#This Row],[NBA Wins]]/Table7[[#This Row],[NBA Bets]]</f>
        <v>0</v>
      </c>
      <c r="F6">
        <v>3</v>
      </c>
      <c r="G6" s="48">
        <v>4</v>
      </c>
      <c r="H6" s="70">
        <f>Table7[[#This Row],[NFL Wins]]/Table7[[#This Row],[NFL Bets]]</f>
        <v>0.75</v>
      </c>
      <c r="I6" s="12">
        <f>SUM(C2:C6)/SUM(D2:D6)</f>
        <v>0.2857142857142857</v>
      </c>
    </row>
    <row r="7" spans="1:9" x14ac:dyDescent="0.25">
      <c r="A7" s="34">
        <v>42688</v>
      </c>
      <c r="B7" s="35">
        <v>12</v>
      </c>
      <c r="C7">
        <v>0</v>
      </c>
      <c r="D7">
        <v>1</v>
      </c>
      <c r="E7" s="70">
        <f>Table7[[#This Row],[NBA Wins]]/Table7[[#This Row],[NBA Bets]]</f>
        <v>0</v>
      </c>
      <c r="F7">
        <v>2</v>
      </c>
      <c r="G7" s="48">
        <v>2</v>
      </c>
      <c r="H7" s="70">
        <f>Table7[[#This Row],[NFL Wins]]/Table7[[#This Row],[NFL Bets]]</f>
        <v>1</v>
      </c>
      <c r="I7" s="12">
        <f t="shared" ref="I7:I20" si="0">SUM(C3:C7)/SUM(D3:D7)</f>
        <v>0.2857142857142857</v>
      </c>
    </row>
    <row r="8" spans="1:9" x14ac:dyDescent="0.25">
      <c r="A8" s="34">
        <v>42689</v>
      </c>
      <c r="B8" s="35">
        <v>-66</v>
      </c>
      <c r="C8">
        <v>1</v>
      </c>
      <c r="D8">
        <v>5</v>
      </c>
      <c r="E8" s="70">
        <f>Table7[[#This Row],[NBA Wins]]/Table7[[#This Row],[NBA Bets]]</f>
        <v>0.2</v>
      </c>
      <c r="G8" s="48"/>
      <c r="H8" s="70"/>
      <c r="I8" s="12">
        <f t="shared" si="0"/>
        <v>0.27272727272727271</v>
      </c>
    </row>
    <row r="9" spans="1:9" x14ac:dyDescent="0.25">
      <c r="A9" s="34">
        <v>42690</v>
      </c>
      <c r="B9" s="35">
        <v>-97</v>
      </c>
      <c r="C9">
        <v>1</v>
      </c>
      <c r="D9">
        <v>5</v>
      </c>
      <c r="E9" s="70">
        <f>Table7[[#This Row],[NBA Wins]]/Table7[[#This Row],[NBA Bets]]</f>
        <v>0.2</v>
      </c>
      <c r="G9" s="48"/>
      <c r="H9" s="70"/>
      <c r="I9" s="12">
        <f t="shared" si="0"/>
        <v>0.26666666666666666</v>
      </c>
    </row>
    <row r="10" spans="1:9" x14ac:dyDescent="0.25">
      <c r="A10" s="34">
        <v>42691</v>
      </c>
      <c r="B10" s="35">
        <v>65</v>
      </c>
      <c r="C10">
        <v>0</v>
      </c>
      <c r="D10">
        <v>1</v>
      </c>
      <c r="E10" s="70">
        <f>Table7[[#This Row],[NBA Wins]]/Table7[[#This Row],[NBA Bets]]</f>
        <v>0</v>
      </c>
      <c r="F10">
        <v>3</v>
      </c>
      <c r="G10" s="48">
        <v>3</v>
      </c>
      <c r="H10" s="70">
        <f>Table7[[#This Row],[NFL Wins]]/Table7[[#This Row],[NFL Bets]]</f>
        <v>1</v>
      </c>
      <c r="I10" s="12">
        <f t="shared" si="0"/>
        <v>0.14285714285714285</v>
      </c>
    </row>
    <row r="11" spans="1:9" x14ac:dyDescent="0.25">
      <c r="A11" s="34">
        <v>42692</v>
      </c>
      <c r="B11" s="35">
        <v>-6</v>
      </c>
      <c r="C11">
        <v>1</v>
      </c>
      <c r="D11">
        <v>3</v>
      </c>
      <c r="E11" s="70">
        <f>Table7[[#This Row],[NBA Wins]]/Table7[[#This Row],[NBA Bets]]</f>
        <v>0.33333333333333331</v>
      </c>
      <c r="G11" s="48"/>
      <c r="H11" s="70"/>
      <c r="I11" s="12">
        <f t="shared" si="0"/>
        <v>0.2</v>
      </c>
    </row>
    <row r="12" spans="1:9" x14ac:dyDescent="0.25">
      <c r="A12" s="34">
        <v>42693</v>
      </c>
      <c r="B12" s="35">
        <v>-59</v>
      </c>
      <c r="C12">
        <v>1</v>
      </c>
      <c r="D12">
        <v>4</v>
      </c>
      <c r="E12" s="70">
        <f>Table7[[#This Row],[NBA Wins]]/Table7[[#This Row],[NBA Bets]]</f>
        <v>0.25</v>
      </c>
      <c r="G12" s="48"/>
      <c r="H12" s="70"/>
      <c r="I12" s="12">
        <f t="shared" si="0"/>
        <v>0.22222222222222221</v>
      </c>
    </row>
    <row r="13" spans="1:9" x14ac:dyDescent="0.25">
      <c r="A13" s="77">
        <v>42694</v>
      </c>
      <c r="B13" s="78">
        <v>42</v>
      </c>
      <c r="C13" s="49">
        <v>3</v>
      </c>
      <c r="D13" s="49">
        <v>4</v>
      </c>
      <c r="E13" s="79">
        <f>Table7[[#This Row],[NBA Wins]]/Table7[[#This Row],[NBA Bets]]</f>
        <v>0.75</v>
      </c>
      <c r="F13" s="49">
        <v>4</v>
      </c>
      <c r="G13" s="75">
        <v>8</v>
      </c>
      <c r="H13" s="79">
        <f>Table7[[#This Row],[NFL Wins]]/Table7[[#This Row],[NFL Bets]]</f>
        <v>0.5</v>
      </c>
      <c r="I13" s="12">
        <f t="shared" si="0"/>
        <v>0.35294117647058826</v>
      </c>
    </row>
    <row r="14" spans="1:9" x14ac:dyDescent="0.25">
      <c r="A14" s="34">
        <v>42695</v>
      </c>
      <c r="B14" s="35">
        <v>138</v>
      </c>
      <c r="C14">
        <v>8</v>
      </c>
      <c r="D14">
        <v>9</v>
      </c>
      <c r="E14" s="70">
        <f>Table7[[#This Row],[NBA Wins]]/Table7[[#This Row],[NBA Bets]]</f>
        <v>0.88888888888888884</v>
      </c>
      <c r="G14" s="48"/>
      <c r="H14" s="70"/>
      <c r="I14" s="12">
        <f t="shared" si="0"/>
        <v>0.61904761904761907</v>
      </c>
    </row>
    <row r="15" spans="1:9" x14ac:dyDescent="0.25">
      <c r="A15" s="34">
        <v>42696</v>
      </c>
      <c r="B15" s="35">
        <v>-6</v>
      </c>
      <c r="C15">
        <v>2</v>
      </c>
      <c r="D15">
        <v>4</v>
      </c>
      <c r="E15" s="70">
        <f>Table7[[#This Row],[NBA Wins]]/Table7[[#This Row],[NBA Bets]]</f>
        <v>0.5</v>
      </c>
      <c r="G15" s="48"/>
      <c r="H15" s="70"/>
      <c r="I15" s="12">
        <f t="shared" si="0"/>
        <v>0.625</v>
      </c>
    </row>
    <row r="16" spans="1:9" x14ac:dyDescent="0.25">
      <c r="A16" s="34">
        <v>42697</v>
      </c>
      <c r="B16" s="35">
        <v>340</v>
      </c>
      <c r="C16">
        <v>8</v>
      </c>
      <c r="D16">
        <v>8</v>
      </c>
      <c r="E16" s="70">
        <f>Table7[[#This Row],[NBA Wins]]/Table7[[#This Row],[NBA Bets]]</f>
        <v>1</v>
      </c>
      <c r="G16" s="48"/>
      <c r="H16" s="70"/>
      <c r="I16" s="12">
        <f t="shared" si="0"/>
        <v>0.75862068965517238</v>
      </c>
    </row>
    <row r="17" spans="1:9" x14ac:dyDescent="0.25">
      <c r="A17" s="34">
        <v>42698</v>
      </c>
      <c r="B17" s="35">
        <v>-33</v>
      </c>
      <c r="E17" s="70"/>
      <c r="F17">
        <v>1</v>
      </c>
      <c r="G17" s="48">
        <v>3</v>
      </c>
      <c r="H17" s="70">
        <f>Table7[[#This Row],[NFL Wins]]/Table7[[#This Row],[NFL Bets]]</f>
        <v>0.33333333333333331</v>
      </c>
      <c r="I17" s="12">
        <f t="shared" si="0"/>
        <v>0.84</v>
      </c>
    </row>
    <row r="18" spans="1:9" x14ac:dyDescent="0.25">
      <c r="A18" s="34">
        <v>42699</v>
      </c>
      <c r="B18" s="35">
        <v>-4</v>
      </c>
      <c r="C18">
        <v>6</v>
      </c>
      <c r="D18">
        <v>12</v>
      </c>
      <c r="E18" s="12">
        <f>Table7[[#This Row],[NBA Wins]]/Table7[[#This Row],[NBA Bets]]</f>
        <v>0.5</v>
      </c>
      <c r="G18" s="48"/>
      <c r="H18" s="12"/>
      <c r="I18" s="12">
        <f t="shared" si="0"/>
        <v>0.72727272727272729</v>
      </c>
    </row>
    <row r="19" spans="1:9" x14ac:dyDescent="0.25">
      <c r="A19" s="34">
        <v>42700</v>
      </c>
      <c r="B19" s="35">
        <v>29</v>
      </c>
      <c r="C19">
        <v>3</v>
      </c>
      <c r="D19">
        <v>5</v>
      </c>
      <c r="E19" s="12">
        <f>Table7[[#This Row],[NBA Wins]]/Table7[[#This Row],[NBA Bets]]</f>
        <v>0.6</v>
      </c>
      <c r="G19" s="48"/>
      <c r="H19" s="12"/>
      <c r="I19" s="12">
        <f t="shared" si="0"/>
        <v>0.65517241379310343</v>
      </c>
    </row>
    <row r="20" spans="1:9" x14ac:dyDescent="0.25">
      <c r="A20" s="34">
        <v>42701</v>
      </c>
      <c r="B20" s="35"/>
      <c r="E20" s="12" t="e">
        <f>Table7[[#This Row],[NBA Wins]]/Table7[[#This Row],[NBA Bets]]</f>
        <v>#DIV/0!</v>
      </c>
      <c r="G20" s="48">
        <v>4</v>
      </c>
      <c r="H20" s="12">
        <f>Table7[[#This Row],[NFL Wins]]/Table7[[#This Row],[NFL Bets]]</f>
        <v>0</v>
      </c>
      <c r="I20" s="12">
        <f t="shared" si="0"/>
        <v>0.68</v>
      </c>
    </row>
    <row r="21" spans="1:9" x14ac:dyDescent="0.25">
      <c r="A21" t="s">
        <v>43</v>
      </c>
      <c r="B21" s="65">
        <f>SUBTOTAL(109,Table7[Winnings])</f>
        <v>355</v>
      </c>
      <c r="C21">
        <f>SUBTOTAL(109,Table7[NBA Wins])</f>
        <v>36</v>
      </c>
      <c r="D21">
        <f>SUBTOTAL(109,Table7[NBA Bets])</f>
        <v>68</v>
      </c>
      <c r="E21" s="14">
        <f>Table7[[#Totals],[NBA Wins]]/Table7[[#Totals],[NBA Bets]]</f>
        <v>0.52941176470588236</v>
      </c>
      <c r="F21">
        <f>SUBTOTAL(109,Table7[NFL Wins])</f>
        <v>13</v>
      </c>
      <c r="G21" s="68">
        <f>SUBTOTAL(109,Table7[NFL Bets])</f>
        <v>24</v>
      </c>
      <c r="H21" s="14">
        <f>Table7[[#Totals],[NFL Wins]]/Table7[[#Totals],[NFL Bets]]</f>
        <v>0.54166666666666663</v>
      </c>
    </row>
    <row r="22" spans="1:9" x14ac:dyDescent="0.25">
      <c r="G22" s="71"/>
    </row>
  </sheetData>
  <conditionalFormatting sqref="E2:E2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2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I6:I16" formulaRange="1"/>
    <ignoredError sqref="I17:I20" formulaRange="1" emptyCellReference="1"/>
  </ignoredErrors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63"/>
  <sheetViews>
    <sheetView workbookViewId="0">
      <selection activeCell="D7" sqref="D7"/>
    </sheetView>
  </sheetViews>
  <sheetFormatPr defaultRowHeight="15" x14ac:dyDescent="0.25"/>
  <cols>
    <col min="1" max="1" width="13.140625" bestFit="1" customWidth="1"/>
    <col min="2" max="2" width="11.85546875" bestFit="1" customWidth="1"/>
    <col min="3" max="3" width="6.42578125" bestFit="1" customWidth="1"/>
    <col min="4" max="4" width="8.28515625" bestFit="1" customWidth="1"/>
    <col min="5" max="5" width="5.5703125" bestFit="1" customWidth="1"/>
    <col min="6" max="6" width="7.42578125" bestFit="1" customWidth="1"/>
    <col min="7" max="7" width="9.140625" bestFit="1" customWidth="1"/>
    <col min="8" max="8" width="8.7109375" bestFit="1" customWidth="1"/>
  </cols>
  <sheetData>
    <row r="1" spans="1:8" x14ac:dyDescent="0.25">
      <c r="A1" s="97" t="s">
        <v>83</v>
      </c>
      <c r="B1" t="s">
        <v>158</v>
      </c>
      <c r="C1" t="s">
        <v>139</v>
      </c>
      <c r="D1" t="s">
        <v>140</v>
      </c>
      <c r="E1" t="s">
        <v>73</v>
      </c>
      <c r="F1" t="s">
        <v>141</v>
      </c>
      <c r="G1" t="s">
        <v>78</v>
      </c>
      <c r="H1" t="s">
        <v>80</v>
      </c>
    </row>
    <row r="2" spans="1:8" x14ac:dyDescent="0.25">
      <c r="A2" s="116">
        <v>42668</v>
      </c>
      <c r="B2" s="71"/>
      <c r="C2" s="15"/>
      <c r="D2" s="71"/>
      <c r="E2" s="15"/>
      <c r="F2" s="71"/>
      <c r="G2" s="71">
        <v>0.66666666666666663</v>
      </c>
      <c r="H2" s="71">
        <v>0.33333333333333331</v>
      </c>
    </row>
    <row r="3" spans="1:8" x14ac:dyDescent="0.25">
      <c r="A3" s="116">
        <v>42669</v>
      </c>
      <c r="B3" s="71"/>
      <c r="C3" s="15"/>
      <c r="D3" s="71"/>
      <c r="E3" s="15"/>
      <c r="F3" s="71"/>
      <c r="G3" s="71">
        <v>0.4</v>
      </c>
      <c r="H3" s="71">
        <v>0.7</v>
      </c>
    </row>
    <row r="4" spans="1:8" x14ac:dyDescent="0.25">
      <c r="A4" s="116">
        <v>42670</v>
      </c>
      <c r="B4" s="71"/>
      <c r="C4" s="15"/>
      <c r="D4" s="71"/>
      <c r="E4" s="15"/>
      <c r="F4" s="71"/>
      <c r="G4" s="71">
        <v>0.5</v>
      </c>
      <c r="H4" s="71">
        <v>0.5</v>
      </c>
    </row>
    <row r="5" spans="1:8" x14ac:dyDescent="0.25">
      <c r="A5" s="116">
        <v>42671</v>
      </c>
      <c r="B5" s="71"/>
      <c r="C5" s="15"/>
      <c r="D5" s="71"/>
      <c r="E5" s="15"/>
      <c r="F5" s="71"/>
      <c r="G5" s="71">
        <v>0.25</v>
      </c>
      <c r="H5" s="71">
        <v>0.75</v>
      </c>
    </row>
    <row r="6" spans="1:8" x14ac:dyDescent="0.25">
      <c r="A6" s="116">
        <v>42672</v>
      </c>
      <c r="B6" s="71"/>
      <c r="C6" s="15"/>
      <c r="D6" s="71"/>
      <c r="E6" s="15"/>
      <c r="F6" s="71"/>
      <c r="G6" s="71">
        <v>0.44444444444444442</v>
      </c>
      <c r="H6" s="71">
        <v>0.55555555555555558</v>
      </c>
    </row>
    <row r="7" spans="1:8" x14ac:dyDescent="0.25">
      <c r="A7" s="116">
        <v>42673</v>
      </c>
      <c r="B7" s="71"/>
      <c r="C7" s="15"/>
      <c r="D7" s="71"/>
      <c r="E7" s="15"/>
      <c r="F7" s="71"/>
      <c r="G7" s="71">
        <v>0.5714285714285714</v>
      </c>
      <c r="H7" s="71">
        <v>0.42857142857142855</v>
      </c>
    </row>
    <row r="8" spans="1:8" x14ac:dyDescent="0.25">
      <c r="A8" s="116">
        <v>42674</v>
      </c>
      <c r="B8" s="71"/>
      <c r="C8" s="15"/>
      <c r="D8" s="71"/>
      <c r="E8" s="15"/>
      <c r="F8" s="71"/>
      <c r="G8" s="71">
        <v>0.5</v>
      </c>
      <c r="H8" s="71">
        <v>0.5</v>
      </c>
    </row>
    <row r="9" spans="1:8" x14ac:dyDescent="0.25">
      <c r="A9" s="116">
        <v>42675</v>
      </c>
      <c r="B9" s="71"/>
      <c r="C9" s="15"/>
      <c r="D9" s="71"/>
      <c r="E9" s="15"/>
      <c r="F9" s="71"/>
      <c r="G9" s="71">
        <v>0.33333333333333331</v>
      </c>
      <c r="H9" s="71">
        <v>0.66666666666666663</v>
      </c>
    </row>
    <row r="10" spans="1:8" x14ac:dyDescent="0.25">
      <c r="A10" s="116">
        <v>42676</v>
      </c>
      <c r="B10" s="71"/>
      <c r="C10" s="15"/>
      <c r="D10" s="71"/>
      <c r="E10" s="15"/>
      <c r="F10" s="71"/>
      <c r="G10" s="71">
        <v>0.6</v>
      </c>
      <c r="H10" s="71">
        <v>0.4</v>
      </c>
    </row>
    <row r="11" spans="1:8" x14ac:dyDescent="0.25">
      <c r="A11" s="116">
        <v>42677</v>
      </c>
      <c r="B11" s="71"/>
      <c r="C11" s="15"/>
      <c r="D11" s="71"/>
      <c r="E11" s="15"/>
      <c r="F11" s="71"/>
      <c r="G11" s="71">
        <v>0.6</v>
      </c>
      <c r="H11" s="71">
        <v>0.4</v>
      </c>
    </row>
    <row r="12" spans="1:8" x14ac:dyDescent="0.25">
      <c r="A12" s="116">
        <v>42678</v>
      </c>
      <c r="B12" s="71"/>
      <c r="C12" s="15"/>
      <c r="D12" s="71"/>
      <c r="E12" s="15"/>
      <c r="F12" s="71"/>
      <c r="G12" s="71">
        <v>0.33333333333333331</v>
      </c>
      <c r="H12" s="71">
        <v>0.66666666666666663</v>
      </c>
    </row>
    <row r="13" spans="1:8" x14ac:dyDescent="0.25">
      <c r="A13" s="116">
        <v>42679</v>
      </c>
      <c r="B13" s="71"/>
      <c r="C13" s="15"/>
      <c r="D13" s="71"/>
      <c r="E13" s="15"/>
      <c r="F13" s="71"/>
      <c r="G13" s="71">
        <v>0.625</v>
      </c>
      <c r="H13" s="71">
        <v>0.375</v>
      </c>
    </row>
    <row r="14" spans="1:8" x14ac:dyDescent="0.25">
      <c r="A14" s="116">
        <v>42680</v>
      </c>
      <c r="B14" s="71"/>
      <c r="C14" s="15"/>
      <c r="D14" s="71"/>
      <c r="E14" s="15"/>
      <c r="F14" s="71"/>
      <c r="G14" s="71">
        <v>0.33333333333333331</v>
      </c>
      <c r="H14" s="71">
        <v>0.66666666666666663</v>
      </c>
    </row>
    <row r="15" spans="1:8" x14ac:dyDescent="0.25">
      <c r="A15" s="116">
        <v>42681</v>
      </c>
      <c r="B15" s="71"/>
      <c r="C15" s="15"/>
      <c r="D15" s="71"/>
      <c r="E15" s="15"/>
      <c r="F15" s="71"/>
      <c r="G15" s="71">
        <v>0.5714285714285714</v>
      </c>
      <c r="H15" s="71">
        <v>0.42857142857142855</v>
      </c>
    </row>
    <row r="16" spans="1:8" x14ac:dyDescent="0.25">
      <c r="A16" s="116">
        <v>42682</v>
      </c>
      <c r="B16" s="71"/>
      <c r="C16" s="15"/>
      <c r="D16" s="71"/>
      <c r="E16" s="15"/>
      <c r="F16" s="71"/>
      <c r="G16" s="71">
        <v>0.33333333333333331</v>
      </c>
      <c r="H16" s="71">
        <v>0.66666666666666663</v>
      </c>
    </row>
    <row r="17" spans="1:8" x14ac:dyDescent="0.25">
      <c r="A17" s="116">
        <v>42683</v>
      </c>
      <c r="B17" s="71"/>
      <c r="C17" s="15"/>
      <c r="D17" s="71"/>
      <c r="E17" s="15"/>
      <c r="F17" s="71"/>
      <c r="G17" s="71">
        <v>0.63636363636363635</v>
      </c>
      <c r="H17" s="71">
        <v>0.36363636363636365</v>
      </c>
    </row>
    <row r="18" spans="1:8" x14ac:dyDescent="0.25">
      <c r="A18" s="116">
        <v>42684</v>
      </c>
      <c r="B18" s="71"/>
      <c r="C18" s="15"/>
      <c r="D18" s="71"/>
      <c r="E18" s="15"/>
      <c r="F18" s="71"/>
      <c r="G18" s="71">
        <v>0</v>
      </c>
      <c r="H18" s="71">
        <v>1</v>
      </c>
    </row>
    <row r="19" spans="1:8" x14ac:dyDescent="0.25">
      <c r="A19" s="116">
        <v>42685</v>
      </c>
      <c r="B19" s="71"/>
      <c r="C19" s="15"/>
      <c r="D19" s="71"/>
      <c r="E19" s="15"/>
      <c r="F19" s="71"/>
      <c r="G19" s="71">
        <v>0.25</v>
      </c>
      <c r="H19" s="71">
        <v>0.75</v>
      </c>
    </row>
    <row r="20" spans="1:8" x14ac:dyDescent="0.25">
      <c r="A20" s="116">
        <v>42686</v>
      </c>
      <c r="B20" s="71"/>
      <c r="C20" s="15"/>
      <c r="D20" s="71"/>
      <c r="E20" s="15"/>
      <c r="F20" s="71"/>
      <c r="G20" s="71">
        <v>0.36363636363636365</v>
      </c>
      <c r="H20" s="71">
        <v>0.63636363636363635</v>
      </c>
    </row>
    <row r="21" spans="1:8" x14ac:dyDescent="0.25">
      <c r="A21" s="116">
        <v>42687</v>
      </c>
      <c r="B21" s="71"/>
      <c r="C21" s="15"/>
      <c r="D21" s="71"/>
      <c r="E21" s="15"/>
      <c r="F21" s="71"/>
      <c r="G21" s="71">
        <v>0.4</v>
      </c>
      <c r="H21" s="71">
        <v>0.8</v>
      </c>
    </row>
    <row r="22" spans="1:8" x14ac:dyDescent="0.25">
      <c r="A22" s="116">
        <v>42688</v>
      </c>
      <c r="B22" s="71"/>
      <c r="C22" s="15"/>
      <c r="D22" s="71"/>
      <c r="E22" s="15"/>
      <c r="F22" s="71"/>
      <c r="G22" s="71">
        <v>0.625</v>
      </c>
      <c r="H22" s="71">
        <v>0.375</v>
      </c>
    </row>
    <row r="23" spans="1:8" x14ac:dyDescent="0.25">
      <c r="A23" s="116">
        <v>42689</v>
      </c>
      <c r="B23" s="71"/>
      <c r="C23" s="15"/>
      <c r="D23" s="71"/>
      <c r="E23" s="15"/>
      <c r="F23" s="71"/>
      <c r="G23" s="71">
        <v>0.2</v>
      </c>
      <c r="H23" s="71">
        <v>1</v>
      </c>
    </row>
    <row r="24" spans="1:8" x14ac:dyDescent="0.25">
      <c r="A24" s="116">
        <v>42690</v>
      </c>
      <c r="B24" s="71"/>
      <c r="C24" s="15"/>
      <c r="D24" s="71"/>
      <c r="E24" s="15"/>
      <c r="F24" s="71"/>
      <c r="G24" s="71">
        <v>0.63636363636363635</v>
      </c>
      <c r="H24" s="71">
        <v>0.54545454545454541</v>
      </c>
    </row>
    <row r="25" spans="1:8" x14ac:dyDescent="0.25">
      <c r="A25" s="116">
        <v>42691</v>
      </c>
      <c r="B25" s="71"/>
      <c r="C25" s="15"/>
      <c r="D25" s="71"/>
      <c r="E25" s="15"/>
      <c r="F25" s="71"/>
      <c r="G25" s="71">
        <v>0.8</v>
      </c>
      <c r="H25" s="71">
        <v>0.2</v>
      </c>
    </row>
    <row r="26" spans="1:8" x14ac:dyDescent="0.25">
      <c r="A26" s="116">
        <v>42692</v>
      </c>
      <c r="B26" s="71"/>
      <c r="C26" s="15"/>
      <c r="D26" s="71"/>
      <c r="E26" s="15"/>
      <c r="F26" s="71"/>
      <c r="G26" s="71">
        <v>0.4</v>
      </c>
      <c r="H26" s="71">
        <v>0.6</v>
      </c>
    </row>
    <row r="27" spans="1:8" x14ac:dyDescent="0.25">
      <c r="A27" s="116">
        <v>42693</v>
      </c>
      <c r="B27" s="71"/>
      <c r="C27" s="15"/>
      <c r="D27" s="71"/>
      <c r="E27" s="15"/>
      <c r="F27" s="71"/>
      <c r="G27" s="71">
        <v>0.55555555555555558</v>
      </c>
      <c r="H27" s="71">
        <v>0.44444444444444442</v>
      </c>
    </row>
    <row r="28" spans="1:8" x14ac:dyDescent="0.25">
      <c r="A28" s="116">
        <v>42694</v>
      </c>
      <c r="B28" s="71"/>
      <c r="C28" s="15"/>
      <c r="D28" s="71"/>
      <c r="E28" s="15"/>
      <c r="F28" s="71"/>
      <c r="G28" s="71">
        <v>0.33333333333333331</v>
      </c>
      <c r="H28" s="71">
        <v>0.66666666666666663</v>
      </c>
    </row>
    <row r="29" spans="1:8" x14ac:dyDescent="0.25">
      <c r="A29" s="116">
        <v>42695</v>
      </c>
      <c r="B29" s="71"/>
      <c r="C29" s="15">
        <v>9</v>
      </c>
      <c r="D29" s="71">
        <v>0.1111111111111111</v>
      </c>
      <c r="E29" s="15"/>
      <c r="F29" s="71"/>
      <c r="G29" s="71">
        <v>0.1111111111111111</v>
      </c>
      <c r="H29" s="71">
        <v>0.88888888888888884</v>
      </c>
    </row>
    <row r="30" spans="1:8" x14ac:dyDescent="0.25">
      <c r="A30" s="116">
        <v>42696</v>
      </c>
      <c r="B30" s="71">
        <v>0.75</v>
      </c>
      <c r="C30" s="15">
        <v>4</v>
      </c>
      <c r="D30" s="71">
        <v>0.5</v>
      </c>
      <c r="E30" s="15">
        <v>4</v>
      </c>
      <c r="F30" s="71">
        <v>1</v>
      </c>
      <c r="G30" s="71">
        <v>0.75</v>
      </c>
      <c r="H30" s="71">
        <v>0.25</v>
      </c>
    </row>
    <row r="31" spans="1:8" x14ac:dyDescent="0.25">
      <c r="A31" s="116">
        <v>42697</v>
      </c>
      <c r="B31" s="71">
        <v>0.61538461538461542</v>
      </c>
      <c r="C31" s="15">
        <v>13</v>
      </c>
      <c r="D31" s="71">
        <v>0.38461538461538464</v>
      </c>
      <c r="E31" s="15">
        <v>13</v>
      </c>
      <c r="F31" s="71">
        <v>0.69230769230769229</v>
      </c>
      <c r="G31" s="71">
        <v>0.61538461538461542</v>
      </c>
      <c r="H31" s="71">
        <v>0.53846153846153844</v>
      </c>
    </row>
    <row r="32" spans="1:8" x14ac:dyDescent="0.25">
      <c r="A32" s="116">
        <v>42699</v>
      </c>
      <c r="B32" s="71">
        <v>0.4</v>
      </c>
      <c r="C32" s="15">
        <v>15</v>
      </c>
      <c r="D32" s="71">
        <v>0.26666666666666666</v>
      </c>
      <c r="E32" s="15">
        <v>15</v>
      </c>
      <c r="F32" s="71">
        <v>0.26666666666666666</v>
      </c>
      <c r="G32" s="71">
        <v>0.4</v>
      </c>
      <c r="H32" s="71">
        <v>0.6</v>
      </c>
    </row>
    <row r="33" spans="1:8" x14ac:dyDescent="0.25">
      <c r="A33" s="116">
        <v>42700</v>
      </c>
      <c r="B33" s="71">
        <v>0.8</v>
      </c>
      <c r="C33" s="15">
        <v>5</v>
      </c>
      <c r="D33" s="71">
        <v>0.6</v>
      </c>
      <c r="E33" s="15">
        <v>5</v>
      </c>
      <c r="F33" s="71">
        <v>0.6</v>
      </c>
      <c r="G33" s="71">
        <v>0.2</v>
      </c>
      <c r="H33" s="71">
        <v>0.8</v>
      </c>
    </row>
    <row r="34" spans="1:8" x14ac:dyDescent="0.25">
      <c r="A34" s="116">
        <v>42701</v>
      </c>
      <c r="B34" s="71"/>
      <c r="C34" s="15"/>
      <c r="D34" s="71"/>
      <c r="E34" s="15"/>
      <c r="F34" s="71"/>
      <c r="G34" s="71"/>
      <c r="H34" s="71"/>
    </row>
    <row r="35" spans="1:8" x14ac:dyDescent="0.25">
      <c r="A35" s="116">
        <v>42702</v>
      </c>
      <c r="B35" s="71"/>
      <c r="C35" s="15"/>
      <c r="D35" s="71"/>
      <c r="E35" s="15"/>
      <c r="F35" s="71"/>
      <c r="G35" s="71"/>
      <c r="H35" s="71"/>
    </row>
    <row r="36" spans="1:8" x14ac:dyDescent="0.25">
      <c r="A36" s="116">
        <v>42703</v>
      </c>
      <c r="B36" s="71"/>
      <c r="C36" s="15"/>
      <c r="D36" s="71"/>
      <c r="E36" s="15"/>
      <c r="F36" s="71"/>
      <c r="G36" s="71"/>
      <c r="H36" s="71"/>
    </row>
    <row r="37" spans="1:8" x14ac:dyDescent="0.25">
      <c r="A37" s="116">
        <v>42704</v>
      </c>
      <c r="B37" s="71"/>
      <c r="C37" s="15"/>
      <c r="D37" s="71"/>
      <c r="E37" s="15"/>
      <c r="F37" s="71"/>
      <c r="G37" s="71"/>
      <c r="H37" s="71"/>
    </row>
    <row r="38" spans="1:8" x14ac:dyDescent="0.25">
      <c r="A38" s="116">
        <v>42705</v>
      </c>
      <c r="B38" s="71"/>
      <c r="C38" s="15"/>
      <c r="D38" s="71"/>
      <c r="E38" s="15"/>
      <c r="F38" s="71"/>
      <c r="G38" s="71"/>
      <c r="H38" s="71"/>
    </row>
    <row r="39" spans="1:8" x14ac:dyDescent="0.25">
      <c r="A39" s="116">
        <v>42706</v>
      </c>
      <c r="B39" s="71"/>
      <c r="C39" s="15"/>
      <c r="D39" s="71"/>
      <c r="E39" s="15"/>
      <c r="F39" s="71"/>
      <c r="G39" s="71"/>
      <c r="H39" s="71"/>
    </row>
    <row r="40" spans="1:8" x14ac:dyDescent="0.25">
      <c r="A40" s="116">
        <v>42707</v>
      </c>
      <c r="B40" s="71"/>
      <c r="C40" s="15"/>
      <c r="D40" s="71"/>
      <c r="E40" s="15"/>
      <c r="F40" s="71"/>
      <c r="G40" s="71"/>
      <c r="H40" s="71"/>
    </row>
    <row r="41" spans="1:8" x14ac:dyDescent="0.25">
      <c r="A41" s="116">
        <v>42708</v>
      </c>
      <c r="B41" s="71"/>
      <c r="C41" s="15"/>
      <c r="D41" s="71"/>
      <c r="E41" s="15"/>
      <c r="F41" s="71"/>
      <c r="G41" s="71"/>
      <c r="H41" s="71"/>
    </row>
    <row r="42" spans="1:8" x14ac:dyDescent="0.25">
      <c r="A42" s="116">
        <v>42709</v>
      </c>
      <c r="B42" s="71"/>
      <c r="C42" s="15"/>
      <c r="D42" s="71"/>
      <c r="E42" s="15"/>
      <c r="F42" s="71"/>
      <c r="G42" s="71"/>
      <c r="H42" s="71"/>
    </row>
    <row r="43" spans="1:8" x14ac:dyDescent="0.25">
      <c r="A43" s="116">
        <v>42710</v>
      </c>
      <c r="B43" s="71"/>
      <c r="C43" s="15"/>
      <c r="D43" s="71"/>
      <c r="E43" s="15"/>
      <c r="F43" s="71"/>
      <c r="G43" s="71"/>
      <c r="H43" s="71"/>
    </row>
    <row r="44" spans="1:8" x14ac:dyDescent="0.25">
      <c r="A44" s="116">
        <v>42711</v>
      </c>
      <c r="B44" s="71"/>
      <c r="C44" s="15"/>
      <c r="D44" s="71"/>
      <c r="E44" s="15"/>
      <c r="F44" s="71"/>
      <c r="G44" s="71"/>
      <c r="H44" s="71"/>
    </row>
    <row r="45" spans="1:8" x14ac:dyDescent="0.25">
      <c r="A45" s="116">
        <v>42712</v>
      </c>
      <c r="B45" s="71"/>
      <c r="C45" s="15"/>
      <c r="D45" s="71"/>
      <c r="E45" s="15"/>
      <c r="F45" s="71"/>
      <c r="G45" s="71"/>
      <c r="H45" s="71"/>
    </row>
    <row r="46" spans="1:8" x14ac:dyDescent="0.25">
      <c r="A46" s="116">
        <v>42713</v>
      </c>
      <c r="B46" s="71"/>
      <c r="C46" s="15"/>
      <c r="D46" s="71"/>
      <c r="E46" s="15"/>
      <c r="F46" s="71"/>
      <c r="G46" s="71"/>
      <c r="H46" s="71"/>
    </row>
    <row r="47" spans="1:8" x14ac:dyDescent="0.25">
      <c r="A47" s="116">
        <v>42714</v>
      </c>
      <c r="B47" s="71"/>
      <c r="C47" s="15"/>
      <c r="D47" s="71"/>
      <c r="E47" s="15"/>
      <c r="F47" s="71"/>
      <c r="G47" s="71"/>
      <c r="H47" s="71"/>
    </row>
    <row r="48" spans="1:8" x14ac:dyDescent="0.25">
      <c r="A48" s="116">
        <v>42715</v>
      </c>
      <c r="B48" s="71"/>
      <c r="C48" s="15"/>
      <c r="D48" s="71"/>
      <c r="E48" s="15"/>
      <c r="F48" s="71"/>
      <c r="G48" s="71"/>
      <c r="H48" s="71"/>
    </row>
    <row r="49" spans="1:8" x14ac:dyDescent="0.25">
      <c r="A49" s="116">
        <v>42716</v>
      </c>
      <c r="B49" s="71"/>
      <c r="C49" s="15"/>
      <c r="D49" s="71"/>
      <c r="E49" s="15"/>
      <c r="F49" s="71"/>
      <c r="G49" s="71"/>
      <c r="H49" s="71"/>
    </row>
    <row r="50" spans="1:8" x14ac:dyDescent="0.25">
      <c r="A50" s="116">
        <v>42717</v>
      </c>
      <c r="B50" s="71"/>
      <c r="C50" s="15"/>
      <c r="D50" s="71"/>
      <c r="E50" s="15"/>
      <c r="F50" s="71"/>
      <c r="G50" s="71"/>
      <c r="H50" s="71"/>
    </row>
    <row r="51" spans="1:8" x14ac:dyDescent="0.25">
      <c r="A51" s="116">
        <v>42718</v>
      </c>
      <c r="B51" s="71"/>
      <c r="C51" s="15"/>
      <c r="D51" s="71"/>
      <c r="E51" s="15"/>
      <c r="F51" s="71"/>
      <c r="G51" s="71"/>
      <c r="H51" s="71"/>
    </row>
    <row r="52" spans="1:8" x14ac:dyDescent="0.25">
      <c r="A52" s="116">
        <v>42719</v>
      </c>
      <c r="B52" s="71"/>
      <c r="C52" s="15"/>
      <c r="D52" s="71"/>
      <c r="E52" s="15"/>
      <c r="F52" s="71"/>
      <c r="G52" s="71"/>
      <c r="H52" s="71"/>
    </row>
    <row r="53" spans="1:8" x14ac:dyDescent="0.25">
      <c r="A53" s="116">
        <v>42720</v>
      </c>
      <c r="B53" s="71"/>
      <c r="C53" s="15"/>
      <c r="D53" s="71"/>
      <c r="E53" s="15"/>
      <c r="F53" s="71"/>
      <c r="G53" s="71"/>
      <c r="H53" s="71"/>
    </row>
    <row r="54" spans="1:8" x14ac:dyDescent="0.25">
      <c r="A54" s="116">
        <v>42721</v>
      </c>
      <c r="B54" s="71"/>
      <c r="C54" s="15"/>
      <c r="D54" s="71"/>
      <c r="E54" s="15"/>
      <c r="F54" s="71"/>
      <c r="G54" s="71"/>
      <c r="H54" s="71"/>
    </row>
    <row r="55" spans="1:8" x14ac:dyDescent="0.25">
      <c r="A55" s="116">
        <v>42722</v>
      </c>
      <c r="B55" s="71"/>
      <c r="C55" s="15"/>
      <c r="D55" s="71"/>
      <c r="E55" s="15"/>
      <c r="F55" s="71"/>
      <c r="G55" s="71"/>
      <c r="H55" s="71"/>
    </row>
    <row r="56" spans="1:8" x14ac:dyDescent="0.25">
      <c r="A56" s="116">
        <v>42723</v>
      </c>
      <c r="B56" s="71"/>
      <c r="C56" s="15"/>
      <c r="D56" s="71"/>
      <c r="E56" s="15"/>
      <c r="F56" s="71"/>
      <c r="G56" s="71"/>
      <c r="H56" s="71"/>
    </row>
    <row r="57" spans="1:8" x14ac:dyDescent="0.25">
      <c r="A57" s="116">
        <v>42724</v>
      </c>
      <c r="B57" s="71"/>
      <c r="C57" s="15"/>
      <c r="D57" s="71"/>
      <c r="E57" s="15"/>
      <c r="F57" s="71"/>
      <c r="G57" s="71"/>
      <c r="H57" s="71"/>
    </row>
    <row r="58" spans="1:8" x14ac:dyDescent="0.25">
      <c r="A58" s="116">
        <v>42725</v>
      </c>
      <c r="B58" s="71"/>
      <c r="C58" s="15"/>
      <c r="D58" s="71"/>
      <c r="E58" s="15"/>
      <c r="F58" s="71"/>
      <c r="G58" s="71"/>
      <c r="H58" s="71"/>
    </row>
    <row r="59" spans="1:8" x14ac:dyDescent="0.25">
      <c r="A59" s="116">
        <v>42726</v>
      </c>
      <c r="B59" s="71"/>
      <c r="C59" s="15"/>
      <c r="D59" s="71"/>
      <c r="E59" s="15"/>
      <c r="F59" s="71"/>
      <c r="G59" s="71"/>
      <c r="H59" s="71"/>
    </row>
    <row r="60" spans="1:8" x14ac:dyDescent="0.25">
      <c r="A60" s="116">
        <v>42727</v>
      </c>
      <c r="B60" s="71"/>
      <c r="C60" s="15"/>
      <c r="D60" s="71"/>
      <c r="E60" s="15"/>
      <c r="F60" s="71"/>
      <c r="G60" s="71"/>
      <c r="H60" s="71"/>
    </row>
    <row r="61" spans="1:8" x14ac:dyDescent="0.25">
      <c r="A61" s="116">
        <v>42729</v>
      </c>
      <c r="B61" s="71"/>
      <c r="C61" s="15"/>
      <c r="D61" s="71"/>
      <c r="E61" s="15"/>
      <c r="F61" s="71"/>
      <c r="G61" s="71"/>
      <c r="H61" s="71"/>
    </row>
    <row r="62" spans="1:8" x14ac:dyDescent="0.25">
      <c r="A62" s="116">
        <v>42730</v>
      </c>
      <c r="B62" s="71"/>
      <c r="C62" s="15"/>
      <c r="D62" s="71"/>
      <c r="E62" s="15"/>
      <c r="F62" s="71"/>
      <c r="G62" s="71"/>
      <c r="H62" s="71"/>
    </row>
    <row r="63" spans="1:8" x14ac:dyDescent="0.25">
      <c r="A63" s="116">
        <v>42731</v>
      </c>
      <c r="B63" s="71"/>
      <c r="C63" s="15"/>
      <c r="D63" s="71"/>
      <c r="E63" s="15"/>
      <c r="F63" s="71"/>
      <c r="G63" s="71"/>
      <c r="H63" s="71"/>
    </row>
    <row r="64" spans="1:8" x14ac:dyDescent="0.25">
      <c r="A64" s="116">
        <v>42732</v>
      </c>
      <c r="B64" s="71"/>
      <c r="C64" s="15"/>
      <c r="D64" s="71"/>
      <c r="E64" s="15"/>
      <c r="F64" s="71"/>
      <c r="G64" s="71"/>
      <c r="H64" s="71"/>
    </row>
    <row r="65" spans="1:8" x14ac:dyDescent="0.25">
      <c r="A65" s="116">
        <v>42733</v>
      </c>
      <c r="B65" s="71"/>
      <c r="C65" s="15"/>
      <c r="D65" s="71"/>
      <c r="E65" s="15"/>
      <c r="F65" s="71"/>
      <c r="G65" s="71"/>
      <c r="H65" s="71"/>
    </row>
    <row r="66" spans="1:8" x14ac:dyDescent="0.25">
      <c r="A66" s="116">
        <v>42734</v>
      </c>
      <c r="B66" s="71"/>
      <c r="C66" s="15"/>
      <c r="D66" s="71"/>
      <c r="E66" s="15"/>
      <c r="F66" s="71"/>
      <c r="G66" s="71"/>
      <c r="H66" s="71"/>
    </row>
    <row r="67" spans="1:8" x14ac:dyDescent="0.25">
      <c r="A67" s="116">
        <v>42735</v>
      </c>
      <c r="B67" s="71"/>
      <c r="C67" s="15"/>
      <c r="D67" s="71"/>
      <c r="E67" s="15"/>
      <c r="F67" s="71"/>
      <c r="G67" s="71"/>
      <c r="H67" s="71"/>
    </row>
    <row r="68" spans="1:8" x14ac:dyDescent="0.25">
      <c r="A68" s="116">
        <v>42736</v>
      </c>
      <c r="B68" s="71"/>
      <c r="C68" s="15"/>
      <c r="D68" s="71"/>
      <c r="E68" s="15"/>
      <c r="F68" s="71"/>
      <c r="G68" s="71"/>
      <c r="H68" s="71"/>
    </row>
    <row r="69" spans="1:8" x14ac:dyDescent="0.25">
      <c r="A69" s="116">
        <v>42737</v>
      </c>
      <c r="B69" s="71"/>
      <c r="C69" s="15"/>
      <c r="D69" s="71"/>
      <c r="E69" s="15"/>
      <c r="F69" s="71"/>
      <c r="G69" s="71"/>
      <c r="H69" s="71"/>
    </row>
    <row r="70" spans="1:8" x14ac:dyDescent="0.25">
      <c r="A70" s="116">
        <v>42738</v>
      </c>
      <c r="B70" s="71"/>
      <c r="C70" s="15"/>
      <c r="D70" s="71"/>
      <c r="E70" s="15"/>
      <c r="F70" s="71"/>
      <c r="G70" s="71"/>
      <c r="H70" s="71"/>
    </row>
    <row r="71" spans="1:8" x14ac:dyDescent="0.25">
      <c r="A71" s="116">
        <v>42739</v>
      </c>
      <c r="B71" s="71"/>
      <c r="C71" s="15"/>
      <c r="D71" s="71"/>
      <c r="E71" s="15"/>
      <c r="F71" s="71"/>
      <c r="G71" s="71"/>
      <c r="H71" s="71"/>
    </row>
    <row r="72" spans="1:8" x14ac:dyDescent="0.25">
      <c r="A72" s="116">
        <v>42740</v>
      </c>
      <c r="B72" s="71"/>
      <c r="C72" s="15"/>
      <c r="D72" s="71"/>
      <c r="E72" s="15"/>
      <c r="F72" s="71"/>
      <c r="G72" s="71"/>
      <c r="H72" s="71"/>
    </row>
    <row r="73" spans="1:8" x14ac:dyDescent="0.25">
      <c r="A73" s="116">
        <v>42741</v>
      </c>
      <c r="B73" s="71"/>
      <c r="C73" s="15"/>
      <c r="D73" s="71"/>
      <c r="E73" s="15"/>
      <c r="F73" s="71"/>
      <c r="G73" s="71"/>
      <c r="H73" s="71"/>
    </row>
    <row r="74" spans="1:8" x14ac:dyDescent="0.25">
      <c r="A74" s="116">
        <v>42742</v>
      </c>
      <c r="B74" s="71"/>
      <c r="C74" s="15"/>
      <c r="D74" s="71"/>
      <c r="E74" s="15"/>
      <c r="F74" s="71"/>
      <c r="G74" s="71"/>
      <c r="H74" s="71"/>
    </row>
    <row r="75" spans="1:8" x14ac:dyDescent="0.25">
      <c r="A75" s="116">
        <v>42743</v>
      </c>
      <c r="B75" s="71"/>
      <c r="C75" s="15"/>
      <c r="D75" s="71"/>
      <c r="E75" s="15"/>
      <c r="F75" s="71"/>
      <c r="G75" s="71"/>
      <c r="H75" s="71"/>
    </row>
    <row r="76" spans="1:8" x14ac:dyDescent="0.25">
      <c r="A76" s="116">
        <v>42744</v>
      </c>
      <c r="B76" s="71"/>
      <c r="C76" s="15"/>
      <c r="D76" s="71"/>
      <c r="E76" s="15"/>
      <c r="F76" s="71"/>
      <c r="G76" s="71"/>
      <c r="H76" s="71"/>
    </row>
    <row r="77" spans="1:8" x14ac:dyDescent="0.25">
      <c r="A77" s="116">
        <v>42745</v>
      </c>
      <c r="B77" s="71"/>
      <c r="C77" s="15"/>
      <c r="D77" s="71"/>
      <c r="E77" s="15"/>
      <c r="F77" s="71"/>
      <c r="G77" s="71"/>
      <c r="H77" s="71"/>
    </row>
    <row r="78" spans="1:8" x14ac:dyDescent="0.25">
      <c r="A78" s="116">
        <v>42746</v>
      </c>
      <c r="B78" s="71"/>
      <c r="C78" s="15"/>
      <c r="D78" s="71"/>
      <c r="E78" s="15"/>
      <c r="F78" s="71"/>
      <c r="G78" s="71"/>
      <c r="H78" s="71"/>
    </row>
    <row r="79" spans="1:8" x14ac:dyDescent="0.25">
      <c r="A79" s="116">
        <v>42747</v>
      </c>
      <c r="B79" s="71"/>
      <c r="C79" s="15"/>
      <c r="D79" s="71"/>
      <c r="E79" s="15"/>
      <c r="F79" s="71"/>
      <c r="G79" s="71"/>
      <c r="H79" s="71"/>
    </row>
    <row r="80" spans="1:8" x14ac:dyDescent="0.25">
      <c r="A80" s="116">
        <v>42748</v>
      </c>
      <c r="B80" s="71"/>
      <c r="C80" s="15"/>
      <c r="D80" s="71"/>
      <c r="E80" s="15"/>
      <c r="F80" s="71"/>
      <c r="G80" s="71"/>
      <c r="H80" s="71"/>
    </row>
    <row r="81" spans="1:8" x14ac:dyDescent="0.25">
      <c r="A81" s="116">
        <v>42749</v>
      </c>
      <c r="B81" s="71"/>
      <c r="C81" s="15"/>
      <c r="D81" s="71"/>
      <c r="E81" s="15"/>
      <c r="F81" s="71"/>
      <c r="G81" s="71"/>
      <c r="H81" s="71"/>
    </row>
    <row r="82" spans="1:8" x14ac:dyDescent="0.25">
      <c r="A82" s="116">
        <v>42750</v>
      </c>
      <c r="B82" s="71"/>
      <c r="C82" s="15"/>
      <c r="D82" s="71"/>
      <c r="E82" s="15"/>
      <c r="F82" s="71"/>
      <c r="G82" s="71"/>
      <c r="H82" s="71"/>
    </row>
    <row r="83" spans="1:8" x14ac:dyDescent="0.25">
      <c r="A83" s="116">
        <v>42751</v>
      </c>
      <c r="B83" s="71"/>
      <c r="C83" s="15"/>
      <c r="D83" s="71"/>
      <c r="E83" s="15"/>
      <c r="F83" s="71"/>
      <c r="G83" s="71"/>
      <c r="H83" s="71"/>
    </row>
    <row r="84" spans="1:8" x14ac:dyDescent="0.25">
      <c r="A84" s="116">
        <v>42752</v>
      </c>
      <c r="B84" s="71"/>
      <c r="C84" s="15"/>
      <c r="D84" s="71"/>
      <c r="E84" s="15"/>
      <c r="F84" s="71"/>
      <c r="G84" s="71"/>
      <c r="H84" s="71"/>
    </row>
    <row r="85" spans="1:8" x14ac:dyDescent="0.25">
      <c r="A85" s="116">
        <v>42753</v>
      </c>
      <c r="B85" s="71"/>
      <c r="C85" s="15"/>
      <c r="D85" s="71"/>
      <c r="E85" s="15"/>
      <c r="F85" s="71"/>
      <c r="G85" s="71"/>
      <c r="H85" s="71"/>
    </row>
    <row r="86" spans="1:8" x14ac:dyDescent="0.25">
      <c r="A86" s="116">
        <v>42754</v>
      </c>
      <c r="B86" s="71"/>
      <c r="C86" s="15"/>
      <c r="D86" s="71"/>
      <c r="E86" s="15"/>
      <c r="F86" s="71"/>
      <c r="G86" s="71"/>
      <c r="H86" s="71"/>
    </row>
    <row r="87" spans="1:8" x14ac:dyDescent="0.25">
      <c r="A87" s="116">
        <v>42755</v>
      </c>
      <c r="B87" s="71"/>
      <c r="C87" s="15"/>
      <c r="D87" s="71"/>
      <c r="E87" s="15"/>
      <c r="F87" s="71"/>
      <c r="G87" s="71"/>
      <c r="H87" s="71"/>
    </row>
    <row r="88" spans="1:8" x14ac:dyDescent="0.25">
      <c r="A88" s="116">
        <v>42756</v>
      </c>
      <c r="B88" s="71"/>
      <c r="C88" s="15"/>
      <c r="D88" s="71"/>
      <c r="E88" s="15"/>
      <c r="F88" s="71"/>
      <c r="G88" s="71"/>
      <c r="H88" s="71"/>
    </row>
    <row r="89" spans="1:8" x14ac:dyDescent="0.25">
      <c r="A89" s="116">
        <v>42757</v>
      </c>
      <c r="B89" s="71"/>
      <c r="C89" s="15"/>
      <c r="D89" s="71"/>
      <c r="E89" s="15"/>
      <c r="F89" s="71"/>
      <c r="G89" s="71"/>
      <c r="H89" s="71"/>
    </row>
    <row r="90" spans="1:8" x14ac:dyDescent="0.25">
      <c r="A90" s="116">
        <v>42758</v>
      </c>
      <c r="B90" s="71"/>
      <c r="C90" s="15"/>
      <c r="D90" s="71"/>
      <c r="E90" s="15"/>
      <c r="F90" s="71"/>
      <c r="G90" s="71"/>
      <c r="H90" s="71"/>
    </row>
    <row r="91" spans="1:8" x14ac:dyDescent="0.25">
      <c r="A91" s="116">
        <v>42759</v>
      </c>
      <c r="B91" s="71"/>
      <c r="C91" s="15"/>
      <c r="D91" s="71"/>
      <c r="E91" s="15"/>
      <c r="F91" s="71"/>
      <c r="G91" s="71"/>
      <c r="H91" s="71"/>
    </row>
    <row r="92" spans="1:8" x14ac:dyDescent="0.25">
      <c r="A92" s="116">
        <v>42760</v>
      </c>
      <c r="B92" s="71"/>
      <c r="C92" s="15"/>
      <c r="D92" s="71"/>
      <c r="E92" s="15"/>
      <c r="F92" s="71"/>
      <c r="G92" s="71"/>
      <c r="H92" s="71"/>
    </row>
    <row r="93" spans="1:8" x14ac:dyDescent="0.25">
      <c r="A93" s="116">
        <v>42761</v>
      </c>
      <c r="B93" s="71"/>
      <c r="C93" s="15"/>
      <c r="D93" s="71"/>
      <c r="E93" s="15"/>
      <c r="F93" s="71"/>
      <c r="G93" s="71"/>
      <c r="H93" s="71"/>
    </row>
    <row r="94" spans="1:8" x14ac:dyDescent="0.25">
      <c r="A94" s="116">
        <v>42762</v>
      </c>
      <c r="B94" s="71"/>
      <c r="C94" s="15"/>
      <c r="D94" s="71"/>
      <c r="E94" s="15"/>
      <c r="F94" s="71"/>
      <c r="G94" s="71"/>
      <c r="H94" s="71"/>
    </row>
    <row r="95" spans="1:8" x14ac:dyDescent="0.25">
      <c r="A95" s="116">
        <v>42763</v>
      </c>
      <c r="B95" s="71"/>
      <c r="C95" s="15"/>
      <c r="D95" s="71"/>
      <c r="E95" s="15"/>
      <c r="F95" s="71"/>
      <c r="G95" s="71"/>
      <c r="H95" s="71"/>
    </row>
    <row r="96" spans="1:8" x14ac:dyDescent="0.25">
      <c r="A96" s="116">
        <v>42764</v>
      </c>
      <c r="B96" s="71"/>
      <c r="C96" s="15"/>
      <c r="D96" s="71"/>
      <c r="E96" s="15"/>
      <c r="F96" s="71"/>
      <c r="G96" s="71"/>
      <c r="H96" s="71"/>
    </row>
    <row r="97" spans="1:8" x14ac:dyDescent="0.25">
      <c r="A97" s="116">
        <v>42765</v>
      </c>
      <c r="B97" s="71"/>
      <c r="C97" s="15"/>
      <c r="D97" s="71"/>
      <c r="E97" s="15"/>
      <c r="F97" s="71"/>
      <c r="G97" s="71"/>
      <c r="H97" s="71"/>
    </row>
    <row r="98" spans="1:8" x14ac:dyDescent="0.25">
      <c r="A98" s="116">
        <v>42766</v>
      </c>
      <c r="B98" s="71"/>
      <c r="C98" s="15"/>
      <c r="D98" s="71"/>
      <c r="E98" s="15"/>
      <c r="F98" s="71"/>
      <c r="G98" s="71"/>
      <c r="H98" s="71"/>
    </row>
    <row r="99" spans="1:8" x14ac:dyDescent="0.25">
      <c r="A99" s="116">
        <v>42767</v>
      </c>
      <c r="B99" s="71"/>
      <c r="C99" s="15"/>
      <c r="D99" s="71"/>
      <c r="E99" s="15"/>
      <c r="F99" s="71"/>
      <c r="G99" s="71"/>
      <c r="H99" s="71"/>
    </row>
    <row r="100" spans="1:8" x14ac:dyDescent="0.25">
      <c r="A100" s="116">
        <v>42768</v>
      </c>
      <c r="B100" s="71"/>
      <c r="C100" s="15"/>
      <c r="D100" s="71"/>
      <c r="E100" s="15"/>
      <c r="F100" s="71"/>
      <c r="G100" s="71"/>
      <c r="H100" s="71"/>
    </row>
    <row r="101" spans="1:8" x14ac:dyDescent="0.25">
      <c r="A101" s="116">
        <v>42769</v>
      </c>
      <c r="B101" s="71"/>
      <c r="C101" s="15"/>
      <c r="D101" s="71"/>
      <c r="E101" s="15"/>
      <c r="F101" s="71"/>
      <c r="G101" s="71"/>
      <c r="H101" s="71"/>
    </row>
    <row r="102" spans="1:8" x14ac:dyDescent="0.25">
      <c r="A102" s="116">
        <v>42770</v>
      </c>
      <c r="B102" s="71"/>
      <c r="C102" s="15"/>
      <c r="D102" s="71"/>
      <c r="E102" s="15"/>
      <c r="F102" s="71"/>
      <c r="G102" s="71"/>
      <c r="H102" s="71"/>
    </row>
    <row r="103" spans="1:8" x14ac:dyDescent="0.25">
      <c r="A103" s="116">
        <v>42771</v>
      </c>
      <c r="B103" s="71"/>
      <c r="C103" s="15"/>
      <c r="D103" s="71"/>
      <c r="E103" s="15"/>
      <c r="F103" s="71"/>
      <c r="G103" s="71"/>
      <c r="H103" s="71"/>
    </row>
    <row r="104" spans="1:8" x14ac:dyDescent="0.25">
      <c r="A104" s="116">
        <v>42772</v>
      </c>
      <c r="B104" s="71"/>
      <c r="C104" s="15"/>
      <c r="D104" s="71"/>
      <c r="E104" s="15"/>
      <c r="F104" s="71"/>
      <c r="G104" s="71"/>
      <c r="H104" s="71"/>
    </row>
    <row r="105" spans="1:8" x14ac:dyDescent="0.25">
      <c r="A105" s="116">
        <v>42773</v>
      </c>
      <c r="B105" s="71"/>
      <c r="C105" s="15"/>
      <c r="D105" s="71"/>
      <c r="E105" s="15"/>
      <c r="F105" s="71"/>
      <c r="G105" s="71"/>
      <c r="H105" s="71"/>
    </row>
    <row r="106" spans="1:8" x14ac:dyDescent="0.25">
      <c r="A106" s="116">
        <v>42774</v>
      </c>
      <c r="B106" s="71"/>
      <c r="C106" s="15"/>
      <c r="D106" s="71"/>
      <c r="E106" s="15"/>
      <c r="F106" s="71"/>
      <c r="G106" s="71"/>
      <c r="H106" s="71"/>
    </row>
    <row r="107" spans="1:8" x14ac:dyDescent="0.25">
      <c r="A107" s="116">
        <v>42775</v>
      </c>
      <c r="B107" s="71"/>
      <c r="C107" s="15"/>
      <c r="D107" s="71"/>
      <c r="E107" s="15"/>
      <c r="F107" s="71"/>
      <c r="G107" s="71"/>
      <c r="H107" s="71"/>
    </row>
    <row r="108" spans="1:8" x14ac:dyDescent="0.25">
      <c r="A108" s="116">
        <v>42776</v>
      </c>
      <c r="B108" s="71"/>
      <c r="C108" s="15"/>
      <c r="D108" s="71"/>
      <c r="E108" s="15"/>
      <c r="F108" s="71"/>
      <c r="G108" s="71"/>
      <c r="H108" s="71"/>
    </row>
    <row r="109" spans="1:8" x14ac:dyDescent="0.25">
      <c r="A109" s="116">
        <v>42777</v>
      </c>
      <c r="B109" s="71"/>
      <c r="C109" s="15"/>
      <c r="D109" s="71"/>
      <c r="E109" s="15"/>
      <c r="F109" s="71"/>
      <c r="G109" s="71"/>
      <c r="H109" s="71"/>
    </row>
    <row r="110" spans="1:8" x14ac:dyDescent="0.25">
      <c r="A110" s="116">
        <v>42778</v>
      </c>
      <c r="B110" s="71"/>
      <c r="C110" s="15"/>
      <c r="D110" s="71"/>
      <c r="E110" s="15"/>
      <c r="F110" s="71"/>
      <c r="G110" s="71"/>
      <c r="H110" s="71"/>
    </row>
    <row r="111" spans="1:8" x14ac:dyDescent="0.25">
      <c r="A111" s="116">
        <v>42779</v>
      </c>
      <c r="B111" s="71"/>
      <c r="C111" s="15"/>
      <c r="D111" s="71"/>
      <c r="E111" s="15"/>
      <c r="F111" s="71"/>
      <c r="G111" s="71"/>
      <c r="H111" s="71"/>
    </row>
    <row r="112" spans="1:8" x14ac:dyDescent="0.25">
      <c r="A112" s="116">
        <v>42780</v>
      </c>
      <c r="B112" s="71"/>
      <c r="C112" s="15"/>
      <c r="D112" s="71"/>
      <c r="E112" s="15"/>
      <c r="F112" s="71"/>
      <c r="G112" s="71"/>
      <c r="H112" s="71"/>
    </row>
    <row r="113" spans="1:8" x14ac:dyDescent="0.25">
      <c r="A113" s="116">
        <v>42781</v>
      </c>
      <c r="B113" s="71"/>
      <c r="C113" s="15"/>
      <c r="D113" s="71"/>
      <c r="E113" s="15"/>
      <c r="F113" s="71"/>
      <c r="G113" s="71"/>
      <c r="H113" s="71"/>
    </row>
    <row r="114" spans="1:8" x14ac:dyDescent="0.25">
      <c r="A114" s="116">
        <v>42782</v>
      </c>
      <c r="B114" s="71"/>
      <c r="C114" s="15"/>
      <c r="D114" s="71"/>
      <c r="E114" s="15"/>
      <c r="F114" s="71"/>
      <c r="G114" s="71"/>
      <c r="H114" s="71"/>
    </row>
    <row r="115" spans="1:8" x14ac:dyDescent="0.25">
      <c r="A115" s="116">
        <v>42789</v>
      </c>
      <c r="B115" s="71"/>
      <c r="C115" s="15"/>
      <c r="D115" s="71"/>
      <c r="E115" s="15"/>
      <c r="F115" s="71"/>
      <c r="G115" s="71"/>
      <c r="H115" s="71"/>
    </row>
    <row r="116" spans="1:8" x14ac:dyDescent="0.25">
      <c r="A116" s="116">
        <v>42790</v>
      </c>
      <c r="B116" s="71"/>
      <c r="C116" s="15"/>
      <c r="D116" s="71"/>
      <c r="E116" s="15"/>
      <c r="F116" s="71"/>
      <c r="G116" s="71"/>
      <c r="H116" s="71"/>
    </row>
    <row r="117" spans="1:8" x14ac:dyDescent="0.25">
      <c r="A117" s="116">
        <v>42791</v>
      </c>
      <c r="B117" s="71"/>
      <c r="C117" s="15"/>
      <c r="D117" s="71"/>
      <c r="E117" s="15"/>
      <c r="F117" s="71"/>
      <c r="G117" s="71"/>
      <c r="H117" s="71"/>
    </row>
    <row r="118" spans="1:8" x14ac:dyDescent="0.25">
      <c r="A118" s="116">
        <v>42792</v>
      </c>
      <c r="B118" s="71"/>
      <c r="C118" s="15"/>
      <c r="D118" s="71"/>
      <c r="E118" s="15"/>
      <c r="F118" s="71"/>
      <c r="G118" s="71"/>
      <c r="H118" s="71"/>
    </row>
    <row r="119" spans="1:8" x14ac:dyDescent="0.25">
      <c r="A119" s="116">
        <v>42793</v>
      </c>
      <c r="B119" s="71"/>
      <c r="C119" s="15"/>
      <c r="D119" s="71"/>
      <c r="E119" s="15"/>
      <c r="F119" s="71"/>
      <c r="G119" s="71"/>
      <c r="H119" s="71"/>
    </row>
    <row r="120" spans="1:8" x14ac:dyDescent="0.25">
      <c r="A120" s="116">
        <v>42794</v>
      </c>
      <c r="B120" s="71"/>
      <c r="C120" s="15"/>
      <c r="D120" s="71"/>
      <c r="E120" s="15"/>
      <c r="F120" s="71"/>
      <c r="G120" s="71"/>
      <c r="H120" s="71"/>
    </row>
    <row r="121" spans="1:8" x14ac:dyDescent="0.25">
      <c r="A121" s="116">
        <v>42796</v>
      </c>
      <c r="B121" s="71"/>
      <c r="C121" s="15"/>
      <c r="D121" s="71"/>
      <c r="E121" s="15"/>
      <c r="F121" s="71"/>
      <c r="G121" s="71"/>
      <c r="H121" s="71"/>
    </row>
    <row r="122" spans="1:8" x14ac:dyDescent="0.25">
      <c r="A122" s="116">
        <v>42797</v>
      </c>
      <c r="B122" s="71"/>
      <c r="C122" s="15"/>
      <c r="D122" s="71"/>
      <c r="E122" s="15"/>
      <c r="F122" s="71"/>
      <c r="G122" s="71"/>
      <c r="H122" s="71"/>
    </row>
    <row r="123" spans="1:8" x14ac:dyDescent="0.25">
      <c r="A123" s="116">
        <v>42798</v>
      </c>
      <c r="B123" s="71"/>
      <c r="C123" s="15"/>
      <c r="D123" s="71"/>
      <c r="E123" s="15"/>
      <c r="F123" s="71"/>
      <c r="G123" s="71"/>
      <c r="H123" s="71"/>
    </row>
    <row r="124" spans="1:8" x14ac:dyDescent="0.25">
      <c r="A124" s="116">
        <v>42799</v>
      </c>
      <c r="B124" s="71"/>
      <c r="C124" s="15"/>
      <c r="D124" s="71"/>
      <c r="E124" s="15"/>
      <c r="F124" s="71"/>
      <c r="G124" s="71"/>
      <c r="H124" s="71"/>
    </row>
    <row r="125" spans="1:8" x14ac:dyDescent="0.25">
      <c r="A125" s="116">
        <v>42800</v>
      </c>
      <c r="B125" s="71"/>
      <c r="C125" s="15"/>
      <c r="D125" s="71"/>
      <c r="E125" s="15"/>
      <c r="F125" s="71"/>
      <c r="G125" s="71"/>
      <c r="H125" s="71"/>
    </row>
    <row r="126" spans="1:8" x14ac:dyDescent="0.25">
      <c r="A126" s="116">
        <v>42801</v>
      </c>
      <c r="B126" s="71"/>
      <c r="C126" s="15"/>
      <c r="D126" s="71"/>
      <c r="E126" s="15"/>
      <c r="F126" s="71"/>
      <c r="G126" s="71"/>
      <c r="H126" s="71"/>
    </row>
    <row r="127" spans="1:8" x14ac:dyDescent="0.25">
      <c r="A127" s="116">
        <v>42802</v>
      </c>
      <c r="B127" s="71"/>
      <c r="C127" s="15"/>
      <c r="D127" s="71"/>
      <c r="E127" s="15"/>
      <c r="F127" s="71"/>
      <c r="G127" s="71"/>
      <c r="H127" s="71"/>
    </row>
    <row r="128" spans="1:8" x14ac:dyDescent="0.25">
      <c r="A128" s="116">
        <v>42803</v>
      </c>
      <c r="B128" s="71"/>
      <c r="C128" s="15"/>
      <c r="D128" s="71"/>
      <c r="E128" s="15"/>
      <c r="F128" s="71"/>
      <c r="G128" s="71"/>
      <c r="H128" s="71"/>
    </row>
    <row r="129" spans="1:8" x14ac:dyDescent="0.25">
      <c r="A129" s="116">
        <v>42804</v>
      </c>
      <c r="B129" s="71"/>
      <c r="C129" s="15"/>
      <c r="D129" s="71"/>
      <c r="E129" s="15"/>
      <c r="F129" s="71"/>
      <c r="G129" s="71"/>
      <c r="H129" s="71"/>
    </row>
    <row r="130" spans="1:8" x14ac:dyDescent="0.25">
      <c r="A130" s="116">
        <v>42805</v>
      </c>
      <c r="B130" s="71"/>
      <c r="C130" s="15"/>
      <c r="D130" s="71"/>
      <c r="E130" s="15"/>
      <c r="F130" s="71"/>
      <c r="G130" s="71"/>
      <c r="H130" s="71"/>
    </row>
    <row r="131" spans="1:8" x14ac:dyDescent="0.25">
      <c r="A131" s="116">
        <v>42806</v>
      </c>
      <c r="B131" s="71"/>
      <c r="C131" s="15"/>
      <c r="D131" s="71"/>
      <c r="E131" s="15"/>
      <c r="F131" s="71"/>
      <c r="G131" s="71"/>
      <c r="H131" s="71"/>
    </row>
    <row r="132" spans="1:8" x14ac:dyDescent="0.25">
      <c r="A132" s="116">
        <v>42807</v>
      </c>
      <c r="B132" s="71"/>
      <c r="C132" s="15"/>
      <c r="D132" s="71"/>
      <c r="E132" s="15"/>
      <c r="F132" s="71"/>
      <c r="G132" s="71"/>
      <c r="H132" s="71"/>
    </row>
    <row r="133" spans="1:8" x14ac:dyDescent="0.25">
      <c r="A133" s="116">
        <v>42808</v>
      </c>
      <c r="B133" s="71"/>
      <c r="C133" s="15"/>
      <c r="D133" s="71"/>
      <c r="E133" s="15"/>
      <c r="F133" s="71"/>
      <c r="G133" s="71"/>
      <c r="H133" s="71"/>
    </row>
    <row r="134" spans="1:8" x14ac:dyDescent="0.25">
      <c r="A134" s="116">
        <v>42809</v>
      </c>
      <c r="B134" s="71"/>
      <c r="C134" s="15"/>
      <c r="D134" s="71"/>
      <c r="E134" s="15"/>
      <c r="F134" s="71"/>
      <c r="G134" s="71"/>
      <c r="H134" s="71"/>
    </row>
    <row r="135" spans="1:8" x14ac:dyDescent="0.25">
      <c r="A135" s="116">
        <v>42810</v>
      </c>
      <c r="B135" s="71"/>
      <c r="C135" s="15"/>
      <c r="D135" s="71"/>
      <c r="E135" s="15"/>
      <c r="F135" s="71"/>
      <c r="G135" s="71"/>
      <c r="H135" s="71"/>
    </row>
    <row r="136" spans="1:8" x14ac:dyDescent="0.25">
      <c r="A136" s="116">
        <v>42811</v>
      </c>
      <c r="B136" s="71"/>
      <c r="C136" s="15"/>
      <c r="D136" s="71"/>
      <c r="E136" s="15"/>
      <c r="F136" s="71"/>
      <c r="G136" s="71"/>
      <c r="H136" s="71"/>
    </row>
    <row r="137" spans="1:8" x14ac:dyDescent="0.25">
      <c r="A137" s="116">
        <v>42812</v>
      </c>
      <c r="B137" s="71"/>
      <c r="C137" s="15"/>
      <c r="D137" s="71"/>
      <c r="E137" s="15"/>
      <c r="F137" s="71"/>
      <c r="G137" s="71"/>
      <c r="H137" s="71"/>
    </row>
    <row r="138" spans="1:8" x14ac:dyDescent="0.25">
      <c r="A138" s="116">
        <v>42813</v>
      </c>
      <c r="B138" s="71"/>
      <c r="C138" s="15"/>
      <c r="D138" s="71"/>
      <c r="E138" s="15"/>
      <c r="F138" s="71"/>
      <c r="G138" s="71"/>
      <c r="H138" s="71"/>
    </row>
    <row r="139" spans="1:8" x14ac:dyDescent="0.25">
      <c r="A139" s="116">
        <v>42814</v>
      </c>
      <c r="B139" s="71"/>
      <c r="C139" s="15"/>
      <c r="D139" s="71"/>
      <c r="E139" s="15"/>
      <c r="F139" s="71"/>
      <c r="G139" s="71"/>
      <c r="H139" s="71"/>
    </row>
    <row r="140" spans="1:8" x14ac:dyDescent="0.25">
      <c r="A140" s="116">
        <v>42815</v>
      </c>
      <c r="B140" s="71"/>
      <c r="C140" s="15"/>
      <c r="D140" s="71"/>
      <c r="E140" s="15"/>
      <c r="F140" s="71"/>
      <c r="G140" s="71"/>
      <c r="H140" s="71"/>
    </row>
    <row r="141" spans="1:8" x14ac:dyDescent="0.25">
      <c r="A141" s="116">
        <v>42816</v>
      </c>
      <c r="B141" s="71"/>
      <c r="C141" s="15"/>
      <c r="D141" s="71"/>
      <c r="E141" s="15"/>
      <c r="F141" s="71"/>
      <c r="G141" s="71"/>
      <c r="H141" s="71"/>
    </row>
    <row r="142" spans="1:8" x14ac:dyDescent="0.25">
      <c r="A142" s="116">
        <v>42817</v>
      </c>
      <c r="B142" s="71"/>
      <c r="C142" s="15"/>
      <c r="D142" s="71"/>
      <c r="E142" s="15"/>
      <c r="F142" s="71"/>
      <c r="G142" s="71"/>
      <c r="H142" s="71"/>
    </row>
    <row r="143" spans="1:8" x14ac:dyDescent="0.25">
      <c r="A143" s="116">
        <v>42818</v>
      </c>
      <c r="B143" s="71"/>
      <c r="C143" s="15"/>
      <c r="D143" s="71"/>
      <c r="E143" s="15"/>
      <c r="F143" s="71"/>
      <c r="G143" s="71"/>
      <c r="H143" s="71"/>
    </row>
    <row r="144" spans="1:8" x14ac:dyDescent="0.25">
      <c r="A144" s="116">
        <v>42819</v>
      </c>
      <c r="B144" s="71"/>
      <c r="C144" s="15"/>
      <c r="D144" s="71"/>
      <c r="E144" s="15"/>
      <c r="F144" s="71"/>
      <c r="G144" s="71"/>
      <c r="H144" s="71"/>
    </row>
    <row r="145" spans="1:8" x14ac:dyDescent="0.25">
      <c r="A145" s="116">
        <v>42820</v>
      </c>
      <c r="B145" s="71"/>
      <c r="C145" s="15"/>
      <c r="D145" s="71"/>
      <c r="E145" s="15"/>
      <c r="F145" s="71"/>
      <c r="G145" s="71"/>
      <c r="H145" s="71"/>
    </row>
    <row r="146" spans="1:8" x14ac:dyDescent="0.25">
      <c r="A146" s="116">
        <v>42821</v>
      </c>
      <c r="B146" s="71"/>
      <c r="C146" s="15"/>
      <c r="D146" s="71"/>
      <c r="E146" s="15"/>
      <c r="F146" s="71"/>
      <c r="G146" s="71"/>
      <c r="H146" s="71"/>
    </row>
    <row r="147" spans="1:8" x14ac:dyDescent="0.25">
      <c r="A147" s="116">
        <v>42822</v>
      </c>
      <c r="B147" s="71"/>
      <c r="C147" s="15"/>
      <c r="D147" s="71"/>
      <c r="E147" s="15"/>
      <c r="F147" s="71"/>
      <c r="G147" s="71"/>
      <c r="H147" s="71"/>
    </row>
    <row r="148" spans="1:8" x14ac:dyDescent="0.25">
      <c r="A148" s="116">
        <v>42823</v>
      </c>
      <c r="B148" s="71"/>
      <c r="C148" s="15"/>
      <c r="D148" s="71"/>
      <c r="E148" s="15"/>
      <c r="F148" s="71"/>
      <c r="G148" s="71"/>
      <c r="H148" s="71"/>
    </row>
    <row r="149" spans="1:8" x14ac:dyDescent="0.25">
      <c r="A149" s="116">
        <v>42824</v>
      </c>
      <c r="B149" s="71"/>
      <c r="C149" s="15"/>
      <c r="D149" s="71"/>
      <c r="E149" s="15"/>
      <c r="F149" s="71"/>
      <c r="G149" s="71"/>
      <c r="H149" s="71"/>
    </row>
    <row r="150" spans="1:8" x14ac:dyDescent="0.25">
      <c r="A150" s="116">
        <v>42825</v>
      </c>
      <c r="B150" s="71"/>
      <c r="C150" s="15"/>
      <c r="D150" s="71"/>
      <c r="E150" s="15"/>
      <c r="F150" s="71"/>
      <c r="G150" s="71"/>
      <c r="H150" s="71"/>
    </row>
    <row r="151" spans="1:8" x14ac:dyDescent="0.25">
      <c r="A151" s="116">
        <v>42826</v>
      </c>
      <c r="B151" s="71"/>
      <c r="C151" s="15"/>
      <c r="D151" s="71"/>
      <c r="E151" s="15"/>
      <c r="F151" s="71"/>
      <c r="G151" s="71"/>
      <c r="H151" s="71"/>
    </row>
    <row r="152" spans="1:8" x14ac:dyDescent="0.25">
      <c r="A152" s="116">
        <v>42827</v>
      </c>
      <c r="B152" s="71"/>
      <c r="C152" s="15"/>
      <c r="D152" s="71"/>
      <c r="E152" s="15"/>
      <c r="F152" s="71"/>
      <c r="G152" s="71"/>
      <c r="H152" s="71"/>
    </row>
    <row r="153" spans="1:8" x14ac:dyDescent="0.25">
      <c r="A153" s="116">
        <v>42828</v>
      </c>
      <c r="B153" s="71"/>
      <c r="C153" s="15"/>
      <c r="D153" s="71"/>
      <c r="E153" s="15"/>
      <c r="F153" s="71"/>
      <c r="G153" s="71"/>
      <c r="H153" s="71"/>
    </row>
    <row r="154" spans="1:8" x14ac:dyDescent="0.25">
      <c r="A154" s="116">
        <v>42830</v>
      </c>
      <c r="B154" s="71"/>
      <c r="C154" s="15"/>
      <c r="D154" s="71"/>
      <c r="E154" s="15"/>
      <c r="F154" s="71"/>
      <c r="G154" s="71"/>
      <c r="H154" s="71"/>
    </row>
    <row r="155" spans="1:8" x14ac:dyDescent="0.25">
      <c r="A155" s="116">
        <v>42831</v>
      </c>
      <c r="B155" s="71"/>
      <c r="C155" s="15"/>
      <c r="D155" s="71"/>
      <c r="E155" s="15"/>
      <c r="F155" s="71"/>
      <c r="G155" s="71"/>
      <c r="H155" s="71"/>
    </row>
    <row r="156" spans="1:8" x14ac:dyDescent="0.25">
      <c r="A156" s="116">
        <v>42832</v>
      </c>
      <c r="B156" s="71"/>
      <c r="C156" s="15"/>
      <c r="D156" s="71"/>
      <c r="E156" s="15"/>
      <c r="F156" s="71"/>
      <c r="G156" s="71"/>
      <c r="H156" s="71"/>
    </row>
    <row r="157" spans="1:8" x14ac:dyDescent="0.25">
      <c r="A157" s="116">
        <v>42833</v>
      </c>
      <c r="B157" s="71"/>
      <c r="C157" s="15"/>
      <c r="D157" s="71"/>
      <c r="E157" s="15"/>
      <c r="F157" s="71"/>
      <c r="G157" s="71"/>
      <c r="H157" s="71"/>
    </row>
    <row r="158" spans="1:8" x14ac:dyDescent="0.25">
      <c r="A158" s="116">
        <v>42834</v>
      </c>
      <c r="B158" s="71"/>
      <c r="C158" s="15"/>
      <c r="D158" s="71"/>
      <c r="E158" s="15"/>
      <c r="F158" s="71"/>
      <c r="G158" s="71"/>
      <c r="H158" s="71"/>
    </row>
    <row r="159" spans="1:8" x14ac:dyDescent="0.25">
      <c r="A159" s="116">
        <v>42835</v>
      </c>
      <c r="B159" s="71"/>
      <c r="C159" s="15"/>
      <c r="D159" s="71"/>
      <c r="E159" s="15"/>
      <c r="F159" s="71"/>
      <c r="G159" s="71"/>
      <c r="H159" s="71"/>
    </row>
    <row r="160" spans="1:8" x14ac:dyDescent="0.25">
      <c r="A160" s="116">
        <v>42836</v>
      </c>
      <c r="B160" s="71"/>
      <c r="C160" s="15"/>
      <c r="D160" s="71"/>
      <c r="E160" s="15"/>
      <c r="F160" s="71"/>
      <c r="G160" s="71"/>
      <c r="H160" s="71"/>
    </row>
    <row r="161" spans="1:8" x14ac:dyDescent="0.25">
      <c r="A161" s="116">
        <v>42837</v>
      </c>
      <c r="B161" s="71"/>
      <c r="C161" s="15"/>
      <c r="D161" s="71"/>
      <c r="E161" s="15"/>
      <c r="F161" s="71"/>
      <c r="G161" s="71"/>
      <c r="H161" s="71"/>
    </row>
    <row r="162" spans="1:8" x14ac:dyDescent="0.25">
      <c r="A162" s="116">
        <v>42838</v>
      </c>
      <c r="B162" s="71"/>
      <c r="C162" s="15"/>
      <c r="D162" s="71"/>
      <c r="E162" s="15"/>
      <c r="F162" s="71"/>
      <c r="G162" s="71"/>
      <c r="H162" s="71"/>
    </row>
    <row r="163" spans="1:8" x14ac:dyDescent="0.25">
      <c r="A163" s="116" t="s">
        <v>84</v>
      </c>
      <c r="B163" s="71">
        <v>0.56756756756756754</v>
      </c>
      <c r="C163" s="15">
        <v>46</v>
      </c>
      <c r="D163" s="71">
        <v>0.32608695652173914</v>
      </c>
      <c r="E163" s="15">
        <v>37</v>
      </c>
      <c r="F163" s="71">
        <v>0.54054054054054057</v>
      </c>
      <c r="G163" s="71">
        <v>0.45081967213114754</v>
      </c>
      <c r="H163" s="71">
        <v>0.57786885245901642</v>
      </c>
    </row>
  </sheetData>
  <conditionalFormatting pivot="1" sqref="G2:H31 D29:D31 B30:B3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pivot="1" sqref="F30:F3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64:G1048576 G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64:H1048576 H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64:D1048576 D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64:F1048576 F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64:B1048576 B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:B1048576 D1:D1048576 F1:H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0"/>
  <sheetViews>
    <sheetView workbookViewId="0">
      <selection sqref="A1:B30"/>
    </sheetView>
  </sheetViews>
  <sheetFormatPr defaultRowHeight="15" x14ac:dyDescent="0.25"/>
  <cols>
    <col min="1" max="1" width="23.85546875" bestFit="1" customWidth="1"/>
    <col min="2" max="2" width="13.7109375" bestFit="1" customWidth="1"/>
  </cols>
  <sheetData>
    <row r="1" spans="1:2" x14ac:dyDescent="0.25">
      <c r="A1" s="98" t="s">
        <v>11</v>
      </c>
      <c r="B1" t="s">
        <v>109</v>
      </c>
    </row>
    <row r="2" spans="1:2" x14ac:dyDescent="0.25">
      <c r="A2" s="98" t="s">
        <v>26</v>
      </c>
      <c r="B2" t="s">
        <v>110</v>
      </c>
    </row>
    <row r="3" spans="1:2" x14ac:dyDescent="0.25">
      <c r="A3" s="98" t="s">
        <v>35</v>
      </c>
      <c r="B3" t="s">
        <v>111</v>
      </c>
    </row>
    <row r="4" spans="1:2" x14ac:dyDescent="0.25">
      <c r="A4" s="98" t="s">
        <v>16</v>
      </c>
      <c r="B4" t="s">
        <v>112</v>
      </c>
    </row>
    <row r="5" spans="1:2" x14ac:dyDescent="0.25">
      <c r="A5" s="98" t="s">
        <v>13</v>
      </c>
      <c r="B5" t="s">
        <v>113</v>
      </c>
    </row>
    <row r="6" spans="1:2" x14ac:dyDescent="0.25">
      <c r="A6" s="98" t="s">
        <v>8</v>
      </c>
      <c r="B6" t="s">
        <v>114</v>
      </c>
    </row>
    <row r="7" spans="1:2" x14ac:dyDescent="0.25">
      <c r="A7" s="98" t="s">
        <v>37</v>
      </c>
      <c r="B7" t="s">
        <v>115</v>
      </c>
    </row>
    <row r="8" spans="1:2" x14ac:dyDescent="0.25">
      <c r="A8" s="98" t="s">
        <v>27</v>
      </c>
      <c r="B8" t="s">
        <v>116</v>
      </c>
    </row>
    <row r="9" spans="1:2" x14ac:dyDescent="0.25">
      <c r="A9" s="98" t="s">
        <v>25</v>
      </c>
      <c r="B9" t="s">
        <v>117</v>
      </c>
    </row>
    <row r="10" spans="1:2" x14ac:dyDescent="0.25">
      <c r="A10" s="98" t="s">
        <v>10</v>
      </c>
      <c r="B10" t="s">
        <v>118</v>
      </c>
    </row>
    <row r="11" spans="1:2" x14ac:dyDescent="0.25">
      <c r="A11" s="98" t="s">
        <v>17</v>
      </c>
      <c r="B11" t="s">
        <v>119</v>
      </c>
    </row>
    <row r="12" spans="1:2" x14ac:dyDescent="0.25">
      <c r="A12" s="98" t="s">
        <v>33</v>
      </c>
      <c r="B12" t="s">
        <v>120</v>
      </c>
    </row>
    <row r="13" spans="1:2" x14ac:dyDescent="0.25">
      <c r="A13" s="98" t="s">
        <v>4</v>
      </c>
      <c r="B13" t="s">
        <v>121</v>
      </c>
    </row>
    <row r="14" spans="1:2" x14ac:dyDescent="0.25">
      <c r="A14" s="98" t="s">
        <v>24</v>
      </c>
      <c r="B14" t="s">
        <v>122</v>
      </c>
    </row>
    <row r="15" spans="1:2" x14ac:dyDescent="0.25">
      <c r="A15" s="98" t="s">
        <v>23</v>
      </c>
      <c r="B15" t="s">
        <v>123</v>
      </c>
    </row>
    <row r="16" spans="1:2" x14ac:dyDescent="0.25">
      <c r="A16" s="98" t="s">
        <v>21</v>
      </c>
      <c r="B16" t="s">
        <v>124</v>
      </c>
    </row>
    <row r="17" spans="1:2" x14ac:dyDescent="0.25">
      <c r="A17" s="98" t="s">
        <v>30</v>
      </c>
      <c r="B17" t="s">
        <v>125</v>
      </c>
    </row>
    <row r="18" spans="1:2" x14ac:dyDescent="0.25">
      <c r="A18" s="98" t="s">
        <v>22</v>
      </c>
      <c r="B18" t="s">
        <v>126</v>
      </c>
    </row>
    <row r="19" spans="1:2" x14ac:dyDescent="0.25">
      <c r="A19" s="98" t="s">
        <v>34</v>
      </c>
      <c r="B19" t="s">
        <v>127</v>
      </c>
    </row>
    <row r="20" spans="1:2" x14ac:dyDescent="0.25">
      <c r="A20" s="98" t="s">
        <v>31</v>
      </c>
      <c r="B20" t="s">
        <v>128</v>
      </c>
    </row>
    <row r="21" spans="1:2" x14ac:dyDescent="0.25">
      <c r="A21" s="98" t="s">
        <v>18</v>
      </c>
      <c r="B21" t="s">
        <v>129</v>
      </c>
    </row>
    <row r="22" spans="1:2" x14ac:dyDescent="0.25">
      <c r="A22" s="98" t="s">
        <v>38</v>
      </c>
      <c r="B22" t="s">
        <v>130</v>
      </c>
    </row>
    <row r="23" spans="1:2" x14ac:dyDescent="0.25">
      <c r="A23" s="98" t="s">
        <v>39</v>
      </c>
      <c r="B23" t="s">
        <v>138</v>
      </c>
    </row>
    <row r="24" spans="1:2" x14ac:dyDescent="0.25">
      <c r="A24" s="98" t="s">
        <v>36</v>
      </c>
      <c r="B24" t="s">
        <v>131</v>
      </c>
    </row>
    <row r="25" spans="1:2" x14ac:dyDescent="0.25">
      <c r="A25" s="98" t="s">
        <v>32</v>
      </c>
      <c r="B25" t="s">
        <v>132</v>
      </c>
    </row>
    <row r="26" spans="1:2" x14ac:dyDescent="0.25">
      <c r="A26" s="98" t="s">
        <v>29</v>
      </c>
      <c r="B26" t="s">
        <v>133</v>
      </c>
    </row>
    <row r="27" spans="1:2" x14ac:dyDescent="0.25">
      <c r="A27" s="98" t="s">
        <v>6</v>
      </c>
      <c r="B27" t="s">
        <v>134</v>
      </c>
    </row>
    <row r="28" spans="1:2" x14ac:dyDescent="0.25">
      <c r="A28" s="98" t="s">
        <v>14</v>
      </c>
      <c r="B28" t="s">
        <v>135</v>
      </c>
    </row>
    <row r="29" spans="1:2" x14ac:dyDescent="0.25">
      <c r="A29" s="98" t="s">
        <v>20</v>
      </c>
      <c r="B29" t="s">
        <v>136</v>
      </c>
    </row>
    <row r="30" spans="1:2" x14ac:dyDescent="0.25">
      <c r="A30" s="98" t="s">
        <v>28</v>
      </c>
      <c r="B30" t="s">
        <v>137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Boxscore</vt:lpstr>
      <vt:lpstr>Results</vt:lpstr>
      <vt:lpstr>Ratings</vt:lpstr>
      <vt:lpstr>Winnings</vt:lpstr>
      <vt:lpstr>Daily</vt:lpstr>
      <vt:lpstr>Replace</vt:lpstr>
      <vt:lpstr>def_diff_lookup</vt:lpstr>
      <vt:lpstr>division_lookup</vt:lpstr>
      <vt:lpstr>home</vt:lpstr>
      <vt:lpstr>home_lookup</vt:lpstr>
      <vt:lpstr>Ratings!nba_ranking_1</vt:lpstr>
      <vt:lpstr>OFR_lookup</vt:lpstr>
      <vt:lpstr>pace_lookup</vt:lpstr>
      <vt:lpstr>replace_names</vt:lpstr>
      <vt:lpstr>rtg_vlookup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2016-11-22T01:23:29Z</dcterms:created>
  <dcterms:modified xsi:type="dcterms:W3CDTF">2016-11-27T16:26:38Z</dcterms:modified>
</cp:coreProperties>
</file>